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https://d.docs.live.net/7ab31e36a6ec592b/Desktop/Farjith data analyst projects/CAP B6 EXCEL FILES/"/>
    </mc:Choice>
  </mc:AlternateContent>
  <xr:revisionPtr revIDLastSave="1" documentId="8_{BF42A92F-F759-454A-B47D-5FB01A6FE0C3}" xr6:coauthVersionLast="47" xr6:coauthVersionMax="47" xr10:uidLastSave="{2B137E15-122A-4633-9F1F-0249DB8C31C1}"/>
  <bookViews>
    <workbookView xWindow="-120" yWindow="-120" windowWidth="29040" windowHeight="15840" firstSheet="5" activeTab="10" xr2:uid="{00000000-000D-0000-FFFF-FFFF00000000}"/>
  </bookViews>
  <sheets>
    <sheet name="Dataser" sheetId="13" r:id="rId1"/>
    <sheet name="KPI" sheetId="2" r:id="rId2"/>
    <sheet name="Slicers" sheetId="4" r:id="rId3"/>
    <sheet name="Monthly Sales VS Profit Trend" sheetId="5" r:id="rId4"/>
    <sheet name="Top Loss Making Products" sheetId="6" r:id="rId5"/>
    <sheet name="Discount % VS Profit Margin %" sheetId="8" r:id="rId6"/>
    <sheet name="Profit By Region" sheetId="9" r:id="rId7"/>
    <sheet name="Profit By Category" sheetId="10" r:id="rId8"/>
    <sheet name="Sales VS Profit By Products" sheetId="11" r:id="rId9"/>
    <sheet name="Dashboard" sheetId="12" r:id="rId10"/>
    <sheet name="Dataset" sheetId="1" r:id="rId11"/>
  </sheets>
  <definedNames>
    <definedName name="_xlnm._FilterDatabase" localSheetId="10" hidden="1">Dataset!$A$1:$Q$2001</definedName>
    <definedName name="Slicer_Category">#N/A</definedName>
    <definedName name="Slicer_Profit_Status">#N/A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001" i="1" l="1"/>
  <c r="P2001" i="1"/>
  <c r="O2001" i="1"/>
  <c r="N2001" i="1"/>
  <c r="M2001" i="1"/>
  <c r="Q2000" i="1"/>
  <c r="P2000" i="1"/>
  <c r="O2000" i="1"/>
  <c r="N2000" i="1"/>
  <c r="M2000" i="1"/>
  <c r="Q1999" i="1"/>
  <c r="P1999" i="1"/>
  <c r="O1999" i="1"/>
  <c r="N1999" i="1"/>
  <c r="M1999" i="1"/>
  <c r="Q1998" i="1"/>
  <c r="P1998" i="1"/>
  <c r="O1998" i="1"/>
  <c r="N1998" i="1"/>
  <c r="M1998" i="1"/>
  <c r="Q1997" i="1"/>
  <c r="P1997" i="1"/>
  <c r="O1997" i="1"/>
  <c r="N1997" i="1"/>
  <c r="M1997" i="1"/>
  <c r="Q1996" i="1"/>
  <c r="P1996" i="1"/>
  <c r="O1996" i="1"/>
  <c r="N1996" i="1"/>
  <c r="M1996" i="1"/>
  <c r="Q1995" i="1"/>
  <c r="P1995" i="1"/>
  <c r="O1995" i="1"/>
  <c r="N1995" i="1"/>
  <c r="M1995" i="1"/>
  <c r="Q1994" i="1"/>
  <c r="P1994" i="1"/>
  <c r="O1994" i="1"/>
  <c r="N1994" i="1"/>
  <c r="M1994" i="1"/>
  <c r="Q1993" i="1"/>
  <c r="P1993" i="1"/>
  <c r="O1993" i="1"/>
  <c r="N1993" i="1"/>
  <c r="M1993" i="1"/>
  <c r="Q1992" i="1"/>
  <c r="P1992" i="1"/>
  <c r="O1992" i="1"/>
  <c r="N1992" i="1"/>
  <c r="M1992" i="1"/>
  <c r="Q1991" i="1"/>
  <c r="P1991" i="1"/>
  <c r="O1991" i="1"/>
  <c r="N1991" i="1"/>
  <c r="M1991" i="1"/>
  <c r="Q1990" i="1"/>
  <c r="P1990" i="1"/>
  <c r="O1990" i="1"/>
  <c r="N1990" i="1"/>
  <c r="M1990" i="1"/>
  <c r="Q1989" i="1"/>
  <c r="P1989" i="1"/>
  <c r="O1989" i="1"/>
  <c r="N1989" i="1"/>
  <c r="M1989" i="1"/>
  <c r="Q1988" i="1"/>
  <c r="P1988" i="1"/>
  <c r="O1988" i="1"/>
  <c r="N1988" i="1"/>
  <c r="M1988" i="1"/>
  <c r="Q1987" i="1"/>
  <c r="P1987" i="1"/>
  <c r="O1987" i="1"/>
  <c r="N1987" i="1"/>
  <c r="M1987" i="1"/>
  <c r="Q1986" i="1"/>
  <c r="P1986" i="1"/>
  <c r="O1986" i="1"/>
  <c r="N1986" i="1"/>
  <c r="M1986" i="1"/>
  <c r="Q1985" i="1"/>
  <c r="P1985" i="1"/>
  <c r="O1985" i="1"/>
  <c r="N1985" i="1"/>
  <c r="M1985" i="1"/>
  <c r="Q1984" i="1"/>
  <c r="P1984" i="1"/>
  <c r="O1984" i="1"/>
  <c r="N1984" i="1"/>
  <c r="M1984" i="1"/>
  <c r="Q1983" i="1"/>
  <c r="P1983" i="1"/>
  <c r="O1983" i="1"/>
  <c r="N1983" i="1"/>
  <c r="M1983" i="1"/>
  <c r="Q1982" i="1"/>
  <c r="P1982" i="1"/>
  <c r="O1982" i="1"/>
  <c r="N1982" i="1"/>
  <c r="M1982" i="1"/>
  <c r="Q1981" i="1"/>
  <c r="P1981" i="1"/>
  <c r="O1981" i="1"/>
  <c r="N1981" i="1"/>
  <c r="M1981" i="1"/>
  <c r="Q1980" i="1"/>
  <c r="P1980" i="1"/>
  <c r="O1980" i="1"/>
  <c r="N1980" i="1"/>
  <c r="M1980" i="1"/>
  <c r="Q1979" i="1"/>
  <c r="P1979" i="1"/>
  <c r="O1979" i="1"/>
  <c r="N1979" i="1"/>
  <c r="M1979" i="1"/>
  <c r="Q1978" i="1"/>
  <c r="P1978" i="1"/>
  <c r="O1978" i="1"/>
  <c r="N1978" i="1"/>
  <c r="M1978" i="1"/>
  <c r="Q1977" i="1"/>
  <c r="P1977" i="1"/>
  <c r="O1977" i="1"/>
  <c r="N1977" i="1"/>
  <c r="M1977" i="1"/>
  <c r="Q1976" i="1"/>
  <c r="P1976" i="1"/>
  <c r="O1976" i="1"/>
  <c r="N1976" i="1"/>
  <c r="M1976" i="1"/>
  <c r="Q1975" i="1"/>
  <c r="P1975" i="1"/>
  <c r="O1975" i="1"/>
  <c r="N1975" i="1"/>
  <c r="M1975" i="1"/>
  <c r="Q1974" i="1"/>
  <c r="P1974" i="1"/>
  <c r="O1974" i="1"/>
  <c r="N1974" i="1"/>
  <c r="M1974" i="1"/>
  <c r="Q1973" i="1"/>
  <c r="P1973" i="1"/>
  <c r="O1973" i="1"/>
  <c r="N1973" i="1"/>
  <c r="M1973" i="1"/>
  <c r="Q1972" i="1"/>
  <c r="P1972" i="1"/>
  <c r="O1972" i="1"/>
  <c r="N1972" i="1"/>
  <c r="M1972" i="1"/>
  <c r="Q1971" i="1"/>
  <c r="P1971" i="1"/>
  <c r="O1971" i="1"/>
  <c r="N1971" i="1"/>
  <c r="M1971" i="1"/>
  <c r="Q1970" i="1"/>
  <c r="P1970" i="1"/>
  <c r="O1970" i="1"/>
  <c r="N1970" i="1"/>
  <c r="M1970" i="1"/>
  <c r="Q1969" i="1"/>
  <c r="P1969" i="1"/>
  <c r="O1969" i="1"/>
  <c r="N1969" i="1"/>
  <c r="M1969" i="1"/>
  <c r="Q1968" i="1"/>
  <c r="P1968" i="1"/>
  <c r="O1968" i="1"/>
  <c r="N1968" i="1"/>
  <c r="M1968" i="1"/>
  <c r="Q1967" i="1"/>
  <c r="P1967" i="1"/>
  <c r="O1967" i="1"/>
  <c r="N1967" i="1"/>
  <c r="M1967" i="1"/>
  <c r="Q1966" i="1"/>
  <c r="P1966" i="1"/>
  <c r="O1966" i="1"/>
  <c r="N1966" i="1"/>
  <c r="M1966" i="1"/>
  <c r="Q1965" i="1"/>
  <c r="P1965" i="1"/>
  <c r="O1965" i="1"/>
  <c r="N1965" i="1"/>
  <c r="M1965" i="1"/>
  <c r="Q1964" i="1"/>
  <c r="P1964" i="1"/>
  <c r="O1964" i="1"/>
  <c r="N1964" i="1"/>
  <c r="M1964" i="1"/>
  <c r="Q1963" i="1"/>
  <c r="P1963" i="1"/>
  <c r="O1963" i="1"/>
  <c r="N1963" i="1"/>
  <c r="M1963" i="1"/>
  <c r="Q1962" i="1"/>
  <c r="P1962" i="1"/>
  <c r="O1962" i="1"/>
  <c r="N1962" i="1"/>
  <c r="M1962" i="1"/>
  <c r="Q1961" i="1"/>
  <c r="P1961" i="1"/>
  <c r="O1961" i="1"/>
  <c r="N1961" i="1"/>
  <c r="M1961" i="1"/>
  <c r="Q1960" i="1"/>
  <c r="P1960" i="1"/>
  <c r="O1960" i="1"/>
  <c r="N1960" i="1"/>
  <c r="M1960" i="1"/>
  <c r="Q1959" i="1"/>
  <c r="P1959" i="1"/>
  <c r="O1959" i="1"/>
  <c r="N1959" i="1"/>
  <c r="M1959" i="1"/>
  <c r="Q1958" i="1"/>
  <c r="P1958" i="1"/>
  <c r="O1958" i="1"/>
  <c r="N1958" i="1"/>
  <c r="M1958" i="1"/>
  <c r="Q1957" i="1"/>
  <c r="P1957" i="1"/>
  <c r="O1957" i="1"/>
  <c r="N1957" i="1"/>
  <c r="M1957" i="1"/>
  <c r="Q1956" i="1"/>
  <c r="P1956" i="1"/>
  <c r="O1956" i="1"/>
  <c r="N1956" i="1"/>
  <c r="M1956" i="1"/>
  <c r="Q1955" i="1"/>
  <c r="P1955" i="1"/>
  <c r="O1955" i="1"/>
  <c r="N1955" i="1"/>
  <c r="M1955" i="1"/>
  <c r="Q1954" i="1"/>
  <c r="P1954" i="1"/>
  <c r="O1954" i="1"/>
  <c r="N1954" i="1"/>
  <c r="M1954" i="1"/>
  <c r="Q1953" i="1"/>
  <c r="P1953" i="1"/>
  <c r="O1953" i="1"/>
  <c r="N1953" i="1"/>
  <c r="M1953" i="1"/>
  <c r="Q1952" i="1"/>
  <c r="P1952" i="1"/>
  <c r="O1952" i="1"/>
  <c r="N1952" i="1"/>
  <c r="M1952" i="1"/>
  <c r="Q1951" i="1"/>
  <c r="P1951" i="1"/>
  <c r="O1951" i="1"/>
  <c r="N1951" i="1"/>
  <c r="M1951" i="1"/>
  <c r="Q1950" i="1"/>
  <c r="P1950" i="1"/>
  <c r="O1950" i="1"/>
  <c r="N1950" i="1"/>
  <c r="M1950" i="1"/>
  <c r="Q1949" i="1"/>
  <c r="P1949" i="1"/>
  <c r="O1949" i="1"/>
  <c r="N1949" i="1"/>
  <c r="M1949" i="1"/>
  <c r="Q1948" i="1"/>
  <c r="P1948" i="1"/>
  <c r="O1948" i="1"/>
  <c r="N1948" i="1"/>
  <c r="M1948" i="1"/>
  <c r="Q1947" i="1"/>
  <c r="P1947" i="1"/>
  <c r="O1947" i="1"/>
  <c r="N1947" i="1"/>
  <c r="M1947" i="1"/>
  <c r="Q1946" i="1"/>
  <c r="P1946" i="1"/>
  <c r="O1946" i="1"/>
  <c r="N1946" i="1"/>
  <c r="M1946" i="1"/>
  <c r="Q1945" i="1"/>
  <c r="P1945" i="1"/>
  <c r="O1945" i="1"/>
  <c r="N1945" i="1"/>
  <c r="M1945" i="1"/>
  <c r="Q1944" i="1"/>
  <c r="P1944" i="1"/>
  <c r="O1944" i="1"/>
  <c r="N1944" i="1"/>
  <c r="M1944" i="1"/>
  <c r="Q1943" i="1"/>
  <c r="P1943" i="1"/>
  <c r="O1943" i="1"/>
  <c r="N1943" i="1"/>
  <c r="M1943" i="1"/>
  <c r="Q1942" i="1"/>
  <c r="P1942" i="1"/>
  <c r="O1942" i="1"/>
  <c r="N1942" i="1"/>
  <c r="M1942" i="1"/>
  <c r="Q1941" i="1"/>
  <c r="P1941" i="1"/>
  <c r="O1941" i="1"/>
  <c r="N1941" i="1"/>
  <c r="M1941" i="1"/>
  <c r="Q1940" i="1"/>
  <c r="P1940" i="1"/>
  <c r="O1940" i="1"/>
  <c r="N1940" i="1"/>
  <c r="M1940" i="1"/>
  <c r="Q1939" i="1"/>
  <c r="P1939" i="1"/>
  <c r="O1939" i="1"/>
  <c r="N1939" i="1"/>
  <c r="M1939" i="1"/>
  <c r="Q1938" i="1"/>
  <c r="P1938" i="1"/>
  <c r="O1938" i="1"/>
  <c r="N1938" i="1"/>
  <c r="M1938" i="1"/>
  <c r="Q1937" i="1"/>
  <c r="P1937" i="1"/>
  <c r="O1937" i="1"/>
  <c r="N1937" i="1"/>
  <c r="M1937" i="1"/>
  <c r="Q1936" i="1"/>
  <c r="P1936" i="1"/>
  <c r="O1936" i="1"/>
  <c r="N1936" i="1"/>
  <c r="M1936" i="1"/>
  <c r="Q1935" i="1"/>
  <c r="P1935" i="1"/>
  <c r="O1935" i="1"/>
  <c r="N1935" i="1"/>
  <c r="M1935" i="1"/>
  <c r="Q1934" i="1"/>
  <c r="P1934" i="1"/>
  <c r="O1934" i="1"/>
  <c r="N1934" i="1"/>
  <c r="M1934" i="1"/>
  <c r="Q1933" i="1"/>
  <c r="P1933" i="1"/>
  <c r="O1933" i="1"/>
  <c r="N1933" i="1"/>
  <c r="M1933" i="1"/>
  <c r="Q1932" i="1"/>
  <c r="P1932" i="1"/>
  <c r="O1932" i="1"/>
  <c r="N1932" i="1"/>
  <c r="M1932" i="1"/>
  <c r="Q1931" i="1"/>
  <c r="P1931" i="1"/>
  <c r="O1931" i="1"/>
  <c r="N1931" i="1"/>
  <c r="M1931" i="1"/>
  <c r="Q1930" i="1"/>
  <c r="P1930" i="1"/>
  <c r="O1930" i="1"/>
  <c r="N1930" i="1"/>
  <c r="M1930" i="1"/>
  <c r="Q1929" i="1"/>
  <c r="P1929" i="1"/>
  <c r="O1929" i="1"/>
  <c r="N1929" i="1"/>
  <c r="M1929" i="1"/>
  <c r="Q1928" i="1"/>
  <c r="P1928" i="1"/>
  <c r="O1928" i="1"/>
  <c r="N1928" i="1"/>
  <c r="M1928" i="1"/>
  <c r="Q1927" i="1"/>
  <c r="P1927" i="1"/>
  <c r="O1927" i="1"/>
  <c r="N1927" i="1"/>
  <c r="M1927" i="1"/>
  <c r="Q1926" i="1"/>
  <c r="P1926" i="1"/>
  <c r="O1926" i="1"/>
  <c r="N1926" i="1"/>
  <c r="M1926" i="1"/>
  <c r="Q1925" i="1"/>
  <c r="P1925" i="1"/>
  <c r="O1925" i="1"/>
  <c r="N1925" i="1"/>
  <c r="M1925" i="1"/>
  <c r="Q1924" i="1"/>
  <c r="P1924" i="1"/>
  <c r="O1924" i="1"/>
  <c r="N1924" i="1"/>
  <c r="M1924" i="1"/>
  <c r="Q1923" i="1"/>
  <c r="P1923" i="1"/>
  <c r="O1923" i="1"/>
  <c r="N1923" i="1"/>
  <c r="M1923" i="1"/>
  <c r="Q1922" i="1"/>
  <c r="P1922" i="1"/>
  <c r="O1922" i="1"/>
  <c r="N1922" i="1"/>
  <c r="M1922" i="1"/>
  <c r="Q1921" i="1"/>
  <c r="P1921" i="1"/>
  <c r="O1921" i="1"/>
  <c r="N1921" i="1"/>
  <c r="M1921" i="1"/>
  <c r="Q1920" i="1"/>
  <c r="P1920" i="1"/>
  <c r="O1920" i="1"/>
  <c r="N1920" i="1"/>
  <c r="M1920" i="1"/>
  <c r="Q1919" i="1"/>
  <c r="P1919" i="1"/>
  <c r="O1919" i="1"/>
  <c r="N1919" i="1"/>
  <c r="M1919" i="1"/>
  <c r="Q1918" i="1"/>
  <c r="P1918" i="1"/>
  <c r="O1918" i="1"/>
  <c r="N1918" i="1"/>
  <c r="M1918" i="1"/>
  <c r="Q1917" i="1"/>
  <c r="P1917" i="1"/>
  <c r="O1917" i="1"/>
  <c r="N1917" i="1"/>
  <c r="M1917" i="1"/>
  <c r="Q1916" i="1"/>
  <c r="P1916" i="1"/>
  <c r="O1916" i="1"/>
  <c r="N1916" i="1"/>
  <c r="M1916" i="1"/>
  <c r="Q1915" i="1"/>
  <c r="P1915" i="1"/>
  <c r="O1915" i="1"/>
  <c r="N1915" i="1"/>
  <c r="M1915" i="1"/>
  <c r="Q1914" i="1"/>
  <c r="P1914" i="1"/>
  <c r="O1914" i="1"/>
  <c r="N1914" i="1"/>
  <c r="M1914" i="1"/>
  <c r="Q1913" i="1"/>
  <c r="P1913" i="1"/>
  <c r="O1913" i="1"/>
  <c r="N1913" i="1"/>
  <c r="M1913" i="1"/>
  <c r="Q1912" i="1"/>
  <c r="P1912" i="1"/>
  <c r="O1912" i="1"/>
  <c r="N1912" i="1"/>
  <c r="M1912" i="1"/>
  <c r="Q1911" i="1"/>
  <c r="P1911" i="1"/>
  <c r="O1911" i="1"/>
  <c r="N1911" i="1"/>
  <c r="M1911" i="1"/>
  <c r="Q1910" i="1"/>
  <c r="P1910" i="1"/>
  <c r="O1910" i="1"/>
  <c r="N1910" i="1"/>
  <c r="M1910" i="1"/>
  <c r="Q1909" i="1"/>
  <c r="P1909" i="1"/>
  <c r="O1909" i="1"/>
  <c r="N1909" i="1"/>
  <c r="M1909" i="1"/>
  <c r="Q1908" i="1"/>
  <c r="P1908" i="1"/>
  <c r="O1908" i="1"/>
  <c r="N1908" i="1"/>
  <c r="M1908" i="1"/>
  <c r="Q1907" i="1"/>
  <c r="P1907" i="1"/>
  <c r="O1907" i="1"/>
  <c r="N1907" i="1"/>
  <c r="M1907" i="1"/>
  <c r="Q1906" i="1"/>
  <c r="P1906" i="1"/>
  <c r="O1906" i="1"/>
  <c r="N1906" i="1"/>
  <c r="M1906" i="1"/>
  <c r="Q1905" i="1"/>
  <c r="P1905" i="1"/>
  <c r="O1905" i="1"/>
  <c r="N1905" i="1"/>
  <c r="M1905" i="1"/>
  <c r="Q1904" i="1"/>
  <c r="P1904" i="1"/>
  <c r="O1904" i="1"/>
  <c r="N1904" i="1"/>
  <c r="M1904" i="1"/>
  <c r="Q1903" i="1"/>
  <c r="P1903" i="1"/>
  <c r="O1903" i="1"/>
  <c r="N1903" i="1"/>
  <c r="M1903" i="1"/>
  <c r="Q1902" i="1"/>
  <c r="P1902" i="1"/>
  <c r="O1902" i="1"/>
  <c r="N1902" i="1"/>
  <c r="M1902" i="1"/>
  <c r="Q1901" i="1"/>
  <c r="P1901" i="1"/>
  <c r="O1901" i="1"/>
  <c r="N1901" i="1"/>
  <c r="M1901" i="1"/>
  <c r="Q1900" i="1"/>
  <c r="P1900" i="1"/>
  <c r="O1900" i="1"/>
  <c r="N1900" i="1"/>
  <c r="M1900" i="1"/>
  <c r="Q1899" i="1"/>
  <c r="P1899" i="1"/>
  <c r="O1899" i="1"/>
  <c r="N1899" i="1"/>
  <c r="M1899" i="1"/>
  <c r="Q1898" i="1"/>
  <c r="P1898" i="1"/>
  <c r="O1898" i="1"/>
  <c r="N1898" i="1"/>
  <c r="M1898" i="1"/>
  <c r="Q1897" i="1"/>
  <c r="P1897" i="1"/>
  <c r="O1897" i="1"/>
  <c r="N1897" i="1"/>
  <c r="M1897" i="1"/>
  <c r="Q1896" i="1"/>
  <c r="P1896" i="1"/>
  <c r="O1896" i="1"/>
  <c r="N1896" i="1"/>
  <c r="M1896" i="1"/>
  <c r="Q1895" i="1"/>
  <c r="P1895" i="1"/>
  <c r="O1895" i="1"/>
  <c r="N1895" i="1"/>
  <c r="M1895" i="1"/>
  <c r="Q1894" i="1"/>
  <c r="P1894" i="1"/>
  <c r="O1894" i="1"/>
  <c r="N1894" i="1"/>
  <c r="M1894" i="1"/>
  <c r="Q1893" i="1"/>
  <c r="P1893" i="1"/>
  <c r="O1893" i="1"/>
  <c r="N1893" i="1"/>
  <c r="M1893" i="1"/>
  <c r="Q1892" i="1"/>
  <c r="P1892" i="1"/>
  <c r="O1892" i="1"/>
  <c r="N1892" i="1"/>
  <c r="M1892" i="1"/>
  <c r="Q1891" i="1"/>
  <c r="P1891" i="1"/>
  <c r="O1891" i="1"/>
  <c r="N1891" i="1"/>
  <c r="M1891" i="1"/>
  <c r="Q1890" i="1"/>
  <c r="P1890" i="1"/>
  <c r="O1890" i="1"/>
  <c r="N1890" i="1"/>
  <c r="M1890" i="1"/>
  <c r="Q1889" i="1"/>
  <c r="P1889" i="1"/>
  <c r="O1889" i="1"/>
  <c r="N1889" i="1"/>
  <c r="M1889" i="1"/>
  <c r="Q1888" i="1"/>
  <c r="P1888" i="1"/>
  <c r="O1888" i="1"/>
  <c r="N1888" i="1"/>
  <c r="M1888" i="1"/>
  <c r="Q1887" i="1"/>
  <c r="P1887" i="1"/>
  <c r="O1887" i="1"/>
  <c r="N1887" i="1"/>
  <c r="M1887" i="1"/>
  <c r="Q1886" i="1"/>
  <c r="P1886" i="1"/>
  <c r="O1886" i="1"/>
  <c r="N1886" i="1"/>
  <c r="M1886" i="1"/>
  <c r="Q1885" i="1"/>
  <c r="P1885" i="1"/>
  <c r="O1885" i="1"/>
  <c r="N1885" i="1"/>
  <c r="M1885" i="1"/>
  <c r="Q1884" i="1"/>
  <c r="P1884" i="1"/>
  <c r="O1884" i="1"/>
  <c r="N1884" i="1"/>
  <c r="M1884" i="1"/>
  <c r="Q1883" i="1"/>
  <c r="P1883" i="1"/>
  <c r="O1883" i="1"/>
  <c r="N1883" i="1"/>
  <c r="M1883" i="1"/>
  <c r="Q1882" i="1"/>
  <c r="P1882" i="1"/>
  <c r="O1882" i="1"/>
  <c r="N1882" i="1"/>
  <c r="M1882" i="1"/>
  <c r="Q1881" i="1"/>
  <c r="P1881" i="1"/>
  <c r="O1881" i="1"/>
  <c r="N1881" i="1"/>
  <c r="M1881" i="1"/>
  <c r="Q1880" i="1"/>
  <c r="P1880" i="1"/>
  <c r="O1880" i="1"/>
  <c r="N1880" i="1"/>
  <c r="M1880" i="1"/>
  <c r="Q1879" i="1"/>
  <c r="P1879" i="1"/>
  <c r="O1879" i="1"/>
  <c r="N1879" i="1"/>
  <c r="M1879" i="1"/>
  <c r="Q1878" i="1"/>
  <c r="P1878" i="1"/>
  <c r="O1878" i="1"/>
  <c r="N1878" i="1"/>
  <c r="M1878" i="1"/>
  <c r="Q1877" i="1"/>
  <c r="P1877" i="1"/>
  <c r="O1877" i="1"/>
  <c r="N1877" i="1"/>
  <c r="M1877" i="1"/>
  <c r="Q1876" i="1"/>
  <c r="P1876" i="1"/>
  <c r="O1876" i="1"/>
  <c r="N1876" i="1"/>
  <c r="M1876" i="1"/>
  <c r="Q1875" i="1"/>
  <c r="P1875" i="1"/>
  <c r="O1875" i="1"/>
  <c r="N1875" i="1"/>
  <c r="M1875" i="1"/>
  <c r="Q1874" i="1"/>
  <c r="P1874" i="1"/>
  <c r="O1874" i="1"/>
  <c r="N1874" i="1"/>
  <c r="M1874" i="1"/>
  <c r="Q1873" i="1"/>
  <c r="P1873" i="1"/>
  <c r="O1873" i="1"/>
  <c r="N1873" i="1"/>
  <c r="M1873" i="1"/>
  <c r="Q1872" i="1"/>
  <c r="P1872" i="1"/>
  <c r="O1872" i="1"/>
  <c r="N1872" i="1"/>
  <c r="M1872" i="1"/>
  <c r="Q1871" i="1"/>
  <c r="P1871" i="1"/>
  <c r="O1871" i="1"/>
  <c r="N1871" i="1"/>
  <c r="M1871" i="1"/>
  <c r="Q1870" i="1"/>
  <c r="P1870" i="1"/>
  <c r="O1870" i="1"/>
  <c r="N1870" i="1"/>
  <c r="M1870" i="1"/>
  <c r="Q1869" i="1"/>
  <c r="P1869" i="1"/>
  <c r="O1869" i="1"/>
  <c r="N1869" i="1"/>
  <c r="M1869" i="1"/>
  <c r="Q1868" i="1"/>
  <c r="P1868" i="1"/>
  <c r="O1868" i="1"/>
  <c r="N1868" i="1"/>
  <c r="M1868" i="1"/>
  <c r="Q1867" i="1"/>
  <c r="P1867" i="1"/>
  <c r="O1867" i="1"/>
  <c r="N1867" i="1"/>
  <c r="M1867" i="1"/>
  <c r="Q1866" i="1"/>
  <c r="P1866" i="1"/>
  <c r="O1866" i="1"/>
  <c r="N1866" i="1"/>
  <c r="M1866" i="1"/>
  <c r="Q1865" i="1"/>
  <c r="P1865" i="1"/>
  <c r="O1865" i="1"/>
  <c r="N1865" i="1"/>
  <c r="M1865" i="1"/>
  <c r="Q1864" i="1"/>
  <c r="P1864" i="1"/>
  <c r="O1864" i="1"/>
  <c r="N1864" i="1"/>
  <c r="M1864" i="1"/>
  <c r="Q1863" i="1"/>
  <c r="P1863" i="1"/>
  <c r="O1863" i="1"/>
  <c r="N1863" i="1"/>
  <c r="M1863" i="1"/>
  <c r="Q1862" i="1"/>
  <c r="P1862" i="1"/>
  <c r="O1862" i="1"/>
  <c r="N1862" i="1"/>
  <c r="M1862" i="1"/>
  <c r="Q1861" i="1"/>
  <c r="P1861" i="1"/>
  <c r="O1861" i="1"/>
  <c r="N1861" i="1"/>
  <c r="M1861" i="1"/>
  <c r="Q1860" i="1"/>
  <c r="P1860" i="1"/>
  <c r="O1860" i="1"/>
  <c r="N1860" i="1"/>
  <c r="M1860" i="1"/>
  <c r="Q1859" i="1"/>
  <c r="P1859" i="1"/>
  <c r="O1859" i="1"/>
  <c r="N1859" i="1"/>
  <c r="M1859" i="1"/>
  <c r="Q1858" i="1"/>
  <c r="P1858" i="1"/>
  <c r="O1858" i="1"/>
  <c r="N1858" i="1"/>
  <c r="M1858" i="1"/>
  <c r="Q1857" i="1"/>
  <c r="P1857" i="1"/>
  <c r="O1857" i="1"/>
  <c r="N1857" i="1"/>
  <c r="M1857" i="1"/>
  <c r="Q1856" i="1"/>
  <c r="P1856" i="1"/>
  <c r="O1856" i="1"/>
  <c r="N1856" i="1"/>
  <c r="M1856" i="1"/>
  <c r="Q1855" i="1"/>
  <c r="P1855" i="1"/>
  <c r="O1855" i="1"/>
  <c r="N1855" i="1"/>
  <c r="M1855" i="1"/>
  <c r="Q1854" i="1"/>
  <c r="P1854" i="1"/>
  <c r="O1854" i="1"/>
  <c r="N1854" i="1"/>
  <c r="M1854" i="1"/>
  <c r="Q1853" i="1"/>
  <c r="P1853" i="1"/>
  <c r="O1853" i="1"/>
  <c r="N1853" i="1"/>
  <c r="M1853" i="1"/>
  <c r="Q1852" i="1"/>
  <c r="P1852" i="1"/>
  <c r="O1852" i="1"/>
  <c r="N1852" i="1"/>
  <c r="M1852" i="1"/>
  <c r="Q1851" i="1"/>
  <c r="P1851" i="1"/>
  <c r="O1851" i="1"/>
  <c r="N1851" i="1"/>
  <c r="M1851" i="1"/>
  <c r="Q1850" i="1"/>
  <c r="P1850" i="1"/>
  <c r="O1850" i="1"/>
  <c r="N1850" i="1"/>
  <c r="M1850" i="1"/>
  <c r="Q1849" i="1"/>
  <c r="P1849" i="1"/>
  <c r="O1849" i="1"/>
  <c r="N1849" i="1"/>
  <c r="M1849" i="1"/>
  <c r="Q1848" i="1"/>
  <c r="P1848" i="1"/>
  <c r="O1848" i="1"/>
  <c r="N1848" i="1"/>
  <c r="M1848" i="1"/>
  <c r="Q1847" i="1"/>
  <c r="P1847" i="1"/>
  <c r="O1847" i="1"/>
  <c r="N1847" i="1"/>
  <c r="M1847" i="1"/>
  <c r="Q1846" i="1"/>
  <c r="P1846" i="1"/>
  <c r="O1846" i="1"/>
  <c r="N1846" i="1"/>
  <c r="M1846" i="1"/>
  <c r="Q1845" i="1"/>
  <c r="P1845" i="1"/>
  <c r="O1845" i="1"/>
  <c r="N1845" i="1"/>
  <c r="M1845" i="1"/>
  <c r="Q1844" i="1"/>
  <c r="P1844" i="1"/>
  <c r="O1844" i="1"/>
  <c r="N1844" i="1"/>
  <c r="M1844" i="1"/>
  <c r="Q1843" i="1"/>
  <c r="P1843" i="1"/>
  <c r="O1843" i="1"/>
  <c r="N1843" i="1"/>
  <c r="M1843" i="1"/>
  <c r="Q1842" i="1"/>
  <c r="P1842" i="1"/>
  <c r="O1842" i="1"/>
  <c r="N1842" i="1"/>
  <c r="M1842" i="1"/>
  <c r="Q1841" i="1"/>
  <c r="P1841" i="1"/>
  <c r="O1841" i="1"/>
  <c r="N1841" i="1"/>
  <c r="M1841" i="1"/>
  <c r="Q1840" i="1"/>
  <c r="P1840" i="1"/>
  <c r="O1840" i="1"/>
  <c r="N1840" i="1"/>
  <c r="M1840" i="1"/>
  <c r="Q1839" i="1"/>
  <c r="P1839" i="1"/>
  <c r="O1839" i="1"/>
  <c r="N1839" i="1"/>
  <c r="M1839" i="1"/>
  <c r="Q1838" i="1"/>
  <c r="P1838" i="1"/>
  <c r="O1838" i="1"/>
  <c r="N1838" i="1"/>
  <c r="M1838" i="1"/>
  <c r="Q1837" i="1"/>
  <c r="P1837" i="1"/>
  <c r="O1837" i="1"/>
  <c r="N1837" i="1"/>
  <c r="M1837" i="1"/>
  <c r="Q1836" i="1"/>
  <c r="P1836" i="1"/>
  <c r="O1836" i="1"/>
  <c r="N1836" i="1"/>
  <c r="M1836" i="1"/>
  <c r="Q1835" i="1"/>
  <c r="P1835" i="1"/>
  <c r="O1835" i="1"/>
  <c r="N1835" i="1"/>
  <c r="M1835" i="1"/>
  <c r="Q1834" i="1"/>
  <c r="P1834" i="1"/>
  <c r="O1834" i="1"/>
  <c r="N1834" i="1"/>
  <c r="M1834" i="1"/>
  <c r="Q1833" i="1"/>
  <c r="P1833" i="1"/>
  <c r="O1833" i="1"/>
  <c r="N1833" i="1"/>
  <c r="M1833" i="1"/>
  <c r="Q1832" i="1"/>
  <c r="P1832" i="1"/>
  <c r="O1832" i="1"/>
  <c r="N1832" i="1"/>
  <c r="M1832" i="1"/>
  <c r="Q1831" i="1"/>
  <c r="P1831" i="1"/>
  <c r="O1831" i="1"/>
  <c r="N1831" i="1"/>
  <c r="M1831" i="1"/>
  <c r="Q1830" i="1"/>
  <c r="P1830" i="1"/>
  <c r="O1830" i="1"/>
  <c r="N1830" i="1"/>
  <c r="M1830" i="1"/>
  <c r="Q1829" i="1"/>
  <c r="P1829" i="1"/>
  <c r="O1829" i="1"/>
  <c r="N1829" i="1"/>
  <c r="M1829" i="1"/>
  <c r="Q1828" i="1"/>
  <c r="P1828" i="1"/>
  <c r="O1828" i="1"/>
  <c r="N1828" i="1"/>
  <c r="M1828" i="1"/>
  <c r="Q1827" i="1"/>
  <c r="P1827" i="1"/>
  <c r="O1827" i="1"/>
  <c r="N1827" i="1"/>
  <c r="M1827" i="1"/>
  <c r="Q1826" i="1"/>
  <c r="P1826" i="1"/>
  <c r="O1826" i="1"/>
  <c r="N1826" i="1"/>
  <c r="M1826" i="1"/>
  <c r="Q1825" i="1"/>
  <c r="P1825" i="1"/>
  <c r="O1825" i="1"/>
  <c r="N1825" i="1"/>
  <c r="M1825" i="1"/>
  <c r="Q1824" i="1"/>
  <c r="P1824" i="1"/>
  <c r="O1824" i="1"/>
  <c r="N1824" i="1"/>
  <c r="M1824" i="1"/>
  <c r="Q1823" i="1"/>
  <c r="P1823" i="1"/>
  <c r="O1823" i="1"/>
  <c r="N1823" i="1"/>
  <c r="M1823" i="1"/>
  <c r="Q1822" i="1"/>
  <c r="P1822" i="1"/>
  <c r="O1822" i="1"/>
  <c r="N1822" i="1"/>
  <c r="M1822" i="1"/>
  <c r="Q1821" i="1"/>
  <c r="P1821" i="1"/>
  <c r="O1821" i="1"/>
  <c r="N1821" i="1"/>
  <c r="M1821" i="1"/>
  <c r="Q1820" i="1"/>
  <c r="P1820" i="1"/>
  <c r="O1820" i="1"/>
  <c r="N1820" i="1"/>
  <c r="M1820" i="1"/>
  <c r="Q1819" i="1"/>
  <c r="P1819" i="1"/>
  <c r="O1819" i="1"/>
  <c r="N1819" i="1"/>
  <c r="M1819" i="1"/>
  <c r="Q1818" i="1"/>
  <c r="P1818" i="1"/>
  <c r="O1818" i="1"/>
  <c r="N1818" i="1"/>
  <c r="M1818" i="1"/>
  <c r="Q1817" i="1"/>
  <c r="P1817" i="1"/>
  <c r="O1817" i="1"/>
  <c r="N1817" i="1"/>
  <c r="M1817" i="1"/>
  <c r="Q1816" i="1"/>
  <c r="P1816" i="1"/>
  <c r="O1816" i="1"/>
  <c r="N1816" i="1"/>
  <c r="M1816" i="1"/>
  <c r="Q1815" i="1"/>
  <c r="P1815" i="1"/>
  <c r="O1815" i="1"/>
  <c r="N1815" i="1"/>
  <c r="M1815" i="1"/>
  <c r="Q1814" i="1"/>
  <c r="P1814" i="1"/>
  <c r="O1814" i="1"/>
  <c r="N1814" i="1"/>
  <c r="M1814" i="1"/>
  <c r="Q1813" i="1"/>
  <c r="P1813" i="1"/>
  <c r="O1813" i="1"/>
  <c r="N1813" i="1"/>
  <c r="M1813" i="1"/>
  <c r="Q1812" i="1"/>
  <c r="P1812" i="1"/>
  <c r="O1812" i="1"/>
  <c r="N1812" i="1"/>
  <c r="M1812" i="1"/>
  <c r="Q1811" i="1"/>
  <c r="P1811" i="1"/>
  <c r="O1811" i="1"/>
  <c r="N1811" i="1"/>
  <c r="M1811" i="1"/>
  <c r="Q1810" i="1"/>
  <c r="P1810" i="1"/>
  <c r="O1810" i="1"/>
  <c r="N1810" i="1"/>
  <c r="M1810" i="1"/>
  <c r="Q1809" i="1"/>
  <c r="P1809" i="1"/>
  <c r="O1809" i="1"/>
  <c r="N1809" i="1"/>
  <c r="M1809" i="1"/>
  <c r="Q1808" i="1"/>
  <c r="P1808" i="1"/>
  <c r="O1808" i="1"/>
  <c r="N1808" i="1"/>
  <c r="M1808" i="1"/>
  <c r="Q1807" i="1"/>
  <c r="P1807" i="1"/>
  <c r="O1807" i="1"/>
  <c r="N1807" i="1"/>
  <c r="M1807" i="1"/>
  <c r="Q1806" i="1"/>
  <c r="P1806" i="1"/>
  <c r="O1806" i="1"/>
  <c r="N1806" i="1"/>
  <c r="M1806" i="1"/>
  <c r="Q1805" i="1"/>
  <c r="P1805" i="1"/>
  <c r="O1805" i="1"/>
  <c r="N1805" i="1"/>
  <c r="M1805" i="1"/>
  <c r="Q1804" i="1"/>
  <c r="P1804" i="1"/>
  <c r="O1804" i="1"/>
  <c r="N1804" i="1"/>
  <c r="M1804" i="1"/>
  <c r="Q1803" i="1"/>
  <c r="P1803" i="1"/>
  <c r="O1803" i="1"/>
  <c r="N1803" i="1"/>
  <c r="M1803" i="1"/>
  <c r="Q1802" i="1"/>
  <c r="P1802" i="1"/>
  <c r="O1802" i="1"/>
  <c r="N1802" i="1"/>
  <c r="M1802" i="1"/>
  <c r="Q1801" i="1"/>
  <c r="P1801" i="1"/>
  <c r="O1801" i="1"/>
  <c r="N1801" i="1"/>
  <c r="M1801" i="1"/>
  <c r="Q1800" i="1"/>
  <c r="P1800" i="1"/>
  <c r="O1800" i="1"/>
  <c r="N1800" i="1"/>
  <c r="M1800" i="1"/>
  <c r="Q1799" i="1"/>
  <c r="P1799" i="1"/>
  <c r="O1799" i="1"/>
  <c r="N1799" i="1"/>
  <c r="M1799" i="1"/>
  <c r="Q1798" i="1"/>
  <c r="P1798" i="1"/>
  <c r="O1798" i="1"/>
  <c r="N1798" i="1"/>
  <c r="M1798" i="1"/>
  <c r="Q1797" i="1"/>
  <c r="P1797" i="1"/>
  <c r="O1797" i="1"/>
  <c r="N1797" i="1"/>
  <c r="M1797" i="1"/>
  <c r="Q1796" i="1"/>
  <c r="P1796" i="1"/>
  <c r="O1796" i="1"/>
  <c r="N1796" i="1"/>
  <c r="M1796" i="1"/>
  <c r="Q1795" i="1"/>
  <c r="P1795" i="1"/>
  <c r="O1795" i="1"/>
  <c r="N1795" i="1"/>
  <c r="M1795" i="1"/>
  <c r="Q1794" i="1"/>
  <c r="P1794" i="1"/>
  <c r="O1794" i="1"/>
  <c r="N1794" i="1"/>
  <c r="M1794" i="1"/>
  <c r="Q1793" i="1"/>
  <c r="P1793" i="1"/>
  <c r="O1793" i="1"/>
  <c r="N1793" i="1"/>
  <c r="M1793" i="1"/>
  <c r="Q1792" i="1"/>
  <c r="P1792" i="1"/>
  <c r="O1792" i="1"/>
  <c r="N1792" i="1"/>
  <c r="M1792" i="1"/>
  <c r="Q1791" i="1"/>
  <c r="P1791" i="1"/>
  <c r="O1791" i="1"/>
  <c r="N1791" i="1"/>
  <c r="M1791" i="1"/>
  <c r="Q1790" i="1"/>
  <c r="P1790" i="1"/>
  <c r="O1790" i="1"/>
  <c r="N1790" i="1"/>
  <c r="M1790" i="1"/>
  <c r="Q1789" i="1"/>
  <c r="P1789" i="1"/>
  <c r="O1789" i="1"/>
  <c r="N1789" i="1"/>
  <c r="M1789" i="1"/>
  <c r="Q1788" i="1"/>
  <c r="P1788" i="1"/>
  <c r="O1788" i="1"/>
  <c r="N1788" i="1"/>
  <c r="M1788" i="1"/>
  <c r="Q1787" i="1"/>
  <c r="P1787" i="1"/>
  <c r="O1787" i="1"/>
  <c r="N1787" i="1"/>
  <c r="M1787" i="1"/>
  <c r="Q1786" i="1"/>
  <c r="P1786" i="1"/>
  <c r="O1786" i="1"/>
  <c r="N1786" i="1"/>
  <c r="M1786" i="1"/>
  <c r="Q1785" i="1"/>
  <c r="P1785" i="1"/>
  <c r="O1785" i="1"/>
  <c r="N1785" i="1"/>
  <c r="M1785" i="1"/>
  <c r="Q1784" i="1"/>
  <c r="P1784" i="1"/>
  <c r="O1784" i="1"/>
  <c r="N1784" i="1"/>
  <c r="M1784" i="1"/>
  <c r="Q1783" i="1"/>
  <c r="P1783" i="1"/>
  <c r="O1783" i="1"/>
  <c r="N1783" i="1"/>
  <c r="M1783" i="1"/>
  <c r="Q1782" i="1"/>
  <c r="P1782" i="1"/>
  <c r="O1782" i="1"/>
  <c r="N1782" i="1"/>
  <c r="M1782" i="1"/>
  <c r="Q1781" i="1"/>
  <c r="P1781" i="1"/>
  <c r="O1781" i="1"/>
  <c r="N1781" i="1"/>
  <c r="M1781" i="1"/>
  <c r="Q1780" i="1"/>
  <c r="P1780" i="1"/>
  <c r="O1780" i="1"/>
  <c r="N1780" i="1"/>
  <c r="M1780" i="1"/>
  <c r="Q1779" i="1"/>
  <c r="P1779" i="1"/>
  <c r="O1779" i="1"/>
  <c r="N1779" i="1"/>
  <c r="M1779" i="1"/>
  <c r="Q1778" i="1"/>
  <c r="P1778" i="1"/>
  <c r="O1778" i="1"/>
  <c r="N1778" i="1"/>
  <c r="M1778" i="1"/>
  <c r="Q1777" i="1"/>
  <c r="P1777" i="1"/>
  <c r="O1777" i="1"/>
  <c r="N1777" i="1"/>
  <c r="M1777" i="1"/>
  <c r="Q1776" i="1"/>
  <c r="P1776" i="1"/>
  <c r="O1776" i="1"/>
  <c r="N1776" i="1"/>
  <c r="M1776" i="1"/>
  <c r="Q1775" i="1"/>
  <c r="P1775" i="1"/>
  <c r="O1775" i="1"/>
  <c r="N1775" i="1"/>
  <c r="M1775" i="1"/>
  <c r="Q1774" i="1"/>
  <c r="P1774" i="1"/>
  <c r="O1774" i="1"/>
  <c r="N1774" i="1"/>
  <c r="M1774" i="1"/>
  <c r="Q1773" i="1"/>
  <c r="P1773" i="1"/>
  <c r="O1773" i="1"/>
  <c r="N1773" i="1"/>
  <c r="M1773" i="1"/>
  <c r="Q1772" i="1"/>
  <c r="P1772" i="1"/>
  <c r="O1772" i="1"/>
  <c r="N1772" i="1"/>
  <c r="M1772" i="1"/>
  <c r="Q1771" i="1"/>
  <c r="P1771" i="1"/>
  <c r="O1771" i="1"/>
  <c r="N1771" i="1"/>
  <c r="M1771" i="1"/>
  <c r="Q1770" i="1"/>
  <c r="P1770" i="1"/>
  <c r="O1770" i="1"/>
  <c r="N1770" i="1"/>
  <c r="M1770" i="1"/>
  <c r="Q1769" i="1"/>
  <c r="P1769" i="1"/>
  <c r="O1769" i="1"/>
  <c r="N1769" i="1"/>
  <c r="M1769" i="1"/>
  <c r="Q1768" i="1"/>
  <c r="P1768" i="1"/>
  <c r="O1768" i="1"/>
  <c r="N1768" i="1"/>
  <c r="M1768" i="1"/>
  <c r="Q1767" i="1"/>
  <c r="P1767" i="1"/>
  <c r="O1767" i="1"/>
  <c r="N1767" i="1"/>
  <c r="M1767" i="1"/>
  <c r="Q1766" i="1"/>
  <c r="P1766" i="1"/>
  <c r="O1766" i="1"/>
  <c r="N1766" i="1"/>
  <c r="M1766" i="1"/>
  <c r="Q1765" i="1"/>
  <c r="P1765" i="1"/>
  <c r="O1765" i="1"/>
  <c r="N1765" i="1"/>
  <c r="M1765" i="1"/>
  <c r="Q1764" i="1"/>
  <c r="P1764" i="1"/>
  <c r="O1764" i="1"/>
  <c r="N1764" i="1"/>
  <c r="M1764" i="1"/>
  <c r="Q1763" i="1"/>
  <c r="P1763" i="1"/>
  <c r="O1763" i="1"/>
  <c r="N1763" i="1"/>
  <c r="M1763" i="1"/>
  <c r="Q1762" i="1"/>
  <c r="P1762" i="1"/>
  <c r="O1762" i="1"/>
  <c r="N1762" i="1"/>
  <c r="M1762" i="1"/>
  <c r="Q1761" i="1"/>
  <c r="P1761" i="1"/>
  <c r="O1761" i="1"/>
  <c r="N1761" i="1"/>
  <c r="M1761" i="1"/>
  <c r="Q1760" i="1"/>
  <c r="P1760" i="1"/>
  <c r="O1760" i="1"/>
  <c r="N1760" i="1"/>
  <c r="M1760" i="1"/>
  <c r="Q1759" i="1"/>
  <c r="P1759" i="1"/>
  <c r="O1759" i="1"/>
  <c r="N1759" i="1"/>
  <c r="M1759" i="1"/>
  <c r="Q1758" i="1"/>
  <c r="P1758" i="1"/>
  <c r="O1758" i="1"/>
  <c r="N1758" i="1"/>
  <c r="M1758" i="1"/>
  <c r="Q1757" i="1"/>
  <c r="P1757" i="1"/>
  <c r="O1757" i="1"/>
  <c r="N1757" i="1"/>
  <c r="M1757" i="1"/>
  <c r="Q1756" i="1"/>
  <c r="P1756" i="1"/>
  <c r="O1756" i="1"/>
  <c r="N1756" i="1"/>
  <c r="M1756" i="1"/>
  <c r="Q1755" i="1"/>
  <c r="P1755" i="1"/>
  <c r="O1755" i="1"/>
  <c r="N1755" i="1"/>
  <c r="M1755" i="1"/>
  <c r="Q1754" i="1"/>
  <c r="P1754" i="1"/>
  <c r="O1754" i="1"/>
  <c r="N1754" i="1"/>
  <c r="M1754" i="1"/>
  <c r="Q1753" i="1"/>
  <c r="P1753" i="1"/>
  <c r="O1753" i="1"/>
  <c r="N1753" i="1"/>
  <c r="M1753" i="1"/>
  <c r="Q1752" i="1"/>
  <c r="P1752" i="1"/>
  <c r="O1752" i="1"/>
  <c r="N1752" i="1"/>
  <c r="M1752" i="1"/>
  <c r="Q1751" i="1"/>
  <c r="P1751" i="1"/>
  <c r="O1751" i="1"/>
  <c r="N1751" i="1"/>
  <c r="M1751" i="1"/>
  <c r="Q1750" i="1"/>
  <c r="P1750" i="1"/>
  <c r="O1750" i="1"/>
  <c r="N1750" i="1"/>
  <c r="M1750" i="1"/>
  <c r="Q1749" i="1"/>
  <c r="P1749" i="1"/>
  <c r="O1749" i="1"/>
  <c r="N1749" i="1"/>
  <c r="M1749" i="1"/>
  <c r="Q1748" i="1"/>
  <c r="P1748" i="1"/>
  <c r="O1748" i="1"/>
  <c r="N1748" i="1"/>
  <c r="M1748" i="1"/>
  <c r="Q1747" i="1"/>
  <c r="P1747" i="1"/>
  <c r="O1747" i="1"/>
  <c r="N1747" i="1"/>
  <c r="M1747" i="1"/>
  <c r="Q1746" i="1"/>
  <c r="P1746" i="1"/>
  <c r="O1746" i="1"/>
  <c r="N1746" i="1"/>
  <c r="M1746" i="1"/>
  <c r="Q1745" i="1"/>
  <c r="P1745" i="1"/>
  <c r="O1745" i="1"/>
  <c r="N1745" i="1"/>
  <c r="M1745" i="1"/>
  <c r="Q1744" i="1"/>
  <c r="P1744" i="1"/>
  <c r="O1744" i="1"/>
  <c r="N1744" i="1"/>
  <c r="M1744" i="1"/>
  <c r="Q1743" i="1"/>
  <c r="P1743" i="1"/>
  <c r="O1743" i="1"/>
  <c r="N1743" i="1"/>
  <c r="M1743" i="1"/>
  <c r="Q1742" i="1"/>
  <c r="P1742" i="1"/>
  <c r="O1742" i="1"/>
  <c r="N1742" i="1"/>
  <c r="M1742" i="1"/>
  <c r="Q1741" i="1"/>
  <c r="P1741" i="1"/>
  <c r="O1741" i="1"/>
  <c r="N1741" i="1"/>
  <c r="M1741" i="1"/>
  <c r="Q1740" i="1"/>
  <c r="P1740" i="1"/>
  <c r="O1740" i="1"/>
  <c r="N1740" i="1"/>
  <c r="M1740" i="1"/>
  <c r="Q1739" i="1"/>
  <c r="P1739" i="1"/>
  <c r="O1739" i="1"/>
  <c r="N1739" i="1"/>
  <c r="M1739" i="1"/>
  <c r="Q1738" i="1"/>
  <c r="P1738" i="1"/>
  <c r="O1738" i="1"/>
  <c r="N1738" i="1"/>
  <c r="M1738" i="1"/>
  <c r="Q1737" i="1"/>
  <c r="P1737" i="1"/>
  <c r="O1737" i="1"/>
  <c r="N1737" i="1"/>
  <c r="M1737" i="1"/>
  <c r="Q1736" i="1"/>
  <c r="P1736" i="1"/>
  <c r="O1736" i="1"/>
  <c r="N1736" i="1"/>
  <c r="M1736" i="1"/>
  <c r="Q1735" i="1"/>
  <c r="P1735" i="1"/>
  <c r="O1735" i="1"/>
  <c r="N1735" i="1"/>
  <c r="M1735" i="1"/>
  <c r="Q1734" i="1"/>
  <c r="P1734" i="1"/>
  <c r="O1734" i="1"/>
  <c r="N1734" i="1"/>
  <c r="M1734" i="1"/>
  <c r="Q1733" i="1"/>
  <c r="P1733" i="1"/>
  <c r="O1733" i="1"/>
  <c r="N1733" i="1"/>
  <c r="M1733" i="1"/>
  <c r="Q1732" i="1"/>
  <c r="P1732" i="1"/>
  <c r="O1732" i="1"/>
  <c r="N1732" i="1"/>
  <c r="M1732" i="1"/>
  <c r="Q1731" i="1"/>
  <c r="P1731" i="1"/>
  <c r="O1731" i="1"/>
  <c r="N1731" i="1"/>
  <c r="M1731" i="1"/>
  <c r="Q1730" i="1"/>
  <c r="P1730" i="1"/>
  <c r="O1730" i="1"/>
  <c r="N1730" i="1"/>
  <c r="M1730" i="1"/>
  <c r="Q1729" i="1"/>
  <c r="P1729" i="1"/>
  <c r="O1729" i="1"/>
  <c r="N1729" i="1"/>
  <c r="M1729" i="1"/>
  <c r="Q1728" i="1"/>
  <c r="P1728" i="1"/>
  <c r="O1728" i="1"/>
  <c r="N1728" i="1"/>
  <c r="M1728" i="1"/>
  <c r="Q1727" i="1"/>
  <c r="P1727" i="1"/>
  <c r="O1727" i="1"/>
  <c r="N1727" i="1"/>
  <c r="M1727" i="1"/>
  <c r="Q1726" i="1"/>
  <c r="P1726" i="1"/>
  <c r="O1726" i="1"/>
  <c r="N1726" i="1"/>
  <c r="M1726" i="1"/>
  <c r="Q1725" i="1"/>
  <c r="P1725" i="1"/>
  <c r="O1725" i="1"/>
  <c r="N1725" i="1"/>
  <c r="M1725" i="1"/>
  <c r="Q1724" i="1"/>
  <c r="P1724" i="1"/>
  <c r="O1724" i="1"/>
  <c r="N1724" i="1"/>
  <c r="M1724" i="1"/>
  <c r="Q1723" i="1"/>
  <c r="P1723" i="1"/>
  <c r="O1723" i="1"/>
  <c r="N1723" i="1"/>
  <c r="M1723" i="1"/>
  <c r="Q1722" i="1"/>
  <c r="P1722" i="1"/>
  <c r="O1722" i="1"/>
  <c r="N1722" i="1"/>
  <c r="M1722" i="1"/>
  <c r="Q1721" i="1"/>
  <c r="P1721" i="1"/>
  <c r="O1721" i="1"/>
  <c r="N1721" i="1"/>
  <c r="M1721" i="1"/>
  <c r="Q1720" i="1"/>
  <c r="P1720" i="1"/>
  <c r="O1720" i="1"/>
  <c r="N1720" i="1"/>
  <c r="M1720" i="1"/>
  <c r="Q1719" i="1"/>
  <c r="P1719" i="1"/>
  <c r="O1719" i="1"/>
  <c r="N1719" i="1"/>
  <c r="M1719" i="1"/>
  <c r="Q1718" i="1"/>
  <c r="P1718" i="1"/>
  <c r="O1718" i="1"/>
  <c r="N1718" i="1"/>
  <c r="M1718" i="1"/>
  <c r="Q1717" i="1"/>
  <c r="P1717" i="1"/>
  <c r="O1717" i="1"/>
  <c r="N1717" i="1"/>
  <c r="M1717" i="1"/>
  <c r="Q1716" i="1"/>
  <c r="P1716" i="1"/>
  <c r="O1716" i="1"/>
  <c r="N1716" i="1"/>
  <c r="M1716" i="1"/>
  <c r="Q1715" i="1"/>
  <c r="P1715" i="1"/>
  <c r="O1715" i="1"/>
  <c r="N1715" i="1"/>
  <c r="M1715" i="1"/>
  <c r="Q1714" i="1"/>
  <c r="P1714" i="1"/>
  <c r="O1714" i="1"/>
  <c r="N1714" i="1"/>
  <c r="M1714" i="1"/>
  <c r="Q1713" i="1"/>
  <c r="P1713" i="1"/>
  <c r="O1713" i="1"/>
  <c r="N1713" i="1"/>
  <c r="M1713" i="1"/>
  <c r="Q1712" i="1"/>
  <c r="P1712" i="1"/>
  <c r="O1712" i="1"/>
  <c r="N1712" i="1"/>
  <c r="M1712" i="1"/>
  <c r="Q1711" i="1"/>
  <c r="P1711" i="1"/>
  <c r="O1711" i="1"/>
  <c r="N1711" i="1"/>
  <c r="M1711" i="1"/>
  <c r="Q1710" i="1"/>
  <c r="P1710" i="1"/>
  <c r="O1710" i="1"/>
  <c r="N1710" i="1"/>
  <c r="M1710" i="1"/>
  <c r="Q1709" i="1"/>
  <c r="P1709" i="1"/>
  <c r="O1709" i="1"/>
  <c r="N1709" i="1"/>
  <c r="M1709" i="1"/>
  <c r="Q1708" i="1"/>
  <c r="P1708" i="1"/>
  <c r="O1708" i="1"/>
  <c r="N1708" i="1"/>
  <c r="M1708" i="1"/>
  <c r="Q1707" i="1"/>
  <c r="P1707" i="1"/>
  <c r="O1707" i="1"/>
  <c r="N1707" i="1"/>
  <c r="M1707" i="1"/>
  <c r="Q1706" i="1"/>
  <c r="P1706" i="1"/>
  <c r="O1706" i="1"/>
  <c r="N1706" i="1"/>
  <c r="M1706" i="1"/>
  <c r="Q1705" i="1"/>
  <c r="P1705" i="1"/>
  <c r="O1705" i="1"/>
  <c r="N1705" i="1"/>
  <c r="M1705" i="1"/>
  <c r="Q1704" i="1"/>
  <c r="P1704" i="1"/>
  <c r="O1704" i="1"/>
  <c r="N1704" i="1"/>
  <c r="M1704" i="1"/>
  <c r="Q1703" i="1"/>
  <c r="P1703" i="1"/>
  <c r="O1703" i="1"/>
  <c r="N1703" i="1"/>
  <c r="M1703" i="1"/>
  <c r="Q1702" i="1"/>
  <c r="P1702" i="1"/>
  <c r="O1702" i="1"/>
  <c r="N1702" i="1"/>
  <c r="M1702" i="1"/>
  <c r="Q1701" i="1"/>
  <c r="P1701" i="1"/>
  <c r="O1701" i="1"/>
  <c r="N1701" i="1"/>
  <c r="M1701" i="1"/>
  <c r="Q1700" i="1"/>
  <c r="P1700" i="1"/>
  <c r="O1700" i="1"/>
  <c r="N1700" i="1"/>
  <c r="M1700" i="1"/>
  <c r="Q1699" i="1"/>
  <c r="P1699" i="1"/>
  <c r="O1699" i="1"/>
  <c r="N1699" i="1"/>
  <c r="M1699" i="1"/>
  <c r="Q1698" i="1"/>
  <c r="P1698" i="1"/>
  <c r="O1698" i="1"/>
  <c r="N1698" i="1"/>
  <c r="M1698" i="1"/>
  <c r="Q1697" i="1"/>
  <c r="P1697" i="1"/>
  <c r="O1697" i="1"/>
  <c r="N1697" i="1"/>
  <c r="M1697" i="1"/>
  <c r="Q1696" i="1"/>
  <c r="P1696" i="1"/>
  <c r="O1696" i="1"/>
  <c r="N1696" i="1"/>
  <c r="M1696" i="1"/>
  <c r="Q1695" i="1"/>
  <c r="P1695" i="1"/>
  <c r="O1695" i="1"/>
  <c r="N1695" i="1"/>
  <c r="M1695" i="1"/>
  <c r="Q1694" i="1"/>
  <c r="P1694" i="1"/>
  <c r="O1694" i="1"/>
  <c r="N1694" i="1"/>
  <c r="M1694" i="1"/>
  <c r="Q1693" i="1"/>
  <c r="P1693" i="1"/>
  <c r="O1693" i="1"/>
  <c r="N1693" i="1"/>
  <c r="M1693" i="1"/>
  <c r="Q1692" i="1"/>
  <c r="P1692" i="1"/>
  <c r="O1692" i="1"/>
  <c r="N1692" i="1"/>
  <c r="M1692" i="1"/>
  <c r="Q1691" i="1"/>
  <c r="P1691" i="1"/>
  <c r="O1691" i="1"/>
  <c r="N1691" i="1"/>
  <c r="M1691" i="1"/>
  <c r="Q1690" i="1"/>
  <c r="P1690" i="1"/>
  <c r="O1690" i="1"/>
  <c r="N1690" i="1"/>
  <c r="M1690" i="1"/>
  <c r="Q1689" i="1"/>
  <c r="P1689" i="1"/>
  <c r="O1689" i="1"/>
  <c r="N1689" i="1"/>
  <c r="M1689" i="1"/>
  <c r="Q1688" i="1"/>
  <c r="P1688" i="1"/>
  <c r="O1688" i="1"/>
  <c r="N1688" i="1"/>
  <c r="M1688" i="1"/>
  <c r="Q1687" i="1"/>
  <c r="P1687" i="1"/>
  <c r="O1687" i="1"/>
  <c r="N1687" i="1"/>
  <c r="M1687" i="1"/>
  <c r="Q1686" i="1"/>
  <c r="P1686" i="1"/>
  <c r="O1686" i="1"/>
  <c r="N1686" i="1"/>
  <c r="M1686" i="1"/>
  <c r="Q1685" i="1"/>
  <c r="P1685" i="1"/>
  <c r="O1685" i="1"/>
  <c r="N1685" i="1"/>
  <c r="M1685" i="1"/>
  <c r="Q1684" i="1"/>
  <c r="P1684" i="1"/>
  <c r="O1684" i="1"/>
  <c r="N1684" i="1"/>
  <c r="M1684" i="1"/>
  <c r="Q1683" i="1"/>
  <c r="P1683" i="1"/>
  <c r="O1683" i="1"/>
  <c r="N1683" i="1"/>
  <c r="M1683" i="1"/>
  <c r="Q1682" i="1"/>
  <c r="P1682" i="1"/>
  <c r="O1682" i="1"/>
  <c r="N1682" i="1"/>
  <c r="M1682" i="1"/>
  <c r="Q1681" i="1"/>
  <c r="P1681" i="1"/>
  <c r="O1681" i="1"/>
  <c r="N1681" i="1"/>
  <c r="M1681" i="1"/>
  <c r="Q1680" i="1"/>
  <c r="P1680" i="1"/>
  <c r="O1680" i="1"/>
  <c r="N1680" i="1"/>
  <c r="M1680" i="1"/>
  <c r="Q1679" i="1"/>
  <c r="P1679" i="1"/>
  <c r="O1679" i="1"/>
  <c r="N1679" i="1"/>
  <c r="M1679" i="1"/>
  <c r="Q1678" i="1"/>
  <c r="P1678" i="1"/>
  <c r="O1678" i="1"/>
  <c r="N1678" i="1"/>
  <c r="M1678" i="1"/>
  <c r="Q1677" i="1"/>
  <c r="P1677" i="1"/>
  <c r="O1677" i="1"/>
  <c r="N1677" i="1"/>
  <c r="M1677" i="1"/>
  <c r="Q1676" i="1"/>
  <c r="P1676" i="1"/>
  <c r="O1676" i="1"/>
  <c r="N1676" i="1"/>
  <c r="M1676" i="1"/>
  <c r="Q1675" i="1"/>
  <c r="P1675" i="1"/>
  <c r="O1675" i="1"/>
  <c r="N1675" i="1"/>
  <c r="M1675" i="1"/>
  <c r="Q1674" i="1"/>
  <c r="P1674" i="1"/>
  <c r="O1674" i="1"/>
  <c r="N1674" i="1"/>
  <c r="M1674" i="1"/>
  <c r="Q1673" i="1"/>
  <c r="P1673" i="1"/>
  <c r="O1673" i="1"/>
  <c r="N1673" i="1"/>
  <c r="M1673" i="1"/>
  <c r="Q1672" i="1"/>
  <c r="P1672" i="1"/>
  <c r="O1672" i="1"/>
  <c r="N1672" i="1"/>
  <c r="M1672" i="1"/>
  <c r="Q1671" i="1"/>
  <c r="P1671" i="1"/>
  <c r="O1671" i="1"/>
  <c r="N1671" i="1"/>
  <c r="M1671" i="1"/>
  <c r="Q1670" i="1"/>
  <c r="P1670" i="1"/>
  <c r="O1670" i="1"/>
  <c r="N1670" i="1"/>
  <c r="M1670" i="1"/>
  <c r="Q1669" i="1"/>
  <c r="P1669" i="1"/>
  <c r="O1669" i="1"/>
  <c r="N1669" i="1"/>
  <c r="M1669" i="1"/>
  <c r="Q1668" i="1"/>
  <c r="P1668" i="1"/>
  <c r="O1668" i="1"/>
  <c r="N1668" i="1"/>
  <c r="M1668" i="1"/>
  <c r="Q1667" i="1"/>
  <c r="P1667" i="1"/>
  <c r="O1667" i="1"/>
  <c r="N1667" i="1"/>
  <c r="M1667" i="1"/>
  <c r="Q1666" i="1"/>
  <c r="P1666" i="1"/>
  <c r="O1666" i="1"/>
  <c r="N1666" i="1"/>
  <c r="M1666" i="1"/>
  <c r="Q1665" i="1"/>
  <c r="P1665" i="1"/>
  <c r="O1665" i="1"/>
  <c r="N1665" i="1"/>
  <c r="M1665" i="1"/>
  <c r="Q1664" i="1"/>
  <c r="P1664" i="1"/>
  <c r="O1664" i="1"/>
  <c r="N1664" i="1"/>
  <c r="M1664" i="1"/>
  <c r="Q1663" i="1"/>
  <c r="P1663" i="1"/>
  <c r="O1663" i="1"/>
  <c r="N1663" i="1"/>
  <c r="M1663" i="1"/>
  <c r="Q1662" i="1"/>
  <c r="P1662" i="1"/>
  <c r="O1662" i="1"/>
  <c r="N1662" i="1"/>
  <c r="M1662" i="1"/>
  <c r="Q1661" i="1"/>
  <c r="P1661" i="1"/>
  <c r="O1661" i="1"/>
  <c r="N1661" i="1"/>
  <c r="M1661" i="1"/>
  <c r="Q1660" i="1"/>
  <c r="P1660" i="1"/>
  <c r="O1660" i="1"/>
  <c r="N1660" i="1"/>
  <c r="M1660" i="1"/>
  <c r="Q1659" i="1"/>
  <c r="P1659" i="1"/>
  <c r="O1659" i="1"/>
  <c r="N1659" i="1"/>
  <c r="M1659" i="1"/>
  <c r="Q1658" i="1"/>
  <c r="P1658" i="1"/>
  <c r="O1658" i="1"/>
  <c r="N1658" i="1"/>
  <c r="M1658" i="1"/>
  <c r="Q1657" i="1"/>
  <c r="P1657" i="1"/>
  <c r="O1657" i="1"/>
  <c r="N1657" i="1"/>
  <c r="M1657" i="1"/>
  <c r="Q1656" i="1"/>
  <c r="P1656" i="1"/>
  <c r="O1656" i="1"/>
  <c r="N1656" i="1"/>
  <c r="M1656" i="1"/>
  <c r="Q1655" i="1"/>
  <c r="P1655" i="1"/>
  <c r="O1655" i="1"/>
  <c r="N1655" i="1"/>
  <c r="M1655" i="1"/>
  <c r="Q1654" i="1"/>
  <c r="P1654" i="1"/>
  <c r="O1654" i="1"/>
  <c r="N1654" i="1"/>
  <c r="M1654" i="1"/>
  <c r="Q1653" i="1"/>
  <c r="P1653" i="1"/>
  <c r="O1653" i="1"/>
  <c r="N1653" i="1"/>
  <c r="M1653" i="1"/>
  <c r="Q1652" i="1"/>
  <c r="P1652" i="1"/>
  <c r="O1652" i="1"/>
  <c r="N1652" i="1"/>
  <c r="M1652" i="1"/>
  <c r="Q1651" i="1"/>
  <c r="P1651" i="1"/>
  <c r="O1651" i="1"/>
  <c r="N1651" i="1"/>
  <c r="M1651" i="1"/>
  <c r="Q1650" i="1"/>
  <c r="P1650" i="1"/>
  <c r="O1650" i="1"/>
  <c r="N1650" i="1"/>
  <c r="M1650" i="1"/>
  <c r="Q1649" i="1"/>
  <c r="P1649" i="1"/>
  <c r="O1649" i="1"/>
  <c r="N1649" i="1"/>
  <c r="M1649" i="1"/>
  <c r="Q1648" i="1"/>
  <c r="P1648" i="1"/>
  <c r="O1648" i="1"/>
  <c r="N1648" i="1"/>
  <c r="M1648" i="1"/>
  <c r="Q1647" i="1"/>
  <c r="P1647" i="1"/>
  <c r="O1647" i="1"/>
  <c r="N1647" i="1"/>
  <c r="M1647" i="1"/>
  <c r="Q1646" i="1"/>
  <c r="P1646" i="1"/>
  <c r="O1646" i="1"/>
  <c r="N1646" i="1"/>
  <c r="M1646" i="1"/>
  <c r="Q1645" i="1"/>
  <c r="P1645" i="1"/>
  <c r="O1645" i="1"/>
  <c r="N1645" i="1"/>
  <c r="M1645" i="1"/>
  <c r="Q1644" i="1"/>
  <c r="P1644" i="1"/>
  <c r="O1644" i="1"/>
  <c r="N1644" i="1"/>
  <c r="M1644" i="1"/>
  <c r="Q1643" i="1"/>
  <c r="P1643" i="1"/>
  <c r="O1643" i="1"/>
  <c r="N1643" i="1"/>
  <c r="M1643" i="1"/>
  <c r="Q1642" i="1"/>
  <c r="P1642" i="1"/>
  <c r="O1642" i="1"/>
  <c r="N1642" i="1"/>
  <c r="M1642" i="1"/>
  <c r="Q1641" i="1"/>
  <c r="P1641" i="1"/>
  <c r="O1641" i="1"/>
  <c r="N1641" i="1"/>
  <c r="M1641" i="1"/>
  <c r="Q1640" i="1"/>
  <c r="P1640" i="1"/>
  <c r="O1640" i="1"/>
  <c r="N1640" i="1"/>
  <c r="M1640" i="1"/>
  <c r="Q1639" i="1"/>
  <c r="P1639" i="1"/>
  <c r="O1639" i="1"/>
  <c r="N1639" i="1"/>
  <c r="M1639" i="1"/>
  <c r="Q1638" i="1"/>
  <c r="P1638" i="1"/>
  <c r="O1638" i="1"/>
  <c r="N1638" i="1"/>
  <c r="M1638" i="1"/>
  <c r="Q1637" i="1"/>
  <c r="P1637" i="1"/>
  <c r="O1637" i="1"/>
  <c r="N1637" i="1"/>
  <c r="M1637" i="1"/>
  <c r="Q1636" i="1"/>
  <c r="P1636" i="1"/>
  <c r="O1636" i="1"/>
  <c r="N1636" i="1"/>
  <c r="M1636" i="1"/>
  <c r="Q1635" i="1"/>
  <c r="P1635" i="1"/>
  <c r="O1635" i="1"/>
  <c r="N1635" i="1"/>
  <c r="M1635" i="1"/>
  <c r="Q1634" i="1"/>
  <c r="P1634" i="1"/>
  <c r="O1634" i="1"/>
  <c r="N1634" i="1"/>
  <c r="M1634" i="1"/>
  <c r="Q1633" i="1"/>
  <c r="P1633" i="1"/>
  <c r="O1633" i="1"/>
  <c r="N1633" i="1"/>
  <c r="M1633" i="1"/>
  <c r="Q1632" i="1"/>
  <c r="P1632" i="1"/>
  <c r="O1632" i="1"/>
  <c r="N1632" i="1"/>
  <c r="M1632" i="1"/>
  <c r="Q1631" i="1"/>
  <c r="P1631" i="1"/>
  <c r="O1631" i="1"/>
  <c r="N1631" i="1"/>
  <c r="M1631" i="1"/>
  <c r="Q1630" i="1"/>
  <c r="P1630" i="1"/>
  <c r="O1630" i="1"/>
  <c r="N1630" i="1"/>
  <c r="M1630" i="1"/>
  <c r="Q1629" i="1"/>
  <c r="P1629" i="1"/>
  <c r="O1629" i="1"/>
  <c r="N1629" i="1"/>
  <c r="M1629" i="1"/>
  <c r="Q1628" i="1"/>
  <c r="P1628" i="1"/>
  <c r="O1628" i="1"/>
  <c r="N1628" i="1"/>
  <c r="M1628" i="1"/>
  <c r="Q1627" i="1"/>
  <c r="P1627" i="1"/>
  <c r="O1627" i="1"/>
  <c r="N1627" i="1"/>
  <c r="M1627" i="1"/>
  <c r="Q1626" i="1"/>
  <c r="P1626" i="1"/>
  <c r="O1626" i="1"/>
  <c r="N1626" i="1"/>
  <c r="M1626" i="1"/>
  <c r="Q1625" i="1"/>
  <c r="P1625" i="1"/>
  <c r="O1625" i="1"/>
  <c r="N1625" i="1"/>
  <c r="M1625" i="1"/>
  <c r="Q1624" i="1"/>
  <c r="P1624" i="1"/>
  <c r="O1624" i="1"/>
  <c r="N1624" i="1"/>
  <c r="M1624" i="1"/>
  <c r="Q1623" i="1"/>
  <c r="P1623" i="1"/>
  <c r="O1623" i="1"/>
  <c r="N1623" i="1"/>
  <c r="M1623" i="1"/>
  <c r="Q1622" i="1"/>
  <c r="P1622" i="1"/>
  <c r="O1622" i="1"/>
  <c r="N1622" i="1"/>
  <c r="M1622" i="1"/>
  <c r="Q1621" i="1"/>
  <c r="P1621" i="1"/>
  <c r="O1621" i="1"/>
  <c r="N1621" i="1"/>
  <c r="M1621" i="1"/>
  <c r="Q1620" i="1"/>
  <c r="P1620" i="1"/>
  <c r="O1620" i="1"/>
  <c r="N1620" i="1"/>
  <c r="M1620" i="1"/>
  <c r="Q1619" i="1"/>
  <c r="P1619" i="1"/>
  <c r="O1619" i="1"/>
  <c r="N1619" i="1"/>
  <c r="M1619" i="1"/>
  <c r="Q1618" i="1"/>
  <c r="P1618" i="1"/>
  <c r="O1618" i="1"/>
  <c r="N1618" i="1"/>
  <c r="M1618" i="1"/>
  <c r="Q1617" i="1"/>
  <c r="P1617" i="1"/>
  <c r="O1617" i="1"/>
  <c r="N1617" i="1"/>
  <c r="M1617" i="1"/>
  <c r="Q1616" i="1"/>
  <c r="P1616" i="1"/>
  <c r="O1616" i="1"/>
  <c r="N1616" i="1"/>
  <c r="M1616" i="1"/>
  <c r="Q1615" i="1"/>
  <c r="P1615" i="1"/>
  <c r="O1615" i="1"/>
  <c r="N1615" i="1"/>
  <c r="M1615" i="1"/>
  <c r="Q1614" i="1"/>
  <c r="P1614" i="1"/>
  <c r="O1614" i="1"/>
  <c r="N1614" i="1"/>
  <c r="M1614" i="1"/>
  <c r="Q1613" i="1"/>
  <c r="P1613" i="1"/>
  <c r="O1613" i="1"/>
  <c r="N1613" i="1"/>
  <c r="M1613" i="1"/>
  <c r="Q1612" i="1"/>
  <c r="P1612" i="1"/>
  <c r="O1612" i="1"/>
  <c r="N1612" i="1"/>
  <c r="M1612" i="1"/>
  <c r="Q1611" i="1"/>
  <c r="P1611" i="1"/>
  <c r="O1611" i="1"/>
  <c r="N1611" i="1"/>
  <c r="M1611" i="1"/>
  <c r="Q1610" i="1"/>
  <c r="P1610" i="1"/>
  <c r="O1610" i="1"/>
  <c r="N1610" i="1"/>
  <c r="M1610" i="1"/>
  <c r="Q1609" i="1"/>
  <c r="P1609" i="1"/>
  <c r="O1609" i="1"/>
  <c r="N1609" i="1"/>
  <c r="M1609" i="1"/>
  <c r="Q1608" i="1"/>
  <c r="P1608" i="1"/>
  <c r="O1608" i="1"/>
  <c r="N1608" i="1"/>
  <c r="M1608" i="1"/>
  <c r="Q1607" i="1"/>
  <c r="P1607" i="1"/>
  <c r="O1607" i="1"/>
  <c r="N1607" i="1"/>
  <c r="M1607" i="1"/>
  <c r="Q1606" i="1"/>
  <c r="P1606" i="1"/>
  <c r="O1606" i="1"/>
  <c r="N1606" i="1"/>
  <c r="M1606" i="1"/>
  <c r="Q1605" i="1"/>
  <c r="P1605" i="1"/>
  <c r="O1605" i="1"/>
  <c r="N1605" i="1"/>
  <c r="M1605" i="1"/>
  <c r="Q1604" i="1"/>
  <c r="P1604" i="1"/>
  <c r="O1604" i="1"/>
  <c r="N1604" i="1"/>
  <c r="M1604" i="1"/>
  <c r="Q1603" i="1"/>
  <c r="P1603" i="1"/>
  <c r="O1603" i="1"/>
  <c r="N1603" i="1"/>
  <c r="M1603" i="1"/>
  <c r="Q1602" i="1"/>
  <c r="P1602" i="1"/>
  <c r="O1602" i="1"/>
  <c r="N1602" i="1"/>
  <c r="M1602" i="1"/>
  <c r="Q1601" i="1"/>
  <c r="P1601" i="1"/>
  <c r="O1601" i="1"/>
  <c r="N1601" i="1"/>
  <c r="M1601" i="1"/>
  <c r="Q1600" i="1"/>
  <c r="P1600" i="1"/>
  <c r="O1600" i="1"/>
  <c r="N1600" i="1"/>
  <c r="M1600" i="1"/>
  <c r="Q1599" i="1"/>
  <c r="P1599" i="1"/>
  <c r="O1599" i="1"/>
  <c r="N1599" i="1"/>
  <c r="M1599" i="1"/>
  <c r="Q1598" i="1"/>
  <c r="P1598" i="1"/>
  <c r="O1598" i="1"/>
  <c r="N1598" i="1"/>
  <c r="M1598" i="1"/>
  <c r="Q1597" i="1"/>
  <c r="P1597" i="1"/>
  <c r="O1597" i="1"/>
  <c r="N1597" i="1"/>
  <c r="M1597" i="1"/>
  <c r="Q1596" i="1"/>
  <c r="P1596" i="1"/>
  <c r="O1596" i="1"/>
  <c r="N1596" i="1"/>
  <c r="M1596" i="1"/>
  <c r="Q1595" i="1"/>
  <c r="P1595" i="1"/>
  <c r="O1595" i="1"/>
  <c r="N1595" i="1"/>
  <c r="M1595" i="1"/>
  <c r="Q1594" i="1"/>
  <c r="P1594" i="1"/>
  <c r="O1594" i="1"/>
  <c r="N1594" i="1"/>
  <c r="M1594" i="1"/>
  <c r="Q1593" i="1"/>
  <c r="P1593" i="1"/>
  <c r="O1593" i="1"/>
  <c r="N1593" i="1"/>
  <c r="M1593" i="1"/>
  <c r="Q1592" i="1"/>
  <c r="P1592" i="1"/>
  <c r="O1592" i="1"/>
  <c r="N1592" i="1"/>
  <c r="M1592" i="1"/>
  <c r="Q1591" i="1"/>
  <c r="P1591" i="1"/>
  <c r="O1591" i="1"/>
  <c r="N1591" i="1"/>
  <c r="M1591" i="1"/>
  <c r="Q1590" i="1"/>
  <c r="P1590" i="1"/>
  <c r="O1590" i="1"/>
  <c r="N1590" i="1"/>
  <c r="M1590" i="1"/>
  <c r="Q1589" i="1"/>
  <c r="P1589" i="1"/>
  <c r="O1589" i="1"/>
  <c r="N1589" i="1"/>
  <c r="M1589" i="1"/>
  <c r="Q1588" i="1"/>
  <c r="P1588" i="1"/>
  <c r="O1588" i="1"/>
  <c r="N1588" i="1"/>
  <c r="M1588" i="1"/>
  <c r="Q1587" i="1"/>
  <c r="P1587" i="1"/>
  <c r="O1587" i="1"/>
  <c r="N1587" i="1"/>
  <c r="M1587" i="1"/>
  <c r="Q1586" i="1"/>
  <c r="P1586" i="1"/>
  <c r="O1586" i="1"/>
  <c r="N1586" i="1"/>
  <c r="M1586" i="1"/>
  <c r="Q1585" i="1"/>
  <c r="P1585" i="1"/>
  <c r="O1585" i="1"/>
  <c r="N1585" i="1"/>
  <c r="M1585" i="1"/>
  <c r="Q1584" i="1"/>
  <c r="P1584" i="1"/>
  <c r="O1584" i="1"/>
  <c r="N1584" i="1"/>
  <c r="M1584" i="1"/>
  <c r="Q1583" i="1"/>
  <c r="P1583" i="1"/>
  <c r="O1583" i="1"/>
  <c r="N1583" i="1"/>
  <c r="M1583" i="1"/>
  <c r="Q1582" i="1"/>
  <c r="P1582" i="1"/>
  <c r="O1582" i="1"/>
  <c r="N1582" i="1"/>
  <c r="M1582" i="1"/>
  <c r="Q1581" i="1"/>
  <c r="P1581" i="1"/>
  <c r="O1581" i="1"/>
  <c r="N1581" i="1"/>
  <c r="M1581" i="1"/>
  <c r="Q1580" i="1"/>
  <c r="P1580" i="1"/>
  <c r="O1580" i="1"/>
  <c r="N1580" i="1"/>
  <c r="M1580" i="1"/>
  <c r="Q1579" i="1"/>
  <c r="P1579" i="1"/>
  <c r="O1579" i="1"/>
  <c r="N1579" i="1"/>
  <c r="M1579" i="1"/>
  <c r="Q1578" i="1"/>
  <c r="P1578" i="1"/>
  <c r="O1578" i="1"/>
  <c r="N1578" i="1"/>
  <c r="M1578" i="1"/>
  <c r="Q1577" i="1"/>
  <c r="P1577" i="1"/>
  <c r="O1577" i="1"/>
  <c r="N1577" i="1"/>
  <c r="M1577" i="1"/>
  <c r="Q1576" i="1"/>
  <c r="P1576" i="1"/>
  <c r="O1576" i="1"/>
  <c r="N1576" i="1"/>
  <c r="M1576" i="1"/>
  <c r="Q1575" i="1"/>
  <c r="P1575" i="1"/>
  <c r="O1575" i="1"/>
  <c r="N1575" i="1"/>
  <c r="M1575" i="1"/>
  <c r="Q1574" i="1"/>
  <c r="P1574" i="1"/>
  <c r="O1574" i="1"/>
  <c r="N1574" i="1"/>
  <c r="M1574" i="1"/>
  <c r="Q1573" i="1"/>
  <c r="P1573" i="1"/>
  <c r="O1573" i="1"/>
  <c r="N1573" i="1"/>
  <c r="M1573" i="1"/>
  <c r="Q1572" i="1"/>
  <c r="P1572" i="1"/>
  <c r="O1572" i="1"/>
  <c r="N1572" i="1"/>
  <c r="M1572" i="1"/>
  <c r="Q1571" i="1"/>
  <c r="P1571" i="1"/>
  <c r="O1571" i="1"/>
  <c r="N1571" i="1"/>
  <c r="M1571" i="1"/>
  <c r="Q1570" i="1"/>
  <c r="P1570" i="1"/>
  <c r="O1570" i="1"/>
  <c r="N1570" i="1"/>
  <c r="M1570" i="1"/>
  <c r="Q1569" i="1"/>
  <c r="P1569" i="1"/>
  <c r="O1569" i="1"/>
  <c r="N1569" i="1"/>
  <c r="M1569" i="1"/>
  <c r="Q1568" i="1"/>
  <c r="P1568" i="1"/>
  <c r="O1568" i="1"/>
  <c r="N1568" i="1"/>
  <c r="M1568" i="1"/>
  <c r="Q1567" i="1"/>
  <c r="P1567" i="1"/>
  <c r="O1567" i="1"/>
  <c r="N1567" i="1"/>
  <c r="M1567" i="1"/>
  <c r="Q1566" i="1"/>
  <c r="P1566" i="1"/>
  <c r="O1566" i="1"/>
  <c r="N1566" i="1"/>
  <c r="M1566" i="1"/>
  <c r="Q1565" i="1"/>
  <c r="P1565" i="1"/>
  <c r="O1565" i="1"/>
  <c r="N1565" i="1"/>
  <c r="M1565" i="1"/>
  <c r="Q1564" i="1"/>
  <c r="P1564" i="1"/>
  <c r="O1564" i="1"/>
  <c r="N1564" i="1"/>
  <c r="M1564" i="1"/>
  <c r="Q1563" i="1"/>
  <c r="P1563" i="1"/>
  <c r="O1563" i="1"/>
  <c r="N1563" i="1"/>
  <c r="M1563" i="1"/>
  <c r="Q1562" i="1"/>
  <c r="P1562" i="1"/>
  <c r="O1562" i="1"/>
  <c r="N1562" i="1"/>
  <c r="M1562" i="1"/>
  <c r="Q1561" i="1"/>
  <c r="P1561" i="1"/>
  <c r="O1561" i="1"/>
  <c r="N1561" i="1"/>
  <c r="M1561" i="1"/>
  <c r="Q1560" i="1"/>
  <c r="P1560" i="1"/>
  <c r="O1560" i="1"/>
  <c r="N1560" i="1"/>
  <c r="M1560" i="1"/>
  <c r="Q1559" i="1"/>
  <c r="P1559" i="1"/>
  <c r="O1559" i="1"/>
  <c r="N1559" i="1"/>
  <c r="M1559" i="1"/>
  <c r="Q1558" i="1"/>
  <c r="P1558" i="1"/>
  <c r="O1558" i="1"/>
  <c r="N1558" i="1"/>
  <c r="M1558" i="1"/>
  <c r="Q1557" i="1"/>
  <c r="P1557" i="1"/>
  <c r="O1557" i="1"/>
  <c r="N1557" i="1"/>
  <c r="M1557" i="1"/>
  <c r="Q1556" i="1"/>
  <c r="P1556" i="1"/>
  <c r="O1556" i="1"/>
  <c r="N1556" i="1"/>
  <c r="M1556" i="1"/>
  <c r="Q1555" i="1"/>
  <c r="P1555" i="1"/>
  <c r="O1555" i="1"/>
  <c r="N1555" i="1"/>
  <c r="M1555" i="1"/>
  <c r="Q1554" i="1"/>
  <c r="P1554" i="1"/>
  <c r="O1554" i="1"/>
  <c r="N1554" i="1"/>
  <c r="M1554" i="1"/>
  <c r="Q1553" i="1"/>
  <c r="P1553" i="1"/>
  <c r="O1553" i="1"/>
  <c r="N1553" i="1"/>
  <c r="M1553" i="1"/>
  <c r="Q1552" i="1"/>
  <c r="P1552" i="1"/>
  <c r="O1552" i="1"/>
  <c r="N1552" i="1"/>
  <c r="M1552" i="1"/>
  <c r="Q1551" i="1"/>
  <c r="P1551" i="1"/>
  <c r="O1551" i="1"/>
  <c r="N1551" i="1"/>
  <c r="M1551" i="1"/>
  <c r="Q1550" i="1"/>
  <c r="P1550" i="1"/>
  <c r="O1550" i="1"/>
  <c r="N1550" i="1"/>
  <c r="M1550" i="1"/>
  <c r="Q1549" i="1"/>
  <c r="P1549" i="1"/>
  <c r="O1549" i="1"/>
  <c r="N1549" i="1"/>
  <c r="M1549" i="1"/>
  <c r="Q1548" i="1"/>
  <c r="P1548" i="1"/>
  <c r="O1548" i="1"/>
  <c r="N1548" i="1"/>
  <c r="M1548" i="1"/>
  <c r="Q1547" i="1"/>
  <c r="P1547" i="1"/>
  <c r="O1547" i="1"/>
  <c r="N1547" i="1"/>
  <c r="M1547" i="1"/>
  <c r="Q1546" i="1"/>
  <c r="P1546" i="1"/>
  <c r="O1546" i="1"/>
  <c r="N1546" i="1"/>
  <c r="M1546" i="1"/>
  <c r="Q1545" i="1"/>
  <c r="P1545" i="1"/>
  <c r="O1545" i="1"/>
  <c r="N1545" i="1"/>
  <c r="M1545" i="1"/>
  <c r="Q1544" i="1"/>
  <c r="P1544" i="1"/>
  <c r="O1544" i="1"/>
  <c r="N1544" i="1"/>
  <c r="M1544" i="1"/>
  <c r="Q1543" i="1"/>
  <c r="P1543" i="1"/>
  <c r="O1543" i="1"/>
  <c r="N1543" i="1"/>
  <c r="M1543" i="1"/>
  <c r="Q1542" i="1"/>
  <c r="P1542" i="1"/>
  <c r="O1542" i="1"/>
  <c r="N1542" i="1"/>
  <c r="M1542" i="1"/>
  <c r="Q1541" i="1"/>
  <c r="P1541" i="1"/>
  <c r="O1541" i="1"/>
  <c r="N1541" i="1"/>
  <c r="M1541" i="1"/>
  <c r="Q1540" i="1"/>
  <c r="P1540" i="1"/>
  <c r="O1540" i="1"/>
  <c r="N1540" i="1"/>
  <c r="M1540" i="1"/>
  <c r="Q1539" i="1"/>
  <c r="P1539" i="1"/>
  <c r="O1539" i="1"/>
  <c r="N1539" i="1"/>
  <c r="M1539" i="1"/>
  <c r="Q1538" i="1"/>
  <c r="P1538" i="1"/>
  <c r="O1538" i="1"/>
  <c r="N1538" i="1"/>
  <c r="M1538" i="1"/>
  <c r="Q1537" i="1"/>
  <c r="P1537" i="1"/>
  <c r="O1537" i="1"/>
  <c r="N1537" i="1"/>
  <c r="M1537" i="1"/>
  <c r="Q1536" i="1"/>
  <c r="P1536" i="1"/>
  <c r="O1536" i="1"/>
  <c r="N1536" i="1"/>
  <c r="M1536" i="1"/>
  <c r="Q1535" i="1"/>
  <c r="P1535" i="1"/>
  <c r="O1535" i="1"/>
  <c r="N1535" i="1"/>
  <c r="M1535" i="1"/>
  <c r="Q1534" i="1"/>
  <c r="P1534" i="1"/>
  <c r="O1534" i="1"/>
  <c r="N1534" i="1"/>
  <c r="M1534" i="1"/>
  <c r="Q1533" i="1"/>
  <c r="P1533" i="1"/>
  <c r="O1533" i="1"/>
  <c r="N1533" i="1"/>
  <c r="M1533" i="1"/>
  <c r="Q1532" i="1"/>
  <c r="P1532" i="1"/>
  <c r="O1532" i="1"/>
  <c r="N1532" i="1"/>
  <c r="M1532" i="1"/>
  <c r="Q1531" i="1"/>
  <c r="P1531" i="1"/>
  <c r="O1531" i="1"/>
  <c r="N1531" i="1"/>
  <c r="M1531" i="1"/>
  <c r="Q1530" i="1"/>
  <c r="P1530" i="1"/>
  <c r="O1530" i="1"/>
  <c r="N1530" i="1"/>
  <c r="M1530" i="1"/>
  <c r="Q1529" i="1"/>
  <c r="P1529" i="1"/>
  <c r="O1529" i="1"/>
  <c r="N1529" i="1"/>
  <c r="M1529" i="1"/>
  <c r="Q1528" i="1"/>
  <c r="P1528" i="1"/>
  <c r="O1528" i="1"/>
  <c r="N1528" i="1"/>
  <c r="M1528" i="1"/>
  <c r="Q1527" i="1"/>
  <c r="P1527" i="1"/>
  <c r="O1527" i="1"/>
  <c r="N1527" i="1"/>
  <c r="M1527" i="1"/>
  <c r="Q1526" i="1"/>
  <c r="P1526" i="1"/>
  <c r="O1526" i="1"/>
  <c r="N1526" i="1"/>
  <c r="M1526" i="1"/>
  <c r="Q1525" i="1"/>
  <c r="P1525" i="1"/>
  <c r="O1525" i="1"/>
  <c r="N1525" i="1"/>
  <c r="M1525" i="1"/>
  <c r="Q1524" i="1"/>
  <c r="P1524" i="1"/>
  <c r="O1524" i="1"/>
  <c r="N1524" i="1"/>
  <c r="M1524" i="1"/>
  <c r="Q1523" i="1"/>
  <c r="P1523" i="1"/>
  <c r="O1523" i="1"/>
  <c r="N1523" i="1"/>
  <c r="M1523" i="1"/>
  <c r="Q1522" i="1"/>
  <c r="P1522" i="1"/>
  <c r="O1522" i="1"/>
  <c r="N1522" i="1"/>
  <c r="M1522" i="1"/>
  <c r="Q1521" i="1"/>
  <c r="P1521" i="1"/>
  <c r="O1521" i="1"/>
  <c r="N1521" i="1"/>
  <c r="M1521" i="1"/>
  <c r="Q1520" i="1"/>
  <c r="P1520" i="1"/>
  <c r="O1520" i="1"/>
  <c r="N1520" i="1"/>
  <c r="M1520" i="1"/>
  <c r="Q1519" i="1"/>
  <c r="P1519" i="1"/>
  <c r="O1519" i="1"/>
  <c r="N1519" i="1"/>
  <c r="M1519" i="1"/>
  <c r="Q1518" i="1"/>
  <c r="P1518" i="1"/>
  <c r="O1518" i="1"/>
  <c r="N1518" i="1"/>
  <c r="M1518" i="1"/>
  <c r="Q1517" i="1"/>
  <c r="P1517" i="1"/>
  <c r="O1517" i="1"/>
  <c r="N1517" i="1"/>
  <c r="M1517" i="1"/>
  <c r="Q1516" i="1"/>
  <c r="P1516" i="1"/>
  <c r="O1516" i="1"/>
  <c r="N1516" i="1"/>
  <c r="M1516" i="1"/>
  <c r="Q1515" i="1"/>
  <c r="P1515" i="1"/>
  <c r="O1515" i="1"/>
  <c r="N1515" i="1"/>
  <c r="M1515" i="1"/>
  <c r="Q1514" i="1"/>
  <c r="P1514" i="1"/>
  <c r="O1514" i="1"/>
  <c r="N1514" i="1"/>
  <c r="M1514" i="1"/>
  <c r="Q1513" i="1"/>
  <c r="P1513" i="1"/>
  <c r="O1513" i="1"/>
  <c r="N1513" i="1"/>
  <c r="M1513" i="1"/>
  <c r="Q1512" i="1"/>
  <c r="P1512" i="1"/>
  <c r="O1512" i="1"/>
  <c r="N1512" i="1"/>
  <c r="M1512" i="1"/>
  <c r="Q1511" i="1"/>
  <c r="P1511" i="1"/>
  <c r="O1511" i="1"/>
  <c r="N1511" i="1"/>
  <c r="M1511" i="1"/>
  <c r="Q1510" i="1"/>
  <c r="P1510" i="1"/>
  <c r="O1510" i="1"/>
  <c r="N1510" i="1"/>
  <c r="M1510" i="1"/>
  <c r="Q1509" i="1"/>
  <c r="P1509" i="1"/>
  <c r="O1509" i="1"/>
  <c r="N1509" i="1"/>
  <c r="M1509" i="1"/>
  <c r="Q1508" i="1"/>
  <c r="P1508" i="1"/>
  <c r="O1508" i="1"/>
  <c r="N1508" i="1"/>
  <c r="M1508" i="1"/>
  <c r="Q1507" i="1"/>
  <c r="P1507" i="1"/>
  <c r="O1507" i="1"/>
  <c r="N1507" i="1"/>
  <c r="M1507" i="1"/>
  <c r="Q1506" i="1"/>
  <c r="P1506" i="1"/>
  <c r="O1506" i="1"/>
  <c r="N1506" i="1"/>
  <c r="M1506" i="1"/>
  <c r="Q1505" i="1"/>
  <c r="P1505" i="1"/>
  <c r="O1505" i="1"/>
  <c r="N1505" i="1"/>
  <c r="M1505" i="1"/>
  <c r="Q1504" i="1"/>
  <c r="P1504" i="1"/>
  <c r="O1504" i="1"/>
  <c r="N1504" i="1"/>
  <c r="M1504" i="1"/>
  <c r="Q1503" i="1"/>
  <c r="P1503" i="1"/>
  <c r="O1503" i="1"/>
  <c r="N1503" i="1"/>
  <c r="M1503" i="1"/>
  <c r="Q1502" i="1"/>
  <c r="P1502" i="1"/>
  <c r="O1502" i="1"/>
  <c r="N1502" i="1"/>
  <c r="M1502" i="1"/>
  <c r="Q1501" i="1"/>
  <c r="P1501" i="1"/>
  <c r="O1501" i="1"/>
  <c r="N1501" i="1"/>
  <c r="M1501" i="1"/>
  <c r="Q1500" i="1"/>
  <c r="P1500" i="1"/>
  <c r="O1500" i="1"/>
  <c r="N1500" i="1"/>
  <c r="M1500" i="1"/>
  <c r="Q1499" i="1"/>
  <c r="P1499" i="1"/>
  <c r="O1499" i="1"/>
  <c r="N1499" i="1"/>
  <c r="M1499" i="1"/>
  <c r="Q1498" i="1"/>
  <c r="P1498" i="1"/>
  <c r="O1498" i="1"/>
  <c r="N1498" i="1"/>
  <c r="M1498" i="1"/>
  <c r="Q1497" i="1"/>
  <c r="P1497" i="1"/>
  <c r="O1497" i="1"/>
  <c r="N1497" i="1"/>
  <c r="M1497" i="1"/>
  <c r="Q1496" i="1"/>
  <c r="P1496" i="1"/>
  <c r="O1496" i="1"/>
  <c r="N1496" i="1"/>
  <c r="M1496" i="1"/>
  <c r="Q1495" i="1"/>
  <c r="P1495" i="1"/>
  <c r="O1495" i="1"/>
  <c r="N1495" i="1"/>
  <c r="M1495" i="1"/>
  <c r="Q1494" i="1"/>
  <c r="P1494" i="1"/>
  <c r="O1494" i="1"/>
  <c r="N1494" i="1"/>
  <c r="M1494" i="1"/>
  <c r="Q1493" i="1"/>
  <c r="P1493" i="1"/>
  <c r="O1493" i="1"/>
  <c r="N1493" i="1"/>
  <c r="M1493" i="1"/>
  <c r="Q1492" i="1"/>
  <c r="P1492" i="1"/>
  <c r="O1492" i="1"/>
  <c r="N1492" i="1"/>
  <c r="M1492" i="1"/>
  <c r="Q1491" i="1"/>
  <c r="P1491" i="1"/>
  <c r="O1491" i="1"/>
  <c r="N1491" i="1"/>
  <c r="M1491" i="1"/>
  <c r="Q1490" i="1"/>
  <c r="P1490" i="1"/>
  <c r="O1490" i="1"/>
  <c r="N1490" i="1"/>
  <c r="M1490" i="1"/>
  <c r="Q1489" i="1"/>
  <c r="P1489" i="1"/>
  <c r="O1489" i="1"/>
  <c r="N1489" i="1"/>
  <c r="M1489" i="1"/>
  <c r="Q1488" i="1"/>
  <c r="P1488" i="1"/>
  <c r="O1488" i="1"/>
  <c r="N1488" i="1"/>
  <c r="M1488" i="1"/>
  <c r="Q1487" i="1"/>
  <c r="P1487" i="1"/>
  <c r="O1487" i="1"/>
  <c r="N1487" i="1"/>
  <c r="M1487" i="1"/>
  <c r="Q1486" i="1"/>
  <c r="P1486" i="1"/>
  <c r="O1486" i="1"/>
  <c r="N1486" i="1"/>
  <c r="M1486" i="1"/>
  <c r="Q1485" i="1"/>
  <c r="P1485" i="1"/>
  <c r="O1485" i="1"/>
  <c r="N1485" i="1"/>
  <c r="M1485" i="1"/>
  <c r="Q1484" i="1"/>
  <c r="P1484" i="1"/>
  <c r="O1484" i="1"/>
  <c r="N1484" i="1"/>
  <c r="M1484" i="1"/>
  <c r="Q1483" i="1"/>
  <c r="P1483" i="1"/>
  <c r="O1483" i="1"/>
  <c r="N1483" i="1"/>
  <c r="M1483" i="1"/>
  <c r="Q1482" i="1"/>
  <c r="P1482" i="1"/>
  <c r="O1482" i="1"/>
  <c r="N1482" i="1"/>
  <c r="M1482" i="1"/>
  <c r="Q1481" i="1"/>
  <c r="P1481" i="1"/>
  <c r="O1481" i="1"/>
  <c r="N1481" i="1"/>
  <c r="M1481" i="1"/>
  <c r="Q1480" i="1"/>
  <c r="P1480" i="1"/>
  <c r="O1480" i="1"/>
  <c r="N1480" i="1"/>
  <c r="M1480" i="1"/>
  <c r="Q1479" i="1"/>
  <c r="P1479" i="1"/>
  <c r="O1479" i="1"/>
  <c r="N1479" i="1"/>
  <c r="M1479" i="1"/>
  <c r="Q1478" i="1"/>
  <c r="P1478" i="1"/>
  <c r="O1478" i="1"/>
  <c r="N1478" i="1"/>
  <c r="M1478" i="1"/>
  <c r="Q1477" i="1"/>
  <c r="P1477" i="1"/>
  <c r="O1477" i="1"/>
  <c r="N1477" i="1"/>
  <c r="M1477" i="1"/>
  <c r="Q1476" i="1"/>
  <c r="P1476" i="1"/>
  <c r="O1476" i="1"/>
  <c r="N1476" i="1"/>
  <c r="M1476" i="1"/>
  <c r="Q1475" i="1"/>
  <c r="P1475" i="1"/>
  <c r="O1475" i="1"/>
  <c r="N1475" i="1"/>
  <c r="M1475" i="1"/>
  <c r="Q1474" i="1"/>
  <c r="P1474" i="1"/>
  <c r="O1474" i="1"/>
  <c r="N1474" i="1"/>
  <c r="M1474" i="1"/>
  <c r="Q1473" i="1"/>
  <c r="P1473" i="1"/>
  <c r="O1473" i="1"/>
  <c r="N1473" i="1"/>
  <c r="M1473" i="1"/>
  <c r="Q1472" i="1"/>
  <c r="P1472" i="1"/>
  <c r="O1472" i="1"/>
  <c r="N1472" i="1"/>
  <c r="M1472" i="1"/>
  <c r="Q1471" i="1"/>
  <c r="P1471" i="1"/>
  <c r="O1471" i="1"/>
  <c r="N1471" i="1"/>
  <c r="M1471" i="1"/>
  <c r="Q1470" i="1"/>
  <c r="P1470" i="1"/>
  <c r="O1470" i="1"/>
  <c r="N1470" i="1"/>
  <c r="M1470" i="1"/>
  <c r="Q1469" i="1"/>
  <c r="P1469" i="1"/>
  <c r="O1469" i="1"/>
  <c r="N1469" i="1"/>
  <c r="M1469" i="1"/>
  <c r="Q1468" i="1"/>
  <c r="P1468" i="1"/>
  <c r="O1468" i="1"/>
  <c r="N1468" i="1"/>
  <c r="M1468" i="1"/>
  <c r="Q1467" i="1"/>
  <c r="P1467" i="1"/>
  <c r="O1467" i="1"/>
  <c r="N1467" i="1"/>
  <c r="M1467" i="1"/>
  <c r="Q1466" i="1"/>
  <c r="P1466" i="1"/>
  <c r="O1466" i="1"/>
  <c r="N1466" i="1"/>
  <c r="M1466" i="1"/>
  <c r="Q1465" i="1"/>
  <c r="P1465" i="1"/>
  <c r="O1465" i="1"/>
  <c r="N1465" i="1"/>
  <c r="M1465" i="1"/>
  <c r="Q1464" i="1"/>
  <c r="P1464" i="1"/>
  <c r="O1464" i="1"/>
  <c r="N1464" i="1"/>
  <c r="M1464" i="1"/>
  <c r="Q1463" i="1"/>
  <c r="P1463" i="1"/>
  <c r="O1463" i="1"/>
  <c r="N1463" i="1"/>
  <c r="M1463" i="1"/>
  <c r="Q1462" i="1"/>
  <c r="P1462" i="1"/>
  <c r="O1462" i="1"/>
  <c r="N1462" i="1"/>
  <c r="M1462" i="1"/>
  <c r="Q1461" i="1"/>
  <c r="P1461" i="1"/>
  <c r="O1461" i="1"/>
  <c r="N1461" i="1"/>
  <c r="M1461" i="1"/>
  <c r="Q1460" i="1"/>
  <c r="P1460" i="1"/>
  <c r="O1460" i="1"/>
  <c r="N1460" i="1"/>
  <c r="M1460" i="1"/>
  <c r="Q1459" i="1"/>
  <c r="P1459" i="1"/>
  <c r="O1459" i="1"/>
  <c r="N1459" i="1"/>
  <c r="M1459" i="1"/>
  <c r="Q1458" i="1"/>
  <c r="P1458" i="1"/>
  <c r="O1458" i="1"/>
  <c r="N1458" i="1"/>
  <c r="M1458" i="1"/>
  <c r="Q1457" i="1"/>
  <c r="P1457" i="1"/>
  <c r="O1457" i="1"/>
  <c r="N1457" i="1"/>
  <c r="M1457" i="1"/>
  <c r="Q1456" i="1"/>
  <c r="P1456" i="1"/>
  <c r="O1456" i="1"/>
  <c r="N1456" i="1"/>
  <c r="M1456" i="1"/>
  <c r="Q1455" i="1"/>
  <c r="P1455" i="1"/>
  <c r="O1455" i="1"/>
  <c r="N1455" i="1"/>
  <c r="M1455" i="1"/>
  <c r="Q1454" i="1"/>
  <c r="P1454" i="1"/>
  <c r="O1454" i="1"/>
  <c r="N1454" i="1"/>
  <c r="M1454" i="1"/>
  <c r="Q1453" i="1"/>
  <c r="P1453" i="1"/>
  <c r="O1453" i="1"/>
  <c r="N1453" i="1"/>
  <c r="M1453" i="1"/>
  <c r="Q1452" i="1"/>
  <c r="P1452" i="1"/>
  <c r="O1452" i="1"/>
  <c r="N1452" i="1"/>
  <c r="M1452" i="1"/>
  <c r="Q1451" i="1"/>
  <c r="P1451" i="1"/>
  <c r="O1451" i="1"/>
  <c r="N1451" i="1"/>
  <c r="M1451" i="1"/>
  <c r="Q1450" i="1"/>
  <c r="P1450" i="1"/>
  <c r="O1450" i="1"/>
  <c r="N1450" i="1"/>
  <c r="M1450" i="1"/>
  <c r="Q1449" i="1"/>
  <c r="P1449" i="1"/>
  <c r="O1449" i="1"/>
  <c r="N1449" i="1"/>
  <c r="M1449" i="1"/>
  <c r="Q1448" i="1"/>
  <c r="P1448" i="1"/>
  <c r="O1448" i="1"/>
  <c r="N1448" i="1"/>
  <c r="M1448" i="1"/>
  <c r="Q1447" i="1"/>
  <c r="P1447" i="1"/>
  <c r="O1447" i="1"/>
  <c r="N1447" i="1"/>
  <c r="M1447" i="1"/>
  <c r="Q1446" i="1"/>
  <c r="P1446" i="1"/>
  <c r="O1446" i="1"/>
  <c r="N1446" i="1"/>
  <c r="M1446" i="1"/>
  <c r="Q1445" i="1"/>
  <c r="P1445" i="1"/>
  <c r="O1445" i="1"/>
  <c r="N1445" i="1"/>
  <c r="M1445" i="1"/>
  <c r="Q1444" i="1"/>
  <c r="P1444" i="1"/>
  <c r="O1444" i="1"/>
  <c r="N1444" i="1"/>
  <c r="M1444" i="1"/>
  <c r="Q1443" i="1"/>
  <c r="P1443" i="1"/>
  <c r="O1443" i="1"/>
  <c r="N1443" i="1"/>
  <c r="M1443" i="1"/>
  <c r="Q1442" i="1"/>
  <c r="P1442" i="1"/>
  <c r="O1442" i="1"/>
  <c r="N1442" i="1"/>
  <c r="M1442" i="1"/>
  <c r="Q1441" i="1"/>
  <c r="P1441" i="1"/>
  <c r="O1441" i="1"/>
  <c r="N1441" i="1"/>
  <c r="M1441" i="1"/>
  <c r="Q1440" i="1"/>
  <c r="P1440" i="1"/>
  <c r="O1440" i="1"/>
  <c r="N1440" i="1"/>
  <c r="M1440" i="1"/>
  <c r="Q1439" i="1"/>
  <c r="P1439" i="1"/>
  <c r="O1439" i="1"/>
  <c r="N1439" i="1"/>
  <c r="M1439" i="1"/>
  <c r="Q1438" i="1"/>
  <c r="P1438" i="1"/>
  <c r="O1438" i="1"/>
  <c r="N1438" i="1"/>
  <c r="M1438" i="1"/>
  <c r="Q1437" i="1"/>
  <c r="P1437" i="1"/>
  <c r="O1437" i="1"/>
  <c r="N1437" i="1"/>
  <c r="M1437" i="1"/>
  <c r="Q1436" i="1"/>
  <c r="P1436" i="1"/>
  <c r="O1436" i="1"/>
  <c r="N1436" i="1"/>
  <c r="M1436" i="1"/>
  <c r="Q1435" i="1"/>
  <c r="P1435" i="1"/>
  <c r="O1435" i="1"/>
  <c r="N1435" i="1"/>
  <c r="M1435" i="1"/>
  <c r="Q1434" i="1"/>
  <c r="P1434" i="1"/>
  <c r="O1434" i="1"/>
  <c r="N1434" i="1"/>
  <c r="M1434" i="1"/>
  <c r="Q1433" i="1"/>
  <c r="P1433" i="1"/>
  <c r="O1433" i="1"/>
  <c r="N1433" i="1"/>
  <c r="M1433" i="1"/>
  <c r="Q1432" i="1"/>
  <c r="P1432" i="1"/>
  <c r="O1432" i="1"/>
  <c r="N1432" i="1"/>
  <c r="M1432" i="1"/>
  <c r="Q1431" i="1"/>
  <c r="P1431" i="1"/>
  <c r="O1431" i="1"/>
  <c r="N1431" i="1"/>
  <c r="M1431" i="1"/>
  <c r="Q1430" i="1"/>
  <c r="P1430" i="1"/>
  <c r="O1430" i="1"/>
  <c r="N1430" i="1"/>
  <c r="M1430" i="1"/>
  <c r="Q1429" i="1"/>
  <c r="P1429" i="1"/>
  <c r="O1429" i="1"/>
  <c r="N1429" i="1"/>
  <c r="M1429" i="1"/>
  <c r="Q1428" i="1"/>
  <c r="P1428" i="1"/>
  <c r="O1428" i="1"/>
  <c r="N1428" i="1"/>
  <c r="M1428" i="1"/>
  <c r="Q1427" i="1"/>
  <c r="P1427" i="1"/>
  <c r="O1427" i="1"/>
  <c r="N1427" i="1"/>
  <c r="M1427" i="1"/>
  <c r="Q1426" i="1"/>
  <c r="P1426" i="1"/>
  <c r="O1426" i="1"/>
  <c r="N1426" i="1"/>
  <c r="M1426" i="1"/>
  <c r="Q1425" i="1"/>
  <c r="P1425" i="1"/>
  <c r="O1425" i="1"/>
  <c r="N1425" i="1"/>
  <c r="M1425" i="1"/>
  <c r="Q1424" i="1"/>
  <c r="P1424" i="1"/>
  <c r="O1424" i="1"/>
  <c r="N1424" i="1"/>
  <c r="M1424" i="1"/>
  <c r="Q1423" i="1"/>
  <c r="P1423" i="1"/>
  <c r="O1423" i="1"/>
  <c r="N1423" i="1"/>
  <c r="M1423" i="1"/>
  <c r="Q1422" i="1"/>
  <c r="P1422" i="1"/>
  <c r="O1422" i="1"/>
  <c r="N1422" i="1"/>
  <c r="M1422" i="1"/>
  <c r="Q1421" i="1"/>
  <c r="P1421" i="1"/>
  <c r="O1421" i="1"/>
  <c r="N1421" i="1"/>
  <c r="M1421" i="1"/>
  <c r="Q1420" i="1"/>
  <c r="P1420" i="1"/>
  <c r="O1420" i="1"/>
  <c r="N1420" i="1"/>
  <c r="M1420" i="1"/>
  <c r="Q1419" i="1"/>
  <c r="P1419" i="1"/>
  <c r="O1419" i="1"/>
  <c r="N1419" i="1"/>
  <c r="M1419" i="1"/>
  <c r="Q1418" i="1"/>
  <c r="P1418" i="1"/>
  <c r="O1418" i="1"/>
  <c r="N1418" i="1"/>
  <c r="M1418" i="1"/>
  <c r="Q1417" i="1"/>
  <c r="P1417" i="1"/>
  <c r="O1417" i="1"/>
  <c r="N1417" i="1"/>
  <c r="M1417" i="1"/>
  <c r="Q1416" i="1"/>
  <c r="P1416" i="1"/>
  <c r="O1416" i="1"/>
  <c r="N1416" i="1"/>
  <c r="M1416" i="1"/>
  <c r="Q1415" i="1"/>
  <c r="P1415" i="1"/>
  <c r="O1415" i="1"/>
  <c r="N1415" i="1"/>
  <c r="M1415" i="1"/>
  <c r="Q1414" i="1"/>
  <c r="P1414" i="1"/>
  <c r="O1414" i="1"/>
  <c r="N1414" i="1"/>
  <c r="M1414" i="1"/>
  <c r="Q1413" i="1"/>
  <c r="P1413" i="1"/>
  <c r="O1413" i="1"/>
  <c r="N1413" i="1"/>
  <c r="M1413" i="1"/>
  <c r="Q1412" i="1"/>
  <c r="P1412" i="1"/>
  <c r="O1412" i="1"/>
  <c r="N1412" i="1"/>
  <c r="M1412" i="1"/>
  <c r="Q1411" i="1"/>
  <c r="P1411" i="1"/>
  <c r="O1411" i="1"/>
  <c r="N1411" i="1"/>
  <c r="M1411" i="1"/>
  <c r="Q1410" i="1"/>
  <c r="P1410" i="1"/>
  <c r="O1410" i="1"/>
  <c r="N1410" i="1"/>
  <c r="M1410" i="1"/>
  <c r="Q1409" i="1"/>
  <c r="P1409" i="1"/>
  <c r="O1409" i="1"/>
  <c r="N1409" i="1"/>
  <c r="M1409" i="1"/>
  <c r="Q1408" i="1"/>
  <c r="P1408" i="1"/>
  <c r="O1408" i="1"/>
  <c r="N1408" i="1"/>
  <c r="M1408" i="1"/>
  <c r="Q1407" i="1"/>
  <c r="P1407" i="1"/>
  <c r="O1407" i="1"/>
  <c r="N1407" i="1"/>
  <c r="M1407" i="1"/>
  <c r="Q1406" i="1"/>
  <c r="P1406" i="1"/>
  <c r="O1406" i="1"/>
  <c r="N1406" i="1"/>
  <c r="M1406" i="1"/>
  <c r="Q1405" i="1"/>
  <c r="P1405" i="1"/>
  <c r="O1405" i="1"/>
  <c r="N1405" i="1"/>
  <c r="M1405" i="1"/>
  <c r="Q1404" i="1"/>
  <c r="P1404" i="1"/>
  <c r="O1404" i="1"/>
  <c r="N1404" i="1"/>
  <c r="M1404" i="1"/>
  <c r="Q1403" i="1"/>
  <c r="P1403" i="1"/>
  <c r="O1403" i="1"/>
  <c r="N1403" i="1"/>
  <c r="M1403" i="1"/>
  <c r="Q1402" i="1"/>
  <c r="P1402" i="1"/>
  <c r="O1402" i="1"/>
  <c r="N1402" i="1"/>
  <c r="M1402" i="1"/>
  <c r="Q1401" i="1"/>
  <c r="P1401" i="1"/>
  <c r="O1401" i="1"/>
  <c r="N1401" i="1"/>
  <c r="M1401" i="1"/>
  <c r="Q1400" i="1"/>
  <c r="P1400" i="1"/>
  <c r="O1400" i="1"/>
  <c r="N1400" i="1"/>
  <c r="M1400" i="1"/>
  <c r="Q1399" i="1"/>
  <c r="P1399" i="1"/>
  <c r="O1399" i="1"/>
  <c r="N1399" i="1"/>
  <c r="M1399" i="1"/>
  <c r="Q1398" i="1"/>
  <c r="P1398" i="1"/>
  <c r="O1398" i="1"/>
  <c r="N1398" i="1"/>
  <c r="M1398" i="1"/>
  <c r="Q1397" i="1"/>
  <c r="P1397" i="1"/>
  <c r="O1397" i="1"/>
  <c r="N1397" i="1"/>
  <c r="M1397" i="1"/>
  <c r="Q1396" i="1"/>
  <c r="P1396" i="1"/>
  <c r="O1396" i="1"/>
  <c r="N1396" i="1"/>
  <c r="M1396" i="1"/>
  <c r="Q1395" i="1"/>
  <c r="P1395" i="1"/>
  <c r="O1395" i="1"/>
  <c r="N1395" i="1"/>
  <c r="M1395" i="1"/>
  <c r="Q1394" i="1"/>
  <c r="P1394" i="1"/>
  <c r="O1394" i="1"/>
  <c r="N1394" i="1"/>
  <c r="M1394" i="1"/>
  <c r="Q1393" i="1"/>
  <c r="P1393" i="1"/>
  <c r="O1393" i="1"/>
  <c r="N1393" i="1"/>
  <c r="M1393" i="1"/>
  <c r="Q1392" i="1"/>
  <c r="P1392" i="1"/>
  <c r="O1392" i="1"/>
  <c r="N1392" i="1"/>
  <c r="M1392" i="1"/>
  <c r="Q1391" i="1"/>
  <c r="P1391" i="1"/>
  <c r="O1391" i="1"/>
  <c r="N1391" i="1"/>
  <c r="M1391" i="1"/>
  <c r="Q1390" i="1"/>
  <c r="P1390" i="1"/>
  <c r="O1390" i="1"/>
  <c r="N1390" i="1"/>
  <c r="M1390" i="1"/>
  <c r="Q1389" i="1"/>
  <c r="P1389" i="1"/>
  <c r="O1389" i="1"/>
  <c r="N1389" i="1"/>
  <c r="M1389" i="1"/>
  <c r="Q1388" i="1"/>
  <c r="P1388" i="1"/>
  <c r="O1388" i="1"/>
  <c r="N1388" i="1"/>
  <c r="M1388" i="1"/>
  <c r="Q1387" i="1"/>
  <c r="P1387" i="1"/>
  <c r="O1387" i="1"/>
  <c r="N1387" i="1"/>
  <c r="M1387" i="1"/>
  <c r="Q1386" i="1"/>
  <c r="P1386" i="1"/>
  <c r="O1386" i="1"/>
  <c r="N1386" i="1"/>
  <c r="M1386" i="1"/>
  <c r="Q1385" i="1"/>
  <c r="P1385" i="1"/>
  <c r="O1385" i="1"/>
  <c r="N1385" i="1"/>
  <c r="M1385" i="1"/>
  <c r="Q1384" i="1"/>
  <c r="P1384" i="1"/>
  <c r="O1384" i="1"/>
  <c r="N1384" i="1"/>
  <c r="M1384" i="1"/>
  <c r="Q1383" i="1"/>
  <c r="P1383" i="1"/>
  <c r="O1383" i="1"/>
  <c r="N1383" i="1"/>
  <c r="M1383" i="1"/>
  <c r="Q1382" i="1"/>
  <c r="P1382" i="1"/>
  <c r="O1382" i="1"/>
  <c r="N1382" i="1"/>
  <c r="M1382" i="1"/>
  <c r="Q1381" i="1"/>
  <c r="P1381" i="1"/>
  <c r="O1381" i="1"/>
  <c r="N1381" i="1"/>
  <c r="M1381" i="1"/>
  <c r="Q1380" i="1"/>
  <c r="P1380" i="1"/>
  <c r="O1380" i="1"/>
  <c r="N1380" i="1"/>
  <c r="M1380" i="1"/>
  <c r="Q1379" i="1"/>
  <c r="P1379" i="1"/>
  <c r="O1379" i="1"/>
  <c r="N1379" i="1"/>
  <c r="M1379" i="1"/>
  <c r="Q1378" i="1"/>
  <c r="P1378" i="1"/>
  <c r="O1378" i="1"/>
  <c r="N1378" i="1"/>
  <c r="M1378" i="1"/>
  <c r="Q1377" i="1"/>
  <c r="P1377" i="1"/>
  <c r="O1377" i="1"/>
  <c r="N1377" i="1"/>
  <c r="M1377" i="1"/>
  <c r="Q1376" i="1"/>
  <c r="P1376" i="1"/>
  <c r="O1376" i="1"/>
  <c r="N1376" i="1"/>
  <c r="M1376" i="1"/>
  <c r="Q1375" i="1"/>
  <c r="P1375" i="1"/>
  <c r="O1375" i="1"/>
  <c r="N1375" i="1"/>
  <c r="M1375" i="1"/>
  <c r="Q1374" i="1"/>
  <c r="P1374" i="1"/>
  <c r="O1374" i="1"/>
  <c r="N1374" i="1"/>
  <c r="M1374" i="1"/>
  <c r="Q1373" i="1"/>
  <c r="P1373" i="1"/>
  <c r="O1373" i="1"/>
  <c r="N1373" i="1"/>
  <c r="M1373" i="1"/>
  <c r="Q1372" i="1"/>
  <c r="P1372" i="1"/>
  <c r="O1372" i="1"/>
  <c r="N1372" i="1"/>
  <c r="M1372" i="1"/>
  <c r="Q1371" i="1"/>
  <c r="P1371" i="1"/>
  <c r="O1371" i="1"/>
  <c r="N1371" i="1"/>
  <c r="M1371" i="1"/>
  <c r="Q1370" i="1"/>
  <c r="P1370" i="1"/>
  <c r="O1370" i="1"/>
  <c r="N1370" i="1"/>
  <c r="M1370" i="1"/>
  <c r="Q1369" i="1"/>
  <c r="P1369" i="1"/>
  <c r="O1369" i="1"/>
  <c r="N1369" i="1"/>
  <c r="M1369" i="1"/>
  <c r="Q1368" i="1"/>
  <c r="P1368" i="1"/>
  <c r="O1368" i="1"/>
  <c r="N1368" i="1"/>
  <c r="M1368" i="1"/>
  <c r="Q1367" i="1"/>
  <c r="P1367" i="1"/>
  <c r="O1367" i="1"/>
  <c r="N1367" i="1"/>
  <c r="M1367" i="1"/>
  <c r="Q1366" i="1"/>
  <c r="P1366" i="1"/>
  <c r="O1366" i="1"/>
  <c r="N1366" i="1"/>
  <c r="M1366" i="1"/>
  <c r="Q1365" i="1"/>
  <c r="P1365" i="1"/>
  <c r="O1365" i="1"/>
  <c r="N1365" i="1"/>
  <c r="M1365" i="1"/>
  <c r="Q1364" i="1"/>
  <c r="P1364" i="1"/>
  <c r="O1364" i="1"/>
  <c r="N1364" i="1"/>
  <c r="M1364" i="1"/>
  <c r="Q1363" i="1"/>
  <c r="P1363" i="1"/>
  <c r="O1363" i="1"/>
  <c r="N1363" i="1"/>
  <c r="M1363" i="1"/>
  <c r="Q1362" i="1"/>
  <c r="P1362" i="1"/>
  <c r="O1362" i="1"/>
  <c r="N1362" i="1"/>
  <c r="M1362" i="1"/>
  <c r="Q1361" i="1"/>
  <c r="P1361" i="1"/>
  <c r="O1361" i="1"/>
  <c r="N1361" i="1"/>
  <c r="M1361" i="1"/>
  <c r="Q1360" i="1"/>
  <c r="P1360" i="1"/>
  <c r="O1360" i="1"/>
  <c r="N1360" i="1"/>
  <c r="M1360" i="1"/>
  <c r="Q1359" i="1"/>
  <c r="P1359" i="1"/>
  <c r="O1359" i="1"/>
  <c r="N1359" i="1"/>
  <c r="M1359" i="1"/>
  <c r="Q1358" i="1"/>
  <c r="P1358" i="1"/>
  <c r="O1358" i="1"/>
  <c r="N1358" i="1"/>
  <c r="M1358" i="1"/>
  <c r="Q1357" i="1"/>
  <c r="P1357" i="1"/>
  <c r="O1357" i="1"/>
  <c r="N1357" i="1"/>
  <c r="M1357" i="1"/>
  <c r="Q1356" i="1"/>
  <c r="P1356" i="1"/>
  <c r="O1356" i="1"/>
  <c r="N1356" i="1"/>
  <c r="M1356" i="1"/>
  <c r="Q1355" i="1"/>
  <c r="P1355" i="1"/>
  <c r="O1355" i="1"/>
  <c r="N1355" i="1"/>
  <c r="M1355" i="1"/>
  <c r="Q1354" i="1"/>
  <c r="P1354" i="1"/>
  <c r="O1354" i="1"/>
  <c r="N1354" i="1"/>
  <c r="M1354" i="1"/>
  <c r="Q1353" i="1"/>
  <c r="P1353" i="1"/>
  <c r="O1353" i="1"/>
  <c r="N1353" i="1"/>
  <c r="M1353" i="1"/>
  <c r="Q1352" i="1"/>
  <c r="P1352" i="1"/>
  <c r="O1352" i="1"/>
  <c r="N1352" i="1"/>
  <c r="M1352" i="1"/>
  <c r="Q1351" i="1"/>
  <c r="P1351" i="1"/>
  <c r="O1351" i="1"/>
  <c r="N1351" i="1"/>
  <c r="M1351" i="1"/>
  <c r="Q1350" i="1"/>
  <c r="P1350" i="1"/>
  <c r="O1350" i="1"/>
  <c r="N1350" i="1"/>
  <c r="M1350" i="1"/>
  <c r="Q1349" i="1"/>
  <c r="P1349" i="1"/>
  <c r="O1349" i="1"/>
  <c r="N1349" i="1"/>
  <c r="M1349" i="1"/>
  <c r="Q1348" i="1"/>
  <c r="P1348" i="1"/>
  <c r="O1348" i="1"/>
  <c r="N1348" i="1"/>
  <c r="M1348" i="1"/>
  <c r="Q1347" i="1"/>
  <c r="P1347" i="1"/>
  <c r="O1347" i="1"/>
  <c r="N1347" i="1"/>
  <c r="M1347" i="1"/>
  <c r="Q1346" i="1"/>
  <c r="P1346" i="1"/>
  <c r="O1346" i="1"/>
  <c r="N1346" i="1"/>
  <c r="M1346" i="1"/>
  <c r="Q1345" i="1"/>
  <c r="P1345" i="1"/>
  <c r="O1345" i="1"/>
  <c r="N1345" i="1"/>
  <c r="M1345" i="1"/>
  <c r="Q1344" i="1"/>
  <c r="P1344" i="1"/>
  <c r="O1344" i="1"/>
  <c r="N1344" i="1"/>
  <c r="M1344" i="1"/>
  <c r="Q1343" i="1"/>
  <c r="P1343" i="1"/>
  <c r="O1343" i="1"/>
  <c r="N1343" i="1"/>
  <c r="M1343" i="1"/>
  <c r="Q1342" i="1"/>
  <c r="P1342" i="1"/>
  <c r="O1342" i="1"/>
  <c r="N1342" i="1"/>
  <c r="M1342" i="1"/>
  <c r="Q1341" i="1"/>
  <c r="P1341" i="1"/>
  <c r="O1341" i="1"/>
  <c r="N1341" i="1"/>
  <c r="M1341" i="1"/>
  <c r="Q1340" i="1"/>
  <c r="P1340" i="1"/>
  <c r="O1340" i="1"/>
  <c r="N1340" i="1"/>
  <c r="M1340" i="1"/>
  <c r="Q1339" i="1"/>
  <c r="P1339" i="1"/>
  <c r="O1339" i="1"/>
  <c r="N1339" i="1"/>
  <c r="M1339" i="1"/>
  <c r="Q1338" i="1"/>
  <c r="P1338" i="1"/>
  <c r="O1338" i="1"/>
  <c r="N1338" i="1"/>
  <c r="M1338" i="1"/>
  <c r="Q1337" i="1"/>
  <c r="P1337" i="1"/>
  <c r="O1337" i="1"/>
  <c r="N1337" i="1"/>
  <c r="M1337" i="1"/>
  <c r="Q1336" i="1"/>
  <c r="P1336" i="1"/>
  <c r="O1336" i="1"/>
  <c r="N1336" i="1"/>
  <c r="M1336" i="1"/>
  <c r="Q1335" i="1"/>
  <c r="P1335" i="1"/>
  <c r="O1335" i="1"/>
  <c r="N1335" i="1"/>
  <c r="M1335" i="1"/>
  <c r="Q1334" i="1"/>
  <c r="P1334" i="1"/>
  <c r="O1334" i="1"/>
  <c r="N1334" i="1"/>
  <c r="M1334" i="1"/>
  <c r="Q1333" i="1"/>
  <c r="P1333" i="1"/>
  <c r="O1333" i="1"/>
  <c r="N1333" i="1"/>
  <c r="M1333" i="1"/>
  <c r="Q1332" i="1"/>
  <c r="P1332" i="1"/>
  <c r="O1332" i="1"/>
  <c r="N1332" i="1"/>
  <c r="M1332" i="1"/>
  <c r="Q1331" i="1"/>
  <c r="P1331" i="1"/>
  <c r="O1331" i="1"/>
  <c r="N1331" i="1"/>
  <c r="M1331" i="1"/>
  <c r="Q1330" i="1"/>
  <c r="P1330" i="1"/>
  <c r="O1330" i="1"/>
  <c r="N1330" i="1"/>
  <c r="M1330" i="1"/>
  <c r="Q1329" i="1"/>
  <c r="P1329" i="1"/>
  <c r="O1329" i="1"/>
  <c r="N1329" i="1"/>
  <c r="M1329" i="1"/>
  <c r="Q1328" i="1"/>
  <c r="P1328" i="1"/>
  <c r="O1328" i="1"/>
  <c r="N1328" i="1"/>
  <c r="M1328" i="1"/>
  <c r="Q1327" i="1"/>
  <c r="P1327" i="1"/>
  <c r="O1327" i="1"/>
  <c r="N1327" i="1"/>
  <c r="M1327" i="1"/>
  <c r="Q1326" i="1"/>
  <c r="P1326" i="1"/>
  <c r="O1326" i="1"/>
  <c r="N1326" i="1"/>
  <c r="M1326" i="1"/>
  <c r="Q1325" i="1"/>
  <c r="P1325" i="1"/>
  <c r="O1325" i="1"/>
  <c r="N1325" i="1"/>
  <c r="M1325" i="1"/>
  <c r="Q1324" i="1"/>
  <c r="P1324" i="1"/>
  <c r="O1324" i="1"/>
  <c r="N1324" i="1"/>
  <c r="M1324" i="1"/>
  <c r="Q1323" i="1"/>
  <c r="P1323" i="1"/>
  <c r="O1323" i="1"/>
  <c r="N1323" i="1"/>
  <c r="M1323" i="1"/>
  <c r="Q1322" i="1"/>
  <c r="P1322" i="1"/>
  <c r="O1322" i="1"/>
  <c r="N1322" i="1"/>
  <c r="M1322" i="1"/>
  <c r="Q1321" i="1"/>
  <c r="P1321" i="1"/>
  <c r="O1321" i="1"/>
  <c r="N1321" i="1"/>
  <c r="M1321" i="1"/>
  <c r="Q1320" i="1"/>
  <c r="P1320" i="1"/>
  <c r="O1320" i="1"/>
  <c r="N1320" i="1"/>
  <c r="M1320" i="1"/>
  <c r="Q1319" i="1"/>
  <c r="P1319" i="1"/>
  <c r="O1319" i="1"/>
  <c r="N1319" i="1"/>
  <c r="M1319" i="1"/>
  <c r="Q1318" i="1"/>
  <c r="P1318" i="1"/>
  <c r="O1318" i="1"/>
  <c r="N1318" i="1"/>
  <c r="M1318" i="1"/>
  <c r="Q1317" i="1"/>
  <c r="P1317" i="1"/>
  <c r="O1317" i="1"/>
  <c r="N1317" i="1"/>
  <c r="M1317" i="1"/>
  <c r="Q1316" i="1"/>
  <c r="P1316" i="1"/>
  <c r="O1316" i="1"/>
  <c r="N1316" i="1"/>
  <c r="M1316" i="1"/>
  <c r="Q1315" i="1"/>
  <c r="P1315" i="1"/>
  <c r="O1315" i="1"/>
  <c r="N1315" i="1"/>
  <c r="M1315" i="1"/>
  <c r="Q1314" i="1"/>
  <c r="P1314" i="1"/>
  <c r="O1314" i="1"/>
  <c r="N1314" i="1"/>
  <c r="M1314" i="1"/>
  <c r="Q1313" i="1"/>
  <c r="P1313" i="1"/>
  <c r="O1313" i="1"/>
  <c r="N1313" i="1"/>
  <c r="M1313" i="1"/>
  <c r="Q1312" i="1"/>
  <c r="P1312" i="1"/>
  <c r="O1312" i="1"/>
  <c r="N1312" i="1"/>
  <c r="M1312" i="1"/>
  <c r="Q1311" i="1"/>
  <c r="P1311" i="1"/>
  <c r="O1311" i="1"/>
  <c r="N1311" i="1"/>
  <c r="M1311" i="1"/>
  <c r="Q1310" i="1"/>
  <c r="P1310" i="1"/>
  <c r="O1310" i="1"/>
  <c r="N1310" i="1"/>
  <c r="M1310" i="1"/>
  <c r="Q1309" i="1"/>
  <c r="P1309" i="1"/>
  <c r="O1309" i="1"/>
  <c r="N1309" i="1"/>
  <c r="M1309" i="1"/>
  <c r="Q1308" i="1"/>
  <c r="P1308" i="1"/>
  <c r="O1308" i="1"/>
  <c r="N1308" i="1"/>
  <c r="M1308" i="1"/>
  <c r="Q1307" i="1"/>
  <c r="P1307" i="1"/>
  <c r="O1307" i="1"/>
  <c r="N1307" i="1"/>
  <c r="M1307" i="1"/>
  <c r="Q1306" i="1"/>
  <c r="P1306" i="1"/>
  <c r="O1306" i="1"/>
  <c r="N1306" i="1"/>
  <c r="M1306" i="1"/>
  <c r="Q1305" i="1"/>
  <c r="P1305" i="1"/>
  <c r="O1305" i="1"/>
  <c r="N1305" i="1"/>
  <c r="M1305" i="1"/>
  <c r="Q1304" i="1"/>
  <c r="P1304" i="1"/>
  <c r="O1304" i="1"/>
  <c r="N1304" i="1"/>
  <c r="M1304" i="1"/>
  <c r="Q1303" i="1"/>
  <c r="P1303" i="1"/>
  <c r="O1303" i="1"/>
  <c r="N1303" i="1"/>
  <c r="M1303" i="1"/>
  <c r="Q1302" i="1"/>
  <c r="P1302" i="1"/>
  <c r="O1302" i="1"/>
  <c r="N1302" i="1"/>
  <c r="M1302" i="1"/>
  <c r="Q1301" i="1"/>
  <c r="P1301" i="1"/>
  <c r="O1301" i="1"/>
  <c r="N1301" i="1"/>
  <c r="M1301" i="1"/>
  <c r="Q1300" i="1"/>
  <c r="P1300" i="1"/>
  <c r="O1300" i="1"/>
  <c r="N1300" i="1"/>
  <c r="M1300" i="1"/>
  <c r="Q1299" i="1"/>
  <c r="P1299" i="1"/>
  <c r="O1299" i="1"/>
  <c r="N1299" i="1"/>
  <c r="M1299" i="1"/>
  <c r="Q1298" i="1"/>
  <c r="P1298" i="1"/>
  <c r="O1298" i="1"/>
  <c r="N1298" i="1"/>
  <c r="M1298" i="1"/>
  <c r="Q1297" i="1"/>
  <c r="P1297" i="1"/>
  <c r="O1297" i="1"/>
  <c r="N1297" i="1"/>
  <c r="M1297" i="1"/>
  <c r="Q1296" i="1"/>
  <c r="P1296" i="1"/>
  <c r="O1296" i="1"/>
  <c r="N1296" i="1"/>
  <c r="M1296" i="1"/>
  <c r="Q1295" i="1"/>
  <c r="P1295" i="1"/>
  <c r="O1295" i="1"/>
  <c r="N1295" i="1"/>
  <c r="M1295" i="1"/>
  <c r="Q1294" i="1"/>
  <c r="P1294" i="1"/>
  <c r="O1294" i="1"/>
  <c r="N1294" i="1"/>
  <c r="M1294" i="1"/>
  <c r="Q1293" i="1"/>
  <c r="P1293" i="1"/>
  <c r="O1293" i="1"/>
  <c r="N1293" i="1"/>
  <c r="M1293" i="1"/>
  <c r="Q1292" i="1"/>
  <c r="P1292" i="1"/>
  <c r="O1292" i="1"/>
  <c r="N1292" i="1"/>
  <c r="M1292" i="1"/>
  <c r="Q1291" i="1"/>
  <c r="P1291" i="1"/>
  <c r="O1291" i="1"/>
  <c r="N1291" i="1"/>
  <c r="M1291" i="1"/>
  <c r="Q1290" i="1"/>
  <c r="P1290" i="1"/>
  <c r="O1290" i="1"/>
  <c r="N1290" i="1"/>
  <c r="M1290" i="1"/>
  <c r="Q1289" i="1"/>
  <c r="P1289" i="1"/>
  <c r="O1289" i="1"/>
  <c r="N1289" i="1"/>
  <c r="M1289" i="1"/>
  <c r="Q1288" i="1"/>
  <c r="P1288" i="1"/>
  <c r="O1288" i="1"/>
  <c r="N1288" i="1"/>
  <c r="M1288" i="1"/>
  <c r="Q1287" i="1"/>
  <c r="P1287" i="1"/>
  <c r="O1287" i="1"/>
  <c r="N1287" i="1"/>
  <c r="M1287" i="1"/>
  <c r="Q1286" i="1"/>
  <c r="P1286" i="1"/>
  <c r="O1286" i="1"/>
  <c r="N1286" i="1"/>
  <c r="M1286" i="1"/>
  <c r="Q1285" i="1"/>
  <c r="P1285" i="1"/>
  <c r="O1285" i="1"/>
  <c r="N1285" i="1"/>
  <c r="M1285" i="1"/>
  <c r="Q1284" i="1"/>
  <c r="P1284" i="1"/>
  <c r="O1284" i="1"/>
  <c r="N1284" i="1"/>
  <c r="M1284" i="1"/>
  <c r="Q1283" i="1"/>
  <c r="P1283" i="1"/>
  <c r="O1283" i="1"/>
  <c r="N1283" i="1"/>
  <c r="M1283" i="1"/>
  <c r="Q1282" i="1"/>
  <c r="P1282" i="1"/>
  <c r="O1282" i="1"/>
  <c r="N1282" i="1"/>
  <c r="M1282" i="1"/>
  <c r="Q1281" i="1"/>
  <c r="P1281" i="1"/>
  <c r="O1281" i="1"/>
  <c r="N1281" i="1"/>
  <c r="M1281" i="1"/>
  <c r="Q1280" i="1"/>
  <c r="P1280" i="1"/>
  <c r="O1280" i="1"/>
  <c r="N1280" i="1"/>
  <c r="M1280" i="1"/>
  <c r="Q1279" i="1"/>
  <c r="P1279" i="1"/>
  <c r="O1279" i="1"/>
  <c r="N1279" i="1"/>
  <c r="M1279" i="1"/>
  <c r="Q1278" i="1"/>
  <c r="P1278" i="1"/>
  <c r="O1278" i="1"/>
  <c r="N1278" i="1"/>
  <c r="M1278" i="1"/>
  <c r="Q1277" i="1"/>
  <c r="P1277" i="1"/>
  <c r="O1277" i="1"/>
  <c r="N1277" i="1"/>
  <c r="M1277" i="1"/>
  <c r="Q1276" i="1"/>
  <c r="P1276" i="1"/>
  <c r="O1276" i="1"/>
  <c r="N1276" i="1"/>
  <c r="M1276" i="1"/>
  <c r="Q1275" i="1"/>
  <c r="P1275" i="1"/>
  <c r="O1275" i="1"/>
  <c r="N1275" i="1"/>
  <c r="M1275" i="1"/>
  <c r="Q1274" i="1"/>
  <c r="P1274" i="1"/>
  <c r="O1274" i="1"/>
  <c r="N1274" i="1"/>
  <c r="M1274" i="1"/>
  <c r="Q1273" i="1"/>
  <c r="P1273" i="1"/>
  <c r="O1273" i="1"/>
  <c r="N1273" i="1"/>
  <c r="M1273" i="1"/>
  <c r="Q1272" i="1"/>
  <c r="P1272" i="1"/>
  <c r="O1272" i="1"/>
  <c r="N1272" i="1"/>
  <c r="M1272" i="1"/>
  <c r="Q1271" i="1"/>
  <c r="P1271" i="1"/>
  <c r="O1271" i="1"/>
  <c r="N1271" i="1"/>
  <c r="M1271" i="1"/>
  <c r="Q1270" i="1"/>
  <c r="P1270" i="1"/>
  <c r="O1270" i="1"/>
  <c r="N1270" i="1"/>
  <c r="M1270" i="1"/>
  <c r="Q1269" i="1"/>
  <c r="P1269" i="1"/>
  <c r="O1269" i="1"/>
  <c r="N1269" i="1"/>
  <c r="M1269" i="1"/>
  <c r="Q1268" i="1"/>
  <c r="P1268" i="1"/>
  <c r="O1268" i="1"/>
  <c r="N1268" i="1"/>
  <c r="M1268" i="1"/>
  <c r="Q1267" i="1"/>
  <c r="P1267" i="1"/>
  <c r="O1267" i="1"/>
  <c r="N1267" i="1"/>
  <c r="M1267" i="1"/>
  <c r="Q1266" i="1"/>
  <c r="P1266" i="1"/>
  <c r="O1266" i="1"/>
  <c r="N1266" i="1"/>
  <c r="M1266" i="1"/>
  <c r="Q1265" i="1"/>
  <c r="P1265" i="1"/>
  <c r="O1265" i="1"/>
  <c r="N1265" i="1"/>
  <c r="M1265" i="1"/>
  <c r="Q1264" i="1"/>
  <c r="P1264" i="1"/>
  <c r="O1264" i="1"/>
  <c r="N1264" i="1"/>
  <c r="M1264" i="1"/>
  <c r="Q1263" i="1"/>
  <c r="P1263" i="1"/>
  <c r="O1263" i="1"/>
  <c r="N1263" i="1"/>
  <c r="M1263" i="1"/>
  <c r="Q1262" i="1"/>
  <c r="P1262" i="1"/>
  <c r="O1262" i="1"/>
  <c r="N1262" i="1"/>
  <c r="M1262" i="1"/>
  <c r="Q1261" i="1"/>
  <c r="P1261" i="1"/>
  <c r="O1261" i="1"/>
  <c r="N1261" i="1"/>
  <c r="M1261" i="1"/>
  <c r="Q1260" i="1"/>
  <c r="P1260" i="1"/>
  <c r="O1260" i="1"/>
  <c r="N1260" i="1"/>
  <c r="M1260" i="1"/>
  <c r="Q1259" i="1"/>
  <c r="P1259" i="1"/>
  <c r="O1259" i="1"/>
  <c r="N1259" i="1"/>
  <c r="M1259" i="1"/>
  <c r="Q1258" i="1"/>
  <c r="P1258" i="1"/>
  <c r="O1258" i="1"/>
  <c r="N1258" i="1"/>
  <c r="M1258" i="1"/>
  <c r="Q1257" i="1"/>
  <c r="P1257" i="1"/>
  <c r="O1257" i="1"/>
  <c r="N1257" i="1"/>
  <c r="M1257" i="1"/>
  <c r="Q1256" i="1"/>
  <c r="P1256" i="1"/>
  <c r="O1256" i="1"/>
  <c r="N1256" i="1"/>
  <c r="M1256" i="1"/>
  <c r="Q1255" i="1"/>
  <c r="P1255" i="1"/>
  <c r="O1255" i="1"/>
  <c r="N1255" i="1"/>
  <c r="M1255" i="1"/>
  <c r="Q1254" i="1"/>
  <c r="P1254" i="1"/>
  <c r="O1254" i="1"/>
  <c r="N1254" i="1"/>
  <c r="M1254" i="1"/>
  <c r="Q1253" i="1"/>
  <c r="P1253" i="1"/>
  <c r="O1253" i="1"/>
  <c r="N1253" i="1"/>
  <c r="M1253" i="1"/>
  <c r="Q1252" i="1"/>
  <c r="P1252" i="1"/>
  <c r="O1252" i="1"/>
  <c r="N1252" i="1"/>
  <c r="M1252" i="1"/>
  <c r="Q1251" i="1"/>
  <c r="P1251" i="1"/>
  <c r="O1251" i="1"/>
  <c r="N1251" i="1"/>
  <c r="M1251" i="1"/>
  <c r="Q1250" i="1"/>
  <c r="P1250" i="1"/>
  <c r="O1250" i="1"/>
  <c r="N1250" i="1"/>
  <c r="M1250" i="1"/>
  <c r="Q1249" i="1"/>
  <c r="P1249" i="1"/>
  <c r="O1249" i="1"/>
  <c r="N1249" i="1"/>
  <c r="M1249" i="1"/>
  <c r="Q1248" i="1"/>
  <c r="P1248" i="1"/>
  <c r="O1248" i="1"/>
  <c r="N1248" i="1"/>
  <c r="M1248" i="1"/>
  <c r="Q1247" i="1"/>
  <c r="P1247" i="1"/>
  <c r="O1247" i="1"/>
  <c r="N1247" i="1"/>
  <c r="M1247" i="1"/>
  <c r="Q1246" i="1"/>
  <c r="P1246" i="1"/>
  <c r="O1246" i="1"/>
  <c r="N1246" i="1"/>
  <c r="M1246" i="1"/>
  <c r="Q1245" i="1"/>
  <c r="P1245" i="1"/>
  <c r="O1245" i="1"/>
  <c r="N1245" i="1"/>
  <c r="M1245" i="1"/>
  <c r="Q1244" i="1"/>
  <c r="P1244" i="1"/>
  <c r="O1244" i="1"/>
  <c r="N1244" i="1"/>
  <c r="M1244" i="1"/>
  <c r="Q1243" i="1"/>
  <c r="P1243" i="1"/>
  <c r="O1243" i="1"/>
  <c r="N1243" i="1"/>
  <c r="M1243" i="1"/>
  <c r="Q1242" i="1"/>
  <c r="P1242" i="1"/>
  <c r="O1242" i="1"/>
  <c r="N1242" i="1"/>
  <c r="M1242" i="1"/>
  <c r="Q1241" i="1"/>
  <c r="P1241" i="1"/>
  <c r="O1241" i="1"/>
  <c r="N1241" i="1"/>
  <c r="M1241" i="1"/>
  <c r="Q1240" i="1"/>
  <c r="P1240" i="1"/>
  <c r="O1240" i="1"/>
  <c r="N1240" i="1"/>
  <c r="M1240" i="1"/>
  <c r="Q1239" i="1"/>
  <c r="P1239" i="1"/>
  <c r="O1239" i="1"/>
  <c r="N1239" i="1"/>
  <c r="M1239" i="1"/>
  <c r="Q1238" i="1"/>
  <c r="P1238" i="1"/>
  <c r="O1238" i="1"/>
  <c r="N1238" i="1"/>
  <c r="M1238" i="1"/>
  <c r="Q1237" i="1"/>
  <c r="P1237" i="1"/>
  <c r="O1237" i="1"/>
  <c r="N1237" i="1"/>
  <c r="M1237" i="1"/>
  <c r="Q1236" i="1"/>
  <c r="P1236" i="1"/>
  <c r="O1236" i="1"/>
  <c r="N1236" i="1"/>
  <c r="M1236" i="1"/>
  <c r="Q1235" i="1"/>
  <c r="P1235" i="1"/>
  <c r="O1235" i="1"/>
  <c r="N1235" i="1"/>
  <c r="M1235" i="1"/>
  <c r="Q1234" i="1"/>
  <c r="P1234" i="1"/>
  <c r="O1234" i="1"/>
  <c r="N1234" i="1"/>
  <c r="M1234" i="1"/>
  <c r="Q1233" i="1"/>
  <c r="P1233" i="1"/>
  <c r="O1233" i="1"/>
  <c r="N1233" i="1"/>
  <c r="M1233" i="1"/>
  <c r="Q1232" i="1"/>
  <c r="P1232" i="1"/>
  <c r="O1232" i="1"/>
  <c r="N1232" i="1"/>
  <c r="M1232" i="1"/>
  <c r="Q1231" i="1"/>
  <c r="P1231" i="1"/>
  <c r="O1231" i="1"/>
  <c r="N1231" i="1"/>
  <c r="M1231" i="1"/>
  <c r="Q1230" i="1"/>
  <c r="P1230" i="1"/>
  <c r="O1230" i="1"/>
  <c r="N1230" i="1"/>
  <c r="M1230" i="1"/>
  <c r="Q1229" i="1"/>
  <c r="P1229" i="1"/>
  <c r="O1229" i="1"/>
  <c r="N1229" i="1"/>
  <c r="M1229" i="1"/>
  <c r="Q1228" i="1"/>
  <c r="P1228" i="1"/>
  <c r="O1228" i="1"/>
  <c r="N1228" i="1"/>
  <c r="M1228" i="1"/>
  <c r="Q1227" i="1"/>
  <c r="P1227" i="1"/>
  <c r="O1227" i="1"/>
  <c r="N1227" i="1"/>
  <c r="M1227" i="1"/>
  <c r="Q1226" i="1"/>
  <c r="P1226" i="1"/>
  <c r="O1226" i="1"/>
  <c r="N1226" i="1"/>
  <c r="M1226" i="1"/>
  <c r="Q1225" i="1"/>
  <c r="P1225" i="1"/>
  <c r="O1225" i="1"/>
  <c r="N1225" i="1"/>
  <c r="M1225" i="1"/>
  <c r="Q1224" i="1"/>
  <c r="P1224" i="1"/>
  <c r="O1224" i="1"/>
  <c r="N1224" i="1"/>
  <c r="M1224" i="1"/>
  <c r="Q1223" i="1"/>
  <c r="P1223" i="1"/>
  <c r="O1223" i="1"/>
  <c r="N1223" i="1"/>
  <c r="M1223" i="1"/>
  <c r="Q1222" i="1"/>
  <c r="P1222" i="1"/>
  <c r="O1222" i="1"/>
  <c r="N1222" i="1"/>
  <c r="M1222" i="1"/>
  <c r="Q1221" i="1"/>
  <c r="P1221" i="1"/>
  <c r="O1221" i="1"/>
  <c r="N1221" i="1"/>
  <c r="M1221" i="1"/>
  <c r="Q1220" i="1"/>
  <c r="P1220" i="1"/>
  <c r="O1220" i="1"/>
  <c r="N1220" i="1"/>
  <c r="M1220" i="1"/>
  <c r="Q1219" i="1"/>
  <c r="P1219" i="1"/>
  <c r="O1219" i="1"/>
  <c r="N1219" i="1"/>
  <c r="M1219" i="1"/>
  <c r="Q1218" i="1"/>
  <c r="P1218" i="1"/>
  <c r="O1218" i="1"/>
  <c r="N1218" i="1"/>
  <c r="M1218" i="1"/>
  <c r="Q1217" i="1"/>
  <c r="P1217" i="1"/>
  <c r="O1217" i="1"/>
  <c r="N1217" i="1"/>
  <c r="M1217" i="1"/>
  <c r="Q1216" i="1"/>
  <c r="P1216" i="1"/>
  <c r="O1216" i="1"/>
  <c r="N1216" i="1"/>
  <c r="M1216" i="1"/>
  <c r="Q1215" i="1"/>
  <c r="P1215" i="1"/>
  <c r="O1215" i="1"/>
  <c r="N1215" i="1"/>
  <c r="M1215" i="1"/>
  <c r="Q1214" i="1"/>
  <c r="P1214" i="1"/>
  <c r="O1214" i="1"/>
  <c r="N1214" i="1"/>
  <c r="M1214" i="1"/>
  <c r="Q1213" i="1"/>
  <c r="P1213" i="1"/>
  <c r="O1213" i="1"/>
  <c r="N1213" i="1"/>
  <c r="M1213" i="1"/>
  <c r="Q1212" i="1"/>
  <c r="P1212" i="1"/>
  <c r="O1212" i="1"/>
  <c r="N1212" i="1"/>
  <c r="M1212" i="1"/>
  <c r="Q1211" i="1"/>
  <c r="P1211" i="1"/>
  <c r="O1211" i="1"/>
  <c r="N1211" i="1"/>
  <c r="M1211" i="1"/>
  <c r="Q1210" i="1"/>
  <c r="P1210" i="1"/>
  <c r="O1210" i="1"/>
  <c r="N1210" i="1"/>
  <c r="M1210" i="1"/>
  <c r="Q1209" i="1"/>
  <c r="P1209" i="1"/>
  <c r="O1209" i="1"/>
  <c r="N1209" i="1"/>
  <c r="M1209" i="1"/>
  <c r="Q1208" i="1"/>
  <c r="P1208" i="1"/>
  <c r="O1208" i="1"/>
  <c r="N1208" i="1"/>
  <c r="M1208" i="1"/>
  <c r="Q1207" i="1"/>
  <c r="P1207" i="1"/>
  <c r="O1207" i="1"/>
  <c r="N1207" i="1"/>
  <c r="M1207" i="1"/>
  <c r="Q1206" i="1"/>
  <c r="P1206" i="1"/>
  <c r="O1206" i="1"/>
  <c r="N1206" i="1"/>
  <c r="M1206" i="1"/>
  <c r="Q1205" i="1"/>
  <c r="P1205" i="1"/>
  <c r="O1205" i="1"/>
  <c r="N1205" i="1"/>
  <c r="M1205" i="1"/>
  <c r="Q1204" i="1"/>
  <c r="P1204" i="1"/>
  <c r="O1204" i="1"/>
  <c r="N1204" i="1"/>
  <c r="M1204" i="1"/>
  <c r="Q1203" i="1"/>
  <c r="P1203" i="1"/>
  <c r="O1203" i="1"/>
  <c r="N1203" i="1"/>
  <c r="M1203" i="1"/>
  <c r="Q1202" i="1"/>
  <c r="P1202" i="1"/>
  <c r="O1202" i="1"/>
  <c r="N1202" i="1"/>
  <c r="M1202" i="1"/>
  <c r="Q1201" i="1"/>
  <c r="P1201" i="1"/>
  <c r="O1201" i="1"/>
  <c r="N1201" i="1"/>
  <c r="M1201" i="1"/>
  <c r="Q1200" i="1"/>
  <c r="P1200" i="1"/>
  <c r="O1200" i="1"/>
  <c r="N1200" i="1"/>
  <c r="M1200" i="1"/>
  <c r="Q1199" i="1"/>
  <c r="P1199" i="1"/>
  <c r="O1199" i="1"/>
  <c r="N1199" i="1"/>
  <c r="M1199" i="1"/>
  <c r="Q1198" i="1"/>
  <c r="P1198" i="1"/>
  <c r="O1198" i="1"/>
  <c r="N1198" i="1"/>
  <c r="M1198" i="1"/>
  <c r="Q1197" i="1"/>
  <c r="P1197" i="1"/>
  <c r="O1197" i="1"/>
  <c r="N1197" i="1"/>
  <c r="M1197" i="1"/>
  <c r="Q1196" i="1"/>
  <c r="P1196" i="1"/>
  <c r="O1196" i="1"/>
  <c r="N1196" i="1"/>
  <c r="M1196" i="1"/>
  <c r="Q1195" i="1"/>
  <c r="P1195" i="1"/>
  <c r="O1195" i="1"/>
  <c r="N1195" i="1"/>
  <c r="M1195" i="1"/>
  <c r="Q1194" i="1"/>
  <c r="P1194" i="1"/>
  <c r="O1194" i="1"/>
  <c r="N1194" i="1"/>
  <c r="M1194" i="1"/>
  <c r="Q1193" i="1"/>
  <c r="P1193" i="1"/>
  <c r="O1193" i="1"/>
  <c r="N1193" i="1"/>
  <c r="M1193" i="1"/>
  <c r="Q1192" i="1"/>
  <c r="P1192" i="1"/>
  <c r="O1192" i="1"/>
  <c r="N1192" i="1"/>
  <c r="M1192" i="1"/>
  <c r="Q1191" i="1"/>
  <c r="P1191" i="1"/>
  <c r="O1191" i="1"/>
  <c r="N1191" i="1"/>
  <c r="M1191" i="1"/>
  <c r="Q1190" i="1"/>
  <c r="P1190" i="1"/>
  <c r="O1190" i="1"/>
  <c r="N1190" i="1"/>
  <c r="M1190" i="1"/>
  <c r="Q1189" i="1"/>
  <c r="P1189" i="1"/>
  <c r="O1189" i="1"/>
  <c r="N1189" i="1"/>
  <c r="M1189" i="1"/>
  <c r="Q1188" i="1"/>
  <c r="P1188" i="1"/>
  <c r="O1188" i="1"/>
  <c r="N1188" i="1"/>
  <c r="M1188" i="1"/>
  <c r="Q1187" i="1"/>
  <c r="P1187" i="1"/>
  <c r="O1187" i="1"/>
  <c r="N1187" i="1"/>
  <c r="M1187" i="1"/>
  <c r="Q1186" i="1"/>
  <c r="P1186" i="1"/>
  <c r="O1186" i="1"/>
  <c r="N1186" i="1"/>
  <c r="M1186" i="1"/>
  <c r="Q1185" i="1"/>
  <c r="P1185" i="1"/>
  <c r="O1185" i="1"/>
  <c r="N1185" i="1"/>
  <c r="M1185" i="1"/>
  <c r="Q1184" i="1"/>
  <c r="P1184" i="1"/>
  <c r="O1184" i="1"/>
  <c r="N1184" i="1"/>
  <c r="M1184" i="1"/>
  <c r="Q1183" i="1"/>
  <c r="P1183" i="1"/>
  <c r="O1183" i="1"/>
  <c r="N1183" i="1"/>
  <c r="M1183" i="1"/>
  <c r="Q1182" i="1"/>
  <c r="P1182" i="1"/>
  <c r="O1182" i="1"/>
  <c r="N1182" i="1"/>
  <c r="M1182" i="1"/>
  <c r="Q1181" i="1"/>
  <c r="P1181" i="1"/>
  <c r="O1181" i="1"/>
  <c r="N1181" i="1"/>
  <c r="M1181" i="1"/>
  <c r="Q1180" i="1"/>
  <c r="P1180" i="1"/>
  <c r="O1180" i="1"/>
  <c r="N1180" i="1"/>
  <c r="M1180" i="1"/>
  <c r="Q1179" i="1"/>
  <c r="P1179" i="1"/>
  <c r="O1179" i="1"/>
  <c r="N1179" i="1"/>
  <c r="M1179" i="1"/>
  <c r="Q1178" i="1"/>
  <c r="P1178" i="1"/>
  <c r="O1178" i="1"/>
  <c r="N1178" i="1"/>
  <c r="M1178" i="1"/>
  <c r="Q1177" i="1"/>
  <c r="P1177" i="1"/>
  <c r="O1177" i="1"/>
  <c r="N1177" i="1"/>
  <c r="M1177" i="1"/>
  <c r="Q1176" i="1"/>
  <c r="P1176" i="1"/>
  <c r="O1176" i="1"/>
  <c r="N1176" i="1"/>
  <c r="M1176" i="1"/>
  <c r="Q1175" i="1"/>
  <c r="P1175" i="1"/>
  <c r="O1175" i="1"/>
  <c r="N1175" i="1"/>
  <c r="M1175" i="1"/>
  <c r="Q1174" i="1"/>
  <c r="P1174" i="1"/>
  <c r="O1174" i="1"/>
  <c r="N1174" i="1"/>
  <c r="M1174" i="1"/>
  <c r="Q1173" i="1"/>
  <c r="P1173" i="1"/>
  <c r="O1173" i="1"/>
  <c r="N1173" i="1"/>
  <c r="M1173" i="1"/>
  <c r="Q1172" i="1"/>
  <c r="P1172" i="1"/>
  <c r="O1172" i="1"/>
  <c r="N1172" i="1"/>
  <c r="M1172" i="1"/>
  <c r="Q1171" i="1"/>
  <c r="P1171" i="1"/>
  <c r="O1171" i="1"/>
  <c r="N1171" i="1"/>
  <c r="M1171" i="1"/>
  <c r="Q1170" i="1"/>
  <c r="P1170" i="1"/>
  <c r="O1170" i="1"/>
  <c r="N1170" i="1"/>
  <c r="M1170" i="1"/>
  <c r="Q1169" i="1"/>
  <c r="P1169" i="1"/>
  <c r="O1169" i="1"/>
  <c r="N1169" i="1"/>
  <c r="M1169" i="1"/>
  <c r="Q1168" i="1"/>
  <c r="P1168" i="1"/>
  <c r="O1168" i="1"/>
  <c r="N1168" i="1"/>
  <c r="M1168" i="1"/>
  <c r="Q1167" i="1"/>
  <c r="P1167" i="1"/>
  <c r="O1167" i="1"/>
  <c r="N1167" i="1"/>
  <c r="M1167" i="1"/>
  <c r="Q1166" i="1"/>
  <c r="P1166" i="1"/>
  <c r="O1166" i="1"/>
  <c r="N1166" i="1"/>
  <c r="M1166" i="1"/>
  <c r="Q1165" i="1"/>
  <c r="P1165" i="1"/>
  <c r="O1165" i="1"/>
  <c r="N1165" i="1"/>
  <c r="M1165" i="1"/>
  <c r="Q1164" i="1"/>
  <c r="P1164" i="1"/>
  <c r="O1164" i="1"/>
  <c r="N1164" i="1"/>
  <c r="M1164" i="1"/>
  <c r="Q1163" i="1"/>
  <c r="P1163" i="1"/>
  <c r="O1163" i="1"/>
  <c r="N1163" i="1"/>
  <c r="M1163" i="1"/>
  <c r="Q1162" i="1"/>
  <c r="P1162" i="1"/>
  <c r="O1162" i="1"/>
  <c r="N1162" i="1"/>
  <c r="M1162" i="1"/>
  <c r="Q1161" i="1"/>
  <c r="P1161" i="1"/>
  <c r="O1161" i="1"/>
  <c r="N1161" i="1"/>
  <c r="M1161" i="1"/>
  <c r="Q1160" i="1"/>
  <c r="P1160" i="1"/>
  <c r="O1160" i="1"/>
  <c r="N1160" i="1"/>
  <c r="M1160" i="1"/>
  <c r="Q1159" i="1"/>
  <c r="P1159" i="1"/>
  <c r="O1159" i="1"/>
  <c r="N1159" i="1"/>
  <c r="M1159" i="1"/>
  <c r="Q1158" i="1"/>
  <c r="P1158" i="1"/>
  <c r="O1158" i="1"/>
  <c r="N1158" i="1"/>
  <c r="M1158" i="1"/>
  <c r="Q1157" i="1"/>
  <c r="P1157" i="1"/>
  <c r="O1157" i="1"/>
  <c r="N1157" i="1"/>
  <c r="M1157" i="1"/>
  <c r="Q1156" i="1"/>
  <c r="P1156" i="1"/>
  <c r="O1156" i="1"/>
  <c r="N1156" i="1"/>
  <c r="M1156" i="1"/>
  <c r="Q1155" i="1"/>
  <c r="P1155" i="1"/>
  <c r="O1155" i="1"/>
  <c r="N1155" i="1"/>
  <c r="M1155" i="1"/>
  <c r="Q1154" i="1"/>
  <c r="P1154" i="1"/>
  <c r="O1154" i="1"/>
  <c r="N1154" i="1"/>
  <c r="M1154" i="1"/>
  <c r="Q1153" i="1"/>
  <c r="P1153" i="1"/>
  <c r="O1153" i="1"/>
  <c r="N1153" i="1"/>
  <c r="M1153" i="1"/>
  <c r="Q1152" i="1"/>
  <c r="P1152" i="1"/>
  <c r="O1152" i="1"/>
  <c r="N1152" i="1"/>
  <c r="M1152" i="1"/>
  <c r="Q1151" i="1"/>
  <c r="P1151" i="1"/>
  <c r="O1151" i="1"/>
  <c r="N1151" i="1"/>
  <c r="M1151" i="1"/>
  <c r="Q1150" i="1"/>
  <c r="P1150" i="1"/>
  <c r="O1150" i="1"/>
  <c r="N1150" i="1"/>
  <c r="M1150" i="1"/>
  <c r="Q1149" i="1"/>
  <c r="P1149" i="1"/>
  <c r="O1149" i="1"/>
  <c r="N1149" i="1"/>
  <c r="M1149" i="1"/>
  <c r="Q1148" i="1"/>
  <c r="P1148" i="1"/>
  <c r="O1148" i="1"/>
  <c r="N1148" i="1"/>
  <c r="M1148" i="1"/>
  <c r="Q1147" i="1"/>
  <c r="P1147" i="1"/>
  <c r="O1147" i="1"/>
  <c r="N1147" i="1"/>
  <c r="M1147" i="1"/>
  <c r="Q1146" i="1"/>
  <c r="P1146" i="1"/>
  <c r="O1146" i="1"/>
  <c r="N1146" i="1"/>
  <c r="M1146" i="1"/>
  <c r="Q1145" i="1"/>
  <c r="P1145" i="1"/>
  <c r="O1145" i="1"/>
  <c r="N1145" i="1"/>
  <c r="M1145" i="1"/>
  <c r="Q1144" i="1"/>
  <c r="P1144" i="1"/>
  <c r="O1144" i="1"/>
  <c r="N1144" i="1"/>
  <c r="M1144" i="1"/>
  <c r="Q1143" i="1"/>
  <c r="P1143" i="1"/>
  <c r="O1143" i="1"/>
  <c r="N1143" i="1"/>
  <c r="M1143" i="1"/>
  <c r="Q1142" i="1"/>
  <c r="P1142" i="1"/>
  <c r="O1142" i="1"/>
  <c r="N1142" i="1"/>
  <c r="M1142" i="1"/>
  <c r="Q1141" i="1"/>
  <c r="P1141" i="1"/>
  <c r="O1141" i="1"/>
  <c r="N1141" i="1"/>
  <c r="M1141" i="1"/>
  <c r="Q1140" i="1"/>
  <c r="P1140" i="1"/>
  <c r="O1140" i="1"/>
  <c r="N1140" i="1"/>
  <c r="M1140" i="1"/>
  <c r="Q1139" i="1"/>
  <c r="P1139" i="1"/>
  <c r="O1139" i="1"/>
  <c r="N1139" i="1"/>
  <c r="M1139" i="1"/>
  <c r="Q1138" i="1"/>
  <c r="P1138" i="1"/>
  <c r="O1138" i="1"/>
  <c r="N1138" i="1"/>
  <c r="M1138" i="1"/>
  <c r="Q1137" i="1"/>
  <c r="P1137" i="1"/>
  <c r="O1137" i="1"/>
  <c r="N1137" i="1"/>
  <c r="M1137" i="1"/>
  <c r="Q1136" i="1"/>
  <c r="P1136" i="1"/>
  <c r="O1136" i="1"/>
  <c r="N1136" i="1"/>
  <c r="M1136" i="1"/>
  <c r="Q1135" i="1"/>
  <c r="P1135" i="1"/>
  <c r="O1135" i="1"/>
  <c r="N1135" i="1"/>
  <c r="M1135" i="1"/>
  <c r="Q1134" i="1"/>
  <c r="P1134" i="1"/>
  <c r="O1134" i="1"/>
  <c r="N1134" i="1"/>
  <c r="M1134" i="1"/>
  <c r="Q1133" i="1"/>
  <c r="P1133" i="1"/>
  <c r="O1133" i="1"/>
  <c r="N1133" i="1"/>
  <c r="M1133" i="1"/>
  <c r="Q1132" i="1"/>
  <c r="P1132" i="1"/>
  <c r="O1132" i="1"/>
  <c r="N1132" i="1"/>
  <c r="M1132" i="1"/>
  <c r="Q1131" i="1"/>
  <c r="P1131" i="1"/>
  <c r="O1131" i="1"/>
  <c r="N1131" i="1"/>
  <c r="M1131" i="1"/>
  <c r="Q1130" i="1"/>
  <c r="P1130" i="1"/>
  <c r="O1130" i="1"/>
  <c r="N1130" i="1"/>
  <c r="M1130" i="1"/>
  <c r="Q1129" i="1"/>
  <c r="P1129" i="1"/>
  <c r="O1129" i="1"/>
  <c r="N1129" i="1"/>
  <c r="M1129" i="1"/>
  <c r="Q1128" i="1"/>
  <c r="P1128" i="1"/>
  <c r="O1128" i="1"/>
  <c r="N1128" i="1"/>
  <c r="M1128" i="1"/>
  <c r="Q1127" i="1"/>
  <c r="P1127" i="1"/>
  <c r="O1127" i="1"/>
  <c r="N1127" i="1"/>
  <c r="M1127" i="1"/>
  <c r="Q1126" i="1"/>
  <c r="P1126" i="1"/>
  <c r="O1126" i="1"/>
  <c r="N1126" i="1"/>
  <c r="M1126" i="1"/>
  <c r="Q1125" i="1"/>
  <c r="P1125" i="1"/>
  <c r="O1125" i="1"/>
  <c r="N1125" i="1"/>
  <c r="M1125" i="1"/>
  <c r="Q1124" i="1"/>
  <c r="P1124" i="1"/>
  <c r="O1124" i="1"/>
  <c r="N1124" i="1"/>
  <c r="M1124" i="1"/>
  <c r="Q1123" i="1"/>
  <c r="P1123" i="1"/>
  <c r="O1123" i="1"/>
  <c r="N1123" i="1"/>
  <c r="M1123" i="1"/>
  <c r="Q1122" i="1"/>
  <c r="P1122" i="1"/>
  <c r="O1122" i="1"/>
  <c r="N1122" i="1"/>
  <c r="M1122" i="1"/>
  <c r="Q1121" i="1"/>
  <c r="P1121" i="1"/>
  <c r="O1121" i="1"/>
  <c r="N1121" i="1"/>
  <c r="M1121" i="1"/>
  <c r="Q1120" i="1"/>
  <c r="P1120" i="1"/>
  <c r="O1120" i="1"/>
  <c r="N1120" i="1"/>
  <c r="M1120" i="1"/>
  <c r="Q1119" i="1"/>
  <c r="P1119" i="1"/>
  <c r="O1119" i="1"/>
  <c r="N1119" i="1"/>
  <c r="M1119" i="1"/>
  <c r="Q1118" i="1"/>
  <c r="P1118" i="1"/>
  <c r="O1118" i="1"/>
  <c r="N1118" i="1"/>
  <c r="M1118" i="1"/>
  <c r="Q1117" i="1"/>
  <c r="P1117" i="1"/>
  <c r="O1117" i="1"/>
  <c r="N1117" i="1"/>
  <c r="M1117" i="1"/>
  <c r="Q1116" i="1"/>
  <c r="P1116" i="1"/>
  <c r="O1116" i="1"/>
  <c r="N1116" i="1"/>
  <c r="M1116" i="1"/>
  <c r="Q1115" i="1"/>
  <c r="P1115" i="1"/>
  <c r="O1115" i="1"/>
  <c r="N1115" i="1"/>
  <c r="M1115" i="1"/>
  <c r="Q1114" i="1"/>
  <c r="P1114" i="1"/>
  <c r="O1114" i="1"/>
  <c r="N1114" i="1"/>
  <c r="M1114" i="1"/>
  <c r="Q1113" i="1"/>
  <c r="P1113" i="1"/>
  <c r="O1113" i="1"/>
  <c r="N1113" i="1"/>
  <c r="M1113" i="1"/>
  <c r="Q1112" i="1"/>
  <c r="P1112" i="1"/>
  <c r="O1112" i="1"/>
  <c r="N1112" i="1"/>
  <c r="M1112" i="1"/>
  <c r="Q1111" i="1"/>
  <c r="P1111" i="1"/>
  <c r="O1111" i="1"/>
  <c r="N1111" i="1"/>
  <c r="M1111" i="1"/>
  <c r="Q1110" i="1"/>
  <c r="P1110" i="1"/>
  <c r="O1110" i="1"/>
  <c r="N1110" i="1"/>
  <c r="M1110" i="1"/>
  <c r="Q1109" i="1"/>
  <c r="P1109" i="1"/>
  <c r="O1109" i="1"/>
  <c r="N1109" i="1"/>
  <c r="M1109" i="1"/>
  <c r="Q1108" i="1"/>
  <c r="P1108" i="1"/>
  <c r="O1108" i="1"/>
  <c r="N1108" i="1"/>
  <c r="M1108" i="1"/>
  <c r="Q1107" i="1"/>
  <c r="P1107" i="1"/>
  <c r="O1107" i="1"/>
  <c r="N1107" i="1"/>
  <c r="M1107" i="1"/>
  <c r="Q1106" i="1"/>
  <c r="P1106" i="1"/>
  <c r="O1106" i="1"/>
  <c r="N1106" i="1"/>
  <c r="M1106" i="1"/>
  <c r="Q1105" i="1"/>
  <c r="P1105" i="1"/>
  <c r="O1105" i="1"/>
  <c r="N1105" i="1"/>
  <c r="M1105" i="1"/>
  <c r="Q1104" i="1"/>
  <c r="P1104" i="1"/>
  <c r="O1104" i="1"/>
  <c r="N1104" i="1"/>
  <c r="M1104" i="1"/>
  <c r="Q1103" i="1"/>
  <c r="P1103" i="1"/>
  <c r="O1103" i="1"/>
  <c r="N1103" i="1"/>
  <c r="M1103" i="1"/>
  <c r="Q1102" i="1"/>
  <c r="P1102" i="1"/>
  <c r="O1102" i="1"/>
  <c r="N1102" i="1"/>
  <c r="M1102" i="1"/>
  <c r="Q1101" i="1"/>
  <c r="P1101" i="1"/>
  <c r="O1101" i="1"/>
  <c r="N1101" i="1"/>
  <c r="M1101" i="1"/>
  <c r="Q1100" i="1"/>
  <c r="P1100" i="1"/>
  <c r="O1100" i="1"/>
  <c r="N1100" i="1"/>
  <c r="M1100" i="1"/>
  <c r="Q1099" i="1"/>
  <c r="P1099" i="1"/>
  <c r="O1099" i="1"/>
  <c r="N1099" i="1"/>
  <c r="M1099" i="1"/>
  <c r="Q1098" i="1"/>
  <c r="P1098" i="1"/>
  <c r="O1098" i="1"/>
  <c r="N1098" i="1"/>
  <c r="M1098" i="1"/>
  <c r="Q1097" i="1"/>
  <c r="P1097" i="1"/>
  <c r="O1097" i="1"/>
  <c r="N1097" i="1"/>
  <c r="M1097" i="1"/>
  <c r="Q1096" i="1"/>
  <c r="P1096" i="1"/>
  <c r="O1096" i="1"/>
  <c r="N1096" i="1"/>
  <c r="M1096" i="1"/>
  <c r="Q1095" i="1"/>
  <c r="P1095" i="1"/>
  <c r="O1095" i="1"/>
  <c r="N1095" i="1"/>
  <c r="M1095" i="1"/>
  <c r="Q1094" i="1"/>
  <c r="P1094" i="1"/>
  <c r="O1094" i="1"/>
  <c r="N1094" i="1"/>
  <c r="M1094" i="1"/>
  <c r="Q1093" i="1"/>
  <c r="P1093" i="1"/>
  <c r="O1093" i="1"/>
  <c r="N1093" i="1"/>
  <c r="M1093" i="1"/>
  <c r="Q1092" i="1"/>
  <c r="P1092" i="1"/>
  <c r="O1092" i="1"/>
  <c r="N1092" i="1"/>
  <c r="M1092" i="1"/>
  <c r="Q1091" i="1"/>
  <c r="P1091" i="1"/>
  <c r="O1091" i="1"/>
  <c r="N1091" i="1"/>
  <c r="M1091" i="1"/>
  <c r="Q1090" i="1"/>
  <c r="P1090" i="1"/>
  <c r="O1090" i="1"/>
  <c r="N1090" i="1"/>
  <c r="M1090" i="1"/>
  <c r="Q1089" i="1"/>
  <c r="P1089" i="1"/>
  <c r="O1089" i="1"/>
  <c r="N1089" i="1"/>
  <c r="M1089" i="1"/>
  <c r="Q1088" i="1"/>
  <c r="P1088" i="1"/>
  <c r="O1088" i="1"/>
  <c r="N1088" i="1"/>
  <c r="M1088" i="1"/>
  <c r="Q1087" i="1"/>
  <c r="P1087" i="1"/>
  <c r="O1087" i="1"/>
  <c r="N1087" i="1"/>
  <c r="M1087" i="1"/>
  <c r="Q1086" i="1"/>
  <c r="P1086" i="1"/>
  <c r="O1086" i="1"/>
  <c r="N1086" i="1"/>
  <c r="M1086" i="1"/>
  <c r="Q1085" i="1"/>
  <c r="P1085" i="1"/>
  <c r="O1085" i="1"/>
  <c r="N1085" i="1"/>
  <c r="M1085" i="1"/>
  <c r="Q1084" i="1"/>
  <c r="P1084" i="1"/>
  <c r="O1084" i="1"/>
  <c r="N1084" i="1"/>
  <c r="M1084" i="1"/>
  <c r="Q1083" i="1"/>
  <c r="P1083" i="1"/>
  <c r="O1083" i="1"/>
  <c r="N1083" i="1"/>
  <c r="M1083" i="1"/>
  <c r="Q1082" i="1"/>
  <c r="P1082" i="1"/>
  <c r="O1082" i="1"/>
  <c r="N1082" i="1"/>
  <c r="M1082" i="1"/>
  <c r="Q1081" i="1"/>
  <c r="P1081" i="1"/>
  <c r="O1081" i="1"/>
  <c r="N1081" i="1"/>
  <c r="M1081" i="1"/>
  <c r="Q1080" i="1"/>
  <c r="P1080" i="1"/>
  <c r="O1080" i="1"/>
  <c r="N1080" i="1"/>
  <c r="M1080" i="1"/>
  <c r="Q1079" i="1"/>
  <c r="P1079" i="1"/>
  <c r="O1079" i="1"/>
  <c r="N1079" i="1"/>
  <c r="M1079" i="1"/>
  <c r="Q1078" i="1"/>
  <c r="P1078" i="1"/>
  <c r="O1078" i="1"/>
  <c r="N1078" i="1"/>
  <c r="M1078" i="1"/>
  <c r="Q1077" i="1"/>
  <c r="P1077" i="1"/>
  <c r="O1077" i="1"/>
  <c r="N1077" i="1"/>
  <c r="M1077" i="1"/>
  <c r="Q1076" i="1"/>
  <c r="P1076" i="1"/>
  <c r="O1076" i="1"/>
  <c r="N1076" i="1"/>
  <c r="M1076" i="1"/>
  <c r="Q1075" i="1"/>
  <c r="P1075" i="1"/>
  <c r="O1075" i="1"/>
  <c r="N1075" i="1"/>
  <c r="M1075" i="1"/>
  <c r="Q1074" i="1"/>
  <c r="P1074" i="1"/>
  <c r="O1074" i="1"/>
  <c r="N1074" i="1"/>
  <c r="M1074" i="1"/>
  <c r="Q1073" i="1"/>
  <c r="P1073" i="1"/>
  <c r="O1073" i="1"/>
  <c r="N1073" i="1"/>
  <c r="M1073" i="1"/>
  <c r="Q1072" i="1"/>
  <c r="P1072" i="1"/>
  <c r="O1072" i="1"/>
  <c r="N1072" i="1"/>
  <c r="M1072" i="1"/>
  <c r="Q1071" i="1"/>
  <c r="P1071" i="1"/>
  <c r="O1071" i="1"/>
  <c r="N1071" i="1"/>
  <c r="M1071" i="1"/>
  <c r="Q1070" i="1"/>
  <c r="P1070" i="1"/>
  <c r="O1070" i="1"/>
  <c r="N1070" i="1"/>
  <c r="M1070" i="1"/>
  <c r="Q1069" i="1"/>
  <c r="P1069" i="1"/>
  <c r="O1069" i="1"/>
  <c r="N1069" i="1"/>
  <c r="M1069" i="1"/>
  <c r="Q1068" i="1"/>
  <c r="P1068" i="1"/>
  <c r="O1068" i="1"/>
  <c r="N1068" i="1"/>
  <c r="M1068" i="1"/>
  <c r="Q1067" i="1"/>
  <c r="P1067" i="1"/>
  <c r="O1067" i="1"/>
  <c r="N1067" i="1"/>
  <c r="M1067" i="1"/>
  <c r="Q1066" i="1"/>
  <c r="P1066" i="1"/>
  <c r="O1066" i="1"/>
  <c r="N1066" i="1"/>
  <c r="M1066" i="1"/>
  <c r="Q1065" i="1"/>
  <c r="P1065" i="1"/>
  <c r="O1065" i="1"/>
  <c r="N1065" i="1"/>
  <c r="M1065" i="1"/>
  <c r="Q1064" i="1"/>
  <c r="P1064" i="1"/>
  <c r="O1064" i="1"/>
  <c r="N1064" i="1"/>
  <c r="M1064" i="1"/>
  <c r="Q1063" i="1"/>
  <c r="P1063" i="1"/>
  <c r="O1063" i="1"/>
  <c r="N1063" i="1"/>
  <c r="M1063" i="1"/>
  <c r="Q1062" i="1"/>
  <c r="P1062" i="1"/>
  <c r="O1062" i="1"/>
  <c r="N1062" i="1"/>
  <c r="M1062" i="1"/>
  <c r="Q1061" i="1"/>
  <c r="P1061" i="1"/>
  <c r="O1061" i="1"/>
  <c r="N1061" i="1"/>
  <c r="M1061" i="1"/>
  <c r="Q1060" i="1"/>
  <c r="P1060" i="1"/>
  <c r="O1060" i="1"/>
  <c r="N1060" i="1"/>
  <c r="M1060" i="1"/>
  <c r="Q1059" i="1"/>
  <c r="P1059" i="1"/>
  <c r="O1059" i="1"/>
  <c r="N1059" i="1"/>
  <c r="M1059" i="1"/>
  <c r="Q1058" i="1"/>
  <c r="P1058" i="1"/>
  <c r="O1058" i="1"/>
  <c r="N1058" i="1"/>
  <c r="M1058" i="1"/>
  <c r="Q1057" i="1"/>
  <c r="P1057" i="1"/>
  <c r="O1057" i="1"/>
  <c r="N1057" i="1"/>
  <c r="M1057" i="1"/>
  <c r="Q1056" i="1"/>
  <c r="P1056" i="1"/>
  <c r="O1056" i="1"/>
  <c r="N1056" i="1"/>
  <c r="M1056" i="1"/>
  <c r="Q1055" i="1"/>
  <c r="P1055" i="1"/>
  <c r="O1055" i="1"/>
  <c r="N1055" i="1"/>
  <c r="M1055" i="1"/>
  <c r="Q1054" i="1"/>
  <c r="P1054" i="1"/>
  <c r="O1054" i="1"/>
  <c r="N1054" i="1"/>
  <c r="M1054" i="1"/>
  <c r="Q1053" i="1"/>
  <c r="P1053" i="1"/>
  <c r="O1053" i="1"/>
  <c r="N1053" i="1"/>
  <c r="M1053" i="1"/>
  <c r="Q1052" i="1"/>
  <c r="P1052" i="1"/>
  <c r="O1052" i="1"/>
  <c r="N1052" i="1"/>
  <c r="M1052" i="1"/>
  <c r="Q1051" i="1"/>
  <c r="P1051" i="1"/>
  <c r="O1051" i="1"/>
  <c r="N1051" i="1"/>
  <c r="M1051" i="1"/>
  <c r="Q1050" i="1"/>
  <c r="P1050" i="1"/>
  <c r="O1050" i="1"/>
  <c r="N1050" i="1"/>
  <c r="M1050" i="1"/>
  <c r="Q1049" i="1"/>
  <c r="P1049" i="1"/>
  <c r="O1049" i="1"/>
  <c r="N1049" i="1"/>
  <c r="M1049" i="1"/>
  <c r="Q1048" i="1"/>
  <c r="P1048" i="1"/>
  <c r="O1048" i="1"/>
  <c r="N1048" i="1"/>
  <c r="M1048" i="1"/>
  <c r="Q1047" i="1"/>
  <c r="P1047" i="1"/>
  <c r="O1047" i="1"/>
  <c r="N1047" i="1"/>
  <c r="M1047" i="1"/>
  <c r="Q1046" i="1"/>
  <c r="P1046" i="1"/>
  <c r="O1046" i="1"/>
  <c r="N1046" i="1"/>
  <c r="M1046" i="1"/>
  <c r="Q1045" i="1"/>
  <c r="P1045" i="1"/>
  <c r="O1045" i="1"/>
  <c r="N1045" i="1"/>
  <c r="M1045" i="1"/>
  <c r="Q1044" i="1"/>
  <c r="P1044" i="1"/>
  <c r="O1044" i="1"/>
  <c r="N1044" i="1"/>
  <c r="M1044" i="1"/>
  <c r="Q1043" i="1"/>
  <c r="P1043" i="1"/>
  <c r="O1043" i="1"/>
  <c r="N1043" i="1"/>
  <c r="M1043" i="1"/>
  <c r="Q1042" i="1"/>
  <c r="P1042" i="1"/>
  <c r="O1042" i="1"/>
  <c r="N1042" i="1"/>
  <c r="M1042" i="1"/>
  <c r="Q1041" i="1"/>
  <c r="P1041" i="1"/>
  <c r="O1041" i="1"/>
  <c r="N1041" i="1"/>
  <c r="M1041" i="1"/>
  <c r="Q1040" i="1"/>
  <c r="P1040" i="1"/>
  <c r="O1040" i="1"/>
  <c r="N1040" i="1"/>
  <c r="M1040" i="1"/>
  <c r="Q1039" i="1"/>
  <c r="P1039" i="1"/>
  <c r="O1039" i="1"/>
  <c r="N1039" i="1"/>
  <c r="M1039" i="1"/>
  <c r="Q1038" i="1"/>
  <c r="P1038" i="1"/>
  <c r="O1038" i="1"/>
  <c r="N1038" i="1"/>
  <c r="M1038" i="1"/>
  <c r="Q1037" i="1"/>
  <c r="P1037" i="1"/>
  <c r="O1037" i="1"/>
  <c r="N1037" i="1"/>
  <c r="M1037" i="1"/>
  <c r="Q1036" i="1"/>
  <c r="P1036" i="1"/>
  <c r="O1036" i="1"/>
  <c r="N1036" i="1"/>
  <c r="M1036" i="1"/>
  <c r="Q1035" i="1"/>
  <c r="P1035" i="1"/>
  <c r="O1035" i="1"/>
  <c r="N1035" i="1"/>
  <c r="M1035" i="1"/>
  <c r="Q1034" i="1"/>
  <c r="P1034" i="1"/>
  <c r="O1034" i="1"/>
  <c r="N1034" i="1"/>
  <c r="M1034" i="1"/>
  <c r="Q1033" i="1"/>
  <c r="P1033" i="1"/>
  <c r="O1033" i="1"/>
  <c r="N1033" i="1"/>
  <c r="M1033" i="1"/>
  <c r="Q1032" i="1"/>
  <c r="P1032" i="1"/>
  <c r="O1032" i="1"/>
  <c r="N1032" i="1"/>
  <c r="M1032" i="1"/>
  <c r="Q1031" i="1"/>
  <c r="P1031" i="1"/>
  <c r="O1031" i="1"/>
  <c r="N1031" i="1"/>
  <c r="M1031" i="1"/>
  <c r="Q1030" i="1"/>
  <c r="P1030" i="1"/>
  <c r="O1030" i="1"/>
  <c r="N1030" i="1"/>
  <c r="M1030" i="1"/>
  <c r="Q1029" i="1"/>
  <c r="P1029" i="1"/>
  <c r="O1029" i="1"/>
  <c r="N1029" i="1"/>
  <c r="M1029" i="1"/>
  <c r="Q1028" i="1"/>
  <c r="P1028" i="1"/>
  <c r="O1028" i="1"/>
  <c r="N1028" i="1"/>
  <c r="M1028" i="1"/>
  <c r="Q1027" i="1"/>
  <c r="P1027" i="1"/>
  <c r="O1027" i="1"/>
  <c r="N1027" i="1"/>
  <c r="M1027" i="1"/>
  <c r="Q1026" i="1"/>
  <c r="P1026" i="1"/>
  <c r="O1026" i="1"/>
  <c r="N1026" i="1"/>
  <c r="M1026" i="1"/>
  <c r="Q1025" i="1"/>
  <c r="P1025" i="1"/>
  <c r="O1025" i="1"/>
  <c r="N1025" i="1"/>
  <c r="M1025" i="1"/>
  <c r="Q1024" i="1"/>
  <c r="P1024" i="1"/>
  <c r="O1024" i="1"/>
  <c r="N1024" i="1"/>
  <c r="M1024" i="1"/>
  <c r="Q1023" i="1"/>
  <c r="P1023" i="1"/>
  <c r="O1023" i="1"/>
  <c r="N1023" i="1"/>
  <c r="M1023" i="1"/>
  <c r="Q1022" i="1"/>
  <c r="P1022" i="1"/>
  <c r="O1022" i="1"/>
  <c r="N1022" i="1"/>
  <c r="M1022" i="1"/>
  <c r="Q1021" i="1"/>
  <c r="P1021" i="1"/>
  <c r="O1021" i="1"/>
  <c r="N1021" i="1"/>
  <c r="M1021" i="1"/>
  <c r="Q1020" i="1"/>
  <c r="P1020" i="1"/>
  <c r="O1020" i="1"/>
  <c r="N1020" i="1"/>
  <c r="M1020" i="1"/>
  <c r="Q1019" i="1"/>
  <c r="P1019" i="1"/>
  <c r="O1019" i="1"/>
  <c r="N1019" i="1"/>
  <c r="M1019" i="1"/>
  <c r="Q1018" i="1"/>
  <c r="P1018" i="1"/>
  <c r="O1018" i="1"/>
  <c r="N1018" i="1"/>
  <c r="M1018" i="1"/>
  <c r="Q1017" i="1"/>
  <c r="P1017" i="1"/>
  <c r="O1017" i="1"/>
  <c r="N1017" i="1"/>
  <c r="M1017" i="1"/>
  <c r="Q1016" i="1"/>
  <c r="P1016" i="1"/>
  <c r="O1016" i="1"/>
  <c r="N1016" i="1"/>
  <c r="M1016" i="1"/>
  <c r="Q1015" i="1"/>
  <c r="P1015" i="1"/>
  <c r="O1015" i="1"/>
  <c r="N1015" i="1"/>
  <c r="M1015" i="1"/>
  <c r="Q1014" i="1"/>
  <c r="P1014" i="1"/>
  <c r="O1014" i="1"/>
  <c r="N1014" i="1"/>
  <c r="M1014" i="1"/>
  <c r="Q1013" i="1"/>
  <c r="P1013" i="1"/>
  <c r="O1013" i="1"/>
  <c r="N1013" i="1"/>
  <c r="M1013" i="1"/>
  <c r="Q1012" i="1"/>
  <c r="P1012" i="1"/>
  <c r="O1012" i="1"/>
  <c r="N1012" i="1"/>
  <c r="M1012" i="1"/>
  <c r="Q1011" i="1"/>
  <c r="P1011" i="1"/>
  <c r="O1011" i="1"/>
  <c r="N1011" i="1"/>
  <c r="M1011" i="1"/>
  <c r="Q1010" i="1"/>
  <c r="P1010" i="1"/>
  <c r="O1010" i="1"/>
  <c r="N1010" i="1"/>
  <c r="M1010" i="1"/>
  <c r="Q1009" i="1"/>
  <c r="P1009" i="1"/>
  <c r="O1009" i="1"/>
  <c r="N1009" i="1"/>
  <c r="M1009" i="1"/>
  <c r="Q1008" i="1"/>
  <c r="P1008" i="1"/>
  <c r="O1008" i="1"/>
  <c r="N1008" i="1"/>
  <c r="M1008" i="1"/>
  <c r="Q1007" i="1"/>
  <c r="P1007" i="1"/>
  <c r="O1007" i="1"/>
  <c r="N1007" i="1"/>
  <c r="M1007" i="1"/>
  <c r="Q1006" i="1"/>
  <c r="P1006" i="1"/>
  <c r="O1006" i="1"/>
  <c r="N1006" i="1"/>
  <c r="M1006" i="1"/>
  <c r="Q1005" i="1"/>
  <c r="P1005" i="1"/>
  <c r="O1005" i="1"/>
  <c r="N1005" i="1"/>
  <c r="M1005" i="1"/>
  <c r="Q1004" i="1"/>
  <c r="P1004" i="1"/>
  <c r="O1004" i="1"/>
  <c r="N1004" i="1"/>
  <c r="M1004" i="1"/>
  <c r="Q1003" i="1"/>
  <c r="P1003" i="1"/>
  <c r="O1003" i="1"/>
  <c r="N1003" i="1"/>
  <c r="M1003" i="1"/>
  <c r="Q1002" i="1"/>
  <c r="P1002" i="1"/>
  <c r="O1002" i="1"/>
  <c r="N1002" i="1"/>
  <c r="M1002" i="1"/>
  <c r="Q1001" i="1"/>
  <c r="P1001" i="1"/>
  <c r="O1001" i="1"/>
  <c r="N1001" i="1"/>
  <c r="M1001" i="1"/>
  <c r="Q1000" i="1"/>
  <c r="P1000" i="1"/>
  <c r="O1000" i="1"/>
  <c r="N1000" i="1"/>
  <c r="M1000" i="1"/>
  <c r="Q999" i="1"/>
  <c r="P999" i="1"/>
  <c r="O999" i="1"/>
  <c r="N999" i="1"/>
  <c r="M999" i="1"/>
  <c r="Q998" i="1"/>
  <c r="P998" i="1"/>
  <c r="O998" i="1"/>
  <c r="N998" i="1"/>
  <c r="M998" i="1"/>
  <c r="Q997" i="1"/>
  <c r="P997" i="1"/>
  <c r="O997" i="1"/>
  <c r="N997" i="1"/>
  <c r="M997" i="1"/>
  <c r="Q996" i="1"/>
  <c r="P996" i="1"/>
  <c r="O996" i="1"/>
  <c r="N996" i="1"/>
  <c r="M996" i="1"/>
  <c r="Q995" i="1"/>
  <c r="P995" i="1"/>
  <c r="O995" i="1"/>
  <c r="N995" i="1"/>
  <c r="M995" i="1"/>
  <c r="Q994" i="1"/>
  <c r="P994" i="1"/>
  <c r="O994" i="1"/>
  <c r="N994" i="1"/>
  <c r="M994" i="1"/>
  <c r="Q993" i="1"/>
  <c r="P993" i="1"/>
  <c r="O993" i="1"/>
  <c r="N993" i="1"/>
  <c r="M993" i="1"/>
  <c r="Q992" i="1"/>
  <c r="P992" i="1"/>
  <c r="O992" i="1"/>
  <c r="N992" i="1"/>
  <c r="M992" i="1"/>
  <c r="Q991" i="1"/>
  <c r="P991" i="1"/>
  <c r="O991" i="1"/>
  <c r="N991" i="1"/>
  <c r="M991" i="1"/>
  <c r="Q990" i="1"/>
  <c r="P990" i="1"/>
  <c r="O990" i="1"/>
  <c r="N990" i="1"/>
  <c r="M990" i="1"/>
  <c r="Q989" i="1"/>
  <c r="P989" i="1"/>
  <c r="O989" i="1"/>
  <c r="N989" i="1"/>
  <c r="M989" i="1"/>
  <c r="Q988" i="1"/>
  <c r="P988" i="1"/>
  <c r="O988" i="1"/>
  <c r="N988" i="1"/>
  <c r="M988" i="1"/>
  <c r="Q987" i="1"/>
  <c r="P987" i="1"/>
  <c r="O987" i="1"/>
  <c r="N987" i="1"/>
  <c r="M987" i="1"/>
  <c r="Q986" i="1"/>
  <c r="P986" i="1"/>
  <c r="O986" i="1"/>
  <c r="N986" i="1"/>
  <c r="M986" i="1"/>
  <c r="Q985" i="1"/>
  <c r="P985" i="1"/>
  <c r="O985" i="1"/>
  <c r="N985" i="1"/>
  <c r="M985" i="1"/>
  <c r="Q984" i="1"/>
  <c r="P984" i="1"/>
  <c r="O984" i="1"/>
  <c r="N984" i="1"/>
  <c r="M984" i="1"/>
  <c r="Q983" i="1"/>
  <c r="P983" i="1"/>
  <c r="O983" i="1"/>
  <c r="N983" i="1"/>
  <c r="M983" i="1"/>
  <c r="Q982" i="1"/>
  <c r="P982" i="1"/>
  <c r="O982" i="1"/>
  <c r="N982" i="1"/>
  <c r="M982" i="1"/>
  <c r="Q981" i="1"/>
  <c r="P981" i="1"/>
  <c r="O981" i="1"/>
  <c r="N981" i="1"/>
  <c r="M981" i="1"/>
  <c r="Q980" i="1"/>
  <c r="P980" i="1"/>
  <c r="O980" i="1"/>
  <c r="N980" i="1"/>
  <c r="M980" i="1"/>
  <c r="Q979" i="1"/>
  <c r="P979" i="1"/>
  <c r="O979" i="1"/>
  <c r="N979" i="1"/>
  <c r="M979" i="1"/>
  <c r="Q978" i="1"/>
  <c r="P978" i="1"/>
  <c r="O978" i="1"/>
  <c r="N978" i="1"/>
  <c r="M978" i="1"/>
  <c r="Q977" i="1"/>
  <c r="P977" i="1"/>
  <c r="O977" i="1"/>
  <c r="N977" i="1"/>
  <c r="M977" i="1"/>
  <c r="Q976" i="1"/>
  <c r="P976" i="1"/>
  <c r="O976" i="1"/>
  <c r="N976" i="1"/>
  <c r="M976" i="1"/>
  <c r="Q975" i="1"/>
  <c r="P975" i="1"/>
  <c r="O975" i="1"/>
  <c r="N975" i="1"/>
  <c r="M975" i="1"/>
  <c r="Q974" i="1"/>
  <c r="P974" i="1"/>
  <c r="O974" i="1"/>
  <c r="N974" i="1"/>
  <c r="M974" i="1"/>
  <c r="Q973" i="1"/>
  <c r="P973" i="1"/>
  <c r="O973" i="1"/>
  <c r="N973" i="1"/>
  <c r="M973" i="1"/>
  <c r="Q972" i="1"/>
  <c r="P972" i="1"/>
  <c r="O972" i="1"/>
  <c r="N972" i="1"/>
  <c r="M972" i="1"/>
  <c r="Q971" i="1"/>
  <c r="P971" i="1"/>
  <c r="O971" i="1"/>
  <c r="N971" i="1"/>
  <c r="M971" i="1"/>
  <c r="Q970" i="1"/>
  <c r="P970" i="1"/>
  <c r="O970" i="1"/>
  <c r="N970" i="1"/>
  <c r="M970" i="1"/>
  <c r="Q969" i="1"/>
  <c r="P969" i="1"/>
  <c r="O969" i="1"/>
  <c r="N969" i="1"/>
  <c r="M969" i="1"/>
  <c r="Q968" i="1"/>
  <c r="P968" i="1"/>
  <c r="O968" i="1"/>
  <c r="N968" i="1"/>
  <c r="M968" i="1"/>
  <c r="Q967" i="1"/>
  <c r="P967" i="1"/>
  <c r="O967" i="1"/>
  <c r="N967" i="1"/>
  <c r="M967" i="1"/>
  <c r="Q966" i="1"/>
  <c r="P966" i="1"/>
  <c r="O966" i="1"/>
  <c r="N966" i="1"/>
  <c r="M966" i="1"/>
  <c r="Q965" i="1"/>
  <c r="P965" i="1"/>
  <c r="O965" i="1"/>
  <c r="N965" i="1"/>
  <c r="M965" i="1"/>
  <c r="Q964" i="1"/>
  <c r="P964" i="1"/>
  <c r="O964" i="1"/>
  <c r="N964" i="1"/>
  <c r="M964" i="1"/>
  <c r="Q963" i="1"/>
  <c r="P963" i="1"/>
  <c r="O963" i="1"/>
  <c r="N963" i="1"/>
  <c r="M963" i="1"/>
  <c r="Q962" i="1"/>
  <c r="P962" i="1"/>
  <c r="O962" i="1"/>
  <c r="N962" i="1"/>
  <c r="M962" i="1"/>
  <c r="Q961" i="1"/>
  <c r="P961" i="1"/>
  <c r="O961" i="1"/>
  <c r="N961" i="1"/>
  <c r="M961" i="1"/>
  <c r="Q960" i="1"/>
  <c r="P960" i="1"/>
  <c r="O960" i="1"/>
  <c r="N960" i="1"/>
  <c r="M960" i="1"/>
  <c r="Q959" i="1"/>
  <c r="P959" i="1"/>
  <c r="O959" i="1"/>
  <c r="N959" i="1"/>
  <c r="M959" i="1"/>
  <c r="Q958" i="1"/>
  <c r="P958" i="1"/>
  <c r="O958" i="1"/>
  <c r="N958" i="1"/>
  <c r="M958" i="1"/>
  <c r="Q957" i="1"/>
  <c r="P957" i="1"/>
  <c r="O957" i="1"/>
  <c r="N957" i="1"/>
  <c r="M957" i="1"/>
  <c r="Q956" i="1"/>
  <c r="P956" i="1"/>
  <c r="O956" i="1"/>
  <c r="N956" i="1"/>
  <c r="M956" i="1"/>
  <c r="Q955" i="1"/>
  <c r="P955" i="1"/>
  <c r="O955" i="1"/>
  <c r="N955" i="1"/>
  <c r="M955" i="1"/>
  <c r="Q954" i="1"/>
  <c r="P954" i="1"/>
  <c r="O954" i="1"/>
  <c r="N954" i="1"/>
  <c r="M954" i="1"/>
  <c r="Q953" i="1"/>
  <c r="P953" i="1"/>
  <c r="O953" i="1"/>
  <c r="N953" i="1"/>
  <c r="M953" i="1"/>
  <c r="Q952" i="1"/>
  <c r="P952" i="1"/>
  <c r="O952" i="1"/>
  <c r="N952" i="1"/>
  <c r="M952" i="1"/>
  <c r="Q951" i="1"/>
  <c r="P951" i="1"/>
  <c r="O951" i="1"/>
  <c r="N951" i="1"/>
  <c r="M951" i="1"/>
  <c r="Q950" i="1"/>
  <c r="P950" i="1"/>
  <c r="O950" i="1"/>
  <c r="N950" i="1"/>
  <c r="M950" i="1"/>
  <c r="Q949" i="1"/>
  <c r="P949" i="1"/>
  <c r="O949" i="1"/>
  <c r="N949" i="1"/>
  <c r="M949" i="1"/>
  <c r="Q948" i="1"/>
  <c r="P948" i="1"/>
  <c r="O948" i="1"/>
  <c r="N948" i="1"/>
  <c r="M948" i="1"/>
  <c r="Q947" i="1"/>
  <c r="P947" i="1"/>
  <c r="O947" i="1"/>
  <c r="N947" i="1"/>
  <c r="M947" i="1"/>
  <c r="Q946" i="1"/>
  <c r="P946" i="1"/>
  <c r="O946" i="1"/>
  <c r="N946" i="1"/>
  <c r="M946" i="1"/>
  <c r="Q945" i="1"/>
  <c r="P945" i="1"/>
  <c r="O945" i="1"/>
  <c r="N945" i="1"/>
  <c r="M945" i="1"/>
  <c r="Q944" i="1"/>
  <c r="P944" i="1"/>
  <c r="O944" i="1"/>
  <c r="N944" i="1"/>
  <c r="M944" i="1"/>
  <c r="Q943" i="1"/>
  <c r="P943" i="1"/>
  <c r="O943" i="1"/>
  <c r="N943" i="1"/>
  <c r="M943" i="1"/>
  <c r="Q942" i="1"/>
  <c r="P942" i="1"/>
  <c r="O942" i="1"/>
  <c r="N942" i="1"/>
  <c r="M942" i="1"/>
  <c r="Q941" i="1"/>
  <c r="P941" i="1"/>
  <c r="O941" i="1"/>
  <c r="N941" i="1"/>
  <c r="M941" i="1"/>
  <c r="Q940" i="1"/>
  <c r="P940" i="1"/>
  <c r="O940" i="1"/>
  <c r="N940" i="1"/>
  <c r="M940" i="1"/>
  <c r="Q939" i="1"/>
  <c r="P939" i="1"/>
  <c r="O939" i="1"/>
  <c r="N939" i="1"/>
  <c r="M939" i="1"/>
  <c r="Q938" i="1"/>
  <c r="P938" i="1"/>
  <c r="O938" i="1"/>
  <c r="N938" i="1"/>
  <c r="M938" i="1"/>
  <c r="Q937" i="1"/>
  <c r="P937" i="1"/>
  <c r="O937" i="1"/>
  <c r="N937" i="1"/>
  <c r="M937" i="1"/>
  <c r="Q936" i="1"/>
  <c r="P936" i="1"/>
  <c r="O936" i="1"/>
  <c r="N936" i="1"/>
  <c r="M936" i="1"/>
  <c r="Q935" i="1"/>
  <c r="P935" i="1"/>
  <c r="O935" i="1"/>
  <c r="N935" i="1"/>
  <c r="M935" i="1"/>
  <c r="Q934" i="1"/>
  <c r="P934" i="1"/>
  <c r="O934" i="1"/>
  <c r="N934" i="1"/>
  <c r="M934" i="1"/>
  <c r="Q933" i="1"/>
  <c r="P933" i="1"/>
  <c r="O933" i="1"/>
  <c r="N933" i="1"/>
  <c r="M933" i="1"/>
  <c r="Q932" i="1"/>
  <c r="P932" i="1"/>
  <c r="O932" i="1"/>
  <c r="N932" i="1"/>
  <c r="M932" i="1"/>
  <c r="Q931" i="1"/>
  <c r="P931" i="1"/>
  <c r="O931" i="1"/>
  <c r="N931" i="1"/>
  <c r="M931" i="1"/>
  <c r="Q930" i="1"/>
  <c r="P930" i="1"/>
  <c r="O930" i="1"/>
  <c r="N930" i="1"/>
  <c r="M930" i="1"/>
  <c r="Q929" i="1"/>
  <c r="P929" i="1"/>
  <c r="O929" i="1"/>
  <c r="N929" i="1"/>
  <c r="M929" i="1"/>
  <c r="Q928" i="1"/>
  <c r="P928" i="1"/>
  <c r="O928" i="1"/>
  <c r="N928" i="1"/>
  <c r="M928" i="1"/>
  <c r="Q927" i="1"/>
  <c r="P927" i="1"/>
  <c r="O927" i="1"/>
  <c r="N927" i="1"/>
  <c r="M927" i="1"/>
  <c r="Q926" i="1"/>
  <c r="P926" i="1"/>
  <c r="O926" i="1"/>
  <c r="N926" i="1"/>
  <c r="M926" i="1"/>
  <c r="Q925" i="1"/>
  <c r="P925" i="1"/>
  <c r="O925" i="1"/>
  <c r="N925" i="1"/>
  <c r="M925" i="1"/>
  <c r="Q924" i="1"/>
  <c r="P924" i="1"/>
  <c r="O924" i="1"/>
  <c r="N924" i="1"/>
  <c r="M924" i="1"/>
  <c r="Q923" i="1"/>
  <c r="P923" i="1"/>
  <c r="O923" i="1"/>
  <c r="N923" i="1"/>
  <c r="M923" i="1"/>
  <c r="Q922" i="1"/>
  <c r="P922" i="1"/>
  <c r="O922" i="1"/>
  <c r="N922" i="1"/>
  <c r="M922" i="1"/>
  <c r="Q921" i="1"/>
  <c r="P921" i="1"/>
  <c r="O921" i="1"/>
  <c r="N921" i="1"/>
  <c r="M921" i="1"/>
  <c r="Q920" i="1"/>
  <c r="P920" i="1"/>
  <c r="O920" i="1"/>
  <c r="N920" i="1"/>
  <c r="M920" i="1"/>
  <c r="Q919" i="1"/>
  <c r="P919" i="1"/>
  <c r="O919" i="1"/>
  <c r="N919" i="1"/>
  <c r="M919" i="1"/>
  <c r="Q918" i="1"/>
  <c r="P918" i="1"/>
  <c r="O918" i="1"/>
  <c r="N918" i="1"/>
  <c r="M918" i="1"/>
  <c r="Q917" i="1"/>
  <c r="P917" i="1"/>
  <c r="O917" i="1"/>
  <c r="N917" i="1"/>
  <c r="M917" i="1"/>
  <c r="Q916" i="1"/>
  <c r="P916" i="1"/>
  <c r="O916" i="1"/>
  <c r="N916" i="1"/>
  <c r="M916" i="1"/>
  <c r="Q915" i="1"/>
  <c r="P915" i="1"/>
  <c r="O915" i="1"/>
  <c r="N915" i="1"/>
  <c r="M915" i="1"/>
  <c r="Q914" i="1"/>
  <c r="P914" i="1"/>
  <c r="O914" i="1"/>
  <c r="N914" i="1"/>
  <c r="M914" i="1"/>
  <c r="Q913" i="1"/>
  <c r="P913" i="1"/>
  <c r="O913" i="1"/>
  <c r="N913" i="1"/>
  <c r="M913" i="1"/>
  <c r="Q912" i="1"/>
  <c r="P912" i="1"/>
  <c r="O912" i="1"/>
  <c r="N912" i="1"/>
  <c r="M912" i="1"/>
  <c r="Q911" i="1"/>
  <c r="P911" i="1"/>
  <c r="O911" i="1"/>
  <c r="N911" i="1"/>
  <c r="M911" i="1"/>
  <c r="Q910" i="1"/>
  <c r="P910" i="1"/>
  <c r="O910" i="1"/>
  <c r="N910" i="1"/>
  <c r="M910" i="1"/>
  <c r="Q909" i="1"/>
  <c r="P909" i="1"/>
  <c r="O909" i="1"/>
  <c r="N909" i="1"/>
  <c r="M909" i="1"/>
  <c r="Q908" i="1"/>
  <c r="P908" i="1"/>
  <c r="O908" i="1"/>
  <c r="N908" i="1"/>
  <c r="M908" i="1"/>
  <c r="Q907" i="1"/>
  <c r="P907" i="1"/>
  <c r="O907" i="1"/>
  <c r="N907" i="1"/>
  <c r="M907" i="1"/>
  <c r="Q906" i="1"/>
  <c r="P906" i="1"/>
  <c r="O906" i="1"/>
  <c r="N906" i="1"/>
  <c r="M906" i="1"/>
  <c r="Q905" i="1"/>
  <c r="P905" i="1"/>
  <c r="O905" i="1"/>
  <c r="N905" i="1"/>
  <c r="M905" i="1"/>
  <c r="Q904" i="1"/>
  <c r="P904" i="1"/>
  <c r="O904" i="1"/>
  <c r="N904" i="1"/>
  <c r="M904" i="1"/>
  <c r="Q903" i="1"/>
  <c r="P903" i="1"/>
  <c r="O903" i="1"/>
  <c r="N903" i="1"/>
  <c r="M903" i="1"/>
  <c r="Q902" i="1"/>
  <c r="P902" i="1"/>
  <c r="O902" i="1"/>
  <c r="N902" i="1"/>
  <c r="M902" i="1"/>
  <c r="Q901" i="1"/>
  <c r="P901" i="1"/>
  <c r="O901" i="1"/>
  <c r="N901" i="1"/>
  <c r="M901" i="1"/>
  <c r="Q900" i="1"/>
  <c r="P900" i="1"/>
  <c r="O900" i="1"/>
  <c r="N900" i="1"/>
  <c r="M900" i="1"/>
  <c r="Q899" i="1"/>
  <c r="P899" i="1"/>
  <c r="O899" i="1"/>
  <c r="N899" i="1"/>
  <c r="M899" i="1"/>
  <c r="Q898" i="1"/>
  <c r="P898" i="1"/>
  <c r="O898" i="1"/>
  <c r="N898" i="1"/>
  <c r="M898" i="1"/>
  <c r="Q897" i="1"/>
  <c r="P897" i="1"/>
  <c r="O897" i="1"/>
  <c r="N897" i="1"/>
  <c r="M897" i="1"/>
  <c r="Q896" i="1"/>
  <c r="P896" i="1"/>
  <c r="O896" i="1"/>
  <c r="N896" i="1"/>
  <c r="M896" i="1"/>
  <c r="Q895" i="1"/>
  <c r="P895" i="1"/>
  <c r="O895" i="1"/>
  <c r="N895" i="1"/>
  <c r="M895" i="1"/>
  <c r="Q894" i="1"/>
  <c r="P894" i="1"/>
  <c r="O894" i="1"/>
  <c r="N894" i="1"/>
  <c r="M894" i="1"/>
  <c r="Q893" i="1"/>
  <c r="P893" i="1"/>
  <c r="O893" i="1"/>
  <c r="N893" i="1"/>
  <c r="M893" i="1"/>
  <c r="Q892" i="1"/>
  <c r="P892" i="1"/>
  <c r="O892" i="1"/>
  <c r="N892" i="1"/>
  <c r="M892" i="1"/>
  <c r="Q891" i="1"/>
  <c r="P891" i="1"/>
  <c r="O891" i="1"/>
  <c r="N891" i="1"/>
  <c r="M891" i="1"/>
  <c r="Q890" i="1"/>
  <c r="P890" i="1"/>
  <c r="O890" i="1"/>
  <c r="N890" i="1"/>
  <c r="M890" i="1"/>
  <c r="Q889" i="1"/>
  <c r="P889" i="1"/>
  <c r="O889" i="1"/>
  <c r="N889" i="1"/>
  <c r="M889" i="1"/>
  <c r="Q888" i="1"/>
  <c r="P888" i="1"/>
  <c r="O888" i="1"/>
  <c r="N888" i="1"/>
  <c r="M888" i="1"/>
  <c r="Q887" i="1"/>
  <c r="P887" i="1"/>
  <c r="O887" i="1"/>
  <c r="N887" i="1"/>
  <c r="M887" i="1"/>
  <c r="Q886" i="1"/>
  <c r="P886" i="1"/>
  <c r="O886" i="1"/>
  <c r="N886" i="1"/>
  <c r="M886" i="1"/>
  <c r="Q885" i="1"/>
  <c r="P885" i="1"/>
  <c r="O885" i="1"/>
  <c r="N885" i="1"/>
  <c r="M885" i="1"/>
  <c r="Q884" i="1"/>
  <c r="P884" i="1"/>
  <c r="O884" i="1"/>
  <c r="N884" i="1"/>
  <c r="M884" i="1"/>
  <c r="Q883" i="1"/>
  <c r="P883" i="1"/>
  <c r="O883" i="1"/>
  <c r="N883" i="1"/>
  <c r="M883" i="1"/>
  <c r="Q882" i="1"/>
  <c r="P882" i="1"/>
  <c r="O882" i="1"/>
  <c r="N882" i="1"/>
  <c r="M882" i="1"/>
  <c r="Q881" i="1"/>
  <c r="P881" i="1"/>
  <c r="O881" i="1"/>
  <c r="N881" i="1"/>
  <c r="M881" i="1"/>
  <c r="Q880" i="1"/>
  <c r="P880" i="1"/>
  <c r="O880" i="1"/>
  <c r="N880" i="1"/>
  <c r="M880" i="1"/>
  <c r="Q879" i="1"/>
  <c r="P879" i="1"/>
  <c r="O879" i="1"/>
  <c r="N879" i="1"/>
  <c r="M879" i="1"/>
  <c r="Q878" i="1"/>
  <c r="P878" i="1"/>
  <c r="O878" i="1"/>
  <c r="N878" i="1"/>
  <c r="M878" i="1"/>
  <c r="Q877" i="1"/>
  <c r="P877" i="1"/>
  <c r="O877" i="1"/>
  <c r="N877" i="1"/>
  <c r="M877" i="1"/>
  <c r="Q876" i="1"/>
  <c r="P876" i="1"/>
  <c r="O876" i="1"/>
  <c r="N876" i="1"/>
  <c r="M876" i="1"/>
  <c r="Q875" i="1"/>
  <c r="P875" i="1"/>
  <c r="O875" i="1"/>
  <c r="N875" i="1"/>
  <c r="M875" i="1"/>
  <c r="Q874" i="1"/>
  <c r="P874" i="1"/>
  <c r="O874" i="1"/>
  <c r="N874" i="1"/>
  <c r="M874" i="1"/>
  <c r="Q873" i="1"/>
  <c r="P873" i="1"/>
  <c r="O873" i="1"/>
  <c r="N873" i="1"/>
  <c r="M873" i="1"/>
  <c r="Q872" i="1"/>
  <c r="P872" i="1"/>
  <c r="O872" i="1"/>
  <c r="N872" i="1"/>
  <c r="M872" i="1"/>
  <c r="Q871" i="1"/>
  <c r="P871" i="1"/>
  <c r="O871" i="1"/>
  <c r="N871" i="1"/>
  <c r="M871" i="1"/>
  <c r="Q870" i="1"/>
  <c r="P870" i="1"/>
  <c r="O870" i="1"/>
  <c r="N870" i="1"/>
  <c r="M870" i="1"/>
  <c r="Q869" i="1"/>
  <c r="P869" i="1"/>
  <c r="O869" i="1"/>
  <c r="N869" i="1"/>
  <c r="M869" i="1"/>
  <c r="Q868" i="1"/>
  <c r="P868" i="1"/>
  <c r="O868" i="1"/>
  <c r="N868" i="1"/>
  <c r="M868" i="1"/>
  <c r="Q867" i="1"/>
  <c r="P867" i="1"/>
  <c r="O867" i="1"/>
  <c r="N867" i="1"/>
  <c r="M867" i="1"/>
  <c r="Q866" i="1"/>
  <c r="P866" i="1"/>
  <c r="O866" i="1"/>
  <c r="N866" i="1"/>
  <c r="M866" i="1"/>
  <c r="Q865" i="1"/>
  <c r="P865" i="1"/>
  <c r="O865" i="1"/>
  <c r="N865" i="1"/>
  <c r="M865" i="1"/>
  <c r="Q864" i="1"/>
  <c r="P864" i="1"/>
  <c r="O864" i="1"/>
  <c r="N864" i="1"/>
  <c r="M864" i="1"/>
  <c r="Q863" i="1"/>
  <c r="P863" i="1"/>
  <c r="O863" i="1"/>
  <c r="N863" i="1"/>
  <c r="M863" i="1"/>
  <c r="Q862" i="1"/>
  <c r="P862" i="1"/>
  <c r="O862" i="1"/>
  <c r="N862" i="1"/>
  <c r="M862" i="1"/>
  <c r="Q861" i="1"/>
  <c r="P861" i="1"/>
  <c r="O861" i="1"/>
  <c r="N861" i="1"/>
  <c r="M861" i="1"/>
  <c r="Q860" i="1"/>
  <c r="P860" i="1"/>
  <c r="O860" i="1"/>
  <c r="N860" i="1"/>
  <c r="M860" i="1"/>
  <c r="Q859" i="1"/>
  <c r="P859" i="1"/>
  <c r="O859" i="1"/>
  <c r="N859" i="1"/>
  <c r="M859" i="1"/>
  <c r="Q858" i="1"/>
  <c r="P858" i="1"/>
  <c r="O858" i="1"/>
  <c r="N858" i="1"/>
  <c r="M858" i="1"/>
  <c r="Q857" i="1"/>
  <c r="P857" i="1"/>
  <c r="O857" i="1"/>
  <c r="N857" i="1"/>
  <c r="M857" i="1"/>
  <c r="Q856" i="1"/>
  <c r="P856" i="1"/>
  <c r="O856" i="1"/>
  <c r="N856" i="1"/>
  <c r="M856" i="1"/>
  <c r="Q855" i="1"/>
  <c r="P855" i="1"/>
  <c r="O855" i="1"/>
  <c r="N855" i="1"/>
  <c r="M855" i="1"/>
  <c r="Q854" i="1"/>
  <c r="P854" i="1"/>
  <c r="O854" i="1"/>
  <c r="N854" i="1"/>
  <c r="M854" i="1"/>
  <c r="Q853" i="1"/>
  <c r="P853" i="1"/>
  <c r="O853" i="1"/>
  <c r="N853" i="1"/>
  <c r="M853" i="1"/>
  <c r="Q852" i="1"/>
  <c r="P852" i="1"/>
  <c r="O852" i="1"/>
  <c r="N852" i="1"/>
  <c r="M852" i="1"/>
  <c r="Q851" i="1"/>
  <c r="P851" i="1"/>
  <c r="O851" i="1"/>
  <c r="N851" i="1"/>
  <c r="M851" i="1"/>
  <c r="Q850" i="1"/>
  <c r="P850" i="1"/>
  <c r="O850" i="1"/>
  <c r="N850" i="1"/>
  <c r="M850" i="1"/>
  <c r="Q849" i="1"/>
  <c r="P849" i="1"/>
  <c r="O849" i="1"/>
  <c r="N849" i="1"/>
  <c r="M849" i="1"/>
  <c r="Q848" i="1"/>
  <c r="P848" i="1"/>
  <c r="O848" i="1"/>
  <c r="N848" i="1"/>
  <c r="M848" i="1"/>
  <c r="Q847" i="1"/>
  <c r="P847" i="1"/>
  <c r="O847" i="1"/>
  <c r="N847" i="1"/>
  <c r="M847" i="1"/>
  <c r="Q846" i="1"/>
  <c r="P846" i="1"/>
  <c r="O846" i="1"/>
  <c r="N846" i="1"/>
  <c r="M846" i="1"/>
  <c r="Q845" i="1"/>
  <c r="P845" i="1"/>
  <c r="O845" i="1"/>
  <c r="N845" i="1"/>
  <c r="M845" i="1"/>
  <c r="Q844" i="1"/>
  <c r="P844" i="1"/>
  <c r="O844" i="1"/>
  <c r="N844" i="1"/>
  <c r="M844" i="1"/>
  <c r="Q843" i="1"/>
  <c r="P843" i="1"/>
  <c r="O843" i="1"/>
  <c r="N843" i="1"/>
  <c r="M843" i="1"/>
  <c r="Q842" i="1"/>
  <c r="P842" i="1"/>
  <c r="O842" i="1"/>
  <c r="N842" i="1"/>
  <c r="M842" i="1"/>
  <c r="Q841" i="1"/>
  <c r="P841" i="1"/>
  <c r="O841" i="1"/>
  <c r="N841" i="1"/>
  <c r="M841" i="1"/>
  <c r="Q840" i="1"/>
  <c r="P840" i="1"/>
  <c r="O840" i="1"/>
  <c r="N840" i="1"/>
  <c r="M840" i="1"/>
  <c r="Q839" i="1"/>
  <c r="P839" i="1"/>
  <c r="O839" i="1"/>
  <c r="N839" i="1"/>
  <c r="M839" i="1"/>
  <c r="Q838" i="1"/>
  <c r="P838" i="1"/>
  <c r="O838" i="1"/>
  <c r="N838" i="1"/>
  <c r="M838" i="1"/>
  <c r="Q837" i="1"/>
  <c r="P837" i="1"/>
  <c r="O837" i="1"/>
  <c r="N837" i="1"/>
  <c r="M837" i="1"/>
  <c r="Q836" i="1"/>
  <c r="P836" i="1"/>
  <c r="O836" i="1"/>
  <c r="N836" i="1"/>
  <c r="M836" i="1"/>
  <c r="Q835" i="1"/>
  <c r="P835" i="1"/>
  <c r="O835" i="1"/>
  <c r="N835" i="1"/>
  <c r="M835" i="1"/>
  <c r="Q834" i="1"/>
  <c r="P834" i="1"/>
  <c r="O834" i="1"/>
  <c r="N834" i="1"/>
  <c r="M834" i="1"/>
  <c r="Q833" i="1"/>
  <c r="P833" i="1"/>
  <c r="O833" i="1"/>
  <c r="N833" i="1"/>
  <c r="M833" i="1"/>
  <c r="Q832" i="1"/>
  <c r="P832" i="1"/>
  <c r="O832" i="1"/>
  <c r="N832" i="1"/>
  <c r="M832" i="1"/>
  <c r="Q831" i="1"/>
  <c r="P831" i="1"/>
  <c r="O831" i="1"/>
  <c r="N831" i="1"/>
  <c r="M831" i="1"/>
  <c r="Q830" i="1"/>
  <c r="P830" i="1"/>
  <c r="O830" i="1"/>
  <c r="N830" i="1"/>
  <c r="M830" i="1"/>
  <c r="Q829" i="1"/>
  <c r="P829" i="1"/>
  <c r="O829" i="1"/>
  <c r="N829" i="1"/>
  <c r="M829" i="1"/>
  <c r="Q828" i="1"/>
  <c r="P828" i="1"/>
  <c r="O828" i="1"/>
  <c r="N828" i="1"/>
  <c r="M828" i="1"/>
  <c r="Q827" i="1"/>
  <c r="P827" i="1"/>
  <c r="O827" i="1"/>
  <c r="N827" i="1"/>
  <c r="M827" i="1"/>
  <c r="Q826" i="1"/>
  <c r="P826" i="1"/>
  <c r="O826" i="1"/>
  <c r="N826" i="1"/>
  <c r="M826" i="1"/>
  <c r="Q825" i="1"/>
  <c r="P825" i="1"/>
  <c r="O825" i="1"/>
  <c r="N825" i="1"/>
  <c r="M825" i="1"/>
  <c r="Q824" i="1"/>
  <c r="P824" i="1"/>
  <c r="O824" i="1"/>
  <c r="N824" i="1"/>
  <c r="M824" i="1"/>
  <c r="Q823" i="1"/>
  <c r="P823" i="1"/>
  <c r="O823" i="1"/>
  <c r="N823" i="1"/>
  <c r="M823" i="1"/>
  <c r="Q822" i="1"/>
  <c r="P822" i="1"/>
  <c r="O822" i="1"/>
  <c r="N822" i="1"/>
  <c r="M822" i="1"/>
  <c r="Q821" i="1"/>
  <c r="P821" i="1"/>
  <c r="O821" i="1"/>
  <c r="N821" i="1"/>
  <c r="M821" i="1"/>
  <c r="Q820" i="1"/>
  <c r="P820" i="1"/>
  <c r="O820" i="1"/>
  <c r="N820" i="1"/>
  <c r="M820" i="1"/>
  <c r="Q819" i="1"/>
  <c r="P819" i="1"/>
  <c r="O819" i="1"/>
  <c r="N819" i="1"/>
  <c r="M819" i="1"/>
  <c r="Q818" i="1"/>
  <c r="P818" i="1"/>
  <c r="O818" i="1"/>
  <c r="N818" i="1"/>
  <c r="M818" i="1"/>
  <c r="Q817" i="1"/>
  <c r="P817" i="1"/>
  <c r="O817" i="1"/>
  <c r="N817" i="1"/>
  <c r="M817" i="1"/>
  <c r="Q816" i="1"/>
  <c r="P816" i="1"/>
  <c r="O816" i="1"/>
  <c r="N816" i="1"/>
  <c r="M816" i="1"/>
  <c r="Q815" i="1"/>
  <c r="P815" i="1"/>
  <c r="O815" i="1"/>
  <c r="N815" i="1"/>
  <c r="M815" i="1"/>
  <c r="Q814" i="1"/>
  <c r="P814" i="1"/>
  <c r="O814" i="1"/>
  <c r="N814" i="1"/>
  <c r="M814" i="1"/>
  <c r="Q813" i="1"/>
  <c r="P813" i="1"/>
  <c r="O813" i="1"/>
  <c r="N813" i="1"/>
  <c r="M813" i="1"/>
  <c r="Q812" i="1"/>
  <c r="P812" i="1"/>
  <c r="O812" i="1"/>
  <c r="N812" i="1"/>
  <c r="M812" i="1"/>
  <c r="Q811" i="1"/>
  <c r="P811" i="1"/>
  <c r="O811" i="1"/>
  <c r="N811" i="1"/>
  <c r="M811" i="1"/>
  <c r="Q810" i="1"/>
  <c r="P810" i="1"/>
  <c r="O810" i="1"/>
  <c r="N810" i="1"/>
  <c r="M810" i="1"/>
  <c r="Q809" i="1"/>
  <c r="P809" i="1"/>
  <c r="O809" i="1"/>
  <c r="N809" i="1"/>
  <c r="M809" i="1"/>
  <c r="Q808" i="1"/>
  <c r="P808" i="1"/>
  <c r="O808" i="1"/>
  <c r="N808" i="1"/>
  <c r="M808" i="1"/>
  <c r="Q807" i="1"/>
  <c r="P807" i="1"/>
  <c r="O807" i="1"/>
  <c r="N807" i="1"/>
  <c r="M807" i="1"/>
  <c r="Q806" i="1"/>
  <c r="P806" i="1"/>
  <c r="O806" i="1"/>
  <c r="N806" i="1"/>
  <c r="M806" i="1"/>
  <c r="Q805" i="1"/>
  <c r="P805" i="1"/>
  <c r="O805" i="1"/>
  <c r="N805" i="1"/>
  <c r="M805" i="1"/>
  <c r="Q804" i="1"/>
  <c r="P804" i="1"/>
  <c r="O804" i="1"/>
  <c r="N804" i="1"/>
  <c r="M804" i="1"/>
  <c r="Q803" i="1"/>
  <c r="P803" i="1"/>
  <c r="O803" i="1"/>
  <c r="N803" i="1"/>
  <c r="M803" i="1"/>
  <c r="Q802" i="1"/>
  <c r="P802" i="1"/>
  <c r="O802" i="1"/>
  <c r="N802" i="1"/>
  <c r="M802" i="1"/>
  <c r="Q801" i="1"/>
  <c r="P801" i="1"/>
  <c r="O801" i="1"/>
  <c r="N801" i="1"/>
  <c r="M801" i="1"/>
  <c r="Q800" i="1"/>
  <c r="P800" i="1"/>
  <c r="O800" i="1"/>
  <c r="N800" i="1"/>
  <c r="M800" i="1"/>
  <c r="Q799" i="1"/>
  <c r="P799" i="1"/>
  <c r="O799" i="1"/>
  <c r="N799" i="1"/>
  <c r="M799" i="1"/>
  <c r="Q798" i="1"/>
  <c r="P798" i="1"/>
  <c r="O798" i="1"/>
  <c r="N798" i="1"/>
  <c r="M798" i="1"/>
  <c r="Q797" i="1"/>
  <c r="P797" i="1"/>
  <c r="O797" i="1"/>
  <c r="N797" i="1"/>
  <c r="M797" i="1"/>
  <c r="Q796" i="1"/>
  <c r="P796" i="1"/>
  <c r="O796" i="1"/>
  <c r="N796" i="1"/>
  <c r="M796" i="1"/>
  <c r="Q795" i="1"/>
  <c r="P795" i="1"/>
  <c r="O795" i="1"/>
  <c r="N795" i="1"/>
  <c r="M795" i="1"/>
  <c r="Q794" i="1"/>
  <c r="P794" i="1"/>
  <c r="O794" i="1"/>
  <c r="N794" i="1"/>
  <c r="M794" i="1"/>
  <c r="Q793" i="1"/>
  <c r="P793" i="1"/>
  <c r="O793" i="1"/>
  <c r="N793" i="1"/>
  <c r="M793" i="1"/>
  <c r="Q792" i="1"/>
  <c r="P792" i="1"/>
  <c r="O792" i="1"/>
  <c r="N792" i="1"/>
  <c r="M792" i="1"/>
  <c r="Q791" i="1"/>
  <c r="P791" i="1"/>
  <c r="O791" i="1"/>
  <c r="N791" i="1"/>
  <c r="M791" i="1"/>
  <c r="Q790" i="1"/>
  <c r="P790" i="1"/>
  <c r="O790" i="1"/>
  <c r="N790" i="1"/>
  <c r="M790" i="1"/>
  <c r="Q789" i="1"/>
  <c r="P789" i="1"/>
  <c r="O789" i="1"/>
  <c r="N789" i="1"/>
  <c r="M789" i="1"/>
  <c r="Q788" i="1"/>
  <c r="P788" i="1"/>
  <c r="O788" i="1"/>
  <c r="N788" i="1"/>
  <c r="M788" i="1"/>
  <c r="Q787" i="1"/>
  <c r="P787" i="1"/>
  <c r="O787" i="1"/>
  <c r="N787" i="1"/>
  <c r="M787" i="1"/>
  <c r="Q786" i="1"/>
  <c r="P786" i="1"/>
  <c r="O786" i="1"/>
  <c r="N786" i="1"/>
  <c r="M786" i="1"/>
  <c r="Q785" i="1"/>
  <c r="P785" i="1"/>
  <c r="O785" i="1"/>
  <c r="N785" i="1"/>
  <c r="M785" i="1"/>
  <c r="Q784" i="1"/>
  <c r="P784" i="1"/>
  <c r="O784" i="1"/>
  <c r="N784" i="1"/>
  <c r="M784" i="1"/>
  <c r="Q783" i="1"/>
  <c r="P783" i="1"/>
  <c r="O783" i="1"/>
  <c r="N783" i="1"/>
  <c r="M783" i="1"/>
  <c r="Q782" i="1"/>
  <c r="P782" i="1"/>
  <c r="O782" i="1"/>
  <c r="N782" i="1"/>
  <c r="M782" i="1"/>
  <c r="Q781" i="1"/>
  <c r="P781" i="1"/>
  <c r="O781" i="1"/>
  <c r="N781" i="1"/>
  <c r="M781" i="1"/>
  <c r="Q780" i="1"/>
  <c r="P780" i="1"/>
  <c r="O780" i="1"/>
  <c r="N780" i="1"/>
  <c r="M780" i="1"/>
  <c r="Q779" i="1"/>
  <c r="P779" i="1"/>
  <c r="O779" i="1"/>
  <c r="N779" i="1"/>
  <c r="M779" i="1"/>
  <c r="Q778" i="1"/>
  <c r="P778" i="1"/>
  <c r="O778" i="1"/>
  <c r="N778" i="1"/>
  <c r="M778" i="1"/>
  <c r="Q777" i="1"/>
  <c r="P777" i="1"/>
  <c r="O777" i="1"/>
  <c r="N777" i="1"/>
  <c r="M777" i="1"/>
  <c r="Q776" i="1"/>
  <c r="P776" i="1"/>
  <c r="O776" i="1"/>
  <c r="N776" i="1"/>
  <c r="M776" i="1"/>
  <c r="Q775" i="1"/>
  <c r="P775" i="1"/>
  <c r="O775" i="1"/>
  <c r="N775" i="1"/>
  <c r="M775" i="1"/>
  <c r="Q774" i="1"/>
  <c r="P774" i="1"/>
  <c r="O774" i="1"/>
  <c r="N774" i="1"/>
  <c r="M774" i="1"/>
  <c r="Q773" i="1"/>
  <c r="P773" i="1"/>
  <c r="O773" i="1"/>
  <c r="N773" i="1"/>
  <c r="M773" i="1"/>
  <c r="Q772" i="1"/>
  <c r="P772" i="1"/>
  <c r="O772" i="1"/>
  <c r="N772" i="1"/>
  <c r="M772" i="1"/>
  <c r="Q771" i="1"/>
  <c r="P771" i="1"/>
  <c r="O771" i="1"/>
  <c r="N771" i="1"/>
  <c r="M771" i="1"/>
  <c r="Q770" i="1"/>
  <c r="P770" i="1"/>
  <c r="O770" i="1"/>
  <c r="N770" i="1"/>
  <c r="M770" i="1"/>
  <c r="Q769" i="1"/>
  <c r="P769" i="1"/>
  <c r="O769" i="1"/>
  <c r="N769" i="1"/>
  <c r="M769" i="1"/>
  <c r="Q768" i="1"/>
  <c r="P768" i="1"/>
  <c r="O768" i="1"/>
  <c r="N768" i="1"/>
  <c r="M768" i="1"/>
  <c r="Q767" i="1"/>
  <c r="P767" i="1"/>
  <c r="O767" i="1"/>
  <c r="N767" i="1"/>
  <c r="M767" i="1"/>
  <c r="Q766" i="1"/>
  <c r="P766" i="1"/>
  <c r="O766" i="1"/>
  <c r="N766" i="1"/>
  <c r="M766" i="1"/>
  <c r="Q765" i="1"/>
  <c r="P765" i="1"/>
  <c r="O765" i="1"/>
  <c r="N765" i="1"/>
  <c r="M765" i="1"/>
  <c r="Q764" i="1"/>
  <c r="P764" i="1"/>
  <c r="O764" i="1"/>
  <c r="N764" i="1"/>
  <c r="M764" i="1"/>
  <c r="Q763" i="1"/>
  <c r="P763" i="1"/>
  <c r="O763" i="1"/>
  <c r="N763" i="1"/>
  <c r="M763" i="1"/>
  <c r="Q762" i="1"/>
  <c r="P762" i="1"/>
  <c r="O762" i="1"/>
  <c r="N762" i="1"/>
  <c r="M762" i="1"/>
  <c r="Q761" i="1"/>
  <c r="P761" i="1"/>
  <c r="O761" i="1"/>
  <c r="N761" i="1"/>
  <c r="M761" i="1"/>
  <c r="Q760" i="1"/>
  <c r="P760" i="1"/>
  <c r="O760" i="1"/>
  <c r="N760" i="1"/>
  <c r="M760" i="1"/>
  <c r="Q759" i="1"/>
  <c r="P759" i="1"/>
  <c r="O759" i="1"/>
  <c r="N759" i="1"/>
  <c r="M759" i="1"/>
  <c r="Q758" i="1"/>
  <c r="P758" i="1"/>
  <c r="O758" i="1"/>
  <c r="N758" i="1"/>
  <c r="M758" i="1"/>
  <c r="Q757" i="1"/>
  <c r="P757" i="1"/>
  <c r="O757" i="1"/>
  <c r="N757" i="1"/>
  <c r="M757" i="1"/>
  <c r="Q756" i="1"/>
  <c r="P756" i="1"/>
  <c r="O756" i="1"/>
  <c r="N756" i="1"/>
  <c r="M756" i="1"/>
  <c r="Q755" i="1"/>
  <c r="P755" i="1"/>
  <c r="O755" i="1"/>
  <c r="N755" i="1"/>
  <c r="M755" i="1"/>
  <c r="Q754" i="1"/>
  <c r="P754" i="1"/>
  <c r="O754" i="1"/>
  <c r="N754" i="1"/>
  <c r="M754" i="1"/>
  <c r="Q753" i="1"/>
  <c r="P753" i="1"/>
  <c r="O753" i="1"/>
  <c r="N753" i="1"/>
  <c r="M753" i="1"/>
  <c r="Q752" i="1"/>
  <c r="P752" i="1"/>
  <c r="O752" i="1"/>
  <c r="N752" i="1"/>
  <c r="M752" i="1"/>
  <c r="Q751" i="1"/>
  <c r="P751" i="1"/>
  <c r="O751" i="1"/>
  <c r="N751" i="1"/>
  <c r="M751" i="1"/>
  <c r="Q750" i="1"/>
  <c r="P750" i="1"/>
  <c r="O750" i="1"/>
  <c r="N750" i="1"/>
  <c r="M750" i="1"/>
  <c r="Q749" i="1"/>
  <c r="P749" i="1"/>
  <c r="O749" i="1"/>
  <c r="N749" i="1"/>
  <c r="M749" i="1"/>
  <c r="Q748" i="1"/>
  <c r="P748" i="1"/>
  <c r="O748" i="1"/>
  <c r="N748" i="1"/>
  <c r="M748" i="1"/>
  <c r="Q747" i="1"/>
  <c r="P747" i="1"/>
  <c r="O747" i="1"/>
  <c r="N747" i="1"/>
  <c r="M747" i="1"/>
  <c r="Q746" i="1"/>
  <c r="P746" i="1"/>
  <c r="O746" i="1"/>
  <c r="N746" i="1"/>
  <c r="M746" i="1"/>
  <c r="Q745" i="1"/>
  <c r="P745" i="1"/>
  <c r="O745" i="1"/>
  <c r="N745" i="1"/>
  <c r="M745" i="1"/>
  <c r="Q744" i="1"/>
  <c r="P744" i="1"/>
  <c r="O744" i="1"/>
  <c r="N744" i="1"/>
  <c r="M744" i="1"/>
  <c r="Q743" i="1"/>
  <c r="P743" i="1"/>
  <c r="O743" i="1"/>
  <c r="N743" i="1"/>
  <c r="M743" i="1"/>
  <c r="Q742" i="1"/>
  <c r="P742" i="1"/>
  <c r="O742" i="1"/>
  <c r="N742" i="1"/>
  <c r="M742" i="1"/>
  <c r="Q741" i="1"/>
  <c r="P741" i="1"/>
  <c r="O741" i="1"/>
  <c r="N741" i="1"/>
  <c r="M741" i="1"/>
  <c r="Q740" i="1"/>
  <c r="P740" i="1"/>
  <c r="O740" i="1"/>
  <c r="N740" i="1"/>
  <c r="M740" i="1"/>
  <c r="Q739" i="1"/>
  <c r="P739" i="1"/>
  <c r="O739" i="1"/>
  <c r="N739" i="1"/>
  <c r="M739" i="1"/>
  <c r="Q738" i="1"/>
  <c r="P738" i="1"/>
  <c r="O738" i="1"/>
  <c r="N738" i="1"/>
  <c r="M738" i="1"/>
  <c r="Q737" i="1"/>
  <c r="P737" i="1"/>
  <c r="O737" i="1"/>
  <c r="N737" i="1"/>
  <c r="M737" i="1"/>
  <c r="Q736" i="1"/>
  <c r="P736" i="1"/>
  <c r="O736" i="1"/>
  <c r="N736" i="1"/>
  <c r="M736" i="1"/>
  <c r="Q735" i="1"/>
  <c r="P735" i="1"/>
  <c r="O735" i="1"/>
  <c r="N735" i="1"/>
  <c r="M735" i="1"/>
  <c r="Q734" i="1"/>
  <c r="P734" i="1"/>
  <c r="O734" i="1"/>
  <c r="N734" i="1"/>
  <c r="M734" i="1"/>
  <c r="Q733" i="1"/>
  <c r="P733" i="1"/>
  <c r="O733" i="1"/>
  <c r="N733" i="1"/>
  <c r="M733" i="1"/>
  <c r="Q732" i="1"/>
  <c r="P732" i="1"/>
  <c r="O732" i="1"/>
  <c r="N732" i="1"/>
  <c r="M732" i="1"/>
  <c r="Q731" i="1"/>
  <c r="P731" i="1"/>
  <c r="O731" i="1"/>
  <c r="N731" i="1"/>
  <c r="M731" i="1"/>
  <c r="Q730" i="1"/>
  <c r="P730" i="1"/>
  <c r="O730" i="1"/>
  <c r="N730" i="1"/>
  <c r="M730" i="1"/>
  <c r="Q729" i="1"/>
  <c r="P729" i="1"/>
  <c r="O729" i="1"/>
  <c r="N729" i="1"/>
  <c r="M729" i="1"/>
  <c r="Q728" i="1"/>
  <c r="P728" i="1"/>
  <c r="O728" i="1"/>
  <c r="N728" i="1"/>
  <c r="M728" i="1"/>
  <c r="Q727" i="1"/>
  <c r="P727" i="1"/>
  <c r="O727" i="1"/>
  <c r="N727" i="1"/>
  <c r="M727" i="1"/>
  <c r="Q726" i="1"/>
  <c r="P726" i="1"/>
  <c r="O726" i="1"/>
  <c r="N726" i="1"/>
  <c r="M726" i="1"/>
  <c r="Q725" i="1"/>
  <c r="P725" i="1"/>
  <c r="O725" i="1"/>
  <c r="N725" i="1"/>
  <c r="M725" i="1"/>
  <c r="Q724" i="1"/>
  <c r="P724" i="1"/>
  <c r="O724" i="1"/>
  <c r="N724" i="1"/>
  <c r="M724" i="1"/>
  <c r="Q723" i="1"/>
  <c r="P723" i="1"/>
  <c r="O723" i="1"/>
  <c r="N723" i="1"/>
  <c r="M723" i="1"/>
  <c r="Q722" i="1"/>
  <c r="P722" i="1"/>
  <c r="O722" i="1"/>
  <c r="N722" i="1"/>
  <c r="M722" i="1"/>
  <c r="Q721" i="1"/>
  <c r="P721" i="1"/>
  <c r="O721" i="1"/>
  <c r="N721" i="1"/>
  <c r="M721" i="1"/>
  <c r="Q720" i="1"/>
  <c r="P720" i="1"/>
  <c r="O720" i="1"/>
  <c r="N720" i="1"/>
  <c r="M720" i="1"/>
  <c r="Q719" i="1"/>
  <c r="P719" i="1"/>
  <c r="O719" i="1"/>
  <c r="N719" i="1"/>
  <c r="M719" i="1"/>
  <c r="Q718" i="1"/>
  <c r="P718" i="1"/>
  <c r="O718" i="1"/>
  <c r="N718" i="1"/>
  <c r="M718" i="1"/>
  <c r="Q717" i="1"/>
  <c r="P717" i="1"/>
  <c r="O717" i="1"/>
  <c r="N717" i="1"/>
  <c r="M717" i="1"/>
  <c r="Q716" i="1"/>
  <c r="P716" i="1"/>
  <c r="O716" i="1"/>
  <c r="N716" i="1"/>
  <c r="M716" i="1"/>
  <c r="Q715" i="1"/>
  <c r="P715" i="1"/>
  <c r="O715" i="1"/>
  <c r="N715" i="1"/>
  <c r="M715" i="1"/>
  <c r="Q714" i="1"/>
  <c r="P714" i="1"/>
  <c r="O714" i="1"/>
  <c r="N714" i="1"/>
  <c r="M714" i="1"/>
  <c r="Q713" i="1"/>
  <c r="P713" i="1"/>
  <c r="O713" i="1"/>
  <c r="N713" i="1"/>
  <c r="M713" i="1"/>
  <c r="Q712" i="1"/>
  <c r="P712" i="1"/>
  <c r="O712" i="1"/>
  <c r="N712" i="1"/>
  <c r="M712" i="1"/>
  <c r="Q711" i="1"/>
  <c r="P711" i="1"/>
  <c r="O711" i="1"/>
  <c r="N711" i="1"/>
  <c r="M711" i="1"/>
  <c r="Q710" i="1"/>
  <c r="P710" i="1"/>
  <c r="O710" i="1"/>
  <c r="N710" i="1"/>
  <c r="M710" i="1"/>
  <c r="Q709" i="1"/>
  <c r="P709" i="1"/>
  <c r="O709" i="1"/>
  <c r="N709" i="1"/>
  <c r="M709" i="1"/>
  <c r="Q708" i="1"/>
  <c r="P708" i="1"/>
  <c r="O708" i="1"/>
  <c r="N708" i="1"/>
  <c r="M708" i="1"/>
  <c r="Q707" i="1"/>
  <c r="P707" i="1"/>
  <c r="O707" i="1"/>
  <c r="N707" i="1"/>
  <c r="M707" i="1"/>
  <c r="Q706" i="1"/>
  <c r="P706" i="1"/>
  <c r="O706" i="1"/>
  <c r="N706" i="1"/>
  <c r="M706" i="1"/>
  <c r="Q705" i="1"/>
  <c r="P705" i="1"/>
  <c r="O705" i="1"/>
  <c r="N705" i="1"/>
  <c r="M705" i="1"/>
  <c r="Q704" i="1"/>
  <c r="P704" i="1"/>
  <c r="O704" i="1"/>
  <c r="N704" i="1"/>
  <c r="M704" i="1"/>
  <c r="Q703" i="1"/>
  <c r="P703" i="1"/>
  <c r="O703" i="1"/>
  <c r="N703" i="1"/>
  <c r="M703" i="1"/>
  <c r="Q702" i="1"/>
  <c r="P702" i="1"/>
  <c r="O702" i="1"/>
  <c r="N702" i="1"/>
  <c r="M702" i="1"/>
  <c r="Q701" i="1"/>
  <c r="P701" i="1"/>
  <c r="O701" i="1"/>
  <c r="N701" i="1"/>
  <c r="M701" i="1"/>
  <c r="Q700" i="1"/>
  <c r="P700" i="1"/>
  <c r="O700" i="1"/>
  <c r="N700" i="1"/>
  <c r="M700" i="1"/>
  <c r="Q699" i="1"/>
  <c r="P699" i="1"/>
  <c r="O699" i="1"/>
  <c r="N699" i="1"/>
  <c r="M699" i="1"/>
  <c r="Q698" i="1"/>
  <c r="P698" i="1"/>
  <c r="O698" i="1"/>
  <c r="N698" i="1"/>
  <c r="M698" i="1"/>
  <c r="Q697" i="1"/>
  <c r="P697" i="1"/>
  <c r="O697" i="1"/>
  <c r="N697" i="1"/>
  <c r="M697" i="1"/>
  <c r="Q696" i="1"/>
  <c r="P696" i="1"/>
  <c r="O696" i="1"/>
  <c r="N696" i="1"/>
  <c r="M696" i="1"/>
  <c r="Q695" i="1"/>
  <c r="P695" i="1"/>
  <c r="O695" i="1"/>
  <c r="N695" i="1"/>
  <c r="M695" i="1"/>
  <c r="Q694" i="1"/>
  <c r="P694" i="1"/>
  <c r="O694" i="1"/>
  <c r="N694" i="1"/>
  <c r="M694" i="1"/>
  <c r="Q693" i="1"/>
  <c r="P693" i="1"/>
  <c r="O693" i="1"/>
  <c r="N693" i="1"/>
  <c r="M693" i="1"/>
  <c r="Q692" i="1"/>
  <c r="P692" i="1"/>
  <c r="O692" i="1"/>
  <c r="N692" i="1"/>
  <c r="M692" i="1"/>
  <c r="Q691" i="1"/>
  <c r="P691" i="1"/>
  <c r="O691" i="1"/>
  <c r="N691" i="1"/>
  <c r="M691" i="1"/>
  <c r="Q690" i="1"/>
  <c r="P690" i="1"/>
  <c r="O690" i="1"/>
  <c r="N690" i="1"/>
  <c r="M690" i="1"/>
  <c r="Q689" i="1"/>
  <c r="P689" i="1"/>
  <c r="O689" i="1"/>
  <c r="N689" i="1"/>
  <c r="M689" i="1"/>
  <c r="Q688" i="1"/>
  <c r="P688" i="1"/>
  <c r="O688" i="1"/>
  <c r="N688" i="1"/>
  <c r="M688" i="1"/>
  <c r="Q687" i="1"/>
  <c r="P687" i="1"/>
  <c r="O687" i="1"/>
  <c r="N687" i="1"/>
  <c r="M687" i="1"/>
  <c r="Q686" i="1"/>
  <c r="P686" i="1"/>
  <c r="O686" i="1"/>
  <c r="N686" i="1"/>
  <c r="M686" i="1"/>
  <c r="Q685" i="1"/>
  <c r="P685" i="1"/>
  <c r="O685" i="1"/>
  <c r="N685" i="1"/>
  <c r="M685" i="1"/>
  <c r="Q684" i="1"/>
  <c r="P684" i="1"/>
  <c r="O684" i="1"/>
  <c r="N684" i="1"/>
  <c r="M684" i="1"/>
  <c r="Q683" i="1"/>
  <c r="P683" i="1"/>
  <c r="O683" i="1"/>
  <c r="N683" i="1"/>
  <c r="M683" i="1"/>
  <c r="Q682" i="1"/>
  <c r="P682" i="1"/>
  <c r="O682" i="1"/>
  <c r="N682" i="1"/>
  <c r="M682" i="1"/>
  <c r="Q681" i="1"/>
  <c r="P681" i="1"/>
  <c r="O681" i="1"/>
  <c r="N681" i="1"/>
  <c r="M681" i="1"/>
  <c r="Q680" i="1"/>
  <c r="P680" i="1"/>
  <c r="O680" i="1"/>
  <c r="N680" i="1"/>
  <c r="M680" i="1"/>
  <c r="Q679" i="1"/>
  <c r="P679" i="1"/>
  <c r="O679" i="1"/>
  <c r="N679" i="1"/>
  <c r="M679" i="1"/>
  <c r="Q678" i="1"/>
  <c r="P678" i="1"/>
  <c r="O678" i="1"/>
  <c r="N678" i="1"/>
  <c r="M678" i="1"/>
  <c r="Q677" i="1"/>
  <c r="P677" i="1"/>
  <c r="O677" i="1"/>
  <c r="N677" i="1"/>
  <c r="M677" i="1"/>
  <c r="Q676" i="1"/>
  <c r="P676" i="1"/>
  <c r="O676" i="1"/>
  <c r="N676" i="1"/>
  <c r="M676" i="1"/>
  <c r="Q675" i="1"/>
  <c r="P675" i="1"/>
  <c r="O675" i="1"/>
  <c r="N675" i="1"/>
  <c r="M675" i="1"/>
  <c r="Q674" i="1"/>
  <c r="P674" i="1"/>
  <c r="O674" i="1"/>
  <c r="N674" i="1"/>
  <c r="M674" i="1"/>
  <c r="Q673" i="1"/>
  <c r="P673" i="1"/>
  <c r="O673" i="1"/>
  <c r="N673" i="1"/>
  <c r="M673" i="1"/>
  <c r="Q672" i="1"/>
  <c r="P672" i="1"/>
  <c r="O672" i="1"/>
  <c r="N672" i="1"/>
  <c r="M672" i="1"/>
  <c r="Q671" i="1"/>
  <c r="P671" i="1"/>
  <c r="O671" i="1"/>
  <c r="N671" i="1"/>
  <c r="M671" i="1"/>
  <c r="Q670" i="1"/>
  <c r="P670" i="1"/>
  <c r="O670" i="1"/>
  <c r="N670" i="1"/>
  <c r="M670" i="1"/>
  <c r="Q669" i="1"/>
  <c r="P669" i="1"/>
  <c r="O669" i="1"/>
  <c r="N669" i="1"/>
  <c r="M669" i="1"/>
  <c r="Q668" i="1"/>
  <c r="P668" i="1"/>
  <c r="O668" i="1"/>
  <c r="N668" i="1"/>
  <c r="M668" i="1"/>
  <c r="Q667" i="1"/>
  <c r="P667" i="1"/>
  <c r="O667" i="1"/>
  <c r="N667" i="1"/>
  <c r="M667" i="1"/>
  <c r="Q666" i="1"/>
  <c r="P666" i="1"/>
  <c r="O666" i="1"/>
  <c r="N666" i="1"/>
  <c r="M666" i="1"/>
  <c r="Q665" i="1"/>
  <c r="P665" i="1"/>
  <c r="O665" i="1"/>
  <c r="N665" i="1"/>
  <c r="M665" i="1"/>
  <c r="Q664" i="1"/>
  <c r="P664" i="1"/>
  <c r="O664" i="1"/>
  <c r="N664" i="1"/>
  <c r="M664" i="1"/>
  <c r="Q663" i="1"/>
  <c r="P663" i="1"/>
  <c r="O663" i="1"/>
  <c r="N663" i="1"/>
  <c r="M663" i="1"/>
  <c r="Q662" i="1"/>
  <c r="P662" i="1"/>
  <c r="O662" i="1"/>
  <c r="N662" i="1"/>
  <c r="M662" i="1"/>
  <c r="Q661" i="1"/>
  <c r="P661" i="1"/>
  <c r="O661" i="1"/>
  <c r="N661" i="1"/>
  <c r="M661" i="1"/>
  <c r="Q660" i="1"/>
  <c r="P660" i="1"/>
  <c r="O660" i="1"/>
  <c r="N660" i="1"/>
  <c r="M660" i="1"/>
  <c r="Q659" i="1"/>
  <c r="P659" i="1"/>
  <c r="O659" i="1"/>
  <c r="N659" i="1"/>
  <c r="M659" i="1"/>
  <c r="Q658" i="1"/>
  <c r="P658" i="1"/>
  <c r="O658" i="1"/>
  <c r="N658" i="1"/>
  <c r="M658" i="1"/>
  <c r="Q657" i="1"/>
  <c r="P657" i="1"/>
  <c r="O657" i="1"/>
  <c r="N657" i="1"/>
  <c r="M657" i="1"/>
  <c r="Q656" i="1"/>
  <c r="P656" i="1"/>
  <c r="O656" i="1"/>
  <c r="N656" i="1"/>
  <c r="M656" i="1"/>
  <c r="Q655" i="1"/>
  <c r="P655" i="1"/>
  <c r="O655" i="1"/>
  <c r="N655" i="1"/>
  <c r="M655" i="1"/>
  <c r="Q654" i="1"/>
  <c r="P654" i="1"/>
  <c r="O654" i="1"/>
  <c r="N654" i="1"/>
  <c r="M654" i="1"/>
  <c r="Q653" i="1"/>
  <c r="P653" i="1"/>
  <c r="O653" i="1"/>
  <c r="N653" i="1"/>
  <c r="M653" i="1"/>
  <c r="Q652" i="1"/>
  <c r="P652" i="1"/>
  <c r="O652" i="1"/>
  <c r="N652" i="1"/>
  <c r="M652" i="1"/>
  <c r="Q651" i="1"/>
  <c r="P651" i="1"/>
  <c r="O651" i="1"/>
  <c r="N651" i="1"/>
  <c r="M651" i="1"/>
  <c r="Q650" i="1"/>
  <c r="P650" i="1"/>
  <c r="O650" i="1"/>
  <c r="N650" i="1"/>
  <c r="M650" i="1"/>
  <c r="Q649" i="1"/>
  <c r="P649" i="1"/>
  <c r="O649" i="1"/>
  <c r="N649" i="1"/>
  <c r="M649" i="1"/>
  <c r="Q648" i="1"/>
  <c r="P648" i="1"/>
  <c r="O648" i="1"/>
  <c r="N648" i="1"/>
  <c r="M648" i="1"/>
  <c r="Q647" i="1"/>
  <c r="P647" i="1"/>
  <c r="O647" i="1"/>
  <c r="N647" i="1"/>
  <c r="M647" i="1"/>
  <c r="Q646" i="1"/>
  <c r="P646" i="1"/>
  <c r="O646" i="1"/>
  <c r="N646" i="1"/>
  <c r="M646" i="1"/>
  <c r="Q645" i="1"/>
  <c r="P645" i="1"/>
  <c r="O645" i="1"/>
  <c r="N645" i="1"/>
  <c r="M645" i="1"/>
  <c r="Q644" i="1"/>
  <c r="P644" i="1"/>
  <c r="O644" i="1"/>
  <c r="N644" i="1"/>
  <c r="M644" i="1"/>
  <c r="Q643" i="1"/>
  <c r="P643" i="1"/>
  <c r="O643" i="1"/>
  <c r="N643" i="1"/>
  <c r="M643" i="1"/>
  <c r="Q642" i="1"/>
  <c r="P642" i="1"/>
  <c r="O642" i="1"/>
  <c r="N642" i="1"/>
  <c r="M642" i="1"/>
  <c r="Q641" i="1"/>
  <c r="P641" i="1"/>
  <c r="O641" i="1"/>
  <c r="N641" i="1"/>
  <c r="M641" i="1"/>
  <c r="Q640" i="1"/>
  <c r="P640" i="1"/>
  <c r="O640" i="1"/>
  <c r="N640" i="1"/>
  <c r="M640" i="1"/>
  <c r="Q639" i="1"/>
  <c r="P639" i="1"/>
  <c r="O639" i="1"/>
  <c r="N639" i="1"/>
  <c r="M639" i="1"/>
  <c r="Q638" i="1"/>
  <c r="P638" i="1"/>
  <c r="O638" i="1"/>
  <c r="N638" i="1"/>
  <c r="M638" i="1"/>
  <c r="Q637" i="1"/>
  <c r="P637" i="1"/>
  <c r="O637" i="1"/>
  <c r="N637" i="1"/>
  <c r="M637" i="1"/>
  <c r="Q636" i="1"/>
  <c r="P636" i="1"/>
  <c r="O636" i="1"/>
  <c r="N636" i="1"/>
  <c r="M636" i="1"/>
  <c r="Q635" i="1"/>
  <c r="P635" i="1"/>
  <c r="O635" i="1"/>
  <c r="N635" i="1"/>
  <c r="M635" i="1"/>
  <c r="Q634" i="1"/>
  <c r="P634" i="1"/>
  <c r="O634" i="1"/>
  <c r="N634" i="1"/>
  <c r="M634" i="1"/>
  <c r="Q633" i="1"/>
  <c r="P633" i="1"/>
  <c r="O633" i="1"/>
  <c r="N633" i="1"/>
  <c r="M633" i="1"/>
  <c r="Q632" i="1"/>
  <c r="P632" i="1"/>
  <c r="O632" i="1"/>
  <c r="N632" i="1"/>
  <c r="M632" i="1"/>
  <c r="Q631" i="1"/>
  <c r="P631" i="1"/>
  <c r="O631" i="1"/>
  <c r="N631" i="1"/>
  <c r="M631" i="1"/>
  <c r="Q630" i="1"/>
  <c r="P630" i="1"/>
  <c r="O630" i="1"/>
  <c r="N630" i="1"/>
  <c r="M630" i="1"/>
  <c r="Q629" i="1"/>
  <c r="P629" i="1"/>
  <c r="O629" i="1"/>
  <c r="N629" i="1"/>
  <c r="M629" i="1"/>
  <c r="Q628" i="1"/>
  <c r="P628" i="1"/>
  <c r="O628" i="1"/>
  <c r="N628" i="1"/>
  <c r="M628" i="1"/>
  <c r="Q627" i="1"/>
  <c r="P627" i="1"/>
  <c r="O627" i="1"/>
  <c r="N627" i="1"/>
  <c r="M627" i="1"/>
  <c r="Q626" i="1"/>
  <c r="P626" i="1"/>
  <c r="O626" i="1"/>
  <c r="N626" i="1"/>
  <c r="M626" i="1"/>
  <c r="Q625" i="1"/>
  <c r="P625" i="1"/>
  <c r="O625" i="1"/>
  <c r="N625" i="1"/>
  <c r="M625" i="1"/>
  <c r="Q624" i="1"/>
  <c r="P624" i="1"/>
  <c r="O624" i="1"/>
  <c r="N624" i="1"/>
  <c r="M624" i="1"/>
  <c r="Q623" i="1"/>
  <c r="P623" i="1"/>
  <c r="O623" i="1"/>
  <c r="N623" i="1"/>
  <c r="M623" i="1"/>
  <c r="Q622" i="1"/>
  <c r="P622" i="1"/>
  <c r="O622" i="1"/>
  <c r="N622" i="1"/>
  <c r="M622" i="1"/>
  <c r="Q621" i="1"/>
  <c r="P621" i="1"/>
  <c r="O621" i="1"/>
  <c r="N621" i="1"/>
  <c r="M621" i="1"/>
  <c r="Q620" i="1"/>
  <c r="P620" i="1"/>
  <c r="O620" i="1"/>
  <c r="N620" i="1"/>
  <c r="M620" i="1"/>
  <c r="Q619" i="1"/>
  <c r="P619" i="1"/>
  <c r="O619" i="1"/>
  <c r="N619" i="1"/>
  <c r="M619" i="1"/>
  <c r="Q618" i="1"/>
  <c r="P618" i="1"/>
  <c r="O618" i="1"/>
  <c r="N618" i="1"/>
  <c r="M618" i="1"/>
  <c r="Q617" i="1"/>
  <c r="P617" i="1"/>
  <c r="O617" i="1"/>
  <c r="N617" i="1"/>
  <c r="M617" i="1"/>
  <c r="Q616" i="1"/>
  <c r="P616" i="1"/>
  <c r="O616" i="1"/>
  <c r="N616" i="1"/>
  <c r="M616" i="1"/>
  <c r="Q615" i="1"/>
  <c r="P615" i="1"/>
  <c r="O615" i="1"/>
  <c r="N615" i="1"/>
  <c r="M615" i="1"/>
  <c r="Q614" i="1"/>
  <c r="P614" i="1"/>
  <c r="O614" i="1"/>
  <c r="N614" i="1"/>
  <c r="M614" i="1"/>
  <c r="Q613" i="1"/>
  <c r="P613" i="1"/>
  <c r="O613" i="1"/>
  <c r="N613" i="1"/>
  <c r="M613" i="1"/>
  <c r="Q612" i="1"/>
  <c r="P612" i="1"/>
  <c r="O612" i="1"/>
  <c r="N612" i="1"/>
  <c r="M612" i="1"/>
  <c r="Q611" i="1"/>
  <c r="P611" i="1"/>
  <c r="O611" i="1"/>
  <c r="N611" i="1"/>
  <c r="M611" i="1"/>
  <c r="Q610" i="1"/>
  <c r="P610" i="1"/>
  <c r="O610" i="1"/>
  <c r="N610" i="1"/>
  <c r="M610" i="1"/>
  <c r="Q609" i="1"/>
  <c r="P609" i="1"/>
  <c r="O609" i="1"/>
  <c r="N609" i="1"/>
  <c r="M609" i="1"/>
  <c r="Q608" i="1"/>
  <c r="P608" i="1"/>
  <c r="O608" i="1"/>
  <c r="N608" i="1"/>
  <c r="M608" i="1"/>
  <c r="Q607" i="1"/>
  <c r="P607" i="1"/>
  <c r="O607" i="1"/>
  <c r="N607" i="1"/>
  <c r="M607" i="1"/>
  <c r="Q606" i="1"/>
  <c r="P606" i="1"/>
  <c r="O606" i="1"/>
  <c r="N606" i="1"/>
  <c r="M606" i="1"/>
  <c r="Q605" i="1"/>
  <c r="P605" i="1"/>
  <c r="O605" i="1"/>
  <c r="N605" i="1"/>
  <c r="M605" i="1"/>
  <c r="Q604" i="1"/>
  <c r="P604" i="1"/>
  <c r="O604" i="1"/>
  <c r="N604" i="1"/>
  <c r="M604" i="1"/>
  <c r="Q603" i="1"/>
  <c r="P603" i="1"/>
  <c r="O603" i="1"/>
  <c r="N603" i="1"/>
  <c r="M603" i="1"/>
  <c r="Q602" i="1"/>
  <c r="P602" i="1"/>
  <c r="O602" i="1"/>
  <c r="N602" i="1"/>
  <c r="M602" i="1"/>
  <c r="Q601" i="1"/>
  <c r="P601" i="1"/>
  <c r="O601" i="1"/>
  <c r="N601" i="1"/>
  <c r="M601" i="1"/>
  <c r="Q600" i="1"/>
  <c r="P600" i="1"/>
  <c r="O600" i="1"/>
  <c r="N600" i="1"/>
  <c r="M600" i="1"/>
  <c r="Q599" i="1"/>
  <c r="P599" i="1"/>
  <c r="O599" i="1"/>
  <c r="N599" i="1"/>
  <c r="M599" i="1"/>
  <c r="Q598" i="1"/>
  <c r="P598" i="1"/>
  <c r="O598" i="1"/>
  <c r="N598" i="1"/>
  <c r="M598" i="1"/>
  <c r="Q597" i="1"/>
  <c r="P597" i="1"/>
  <c r="O597" i="1"/>
  <c r="N597" i="1"/>
  <c r="M597" i="1"/>
  <c r="Q596" i="1"/>
  <c r="P596" i="1"/>
  <c r="O596" i="1"/>
  <c r="N596" i="1"/>
  <c r="M596" i="1"/>
  <c r="Q595" i="1"/>
  <c r="P595" i="1"/>
  <c r="O595" i="1"/>
  <c r="N595" i="1"/>
  <c r="M595" i="1"/>
  <c r="Q594" i="1"/>
  <c r="P594" i="1"/>
  <c r="O594" i="1"/>
  <c r="N594" i="1"/>
  <c r="M594" i="1"/>
  <c r="Q593" i="1"/>
  <c r="P593" i="1"/>
  <c r="O593" i="1"/>
  <c r="N593" i="1"/>
  <c r="M593" i="1"/>
  <c r="Q592" i="1"/>
  <c r="P592" i="1"/>
  <c r="O592" i="1"/>
  <c r="N592" i="1"/>
  <c r="M592" i="1"/>
  <c r="Q591" i="1"/>
  <c r="P591" i="1"/>
  <c r="O591" i="1"/>
  <c r="N591" i="1"/>
  <c r="M591" i="1"/>
  <c r="Q590" i="1"/>
  <c r="P590" i="1"/>
  <c r="O590" i="1"/>
  <c r="N590" i="1"/>
  <c r="M590" i="1"/>
  <c r="Q589" i="1"/>
  <c r="P589" i="1"/>
  <c r="O589" i="1"/>
  <c r="N589" i="1"/>
  <c r="M589" i="1"/>
  <c r="Q588" i="1"/>
  <c r="P588" i="1"/>
  <c r="O588" i="1"/>
  <c r="N588" i="1"/>
  <c r="M588" i="1"/>
  <c r="Q587" i="1"/>
  <c r="P587" i="1"/>
  <c r="O587" i="1"/>
  <c r="N587" i="1"/>
  <c r="M587" i="1"/>
  <c r="Q586" i="1"/>
  <c r="P586" i="1"/>
  <c r="O586" i="1"/>
  <c r="N586" i="1"/>
  <c r="M586" i="1"/>
  <c r="Q585" i="1"/>
  <c r="P585" i="1"/>
  <c r="O585" i="1"/>
  <c r="N585" i="1"/>
  <c r="M585" i="1"/>
  <c r="Q584" i="1"/>
  <c r="P584" i="1"/>
  <c r="O584" i="1"/>
  <c r="N584" i="1"/>
  <c r="M584" i="1"/>
  <c r="Q583" i="1"/>
  <c r="P583" i="1"/>
  <c r="O583" i="1"/>
  <c r="N583" i="1"/>
  <c r="M583" i="1"/>
  <c r="Q582" i="1"/>
  <c r="P582" i="1"/>
  <c r="O582" i="1"/>
  <c r="N582" i="1"/>
  <c r="M582" i="1"/>
  <c r="Q581" i="1"/>
  <c r="P581" i="1"/>
  <c r="O581" i="1"/>
  <c r="N581" i="1"/>
  <c r="M581" i="1"/>
  <c r="Q580" i="1"/>
  <c r="P580" i="1"/>
  <c r="O580" i="1"/>
  <c r="N580" i="1"/>
  <c r="M580" i="1"/>
  <c r="Q579" i="1"/>
  <c r="P579" i="1"/>
  <c r="O579" i="1"/>
  <c r="N579" i="1"/>
  <c r="M579" i="1"/>
  <c r="Q578" i="1"/>
  <c r="P578" i="1"/>
  <c r="O578" i="1"/>
  <c r="N578" i="1"/>
  <c r="M578" i="1"/>
  <c r="Q577" i="1"/>
  <c r="P577" i="1"/>
  <c r="O577" i="1"/>
  <c r="N577" i="1"/>
  <c r="M577" i="1"/>
  <c r="Q576" i="1"/>
  <c r="P576" i="1"/>
  <c r="O576" i="1"/>
  <c r="N576" i="1"/>
  <c r="M576" i="1"/>
  <c r="Q575" i="1"/>
  <c r="P575" i="1"/>
  <c r="O575" i="1"/>
  <c r="N575" i="1"/>
  <c r="M575" i="1"/>
  <c r="Q574" i="1"/>
  <c r="P574" i="1"/>
  <c r="O574" i="1"/>
  <c r="N574" i="1"/>
  <c r="M574" i="1"/>
  <c r="Q573" i="1"/>
  <c r="P573" i="1"/>
  <c r="O573" i="1"/>
  <c r="N573" i="1"/>
  <c r="M573" i="1"/>
  <c r="Q572" i="1"/>
  <c r="P572" i="1"/>
  <c r="O572" i="1"/>
  <c r="N572" i="1"/>
  <c r="M572" i="1"/>
  <c r="Q571" i="1"/>
  <c r="P571" i="1"/>
  <c r="O571" i="1"/>
  <c r="N571" i="1"/>
  <c r="M571" i="1"/>
  <c r="Q570" i="1"/>
  <c r="P570" i="1"/>
  <c r="O570" i="1"/>
  <c r="N570" i="1"/>
  <c r="M570" i="1"/>
  <c r="Q569" i="1"/>
  <c r="P569" i="1"/>
  <c r="O569" i="1"/>
  <c r="N569" i="1"/>
  <c r="M569" i="1"/>
  <c r="Q568" i="1"/>
  <c r="P568" i="1"/>
  <c r="O568" i="1"/>
  <c r="N568" i="1"/>
  <c r="M568" i="1"/>
  <c r="Q567" i="1"/>
  <c r="P567" i="1"/>
  <c r="O567" i="1"/>
  <c r="N567" i="1"/>
  <c r="M567" i="1"/>
  <c r="Q566" i="1"/>
  <c r="P566" i="1"/>
  <c r="O566" i="1"/>
  <c r="N566" i="1"/>
  <c r="M566" i="1"/>
  <c r="Q565" i="1"/>
  <c r="P565" i="1"/>
  <c r="O565" i="1"/>
  <c r="N565" i="1"/>
  <c r="M565" i="1"/>
  <c r="Q564" i="1"/>
  <c r="P564" i="1"/>
  <c r="O564" i="1"/>
  <c r="N564" i="1"/>
  <c r="M564" i="1"/>
  <c r="Q563" i="1"/>
  <c r="P563" i="1"/>
  <c r="O563" i="1"/>
  <c r="N563" i="1"/>
  <c r="M563" i="1"/>
  <c r="Q562" i="1"/>
  <c r="P562" i="1"/>
  <c r="O562" i="1"/>
  <c r="N562" i="1"/>
  <c r="M562" i="1"/>
  <c r="Q561" i="1"/>
  <c r="P561" i="1"/>
  <c r="O561" i="1"/>
  <c r="N561" i="1"/>
  <c r="M561" i="1"/>
  <c r="Q560" i="1"/>
  <c r="P560" i="1"/>
  <c r="O560" i="1"/>
  <c r="N560" i="1"/>
  <c r="M560" i="1"/>
  <c r="Q559" i="1"/>
  <c r="P559" i="1"/>
  <c r="O559" i="1"/>
  <c r="N559" i="1"/>
  <c r="M559" i="1"/>
  <c r="Q558" i="1"/>
  <c r="P558" i="1"/>
  <c r="O558" i="1"/>
  <c r="N558" i="1"/>
  <c r="M558" i="1"/>
  <c r="Q557" i="1"/>
  <c r="P557" i="1"/>
  <c r="O557" i="1"/>
  <c r="N557" i="1"/>
  <c r="M557" i="1"/>
  <c r="Q556" i="1"/>
  <c r="P556" i="1"/>
  <c r="O556" i="1"/>
  <c r="N556" i="1"/>
  <c r="M556" i="1"/>
  <c r="Q555" i="1"/>
  <c r="P555" i="1"/>
  <c r="O555" i="1"/>
  <c r="N555" i="1"/>
  <c r="M555" i="1"/>
  <c r="Q554" i="1"/>
  <c r="P554" i="1"/>
  <c r="O554" i="1"/>
  <c r="N554" i="1"/>
  <c r="M554" i="1"/>
  <c r="Q553" i="1"/>
  <c r="P553" i="1"/>
  <c r="O553" i="1"/>
  <c r="N553" i="1"/>
  <c r="M553" i="1"/>
  <c r="Q552" i="1"/>
  <c r="P552" i="1"/>
  <c r="O552" i="1"/>
  <c r="N552" i="1"/>
  <c r="M552" i="1"/>
  <c r="Q551" i="1"/>
  <c r="P551" i="1"/>
  <c r="O551" i="1"/>
  <c r="N551" i="1"/>
  <c r="M551" i="1"/>
  <c r="Q550" i="1"/>
  <c r="P550" i="1"/>
  <c r="O550" i="1"/>
  <c r="N550" i="1"/>
  <c r="M550" i="1"/>
  <c r="Q549" i="1"/>
  <c r="P549" i="1"/>
  <c r="O549" i="1"/>
  <c r="N549" i="1"/>
  <c r="M549" i="1"/>
  <c r="Q548" i="1"/>
  <c r="P548" i="1"/>
  <c r="O548" i="1"/>
  <c r="N548" i="1"/>
  <c r="M548" i="1"/>
  <c r="Q547" i="1"/>
  <c r="P547" i="1"/>
  <c r="O547" i="1"/>
  <c r="N547" i="1"/>
  <c r="M547" i="1"/>
  <c r="Q546" i="1"/>
  <c r="P546" i="1"/>
  <c r="O546" i="1"/>
  <c r="N546" i="1"/>
  <c r="M546" i="1"/>
  <c r="Q545" i="1"/>
  <c r="P545" i="1"/>
  <c r="O545" i="1"/>
  <c r="N545" i="1"/>
  <c r="M545" i="1"/>
  <c r="Q544" i="1"/>
  <c r="P544" i="1"/>
  <c r="O544" i="1"/>
  <c r="N544" i="1"/>
  <c r="M544" i="1"/>
  <c r="Q543" i="1"/>
  <c r="P543" i="1"/>
  <c r="O543" i="1"/>
  <c r="N543" i="1"/>
  <c r="M543" i="1"/>
  <c r="Q542" i="1"/>
  <c r="P542" i="1"/>
  <c r="O542" i="1"/>
  <c r="N542" i="1"/>
  <c r="M542" i="1"/>
  <c r="Q541" i="1"/>
  <c r="P541" i="1"/>
  <c r="O541" i="1"/>
  <c r="N541" i="1"/>
  <c r="M541" i="1"/>
  <c r="Q540" i="1"/>
  <c r="P540" i="1"/>
  <c r="O540" i="1"/>
  <c r="N540" i="1"/>
  <c r="M540" i="1"/>
  <c r="Q539" i="1"/>
  <c r="P539" i="1"/>
  <c r="O539" i="1"/>
  <c r="N539" i="1"/>
  <c r="M539" i="1"/>
  <c r="Q538" i="1"/>
  <c r="P538" i="1"/>
  <c r="O538" i="1"/>
  <c r="N538" i="1"/>
  <c r="M538" i="1"/>
  <c r="Q537" i="1"/>
  <c r="P537" i="1"/>
  <c r="O537" i="1"/>
  <c r="N537" i="1"/>
  <c r="M537" i="1"/>
  <c r="Q536" i="1"/>
  <c r="P536" i="1"/>
  <c r="O536" i="1"/>
  <c r="N536" i="1"/>
  <c r="M536" i="1"/>
  <c r="Q535" i="1"/>
  <c r="P535" i="1"/>
  <c r="O535" i="1"/>
  <c r="N535" i="1"/>
  <c r="M535" i="1"/>
  <c r="Q534" i="1"/>
  <c r="P534" i="1"/>
  <c r="O534" i="1"/>
  <c r="N534" i="1"/>
  <c r="M534" i="1"/>
  <c r="Q533" i="1"/>
  <c r="P533" i="1"/>
  <c r="O533" i="1"/>
  <c r="N533" i="1"/>
  <c r="M533" i="1"/>
  <c r="Q532" i="1"/>
  <c r="P532" i="1"/>
  <c r="O532" i="1"/>
  <c r="N532" i="1"/>
  <c r="M532" i="1"/>
  <c r="Q531" i="1"/>
  <c r="P531" i="1"/>
  <c r="O531" i="1"/>
  <c r="N531" i="1"/>
  <c r="M531" i="1"/>
  <c r="Q530" i="1"/>
  <c r="P530" i="1"/>
  <c r="O530" i="1"/>
  <c r="N530" i="1"/>
  <c r="M530" i="1"/>
  <c r="Q529" i="1"/>
  <c r="P529" i="1"/>
  <c r="O529" i="1"/>
  <c r="N529" i="1"/>
  <c r="M529" i="1"/>
  <c r="Q528" i="1"/>
  <c r="P528" i="1"/>
  <c r="O528" i="1"/>
  <c r="N528" i="1"/>
  <c r="M528" i="1"/>
  <c r="Q527" i="1"/>
  <c r="P527" i="1"/>
  <c r="O527" i="1"/>
  <c r="N527" i="1"/>
  <c r="M527" i="1"/>
  <c r="Q526" i="1"/>
  <c r="P526" i="1"/>
  <c r="O526" i="1"/>
  <c r="N526" i="1"/>
  <c r="M526" i="1"/>
  <c r="Q525" i="1"/>
  <c r="P525" i="1"/>
  <c r="O525" i="1"/>
  <c r="N525" i="1"/>
  <c r="M525" i="1"/>
  <c r="Q524" i="1"/>
  <c r="P524" i="1"/>
  <c r="O524" i="1"/>
  <c r="N524" i="1"/>
  <c r="M524" i="1"/>
  <c r="Q523" i="1"/>
  <c r="P523" i="1"/>
  <c r="O523" i="1"/>
  <c r="N523" i="1"/>
  <c r="M523" i="1"/>
  <c r="Q522" i="1"/>
  <c r="P522" i="1"/>
  <c r="O522" i="1"/>
  <c r="N522" i="1"/>
  <c r="M522" i="1"/>
  <c r="Q521" i="1"/>
  <c r="P521" i="1"/>
  <c r="O521" i="1"/>
  <c r="N521" i="1"/>
  <c r="M521" i="1"/>
  <c r="Q520" i="1"/>
  <c r="P520" i="1"/>
  <c r="O520" i="1"/>
  <c r="N520" i="1"/>
  <c r="M520" i="1"/>
  <c r="Q519" i="1"/>
  <c r="P519" i="1"/>
  <c r="O519" i="1"/>
  <c r="N519" i="1"/>
  <c r="M519" i="1"/>
  <c r="Q518" i="1"/>
  <c r="P518" i="1"/>
  <c r="O518" i="1"/>
  <c r="N518" i="1"/>
  <c r="M518" i="1"/>
  <c r="Q517" i="1"/>
  <c r="P517" i="1"/>
  <c r="O517" i="1"/>
  <c r="N517" i="1"/>
  <c r="M517" i="1"/>
  <c r="Q516" i="1"/>
  <c r="P516" i="1"/>
  <c r="O516" i="1"/>
  <c r="N516" i="1"/>
  <c r="M516" i="1"/>
  <c r="Q515" i="1"/>
  <c r="P515" i="1"/>
  <c r="O515" i="1"/>
  <c r="N515" i="1"/>
  <c r="M515" i="1"/>
  <c r="Q514" i="1"/>
  <c r="P514" i="1"/>
  <c r="O514" i="1"/>
  <c r="N514" i="1"/>
  <c r="M514" i="1"/>
  <c r="Q513" i="1"/>
  <c r="P513" i="1"/>
  <c r="O513" i="1"/>
  <c r="N513" i="1"/>
  <c r="M513" i="1"/>
  <c r="Q512" i="1"/>
  <c r="P512" i="1"/>
  <c r="O512" i="1"/>
  <c r="N512" i="1"/>
  <c r="M512" i="1"/>
  <c r="Q511" i="1"/>
  <c r="P511" i="1"/>
  <c r="O511" i="1"/>
  <c r="N511" i="1"/>
  <c r="M511" i="1"/>
  <c r="Q510" i="1"/>
  <c r="P510" i="1"/>
  <c r="O510" i="1"/>
  <c r="N510" i="1"/>
  <c r="M510" i="1"/>
  <c r="Q509" i="1"/>
  <c r="P509" i="1"/>
  <c r="O509" i="1"/>
  <c r="N509" i="1"/>
  <c r="M509" i="1"/>
  <c r="Q508" i="1"/>
  <c r="P508" i="1"/>
  <c r="O508" i="1"/>
  <c r="N508" i="1"/>
  <c r="M508" i="1"/>
  <c r="Q507" i="1"/>
  <c r="P507" i="1"/>
  <c r="O507" i="1"/>
  <c r="N507" i="1"/>
  <c r="M507" i="1"/>
  <c r="Q506" i="1"/>
  <c r="P506" i="1"/>
  <c r="O506" i="1"/>
  <c r="N506" i="1"/>
  <c r="M506" i="1"/>
  <c r="Q505" i="1"/>
  <c r="P505" i="1"/>
  <c r="O505" i="1"/>
  <c r="N505" i="1"/>
  <c r="M505" i="1"/>
  <c r="Q504" i="1"/>
  <c r="P504" i="1"/>
  <c r="O504" i="1"/>
  <c r="N504" i="1"/>
  <c r="M504" i="1"/>
  <c r="Q503" i="1"/>
  <c r="P503" i="1"/>
  <c r="O503" i="1"/>
  <c r="N503" i="1"/>
  <c r="M503" i="1"/>
  <c r="Q502" i="1"/>
  <c r="P502" i="1"/>
  <c r="O502" i="1"/>
  <c r="N502" i="1"/>
  <c r="M502" i="1"/>
  <c r="Q501" i="1"/>
  <c r="P501" i="1"/>
  <c r="O501" i="1"/>
  <c r="N501" i="1"/>
  <c r="M501" i="1"/>
  <c r="Q500" i="1"/>
  <c r="P500" i="1"/>
  <c r="O500" i="1"/>
  <c r="N500" i="1"/>
  <c r="M500" i="1"/>
  <c r="Q499" i="1"/>
  <c r="P499" i="1"/>
  <c r="O499" i="1"/>
  <c r="N499" i="1"/>
  <c r="M499" i="1"/>
  <c r="Q498" i="1"/>
  <c r="P498" i="1"/>
  <c r="O498" i="1"/>
  <c r="N498" i="1"/>
  <c r="M498" i="1"/>
  <c r="Q497" i="1"/>
  <c r="P497" i="1"/>
  <c r="O497" i="1"/>
  <c r="N497" i="1"/>
  <c r="M497" i="1"/>
  <c r="Q496" i="1"/>
  <c r="P496" i="1"/>
  <c r="O496" i="1"/>
  <c r="N496" i="1"/>
  <c r="M496" i="1"/>
  <c r="Q495" i="1"/>
  <c r="P495" i="1"/>
  <c r="O495" i="1"/>
  <c r="N495" i="1"/>
  <c r="M495" i="1"/>
  <c r="Q494" i="1"/>
  <c r="P494" i="1"/>
  <c r="O494" i="1"/>
  <c r="N494" i="1"/>
  <c r="M494" i="1"/>
  <c r="Q493" i="1"/>
  <c r="P493" i="1"/>
  <c r="O493" i="1"/>
  <c r="N493" i="1"/>
  <c r="M493" i="1"/>
  <c r="Q492" i="1"/>
  <c r="P492" i="1"/>
  <c r="O492" i="1"/>
  <c r="N492" i="1"/>
  <c r="M492" i="1"/>
  <c r="Q491" i="1"/>
  <c r="P491" i="1"/>
  <c r="O491" i="1"/>
  <c r="N491" i="1"/>
  <c r="M491" i="1"/>
  <c r="Q490" i="1"/>
  <c r="P490" i="1"/>
  <c r="O490" i="1"/>
  <c r="N490" i="1"/>
  <c r="M490" i="1"/>
  <c r="Q489" i="1"/>
  <c r="P489" i="1"/>
  <c r="O489" i="1"/>
  <c r="N489" i="1"/>
  <c r="M489" i="1"/>
  <c r="Q488" i="1"/>
  <c r="P488" i="1"/>
  <c r="O488" i="1"/>
  <c r="N488" i="1"/>
  <c r="M488" i="1"/>
  <c r="Q487" i="1"/>
  <c r="P487" i="1"/>
  <c r="O487" i="1"/>
  <c r="N487" i="1"/>
  <c r="M487" i="1"/>
  <c r="Q486" i="1"/>
  <c r="P486" i="1"/>
  <c r="O486" i="1"/>
  <c r="N486" i="1"/>
  <c r="M486" i="1"/>
  <c r="Q485" i="1"/>
  <c r="P485" i="1"/>
  <c r="O485" i="1"/>
  <c r="N485" i="1"/>
  <c r="M485" i="1"/>
  <c r="Q484" i="1"/>
  <c r="P484" i="1"/>
  <c r="O484" i="1"/>
  <c r="N484" i="1"/>
  <c r="M484" i="1"/>
  <c r="Q483" i="1"/>
  <c r="P483" i="1"/>
  <c r="O483" i="1"/>
  <c r="N483" i="1"/>
  <c r="M483" i="1"/>
  <c r="Q482" i="1"/>
  <c r="P482" i="1"/>
  <c r="O482" i="1"/>
  <c r="N482" i="1"/>
  <c r="M482" i="1"/>
  <c r="Q481" i="1"/>
  <c r="P481" i="1"/>
  <c r="O481" i="1"/>
  <c r="N481" i="1"/>
  <c r="M481" i="1"/>
  <c r="Q480" i="1"/>
  <c r="P480" i="1"/>
  <c r="O480" i="1"/>
  <c r="N480" i="1"/>
  <c r="M480" i="1"/>
  <c r="Q479" i="1"/>
  <c r="P479" i="1"/>
  <c r="O479" i="1"/>
  <c r="N479" i="1"/>
  <c r="M479" i="1"/>
  <c r="Q478" i="1"/>
  <c r="P478" i="1"/>
  <c r="O478" i="1"/>
  <c r="N478" i="1"/>
  <c r="M478" i="1"/>
  <c r="Q477" i="1"/>
  <c r="P477" i="1"/>
  <c r="O477" i="1"/>
  <c r="N477" i="1"/>
  <c r="M477" i="1"/>
  <c r="Q476" i="1"/>
  <c r="P476" i="1"/>
  <c r="O476" i="1"/>
  <c r="N476" i="1"/>
  <c r="M476" i="1"/>
  <c r="Q475" i="1"/>
  <c r="P475" i="1"/>
  <c r="O475" i="1"/>
  <c r="N475" i="1"/>
  <c r="M475" i="1"/>
  <c r="Q474" i="1"/>
  <c r="P474" i="1"/>
  <c r="O474" i="1"/>
  <c r="N474" i="1"/>
  <c r="M474" i="1"/>
  <c r="Q473" i="1"/>
  <c r="P473" i="1"/>
  <c r="O473" i="1"/>
  <c r="N473" i="1"/>
  <c r="M473" i="1"/>
  <c r="Q472" i="1"/>
  <c r="P472" i="1"/>
  <c r="O472" i="1"/>
  <c r="N472" i="1"/>
  <c r="M472" i="1"/>
  <c r="Q471" i="1"/>
  <c r="P471" i="1"/>
  <c r="O471" i="1"/>
  <c r="N471" i="1"/>
  <c r="M471" i="1"/>
  <c r="Q470" i="1"/>
  <c r="P470" i="1"/>
  <c r="O470" i="1"/>
  <c r="N470" i="1"/>
  <c r="M470" i="1"/>
  <c r="Q469" i="1"/>
  <c r="P469" i="1"/>
  <c r="O469" i="1"/>
  <c r="N469" i="1"/>
  <c r="M469" i="1"/>
  <c r="Q468" i="1"/>
  <c r="P468" i="1"/>
  <c r="O468" i="1"/>
  <c r="N468" i="1"/>
  <c r="M468" i="1"/>
  <c r="Q467" i="1"/>
  <c r="P467" i="1"/>
  <c r="O467" i="1"/>
  <c r="N467" i="1"/>
  <c r="M467" i="1"/>
  <c r="Q466" i="1"/>
  <c r="P466" i="1"/>
  <c r="O466" i="1"/>
  <c r="N466" i="1"/>
  <c r="M466" i="1"/>
  <c r="Q465" i="1"/>
  <c r="P465" i="1"/>
  <c r="O465" i="1"/>
  <c r="N465" i="1"/>
  <c r="M465" i="1"/>
  <c r="Q464" i="1"/>
  <c r="P464" i="1"/>
  <c r="O464" i="1"/>
  <c r="N464" i="1"/>
  <c r="M464" i="1"/>
  <c r="Q463" i="1"/>
  <c r="P463" i="1"/>
  <c r="O463" i="1"/>
  <c r="N463" i="1"/>
  <c r="M463" i="1"/>
  <c r="Q462" i="1"/>
  <c r="P462" i="1"/>
  <c r="O462" i="1"/>
  <c r="N462" i="1"/>
  <c r="M462" i="1"/>
  <c r="Q461" i="1"/>
  <c r="P461" i="1"/>
  <c r="O461" i="1"/>
  <c r="N461" i="1"/>
  <c r="M461" i="1"/>
  <c r="Q460" i="1"/>
  <c r="P460" i="1"/>
  <c r="O460" i="1"/>
  <c r="N460" i="1"/>
  <c r="M460" i="1"/>
  <c r="Q459" i="1"/>
  <c r="P459" i="1"/>
  <c r="O459" i="1"/>
  <c r="N459" i="1"/>
  <c r="M459" i="1"/>
  <c r="Q458" i="1"/>
  <c r="P458" i="1"/>
  <c r="O458" i="1"/>
  <c r="N458" i="1"/>
  <c r="M458" i="1"/>
  <c r="Q457" i="1"/>
  <c r="P457" i="1"/>
  <c r="O457" i="1"/>
  <c r="N457" i="1"/>
  <c r="M457" i="1"/>
  <c r="Q456" i="1"/>
  <c r="P456" i="1"/>
  <c r="O456" i="1"/>
  <c r="N456" i="1"/>
  <c r="M456" i="1"/>
  <c r="Q455" i="1"/>
  <c r="P455" i="1"/>
  <c r="O455" i="1"/>
  <c r="N455" i="1"/>
  <c r="M455" i="1"/>
  <c r="Q454" i="1"/>
  <c r="P454" i="1"/>
  <c r="O454" i="1"/>
  <c r="N454" i="1"/>
  <c r="M454" i="1"/>
  <c r="Q453" i="1"/>
  <c r="P453" i="1"/>
  <c r="O453" i="1"/>
  <c r="N453" i="1"/>
  <c r="M453" i="1"/>
  <c r="Q452" i="1"/>
  <c r="P452" i="1"/>
  <c r="O452" i="1"/>
  <c r="N452" i="1"/>
  <c r="M452" i="1"/>
  <c r="Q451" i="1"/>
  <c r="P451" i="1"/>
  <c r="O451" i="1"/>
  <c r="N451" i="1"/>
  <c r="M451" i="1"/>
  <c r="Q450" i="1"/>
  <c r="P450" i="1"/>
  <c r="O450" i="1"/>
  <c r="N450" i="1"/>
  <c r="M450" i="1"/>
  <c r="Q449" i="1"/>
  <c r="P449" i="1"/>
  <c r="O449" i="1"/>
  <c r="N449" i="1"/>
  <c r="M449" i="1"/>
  <c r="Q448" i="1"/>
  <c r="P448" i="1"/>
  <c r="O448" i="1"/>
  <c r="N448" i="1"/>
  <c r="M448" i="1"/>
  <c r="Q447" i="1"/>
  <c r="P447" i="1"/>
  <c r="O447" i="1"/>
  <c r="N447" i="1"/>
  <c r="M447" i="1"/>
  <c r="Q446" i="1"/>
  <c r="P446" i="1"/>
  <c r="O446" i="1"/>
  <c r="N446" i="1"/>
  <c r="M446" i="1"/>
  <c r="Q445" i="1"/>
  <c r="P445" i="1"/>
  <c r="O445" i="1"/>
  <c r="N445" i="1"/>
  <c r="M445" i="1"/>
  <c r="Q444" i="1"/>
  <c r="P444" i="1"/>
  <c r="O444" i="1"/>
  <c r="N444" i="1"/>
  <c r="M444" i="1"/>
  <c r="Q443" i="1"/>
  <c r="P443" i="1"/>
  <c r="O443" i="1"/>
  <c r="N443" i="1"/>
  <c r="M443" i="1"/>
  <c r="Q442" i="1"/>
  <c r="P442" i="1"/>
  <c r="O442" i="1"/>
  <c r="N442" i="1"/>
  <c r="M442" i="1"/>
  <c r="Q441" i="1"/>
  <c r="P441" i="1"/>
  <c r="O441" i="1"/>
  <c r="N441" i="1"/>
  <c r="M441" i="1"/>
  <c r="Q440" i="1"/>
  <c r="P440" i="1"/>
  <c r="O440" i="1"/>
  <c r="N440" i="1"/>
  <c r="M440" i="1"/>
  <c r="Q439" i="1"/>
  <c r="P439" i="1"/>
  <c r="O439" i="1"/>
  <c r="N439" i="1"/>
  <c r="M439" i="1"/>
  <c r="Q438" i="1"/>
  <c r="P438" i="1"/>
  <c r="O438" i="1"/>
  <c r="N438" i="1"/>
  <c r="M438" i="1"/>
  <c r="Q437" i="1"/>
  <c r="P437" i="1"/>
  <c r="O437" i="1"/>
  <c r="N437" i="1"/>
  <c r="M437" i="1"/>
  <c r="Q436" i="1"/>
  <c r="P436" i="1"/>
  <c r="O436" i="1"/>
  <c r="N436" i="1"/>
  <c r="M436" i="1"/>
  <c r="Q435" i="1"/>
  <c r="P435" i="1"/>
  <c r="O435" i="1"/>
  <c r="N435" i="1"/>
  <c r="M435" i="1"/>
  <c r="Q434" i="1"/>
  <c r="P434" i="1"/>
  <c r="O434" i="1"/>
  <c r="N434" i="1"/>
  <c r="M434" i="1"/>
  <c r="Q433" i="1"/>
  <c r="P433" i="1"/>
  <c r="O433" i="1"/>
  <c r="N433" i="1"/>
  <c r="M433" i="1"/>
  <c r="Q432" i="1"/>
  <c r="P432" i="1"/>
  <c r="O432" i="1"/>
  <c r="N432" i="1"/>
  <c r="M432" i="1"/>
  <c r="Q431" i="1"/>
  <c r="P431" i="1"/>
  <c r="O431" i="1"/>
  <c r="N431" i="1"/>
  <c r="M431" i="1"/>
  <c r="Q430" i="1"/>
  <c r="P430" i="1"/>
  <c r="O430" i="1"/>
  <c r="N430" i="1"/>
  <c r="M430" i="1"/>
  <c r="Q429" i="1"/>
  <c r="P429" i="1"/>
  <c r="O429" i="1"/>
  <c r="N429" i="1"/>
  <c r="M429" i="1"/>
  <c r="Q428" i="1"/>
  <c r="P428" i="1"/>
  <c r="O428" i="1"/>
  <c r="N428" i="1"/>
  <c r="M428" i="1"/>
  <c r="Q427" i="1"/>
  <c r="P427" i="1"/>
  <c r="O427" i="1"/>
  <c r="N427" i="1"/>
  <c r="M427" i="1"/>
  <c r="Q426" i="1"/>
  <c r="P426" i="1"/>
  <c r="O426" i="1"/>
  <c r="N426" i="1"/>
  <c r="M426" i="1"/>
  <c r="Q425" i="1"/>
  <c r="P425" i="1"/>
  <c r="O425" i="1"/>
  <c r="N425" i="1"/>
  <c r="M425" i="1"/>
  <c r="Q424" i="1"/>
  <c r="P424" i="1"/>
  <c r="O424" i="1"/>
  <c r="N424" i="1"/>
  <c r="M424" i="1"/>
  <c r="Q423" i="1"/>
  <c r="P423" i="1"/>
  <c r="O423" i="1"/>
  <c r="N423" i="1"/>
  <c r="M423" i="1"/>
  <c r="Q422" i="1"/>
  <c r="P422" i="1"/>
  <c r="O422" i="1"/>
  <c r="N422" i="1"/>
  <c r="M422" i="1"/>
  <c r="Q421" i="1"/>
  <c r="P421" i="1"/>
  <c r="O421" i="1"/>
  <c r="N421" i="1"/>
  <c r="M421" i="1"/>
  <c r="Q420" i="1"/>
  <c r="P420" i="1"/>
  <c r="O420" i="1"/>
  <c r="N420" i="1"/>
  <c r="M420" i="1"/>
  <c r="Q419" i="1"/>
  <c r="P419" i="1"/>
  <c r="O419" i="1"/>
  <c r="N419" i="1"/>
  <c r="M419" i="1"/>
  <c r="Q418" i="1"/>
  <c r="P418" i="1"/>
  <c r="O418" i="1"/>
  <c r="N418" i="1"/>
  <c r="M418" i="1"/>
  <c r="Q417" i="1"/>
  <c r="P417" i="1"/>
  <c r="O417" i="1"/>
  <c r="N417" i="1"/>
  <c r="M417" i="1"/>
  <c r="Q416" i="1"/>
  <c r="P416" i="1"/>
  <c r="O416" i="1"/>
  <c r="N416" i="1"/>
  <c r="M416" i="1"/>
  <c r="Q415" i="1"/>
  <c r="P415" i="1"/>
  <c r="O415" i="1"/>
  <c r="N415" i="1"/>
  <c r="M415" i="1"/>
  <c r="Q414" i="1"/>
  <c r="P414" i="1"/>
  <c r="O414" i="1"/>
  <c r="N414" i="1"/>
  <c r="M414" i="1"/>
  <c r="Q413" i="1"/>
  <c r="P413" i="1"/>
  <c r="O413" i="1"/>
  <c r="N413" i="1"/>
  <c r="M413" i="1"/>
  <c r="Q412" i="1"/>
  <c r="P412" i="1"/>
  <c r="O412" i="1"/>
  <c r="N412" i="1"/>
  <c r="M412" i="1"/>
  <c r="Q411" i="1"/>
  <c r="P411" i="1"/>
  <c r="O411" i="1"/>
  <c r="N411" i="1"/>
  <c r="M411" i="1"/>
  <c r="Q410" i="1"/>
  <c r="P410" i="1"/>
  <c r="O410" i="1"/>
  <c r="N410" i="1"/>
  <c r="M410" i="1"/>
  <c r="Q409" i="1"/>
  <c r="P409" i="1"/>
  <c r="O409" i="1"/>
  <c r="N409" i="1"/>
  <c r="M409" i="1"/>
  <c r="Q408" i="1"/>
  <c r="P408" i="1"/>
  <c r="O408" i="1"/>
  <c r="N408" i="1"/>
  <c r="M408" i="1"/>
  <c r="Q407" i="1"/>
  <c r="P407" i="1"/>
  <c r="O407" i="1"/>
  <c r="N407" i="1"/>
  <c r="M407" i="1"/>
  <c r="Q406" i="1"/>
  <c r="P406" i="1"/>
  <c r="O406" i="1"/>
  <c r="N406" i="1"/>
  <c r="M406" i="1"/>
  <c r="Q405" i="1"/>
  <c r="P405" i="1"/>
  <c r="O405" i="1"/>
  <c r="N405" i="1"/>
  <c r="M405" i="1"/>
  <c r="Q404" i="1"/>
  <c r="P404" i="1"/>
  <c r="O404" i="1"/>
  <c r="N404" i="1"/>
  <c r="M404" i="1"/>
  <c r="Q403" i="1"/>
  <c r="P403" i="1"/>
  <c r="O403" i="1"/>
  <c r="N403" i="1"/>
  <c r="M403" i="1"/>
  <c r="Q402" i="1"/>
  <c r="P402" i="1"/>
  <c r="O402" i="1"/>
  <c r="N402" i="1"/>
  <c r="M402" i="1"/>
  <c r="Q401" i="1"/>
  <c r="P401" i="1"/>
  <c r="O401" i="1"/>
  <c r="N401" i="1"/>
  <c r="M401" i="1"/>
  <c r="Q400" i="1"/>
  <c r="P400" i="1"/>
  <c r="O400" i="1"/>
  <c r="N400" i="1"/>
  <c r="M400" i="1"/>
  <c r="Q399" i="1"/>
  <c r="P399" i="1"/>
  <c r="O399" i="1"/>
  <c r="N399" i="1"/>
  <c r="M399" i="1"/>
  <c r="Q398" i="1"/>
  <c r="P398" i="1"/>
  <c r="O398" i="1"/>
  <c r="N398" i="1"/>
  <c r="M398" i="1"/>
  <c r="Q397" i="1"/>
  <c r="P397" i="1"/>
  <c r="O397" i="1"/>
  <c r="N397" i="1"/>
  <c r="M397" i="1"/>
  <c r="Q396" i="1"/>
  <c r="P396" i="1"/>
  <c r="O396" i="1"/>
  <c r="N396" i="1"/>
  <c r="M396" i="1"/>
  <c r="Q395" i="1"/>
  <c r="P395" i="1"/>
  <c r="O395" i="1"/>
  <c r="N395" i="1"/>
  <c r="M395" i="1"/>
  <c r="Q394" i="1"/>
  <c r="P394" i="1"/>
  <c r="O394" i="1"/>
  <c r="N394" i="1"/>
  <c r="M394" i="1"/>
  <c r="Q393" i="1"/>
  <c r="P393" i="1"/>
  <c r="O393" i="1"/>
  <c r="N393" i="1"/>
  <c r="M393" i="1"/>
  <c r="Q392" i="1"/>
  <c r="P392" i="1"/>
  <c r="O392" i="1"/>
  <c r="N392" i="1"/>
  <c r="M392" i="1"/>
  <c r="Q391" i="1"/>
  <c r="P391" i="1"/>
  <c r="O391" i="1"/>
  <c r="N391" i="1"/>
  <c r="M391" i="1"/>
  <c r="Q390" i="1"/>
  <c r="P390" i="1"/>
  <c r="O390" i="1"/>
  <c r="N390" i="1"/>
  <c r="M390" i="1"/>
  <c r="Q389" i="1"/>
  <c r="P389" i="1"/>
  <c r="O389" i="1"/>
  <c r="N389" i="1"/>
  <c r="M389" i="1"/>
  <c r="Q388" i="1"/>
  <c r="P388" i="1"/>
  <c r="O388" i="1"/>
  <c r="N388" i="1"/>
  <c r="M388" i="1"/>
  <c r="Q387" i="1"/>
  <c r="P387" i="1"/>
  <c r="O387" i="1"/>
  <c r="N387" i="1"/>
  <c r="M387" i="1"/>
  <c r="Q386" i="1"/>
  <c r="P386" i="1"/>
  <c r="O386" i="1"/>
  <c r="N386" i="1"/>
  <c r="M386" i="1"/>
  <c r="Q385" i="1"/>
  <c r="P385" i="1"/>
  <c r="O385" i="1"/>
  <c r="N385" i="1"/>
  <c r="M385" i="1"/>
  <c r="Q384" i="1"/>
  <c r="P384" i="1"/>
  <c r="O384" i="1"/>
  <c r="N384" i="1"/>
  <c r="M384" i="1"/>
  <c r="Q383" i="1"/>
  <c r="P383" i="1"/>
  <c r="O383" i="1"/>
  <c r="N383" i="1"/>
  <c r="M383" i="1"/>
  <c r="Q382" i="1"/>
  <c r="P382" i="1"/>
  <c r="O382" i="1"/>
  <c r="N382" i="1"/>
  <c r="M382" i="1"/>
  <c r="Q381" i="1"/>
  <c r="P381" i="1"/>
  <c r="O381" i="1"/>
  <c r="N381" i="1"/>
  <c r="M381" i="1"/>
  <c r="Q380" i="1"/>
  <c r="P380" i="1"/>
  <c r="O380" i="1"/>
  <c r="N380" i="1"/>
  <c r="M380" i="1"/>
  <c r="Q379" i="1"/>
  <c r="P379" i="1"/>
  <c r="O379" i="1"/>
  <c r="N379" i="1"/>
  <c r="M379" i="1"/>
  <c r="Q378" i="1"/>
  <c r="P378" i="1"/>
  <c r="O378" i="1"/>
  <c r="N378" i="1"/>
  <c r="M378" i="1"/>
  <c r="Q377" i="1"/>
  <c r="P377" i="1"/>
  <c r="O377" i="1"/>
  <c r="N377" i="1"/>
  <c r="M377" i="1"/>
  <c r="Q376" i="1"/>
  <c r="P376" i="1"/>
  <c r="O376" i="1"/>
  <c r="N376" i="1"/>
  <c r="M376" i="1"/>
  <c r="Q375" i="1"/>
  <c r="P375" i="1"/>
  <c r="O375" i="1"/>
  <c r="N375" i="1"/>
  <c r="M375" i="1"/>
  <c r="Q374" i="1"/>
  <c r="P374" i="1"/>
  <c r="O374" i="1"/>
  <c r="N374" i="1"/>
  <c r="M374" i="1"/>
  <c r="Q373" i="1"/>
  <c r="P373" i="1"/>
  <c r="O373" i="1"/>
  <c r="N373" i="1"/>
  <c r="M373" i="1"/>
  <c r="Q372" i="1"/>
  <c r="P372" i="1"/>
  <c r="O372" i="1"/>
  <c r="N372" i="1"/>
  <c r="M372" i="1"/>
  <c r="Q371" i="1"/>
  <c r="P371" i="1"/>
  <c r="O371" i="1"/>
  <c r="N371" i="1"/>
  <c r="M371" i="1"/>
  <c r="Q370" i="1"/>
  <c r="P370" i="1"/>
  <c r="O370" i="1"/>
  <c r="N370" i="1"/>
  <c r="M370" i="1"/>
  <c r="Q369" i="1"/>
  <c r="P369" i="1"/>
  <c r="O369" i="1"/>
  <c r="N369" i="1"/>
  <c r="M369" i="1"/>
  <c r="Q368" i="1"/>
  <c r="P368" i="1"/>
  <c r="O368" i="1"/>
  <c r="N368" i="1"/>
  <c r="M368" i="1"/>
  <c r="Q367" i="1"/>
  <c r="P367" i="1"/>
  <c r="O367" i="1"/>
  <c r="N367" i="1"/>
  <c r="M367" i="1"/>
  <c r="Q366" i="1"/>
  <c r="P366" i="1"/>
  <c r="O366" i="1"/>
  <c r="N366" i="1"/>
  <c r="M366" i="1"/>
  <c r="Q365" i="1"/>
  <c r="P365" i="1"/>
  <c r="O365" i="1"/>
  <c r="N365" i="1"/>
  <c r="M365" i="1"/>
  <c r="Q364" i="1"/>
  <c r="P364" i="1"/>
  <c r="O364" i="1"/>
  <c r="N364" i="1"/>
  <c r="M364" i="1"/>
  <c r="Q363" i="1"/>
  <c r="P363" i="1"/>
  <c r="O363" i="1"/>
  <c r="N363" i="1"/>
  <c r="M363" i="1"/>
  <c r="Q362" i="1"/>
  <c r="P362" i="1"/>
  <c r="O362" i="1"/>
  <c r="N362" i="1"/>
  <c r="M362" i="1"/>
  <c r="Q361" i="1"/>
  <c r="P361" i="1"/>
  <c r="O361" i="1"/>
  <c r="N361" i="1"/>
  <c r="M361" i="1"/>
  <c r="Q360" i="1"/>
  <c r="P360" i="1"/>
  <c r="O360" i="1"/>
  <c r="N360" i="1"/>
  <c r="M360" i="1"/>
  <c r="Q359" i="1"/>
  <c r="P359" i="1"/>
  <c r="O359" i="1"/>
  <c r="N359" i="1"/>
  <c r="M359" i="1"/>
  <c r="Q358" i="1"/>
  <c r="P358" i="1"/>
  <c r="O358" i="1"/>
  <c r="N358" i="1"/>
  <c r="M358" i="1"/>
  <c r="Q357" i="1"/>
  <c r="P357" i="1"/>
  <c r="O357" i="1"/>
  <c r="N357" i="1"/>
  <c r="M357" i="1"/>
  <c r="Q356" i="1"/>
  <c r="P356" i="1"/>
  <c r="O356" i="1"/>
  <c r="N356" i="1"/>
  <c r="M356" i="1"/>
  <c r="Q355" i="1"/>
  <c r="P355" i="1"/>
  <c r="O355" i="1"/>
  <c r="N355" i="1"/>
  <c r="M355" i="1"/>
  <c r="Q354" i="1"/>
  <c r="P354" i="1"/>
  <c r="O354" i="1"/>
  <c r="N354" i="1"/>
  <c r="M354" i="1"/>
  <c r="Q353" i="1"/>
  <c r="P353" i="1"/>
  <c r="O353" i="1"/>
  <c r="N353" i="1"/>
  <c r="M353" i="1"/>
  <c r="Q352" i="1"/>
  <c r="P352" i="1"/>
  <c r="O352" i="1"/>
  <c r="N352" i="1"/>
  <c r="M352" i="1"/>
  <c r="Q351" i="1"/>
  <c r="P351" i="1"/>
  <c r="O351" i="1"/>
  <c r="N351" i="1"/>
  <c r="M351" i="1"/>
  <c r="Q350" i="1"/>
  <c r="P350" i="1"/>
  <c r="O350" i="1"/>
  <c r="N350" i="1"/>
  <c r="M350" i="1"/>
  <c r="Q349" i="1"/>
  <c r="P349" i="1"/>
  <c r="O349" i="1"/>
  <c r="N349" i="1"/>
  <c r="M349" i="1"/>
  <c r="Q348" i="1"/>
  <c r="P348" i="1"/>
  <c r="O348" i="1"/>
  <c r="N348" i="1"/>
  <c r="M348" i="1"/>
  <c r="Q347" i="1"/>
  <c r="P347" i="1"/>
  <c r="O347" i="1"/>
  <c r="N347" i="1"/>
  <c r="M347" i="1"/>
  <c r="Q346" i="1"/>
  <c r="P346" i="1"/>
  <c r="O346" i="1"/>
  <c r="N346" i="1"/>
  <c r="M346" i="1"/>
  <c r="Q345" i="1"/>
  <c r="P345" i="1"/>
  <c r="O345" i="1"/>
  <c r="N345" i="1"/>
  <c r="M345" i="1"/>
  <c r="Q344" i="1"/>
  <c r="P344" i="1"/>
  <c r="O344" i="1"/>
  <c r="N344" i="1"/>
  <c r="M344" i="1"/>
  <c r="Q343" i="1"/>
  <c r="P343" i="1"/>
  <c r="O343" i="1"/>
  <c r="N343" i="1"/>
  <c r="M343" i="1"/>
  <c r="Q342" i="1"/>
  <c r="P342" i="1"/>
  <c r="O342" i="1"/>
  <c r="N342" i="1"/>
  <c r="M342" i="1"/>
  <c r="Q341" i="1"/>
  <c r="P341" i="1"/>
  <c r="O341" i="1"/>
  <c r="N341" i="1"/>
  <c r="M341" i="1"/>
  <c r="Q340" i="1"/>
  <c r="P340" i="1"/>
  <c r="O340" i="1"/>
  <c r="N340" i="1"/>
  <c r="M340" i="1"/>
  <c r="Q339" i="1"/>
  <c r="P339" i="1"/>
  <c r="O339" i="1"/>
  <c r="N339" i="1"/>
  <c r="M339" i="1"/>
  <c r="Q338" i="1"/>
  <c r="P338" i="1"/>
  <c r="O338" i="1"/>
  <c r="N338" i="1"/>
  <c r="M338" i="1"/>
  <c r="Q337" i="1"/>
  <c r="P337" i="1"/>
  <c r="O337" i="1"/>
  <c r="N337" i="1"/>
  <c r="M337" i="1"/>
  <c r="Q336" i="1"/>
  <c r="P336" i="1"/>
  <c r="O336" i="1"/>
  <c r="N336" i="1"/>
  <c r="M336" i="1"/>
  <c r="Q335" i="1"/>
  <c r="P335" i="1"/>
  <c r="O335" i="1"/>
  <c r="N335" i="1"/>
  <c r="M335" i="1"/>
  <c r="Q334" i="1"/>
  <c r="P334" i="1"/>
  <c r="O334" i="1"/>
  <c r="N334" i="1"/>
  <c r="M334" i="1"/>
  <c r="Q333" i="1"/>
  <c r="P333" i="1"/>
  <c r="O333" i="1"/>
  <c r="N333" i="1"/>
  <c r="M333" i="1"/>
  <c r="Q332" i="1"/>
  <c r="P332" i="1"/>
  <c r="O332" i="1"/>
  <c r="N332" i="1"/>
  <c r="M332" i="1"/>
  <c r="Q331" i="1"/>
  <c r="P331" i="1"/>
  <c r="O331" i="1"/>
  <c r="N331" i="1"/>
  <c r="M331" i="1"/>
  <c r="Q330" i="1"/>
  <c r="P330" i="1"/>
  <c r="O330" i="1"/>
  <c r="N330" i="1"/>
  <c r="M330" i="1"/>
  <c r="Q329" i="1"/>
  <c r="P329" i="1"/>
  <c r="O329" i="1"/>
  <c r="N329" i="1"/>
  <c r="M329" i="1"/>
  <c r="Q328" i="1"/>
  <c r="P328" i="1"/>
  <c r="O328" i="1"/>
  <c r="N328" i="1"/>
  <c r="M328" i="1"/>
  <c r="Q327" i="1"/>
  <c r="P327" i="1"/>
  <c r="O327" i="1"/>
  <c r="N327" i="1"/>
  <c r="M327" i="1"/>
  <c r="Q326" i="1"/>
  <c r="P326" i="1"/>
  <c r="O326" i="1"/>
  <c r="N326" i="1"/>
  <c r="M326" i="1"/>
  <c r="Q325" i="1"/>
  <c r="P325" i="1"/>
  <c r="O325" i="1"/>
  <c r="N325" i="1"/>
  <c r="M325" i="1"/>
  <c r="Q324" i="1"/>
  <c r="P324" i="1"/>
  <c r="O324" i="1"/>
  <c r="N324" i="1"/>
  <c r="M324" i="1"/>
  <c r="Q323" i="1"/>
  <c r="P323" i="1"/>
  <c r="O323" i="1"/>
  <c r="N323" i="1"/>
  <c r="M323" i="1"/>
  <c r="Q322" i="1"/>
  <c r="P322" i="1"/>
  <c r="O322" i="1"/>
  <c r="N322" i="1"/>
  <c r="M322" i="1"/>
  <c r="Q321" i="1"/>
  <c r="P321" i="1"/>
  <c r="O321" i="1"/>
  <c r="N321" i="1"/>
  <c r="M321" i="1"/>
  <c r="Q320" i="1"/>
  <c r="P320" i="1"/>
  <c r="O320" i="1"/>
  <c r="N320" i="1"/>
  <c r="M320" i="1"/>
  <c r="Q319" i="1"/>
  <c r="P319" i="1"/>
  <c r="O319" i="1"/>
  <c r="N319" i="1"/>
  <c r="M319" i="1"/>
  <c r="Q318" i="1"/>
  <c r="P318" i="1"/>
  <c r="O318" i="1"/>
  <c r="N318" i="1"/>
  <c r="M318" i="1"/>
  <c r="Q317" i="1"/>
  <c r="P317" i="1"/>
  <c r="O317" i="1"/>
  <c r="N317" i="1"/>
  <c r="M317" i="1"/>
  <c r="Q316" i="1"/>
  <c r="P316" i="1"/>
  <c r="O316" i="1"/>
  <c r="N316" i="1"/>
  <c r="M316" i="1"/>
  <c r="Q315" i="1"/>
  <c r="P315" i="1"/>
  <c r="O315" i="1"/>
  <c r="N315" i="1"/>
  <c r="M315" i="1"/>
  <c r="Q314" i="1"/>
  <c r="P314" i="1"/>
  <c r="O314" i="1"/>
  <c r="N314" i="1"/>
  <c r="M314" i="1"/>
  <c r="Q313" i="1"/>
  <c r="P313" i="1"/>
  <c r="O313" i="1"/>
  <c r="N313" i="1"/>
  <c r="M313" i="1"/>
  <c r="Q312" i="1"/>
  <c r="P312" i="1"/>
  <c r="O312" i="1"/>
  <c r="N312" i="1"/>
  <c r="M312" i="1"/>
  <c r="Q311" i="1"/>
  <c r="P311" i="1"/>
  <c r="O311" i="1"/>
  <c r="N311" i="1"/>
  <c r="M311" i="1"/>
  <c r="Q310" i="1"/>
  <c r="P310" i="1"/>
  <c r="O310" i="1"/>
  <c r="N310" i="1"/>
  <c r="M310" i="1"/>
  <c r="Q309" i="1"/>
  <c r="P309" i="1"/>
  <c r="O309" i="1"/>
  <c r="N309" i="1"/>
  <c r="M309" i="1"/>
  <c r="Q308" i="1"/>
  <c r="P308" i="1"/>
  <c r="O308" i="1"/>
  <c r="N308" i="1"/>
  <c r="M308" i="1"/>
  <c r="Q307" i="1"/>
  <c r="P307" i="1"/>
  <c r="O307" i="1"/>
  <c r="N307" i="1"/>
  <c r="M307" i="1"/>
  <c r="Q306" i="1"/>
  <c r="P306" i="1"/>
  <c r="O306" i="1"/>
  <c r="N306" i="1"/>
  <c r="M306" i="1"/>
  <c r="Q305" i="1"/>
  <c r="P305" i="1"/>
  <c r="O305" i="1"/>
  <c r="N305" i="1"/>
  <c r="M305" i="1"/>
  <c r="Q304" i="1"/>
  <c r="P304" i="1"/>
  <c r="O304" i="1"/>
  <c r="N304" i="1"/>
  <c r="M304" i="1"/>
  <c r="Q303" i="1"/>
  <c r="P303" i="1"/>
  <c r="O303" i="1"/>
  <c r="N303" i="1"/>
  <c r="M303" i="1"/>
  <c r="Q302" i="1"/>
  <c r="P302" i="1"/>
  <c r="O302" i="1"/>
  <c r="N302" i="1"/>
  <c r="M302" i="1"/>
  <c r="Q301" i="1"/>
  <c r="P301" i="1"/>
  <c r="O301" i="1"/>
  <c r="N301" i="1"/>
  <c r="M301" i="1"/>
  <c r="Q300" i="1"/>
  <c r="P300" i="1"/>
  <c r="O300" i="1"/>
  <c r="N300" i="1"/>
  <c r="M300" i="1"/>
  <c r="Q299" i="1"/>
  <c r="P299" i="1"/>
  <c r="O299" i="1"/>
  <c r="N299" i="1"/>
  <c r="M299" i="1"/>
  <c r="Q298" i="1"/>
  <c r="P298" i="1"/>
  <c r="O298" i="1"/>
  <c r="N298" i="1"/>
  <c r="M298" i="1"/>
  <c r="Q297" i="1"/>
  <c r="P297" i="1"/>
  <c r="O297" i="1"/>
  <c r="N297" i="1"/>
  <c r="M297" i="1"/>
  <c r="Q296" i="1"/>
  <c r="P296" i="1"/>
  <c r="O296" i="1"/>
  <c r="N296" i="1"/>
  <c r="M296" i="1"/>
  <c r="Q295" i="1"/>
  <c r="P295" i="1"/>
  <c r="O295" i="1"/>
  <c r="N295" i="1"/>
  <c r="M295" i="1"/>
  <c r="Q294" i="1"/>
  <c r="P294" i="1"/>
  <c r="O294" i="1"/>
  <c r="N294" i="1"/>
  <c r="M294" i="1"/>
  <c r="Q293" i="1"/>
  <c r="P293" i="1"/>
  <c r="O293" i="1"/>
  <c r="N293" i="1"/>
  <c r="M293" i="1"/>
  <c r="Q292" i="1"/>
  <c r="P292" i="1"/>
  <c r="O292" i="1"/>
  <c r="N292" i="1"/>
  <c r="M292" i="1"/>
  <c r="Q291" i="1"/>
  <c r="P291" i="1"/>
  <c r="O291" i="1"/>
  <c r="N291" i="1"/>
  <c r="M291" i="1"/>
  <c r="Q290" i="1"/>
  <c r="P290" i="1"/>
  <c r="O290" i="1"/>
  <c r="N290" i="1"/>
  <c r="M290" i="1"/>
  <c r="Q289" i="1"/>
  <c r="P289" i="1"/>
  <c r="O289" i="1"/>
  <c r="N289" i="1"/>
  <c r="M289" i="1"/>
  <c r="Q288" i="1"/>
  <c r="P288" i="1"/>
  <c r="O288" i="1"/>
  <c r="N288" i="1"/>
  <c r="M288" i="1"/>
  <c r="Q287" i="1"/>
  <c r="P287" i="1"/>
  <c r="O287" i="1"/>
  <c r="N287" i="1"/>
  <c r="M287" i="1"/>
  <c r="Q286" i="1"/>
  <c r="P286" i="1"/>
  <c r="O286" i="1"/>
  <c r="N286" i="1"/>
  <c r="M286" i="1"/>
  <c r="Q285" i="1"/>
  <c r="P285" i="1"/>
  <c r="O285" i="1"/>
  <c r="N285" i="1"/>
  <c r="M285" i="1"/>
  <c r="Q284" i="1"/>
  <c r="P284" i="1"/>
  <c r="O284" i="1"/>
  <c r="N284" i="1"/>
  <c r="M284" i="1"/>
  <c r="Q283" i="1"/>
  <c r="P283" i="1"/>
  <c r="O283" i="1"/>
  <c r="N283" i="1"/>
  <c r="M283" i="1"/>
  <c r="Q282" i="1"/>
  <c r="P282" i="1"/>
  <c r="O282" i="1"/>
  <c r="N282" i="1"/>
  <c r="M282" i="1"/>
  <c r="Q281" i="1"/>
  <c r="P281" i="1"/>
  <c r="O281" i="1"/>
  <c r="N281" i="1"/>
  <c r="M281" i="1"/>
  <c r="Q280" i="1"/>
  <c r="P280" i="1"/>
  <c r="O280" i="1"/>
  <c r="N280" i="1"/>
  <c r="M280" i="1"/>
  <c r="Q279" i="1"/>
  <c r="P279" i="1"/>
  <c r="O279" i="1"/>
  <c r="N279" i="1"/>
  <c r="M279" i="1"/>
  <c r="Q278" i="1"/>
  <c r="P278" i="1"/>
  <c r="O278" i="1"/>
  <c r="N278" i="1"/>
  <c r="M278" i="1"/>
  <c r="Q277" i="1"/>
  <c r="P277" i="1"/>
  <c r="O277" i="1"/>
  <c r="N277" i="1"/>
  <c r="M277" i="1"/>
  <c r="Q276" i="1"/>
  <c r="P276" i="1"/>
  <c r="O276" i="1"/>
  <c r="N276" i="1"/>
  <c r="M276" i="1"/>
  <c r="Q275" i="1"/>
  <c r="P275" i="1"/>
  <c r="O275" i="1"/>
  <c r="N275" i="1"/>
  <c r="M275" i="1"/>
  <c r="Q274" i="1"/>
  <c r="P274" i="1"/>
  <c r="O274" i="1"/>
  <c r="N274" i="1"/>
  <c r="M274" i="1"/>
  <c r="Q273" i="1"/>
  <c r="P273" i="1"/>
  <c r="O273" i="1"/>
  <c r="N273" i="1"/>
  <c r="M273" i="1"/>
  <c r="Q272" i="1"/>
  <c r="P272" i="1"/>
  <c r="O272" i="1"/>
  <c r="N272" i="1"/>
  <c r="M272" i="1"/>
  <c r="Q271" i="1"/>
  <c r="P271" i="1"/>
  <c r="O271" i="1"/>
  <c r="N271" i="1"/>
  <c r="M271" i="1"/>
  <c r="Q270" i="1"/>
  <c r="P270" i="1"/>
  <c r="O270" i="1"/>
  <c r="N270" i="1"/>
  <c r="M270" i="1"/>
  <c r="Q269" i="1"/>
  <c r="P269" i="1"/>
  <c r="O269" i="1"/>
  <c r="N269" i="1"/>
  <c r="M269" i="1"/>
  <c r="Q268" i="1"/>
  <c r="P268" i="1"/>
  <c r="O268" i="1"/>
  <c r="N268" i="1"/>
  <c r="M268" i="1"/>
  <c r="Q267" i="1"/>
  <c r="P267" i="1"/>
  <c r="O267" i="1"/>
  <c r="N267" i="1"/>
  <c r="M267" i="1"/>
  <c r="Q266" i="1"/>
  <c r="P266" i="1"/>
  <c r="O266" i="1"/>
  <c r="N266" i="1"/>
  <c r="M266" i="1"/>
  <c r="Q265" i="1"/>
  <c r="P265" i="1"/>
  <c r="O265" i="1"/>
  <c r="N265" i="1"/>
  <c r="M265" i="1"/>
  <c r="Q264" i="1"/>
  <c r="P264" i="1"/>
  <c r="O264" i="1"/>
  <c r="N264" i="1"/>
  <c r="M264" i="1"/>
  <c r="Q263" i="1"/>
  <c r="P263" i="1"/>
  <c r="O263" i="1"/>
  <c r="N263" i="1"/>
  <c r="M263" i="1"/>
  <c r="Q262" i="1"/>
  <c r="P262" i="1"/>
  <c r="O262" i="1"/>
  <c r="N262" i="1"/>
  <c r="M262" i="1"/>
  <c r="Q261" i="1"/>
  <c r="P261" i="1"/>
  <c r="O261" i="1"/>
  <c r="N261" i="1"/>
  <c r="M261" i="1"/>
  <c r="Q260" i="1"/>
  <c r="P260" i="1"/>
  <c r="O260" i="1"/>
  <c r="N260" i="1"/>
  <c r="M260" i="1"/>
  <c r="Q259" i="1"/>
  <c r="P259" i="1"/>
  <c r="O259" i="1"/>
  <c r="N259" i="1"/>
  <c r="M259" i="1"/>
  <c r="Q258" i="1"/>
  <c r="P258" i="1"/>
  <c r="O258" i="1"/>
  <c r="N258" i="1"/>
  <c r="M258" i="1"/>
  <c r="Q257" i="1"/>
  <c r="P257" i="1"/>
  <c r="O257" i="1"/>
  <c r="N257" i="1"/>
  <c r="M257" i="1"/>
  <c r="Q256" i="1"/>
  <c r="P256" i="1"/>
  <c r="O256" i="1"/>
  <c r="N256" i="1"/>
  <c r="M256" i="1"/>
  <c r="Q255" i="1"/>
  <c r="P255" i="1"/>
  <c r="O255" i="1"/>
  <c r="N255" i="1"/>
  <c r="M255" i="1"/>
  <c r="Q254" i="1"/>
  <c r="P254" i="1"/>
  <c r="O254" i="1"/>
  <c r="N254" i="1"/>
  <c r="M254" i="1"/>
  <c r="Q253" i="1"/>
  <c r="P253" i="1"/>
  <c r="O253" i="1"/>
  <c r="N253" i="1"/>
  <c r="M253" i="1"/>
  <c r="Q252" i="1"/>
  <c r="P252" i="1"/>
  <c r="O252" i="1"/>
  <c r="N252" i="1"/>
  <c r="M252" i="1"/>
  <c r="Q251" i="1"/>
  <c r="P251" i="1"/>
  <c r="O251" i="1"/>
  <c r="N251" i="1"/>
  <c r="M251" i="1"/>
  <c r="Q250" i="1"/>
  <c r="P250" i="1"/>
  <c r="O250" i="1"/>
  <c r="N250" i="1"/>
  <c r="M250" i="1"/>
  <c r="Q249" i="1"/>
  <c r="P249" i="1"/>
  <c r="O249" i="1"/>
  <c r="N249" i="1"/>
  <c r="M249" i="1"/>
  <c r="Q248" i="1"/>
  <c r="P248" i="1"/>
  <c r="O248" i="1"/>
  <c r="N248" i="1"/>
  <c r="M248" i="1"/>
  <c r="Q247" i="1"/>
  <c r="P247" i="1"/>
  <c r="O247" i="1"/>
  <c r="N247" i="1"/>
  <c r="M247" i="1"/>
  <c r="Q246" i="1"/>
  <c r="P246" i="1"/>
  <c r="O246" i="1"/>
  <c r="N246" i="1"/>
  <c r="M246" i="1"/>
  <c r="Q245" i="1"/>
  <c r="P245" i="1"/>
  <c r="O245" i="1"/>
  <c r="N245" i="1"/>
  <c r="M245" i="1"/>
  <c r="Q244" i="1"/>
  <c r="P244" i="1"/>
  <c r="O244" i="1"/>
  <c r="N244" i="1"/>
  <c r="M244" i="1"/>
  <c r="Q243" i="1"/>
  <c r="P243" i="1"/>
  <c r="O243" i="1"/>
  <c r="N243" i="1"/>
  <c r="M243" i="1"/>
  <c r="Q242" i="1"/>
  <c r="P242" i="1"/>
  <c r="O242" i="1"/>
  <c r="N242" i="1"/>
  <c r="M242" i="1"/>
  <c r="Q241" i="1"/>
  <c r="P241" i="1"/>
  <c r="O241" i="1"/>
  <c r="N241" i="1"/>
  <c r="M241" i="1"/>
  <c r="Q240" i="1"/>
  <c r="P240" i="1"/>
  <c r="O240" i="1"/>
  <c r="N240" i="1"/>
  <c r="M240" i="1"/>
  <c r="Q239" i="1"/>
  <c r="P239" i="1"/>
  <c r="O239" i="1"/>
  <c r="N239" i="1"/>
  <c r="M239" i="1"/>
  <c r="Q238" i="1"/>
  <c r="P238" i="1"/>
  <c r="O238" i="1"/>
  <c r="N238" i="1"/>
  <c r="M238" i="1"/>
  <c r="Q237" i="1"/>
  <c r="P237" i="1"/>
  <c r="O237" i="1"/>
  <c r="N237" i="1"/>
  <c r="M237" i="1"/>
  <c r="Q236" i="1"/>
  <c r="P236" i="1"/>
  <c r="O236" i="1"/>
  <c r="N236" i="1"/>
  <c r="M236" i="1"/>
  <c r="Q235" i="1"/>
  <c r="P235" i="1"/>
  <c r="O235" i="1"/>
  <c r="N235" i="1"/>
  <c r="M235" i="1"/>
  <c r="Q234" i="1"/>
  <c r="P234" i="1"/>
  <c r="O234" i="1"/>
  <c r="N234" i="1"/>
  <c r="M234" i="1"/>
  <c r="Q233" i="1"/>
  <c r="P233" i="1"/>
  <c r="O233" i="1"/>
  <c r="N233" i="1"/>
  <c r="M233" i="1"/>
  <c r="Q232" i="1"/>
  <c r="P232" i="1"/>
  <c r="O232" i="1"/>
  <c r="N232" i="1"/>
  <c r="M232" i="1"/>
  <c r="Q231" i="1"/>
  <c r="P231" i="1"/>
  <c r="O231" i="1"/>
  <c r="N231" i="1"/>
  <c r="M231" i="1"/>
  <c r="Q230" i="1"/>
  <c r="P230" i="1"/>
  <c r="O230" i="1"/>
  <c r="N230" i="1"/>
  <c r="M230" i="1"/>
  <c r="Q229" i="1"/>
  <c r="P229" i="1"/>
  <c r="O229" i="1"/>
  <c r="N229" i="1"/>
  <c r="M229" i="1"/>
  <c r="Q228" i="1"/>
  <c r="P228" i="1"/>
  <c r="O228" i="1"/>
  <c r="N228" i="1"/>
  <c r="M228" i="1"/>
  <c r="Q227" i="1"/>
  <c r="P227" i="1"/>
  <c r="O227" i="1"/>
  <c r="N227" i="1"/>
  <c r="M227" i="1"/>
  <c r="Q226" i="1"/>
  <c r="P226" i="1"/>
  <c r="O226" i="1"/>
  <c r="N226" i="1"/>
  <c r="M226" i="1"/>
  <c r="Q225" i="1"/>
  <c r="P225" i="1"/>
  <c r="O225" i="1"/>
  <c r="N225" i="1"/>
  <c r="M225" i="1"/>
  <c r="Q224" i="1"/>
  <c r="P224" i="1"/>
  <c r="O224" i="1"/>
  <c r="N224" i="1"/>
  <c r="M224" i="1"/>
  <c r="Q223" i="1"/>
  <c r="P223" i="1"/>
  <c r="O223" i="1"/>
  <c r="N223" i="1"/>
  <c r="M223" i="1"/>
  <c r="Q222" i="1"/>
  <c r="P222" i="1"/>
  <c r="O222" i="1"/>
  <c r="N222" i="1"/>
  <c r="M222" i="1"/>
  <c r="Q221" i="1"/>
  <c r="P221" i="1"/>
  <c r="O221" i="1"/>
  <c r="N221" i="1"/>
  <c r="M221" i="1"/>
  <c r="Q220" i="1"/>
  <c r="P220" i="1"/>
  <c r="O220" i="1"/>
  <c r="N220" i="1"/>
  <c r="M220" i="1"/>
  <c r="Q219" i="1"/>
  <c r="P219" i="1"/>
  <c r="O219" i="1"/>
  <c r="N219" i="1"/>
  <c r="M219" i="1"/>
  <c r="Q218" i="1"/>
  <c r="P218" i="1"/>
  <c r="O218" i="1"/>
  <c r="N218" i="1"/>
  <c r="M218" i="1"/>
  <c r="Q217" i="1"/>
  <c r="P217" i="1"/>
  <c r="O217" i="1"/>
  <c r="N217" i="1"/>
  <c r="M217" i="1"/>
  <c r="Q216" i="1"/>
  <c r="P216" i="1"/>
  <c r="O216" i="1"/>
  <c r="N216" i="1"/>
  <c r="M216" i="1"/>
  <c r="Q215" i="1"/>
  <c r="P215" i="1"/>
  <c r="O215" i="1"/>
  <c r="N215" i="1"/>
  <c r="M215" i="1"/>
  <c r="Q214" i="1"/>
  <c r="P214" i="1"/>
  <c r="O214" i="1"/>
  <c r="N214" i="1"/>
  <c r="M214" i="1"/>
  <c r="Q213" i="1"/>
  <c r="P213" i="1"/>
  <c r="O213" i="1"/>
  <c r="N213" i="1"/>
  <c r="M213" i="1"/>
  <c r="Q212" i="1"/>
  <c r="P212" i="1"/>
  <c r="O212" i="1"/>
  <c r="N212" i="1"/>
  <c r="M212" i="1"/>
  <c r="Q211" i="1"/>
  <c r="P211" i="1"/>
  <c r="O211" i="1"/>
  <c r="N211" i="1"/>
  <c r="M211" i="1"/>
  <c r="Q210" i="1"/>
  <c r="P210" i="1"/>
  <c r="O210" i="1"/>
  <c r="N210" i="1"/>
  <c r="M210" i="1"/>
  <c r="Q209" i="1"/>
  <c r="P209" i="1"/>
  <c r="O209" i="1"/>
  <c r="N209" i="1"/>
  <c r="M209" i="1"/>
  <c r="Q208" i="1"/>
  <c r="P208" i="1"/>
  <c r="O208" i="1"/>
  <c r="N208" i="1"/>
  <c r="M208" i="1"/>
  <c r="Q207" i="1"/>
  <c r="P207" i="1"/>
  <c r="O207" i="1"/>
  <c r="N207" i="1"/>
  <c r="M207" i="1"/>
  <c r="Q206" i="1"/>
  <c r="P206" i="1"/>
  <c r="O206" i="1"/>
  <c r="N206" i="1"/>
  <c r="M206" i="1"/>
  <c r="Q205" i="1"/>
  <c r="P205" i="1"/>
  <c r="O205" i="1"/>
  <c r="N205" i="1"/>
  <c r="M205" i="1"/>
  <c r="Q204" i="1"/>
  <c r="P204" i="1"/>
  <c r="O204" i="1"/>
  <c r="N204" i="1"/>
  <c r="M204" i="1"/>
  <c r="Q203" i="1"/>
  <c r="P203" i="1"/>
  <c r="O203" i="1"/>
  <c r="N203" i="1"/>
  <c r="M203" i="1"/>
  <c r="Q202" i="1"/>
  <c r="P202" i="1"/>
  <c r="O202" i="1"/>
  <c r="N202" i="1"/>
  <c r="M202" i="1"/>
  <c r="Q201" i="1"/>
  <c r="P201" i="1"/>
  <c r="O201" i="1"/>
  <c r="N201" i="1"/>
  <c r="M201" i="1"/>
  <c r="Q200" i="1"/>
  <c r="P200" i="1"/>
  <c r="O200" i="1"/>
  <c r="N200" i="1"/>
  <c r="M200" i="1"/>
  <c r="Q199" i="1"/>
  <c r="P199" i="1"/>
  <c r="O199" i="1"/>
  <c r="N199" i="1"/>
  <c r="M199" i="1"/>
  <c r="Q198" i="1"/>
  <c r="P198" i="1"/>
  <c r="O198" i="1"/>
  <c r="N198" i="1"/>
  <c r="M198" i="1"/>
  <c r="Q197" i="1"/>
  <c r="P197" i="1"/>
  <c r="O197" i="1"/>
  <c r="N197" i="1"/>
  <c r="M197" i="1"/>
  <c r="Q196" i="1"/>
  <c r="P196" i="1"/>
  <c r="O196" i="1"/>
  <c r="N196" i="1"/>
  <c r="M196" i="1"/>
  <c r="Q195" i="1"/>
  <c r="P195" i="1"/>
  <c r="O195" i="1"/>
  <c r="N195" i="1"/>
  <c r="M195" i="1"/>
  <c r="Q194" i="1"/>
  <c r="P194" i="1"/>
  <c r="O194" i="1"/>
  <c r="N194" i="1"/>
  <c r="M194" i="1"/>
  <c r="Q193" i="1"/>
  <c r="P193" i="1"/>
  <c r="O193" i="1"/>
  <c r="N193" i="1"/>
  <c r="M193" i="1"/>
  <c r="Q192" i="1"/>
  <c r="P192" i="1"/>
  <c r="O192" i="1"/>
  <c r="N192" i="1"/>
  <c r="M192" i="1"/>
  <c r="Q191" i="1"/>
  <c r="P191" i="1"/>
  <c r="O191" i="1"/>
  <c r="N191" i="1"/>
  <c r="M191" i="1"/>
  <c r="Q190" i="1"/>
  <c r="P190" i="1"/>
  <c r="O190" i="1"/>
  <c r="N190" i="1"/>
  <c r="M190" i="1"/>
  <c r="Q189" i="1"/>
  <c r="P189" i="1"/>
  <c r="O189" i="1"/>
  <c r="N189" i="1"/>
  <c r="M189" i="1"/>
  <c r="Q188" i="1"/>
  <c r="P188" i="1"/>
  <c r="O188" i="1"/>
  <c r="N188" i="1"/>
  <c r="M188" i="1"/>
  <c r="Q187" i="1"/>
  <c r="P187" i="1"/>
  <c r="O187" i="1"/>
  <c r="N187" i="1"/>
  <c r="M187" i="1"/>
  <c r="Q186" i="1"/>
  <c r="P186" i="1"/>
  <c r="O186" i="1"/>
  <c r="N186" i="1"/>
  <c r="M186" i="1"/>
  <c r="Q185" i="1"/>
  <c r="P185" i="1"/>
  <c r="O185" i="1"/>
  <c r="N185" i="1"/>
  <c r="M185" i="1"/>
  <c r="Q184" i="1"/>
  <c r="P184" i="1"/>
  <c r="O184" i="1"/>
  <c r="N184" i="1"/>
  <c r="M184" i="1"/>
  <c r="Q183" i="1"/>
  <c r="P183" i="1"/>
  <c r="O183" i="1"/>
  <c r="N183" i="1"/>
  <c r="M183" i="1"/>
  <c r="Q182" i="1"/>
  <c r="P182" i="1"/>
  <c r="O182" i="1"/>
  <c r="N182" i="1"/>
  <c r="M182" i="1"/>
  <c r="Q181" i="1"/>
  <c r="P181" i="1"/>
  <c r="O181" i="1"/>
  <c r="N181" i="1"/>
  <c r="M181" i="1"/>
  <c r="Q180" i="1"/>
  <c r="P180" i="1"/>
  <c r="O180" i="1"/>
  <c r="N180" i="1"/>
  <c r="M180" i="1"/>
  <c r="Q179" i="1"/>
  <c r="P179" i="1"/>
  <c r="O179" i="1"/>
  <c r="N179" i="1"/>
  <c r="M179" i="1"/>
  <c r="Q178" i="1"/>
  <c r="P178" i="1"/>
  <c r="O178" i="1"/>
  <c r="N178" i="1"/>
  <c r="M178" i="1"/>
  <c r="Q177" i="1"/>
  <c r="P177" i="1"/>
  <c r="O177" i="1"/>
  <c r="N177" i="1"/>
  <c r="M177" i="1"/>
  <c r="Q176" i="1"/>
  <c r="P176" i="1"/>
  <c r="O176" i="1"/>
  <c r="N176" i="1"/>
  <c r="M176" i="1"/>
  <c r="Q175" i="1"/>
  <c r="P175" i="1"/>
  <c r="O175" i="1"/>
  <c r="N175" i="1"/>
  <c r="M175" i="1"/>
  <c r="Q174" i="1"/>
  <c r="P174" i="1"/>
  <c r="O174" i="1"/>
  <c r="N174" i="1"/>
  <c r="M174" i="1"/>
  <c r="Q173" i="1"/>
  <c r="P173" i="1"/>
  <c r="O173" i="1"/>
  <c r="N173" i="1"/>
  <c r="M173" i="1"/>
  <c r="Q172" i="1"/>
  <c r="P172" i="1"/>
  <c r="O172" i="1"/>
  <c r="N172" i="1"/>
  <c r="M172" i="1"/>
  <c r="Q171" i="1"/>
  <c r="P171" i="1"/>
  <c r="O171" i="1"/>
  <c r="N171" i="1"/>
  <c r="M171" i="1"/>
  <c r="Q170" i="1"/>
  <c r="P170" i="1"/>
  <c r="O170" i="1"/>
  <c r="N170" i="1"/>
  <c r="M170" i="1"/>
  <c r="Q169" i="1"/>
  <c r="P169" i="1"/>
  <c r="O169" i="1"/>
  <c r="N169" i="1"/>
  <c r="M169" i="1"/>
  <c r="Q168" i="1"/>
  <c r="P168" i="1"/>
  <c r="O168" i="1"/>
  <c r="N168" i="1"/>
  <c r="M168" i="1"/>
  <c r="Q167" i="1"/>
  <c r="P167" i="1"/>
  <c r="O167" i="1"/>
  <c r="N167" i="1"/>
  <c r="M167" i="1"/>
  <c r="Q166" i="1"/>
  <c r="P166" i="1"/>
  <c r="O166" i="1"/>
  <c r="N166" i="1"/>
  <c r="M166" i="1"/>
  <c r="Q165" i="1"/>
  <c r="P165" i="1"/>
  <c r="O165" i="1"/>
  <c r="N165" i="1"/>
  <c r="M165" i="1"/>
  <c r="Q164" i="1"/>
  <c r="P164" i="1"/>
  <c r="O164" i="1"/>
  <c r="N164" i="1"/>
  <c r="M164" i="1"/>
  <c r="Q163" i="1"/>
  <c r="P163" i="1"/>
  <c r="O163" i="1"/>
  <c r="N163" i="1"/>
  <c r="M163" i="1"/>
  <c r="Q162" i="1"/>
  <c r="P162" i="1"/>
  <c r="O162" i="1"/>
  <c r="N162" i="1"/>
  <c r="M162" i="1"/>
  <c r="Q161" i="1"/>
  <c r="P161" i="1"/>
  <c r="O161" i="1"/>
  <c r="N161" i="1"/>
  <c r="M161" i="1"/>
  <c r="Q160" i="1"/>
  <c r="P160" i="1"/>
  <c r="O160" i="1"/>
  <c r="N160" i="1"/>
  <c r="M160" i="1"/>
  <c r="Q159" i="1"/>
  <c r="P159" i="1"/>
  <c r="O159" i="1"/>
  <c r="N159" i="1"/>
  <c r="M159" i="1"/>
  <c r="Q158" i="1"/>
  <c r="P158" i="1"/>
  <c r="O158" i="1"/>
  <c r="N158" i="1"/>
  <c r="M158" i="1"/>
  <c r="Q157" i="1"/>
  <c r="P157" i="1"/>
  <c r="O157" i="1"/>
  <c r="N157" i="1"/>
  <c r="M157" i="1"/>
  <c r="Q156" i="1"/>
  <c r="P156" i="1"/>
  <c r="O156" i="1"/>
  <c r="N156" i="1"/>
  <c r="M156" i="1"/>
  <c r="Q155" i="1"/>
  <c r="P155" i="1"/>
  <c r="O155" i="1"/>
  <c r="N155" i="1"/>
  <c r="M155" i="1"/>
  <c r="Q154" i="1"/>
  <c r="P154" i="1"/>
  <c r="O154" i="1"/>
  <c r="N154" i="1"/>
  <c r="M154" i="1"/>
  <c r="Q153" i="1"/>
  <c r="P153" i="1"/>
  <c r="O153" i="1"/>
  <c r="N153" i="1"/>
  <c r="M153" i="1"/>
  <c r="Q152" i="1"/>
  <c r="P152" i="1"/>
  <c r="O152" i="1"/>
  <c r="N152" i="1"/>
  <c r="M152" i="1"/>
  <c r="Q151" i="1"/>
  <c r="P151" i="1"/>
  <c r="O151" i="1"/>
  <c r="N151" i="1"/>
  <c r="M151" i="1"/>
  <c r="Q150" i="1"/>
  <c r="P150" i="1"/>
  <c r="O150" i="1"/>
  <c r="N150" i="1"/>
  <c r="M150" i="1"/>
  <c r="Q149" i="1"/>
  <c r="P149" i="1"/>
  <c r="O149" i="1"/>
  <c r="N149" i="1"/>
  <c r="M149" i="1"/>
  <c r="Q148" i="1"/>
  <c r="P148" i="1"/>
  <c r="O148" i="1"/>
  <c r="N148" i="1"/>
  <c r="M148" i="1"/>
  <c r="Q147" i="1"/>
  <c r="P147" i="1"/>
  <c r="O147" i="1"/>
  <c r="N147" i="1"/>
  <c r="M147" i="1"/>
  <c r="Q146" i="1"/>
  <c r="P146" i="1"/>
  <c r="O146" i="1"/>
  <c r="N146" i="1"/>
  <c r="M146" i="1"/>
  <c r="Q145" i="1"/>
  <c r="P145" i="1"/>
  <c r="O145" i="1"/>
  <c r="N145" i="1"/>
  <c r="M145" i="1"/>
  <c r="Q144" i="1"/>
  <c r="P144" i="1"/>
  <c r="O144" i="1"/>
  <c r="N144" i="1"/>
  <c r="M144" i="1"/>
  <c r="Q143" i="1"/>
  <c r="P143" i="1"/>
  <c r="O143" i="1"/>
  <c r="N143" i="1"/>
  <c r="M143" i="1"/>
  <c r="Q142" i="1"/>
  <c r="P142" i="1"/>
  <c r="O142" i="1"/>
  <c r="N142" i="1"/>
  <c r="M142" i="1"/>
  <c r="Q141" i="1"/>
  <c r="P141" i="1"/>
  <c r="O141" i="1"/>
  <c r="N141" i="1"/>
  <c r="M141" i="1"/>
  <c r="Q140" i="1"/>
  <c r="P140" i="1"/>
  <c r="O140" i="1"/>
  <c r="N140" i="1"/>
  <c r="M140" i="1"/>
  <c r="Q139" i="1"/>
  <c r="P139" i="1"/>
  <c r="O139" i="1"/>
  <c r="N139" i="1"/>
  <c r="M139" i="1"/>
  <c r="Q138" i="1"/>
  <c r="P138" i="1"/>
  <c r="O138" i="1"/>
  <c r="N138" i="1"/>
  <c r="M138" i="1"/>
  <c r="Q137" i="1"/>
  <c r="P137" i="1"/>
  <c r="O137" i="1"/>
  <c r="N137" i="1"/>
  <c r="M137" i="1"/>
  <c r="Q136" i="1"/>
  <c r="P136" i="1"/>
  <c r="O136" i="1"/>
  <c r="N136" i="1"/>
  <c r="M136" i="1"/>
  <c r="Q135" i="1"/>
  <c r="P135" i="1"/>
  <c r="O135" i="1"/>
  <c r="N135" i="1"/>
  <c r="M135" i="1"/>
  <c r="Q134" i="1"/>
  <c r="P134" i="1"/>
  <c r="O134" i="1"/>
  <c r="N134" i="1"/>
  <c r="M134" i="1"/>
  <c r="Q133" i="1"/>
  <c r="P133" i="1"/>
  <c r="O133" i="1"/>
  <c r="N133" i="1"/>
  <c r="M133" i="1"/>
  <c r="Q132" i="1"/>
  <c r="P132" i="1"/>
  <c r="O132" i="1"/>
  <c r="N132" i="1"/>
  <c r="M132" i="1"/>
  <c r="Q131" i="1"/>
  <c r="P131" i="1"/>
  <c r="O131" i="1"/>
  <c r="N131" i="1"/>
  <c r="M131" i="1"/>
  <c r="Q130" i="1"/>
  <c r="P130" i="1"/>
  <c r="O130" i="1"/>
  <c r="N130" i="1"/>
  <c r="M130" i="1"/>
  <c r="Q129" i="1"/>
  <c r="P129" i="1"/>
  <c r="O129" i="1"/>
  <c r="N129" i="1"/>
  <c r="M129" i="1"/>
  <c r="Q128" i="1"/>
  <c r="P128" i="1"/>
  <c r="O128" i="1"/>
  <c r="N128" i="1"/>
  <c r="M128" i="1"/>
  <c r="Q127" i="1"/>
  <c r="P127" i="1"/>
  <c r="O127" i="1"/>
  <c r="N127" i="1"/>
  <c r="M127" i="1"/>
  <c r="Q126" i="1"/>
  <c r="P126" i="1"/>
  <c r="O126" i="1"/>
  <c r="N126" i="1"/>
  <c r="M126" i="1"/>
  <c r="Q125" i="1"/>
  <c r="P125" i="1"/>
  <c r="O125" i="1"/>
  <c r="N125" i="1"/>
  <c r="M125" i="1"/>
  <c r="Q124" i="1"/>
  <c r="P124" i="1"/>
  <c r="O124" i="1"/>
  <c r="N124" i="1"/>
  <c r="M124" i="1"/>
  <c r="Q123" i="1"/>
  <c r="P123" i="1"/>
  <c r="O123" i="1"/>
  <c r="N123" i="1"/>
  <c r="M123" i="1"/>
  <c r="Q122" i="1"/>
  <c r="P122" i="1"/>
  <c r="O122" i="1"/>
  <c r="N122" i="1"/>
  <c r="M122" i="1"/>
  <c r="Q121" i="1"/>
  <c r="P121" i="1"/>
  <c r="O121" i="1"/>
  <c r="N121" i="1"/>
  <c r="M121" i="1"/>
  <c r="Q120" i="1"/>
  <c r="P120" i="1"/>
  <c r="O120" i="1"/>
  <c r="N120" i="1"/>
  <c r="M120" i="1"/>
  <c r="Q119" i="1"/>
  <c r="P119" i="1"/>
  <c r="O119" i="1"/>
  <c r="N119" i="1"/>
  <c r="M119" i="1"/>
  <c r="Q118" i="1"/>
  <c r="P118" i="1"/>
  <c r="O118" i="1"/>
  <c r="N118" i="1"/>
  <c r="M118" i="1"/>
  <c r="Q117" i="1"/>
  <c r="P117" i="1"/>
  <c r="O117" i="1"/>
  <c r="N117" i="1"/>
  <c r="M117" i="1"/>
  <c r="Q116" i="1"/>
  <c r="P116" i="1"/>
  <c r="O116" i="1"/>
  <c r="N116" i="1"/>
  <c r="M116" i="1"/>
  <c r="Q115" i="1"/>
  <c r="P115" i="1"/>
  <c r="O115" i="1"/>
  <c r="N115" i="1"/>
  <c r="M115" i="1"/>
  <c r="Q114" i="1"/>
  <c r="P114" i="1"/>
  <c r="O114" i="1"/>
  <c r="N114" i="1"/>
  <c r="M114" i="1"/>
  <c r="Q113" i="1"/>
  <c r="P113" i="1"/>
  <c r="O113" i="1"/>
  <c r="N113" i="1"/>
  <c r="M113" i="1"/>
  <c r="Q112" i="1"/>
  <c r="P112" i="1"/>
  <c r="O112" i="1"/>
  <c r="N112" i="1"/>
  <c r="M112" i="1"/>
  <c r="Q111" i="1"/>
  <c r="P111" i="1"/>
  <c r="O111" i="1"/>
  <c r="N111" i="1"/>
  <c r="M111" i="1"/>
  <c r="Q110" i="1"/>
  <c r="P110" i="1"/>
  <c r="O110" i="1"/>
  <c r="N110" i="1"/>
  <c r="M110" i="1"/>
  <c r="Q109" i="1"/>
  <c r="P109" i="1"/>
  <c r="O109" i="1"/>
  <c r="N109" i="1"/>
  <c r="M109" i="1"/>
  <c r="Q108" i="1"/>
  <c r="P108" i="1"/>
  <c r="O108" i="1"/>
  <c r="N108" i="1"/>
  <c r="M108" i="1"/>
  <c r="Q107" i="1"/>
  <c r="P107" i="1"/>
  <c r="O107" i="1"/>
  <c r="N107" i="1"/>
  <c r="M107" i="1"/>
  <c r="Q106" i="1"/>
  <c r="P106" i="1"/>
  <c r="O106" i="1"/>
  <c r="N106" i="1"/>
  <c r="M106" i="1"/>
  <c r="Q105" i="1"/>
  <c r="P105" i="1"/>
  <c r="O105" i="1"/>
  <c r="N105" i="1"/>
  <c r="M105" i="1"/>
  <c r="Q104" i="1"/>
  <c r="P104" i="1"/>
  <c r="O104" i="1"/>
  <c r="N104" i="1"/>
  <c r="M104" i="1"/>
  <c r="Q103" i="1"/>
  <c r="P103" i="1"/>
  <c r="O103" i="1"/>
  <c r="N103" i="1"/>
  <c r="M103" i="1"/>
  <c r="Q102" i="1"/>
  <c r="P102" i="1"/>
  <c r="O102" i="1"/>
  <c r="N102" i="1"/>
  <c r="M102" i="1"/>
  <c r="Q101" i="1"/>
  <c r="P101" i="1"/>
  <c r="O101" i="1"/>
  <c r="N101" i="1"/>
  <c r="M101" i="1"/>
  <c r="Q100" i="1"/>
  <c r="P100" i="1"/>
  <c r="O100" i="1"/>
  <c r="N100" i="1"/>
  <c r="M100" i="1"/>
  <c r="Q99" i="1"/>
  <c r="P99" i="1"/>
  <c r="O99" i="1"/>
  <c r="N99" i="1"/>
  <c r="M99" i="1"/>
  <c r="Q98" i="1"/>
  <c r="P98" i="1"/>
  <c r="O98" i="1"/>
  <c r="N98" i="1"/>
  <c r="M98" i="1"/>
  <c r="Q97" i="1"/>
  <c r="P97" i="1"/>
  <c r="O97" i="1"/>
  <c r="N97" i="1"/>
  <c r="M97" i="1"/>
  <c r="Q96" i="1"/>
  <c r="P96" i="1"/>
  <c r="O96" i="1"/>
  <c r="N96" i="1"/>
  <c r="M96" i="1"/>
  <c r="Q95" i="1"/>
  <c r="P95" i="1"/>
  <c r="O95" i="1"/>
  <c r="N95" i="1"/>
  <c r="M95" i="1"/>
  <c r="Q94" i="1"/>
  <c r="P94" i="1"/>
  <c r="O94" i="1"/>
  <c r="N94" i="1"/>
  <c r="M94" i="1"/>
  <c r="Q93" i="1"/>
  <c r="P93" i="1"/>
  <c r="O93" i="1"/>
  <c r="N93" i="1"/>
  <c r="M93" i="1"/>
  <c r="Q92" i="1"/>
  <c r="P92" i="1"/>
  <c r="O92" i="1"/>
  <c r="N92" i="1"/>
  <c r="M92" i="1"/>
  <c r="Q91" i="1"/>
  <c r="P91" i="1"/>
  <c r="O91" i="1"/>
  <c r="N91" i="1"/>
  <c r="M91" i="1"/>
  <c r="Q90" i="1"/>
  <c r="P90" i="1"/>
  <c r="O90" i="1"/>
  <c r="N90" i="1"/>
  <c r="M90" i="1"/>
  <c r="Q89" i="1"/>
  <c r="P89" i="1"/>
  <c r="O89" i="1"/>
  <c r="N89" i="1"/>
  <c r="M89" i="1"/>
  <c r="Q88" i="1"/>
  <c r="P88" i="1"/>
  <c r="O88" i="1"/>
  <c r="N88" i="1"/>
  <c r="M88" i="1"/>
  <c r="Q87" i="1"/>
  <c r="P87" i="1"/>
  <c r="O87" i="1"/>
  <c r="N87" i="1"/>
  <c r="M87" i="1"/>
  <c r="Q86" i="1"/>
  <c r="P86" i="1"/>
  <c r="O86" i="1"/>
  <c r="N86" i="1"/>
  <c r="M86" i="1"/>
  <c r="Q85" i="1"/>
  <c r="P85" i="1"/>
  <c r="O85" i="1"/>
  <c r="N85" i="1"/>
  <c r="M85" i="1"/>
  <c r="Q84" i="1"/>
  <c r="P84" i="1"/>
  <c r="O84" i="1"/>
  <c r="N84" i="1"/>
  <c r="M84" i="1"/>
  <c r="Q83" i="1"/>
  <c r="P83" i="1"/>
  <c r="O83" i="1"/>
  <c r="N83" i="1"/>
  <c r="M83" i="1"/>
  <c r="Q82" i="1"/>
  <c r="P82" i="1"/>
  <c r="O82" i="1"/>
  <c r="N82" i="1"/>
  <c r="M82" i="1"/>
  <c r="Q81" i="1"/>
  <c r="P81" i="1"/>
  <c r="O81" i="1"/>
  <c r="N81" i="1"/>
  <c r="M81" i="1"/>
  <c r="Q80" i="1"/>
  <c r="P80" i="1"/>
  <c r="O80" i="1"/>
  <c r="N80" i="1"/>
  <c r="M80" i="1"/>
  <c r="Q79" i="1"/>
  <c r="P79" i="1"/>
  <c r="O79" i="1"/>
  <c r="N79" i="1"/>
  <c r="M79" i="1"/>
  <c r="Q78" i="1"/>
  <c r="P78" i="1"/>
  <c r="O78" i="1"/>
  <c r="N78" i="1"/>
  <c r="M78" i="1"/>
  <c r="Q77" i="1"/>
  <c r="P77" i="1"/>
  <c r="O77" i="1"/>
  <c r="N77" i="1"/>
  <c r="M77" i="1"/>
  <c r="Q76" i="1"/>
  <c r="P76" i="1"/>
  <c r="O76" i="1"/>
  <c r="N76" i="1"/>
  <c r="M76" i="1"/>
  <c r="Q75" i="1"/>
  <c r="P75" i="1"/>
  <c r="O75" i="1"/>
  <c r="N75" i="1"/>
  <c r="M75" i="1"/>
  <c r="Q74" i="1"/>
  <c r="P74" i="1"/>
  <c r="O74" i="1"/>
  <c r="N74" i="1"/>
  <c r="M74" i="1"/>
  <c r="Q73" i="1"/>
  <c r="P73" i="1"/>
  <c r="O73" i="1"/>
  <c r="N73" i="1"/>
  <c r="M73" i="1"/>
  <c r="Q72" i="1"/>
  <c r="P72" i="1"/>
  <c r="O72" i="1"/>
  <c r="N72" i="1"/>
  <c r="M72" i="1"/>
  <c r="Q71" i="1"/>
  <c r="P71" i="1"/>
  <c r="O71" i="1"/>
  <c r="N71" i="1"/>
  <c r="M71" i="1"/>
  <c r="Q70" i="1"/>
  <c r="P70" i="1"/>
  <c r="O70" i="1"/>
  <c r="N70" i="1"/>
  <c r="M70" i="1"/>
  <c r="Q69" i="1"/>
  <c r="P69" i="1"/>
  <c r="O69" i="1"/>
  <c r="N69" i="1"/>
  <c r="M69" i="1"/>
  <c r="Q68" i="1"/>
  <c r="P68" i="1"/>
  <c r="O68" i="1"/>
  <c r="N68" i="1"/>
  <c r="M68" i="1"/>
  <c r="Q67" i="1"/>
  <c r="P67" i="1"/>
  <c r="O67" i="1"/>
  <c r="N67" i="1"/>
  <c r="M67" i="1"/>
  <c r="Q66" i="1"/>
  <c r="P66" i="1"/>
  <c r="O66" i="1"/>
  <c r="N66" i="1"/>
  <c r="M66" i="1"/>
  <c r="Q65" i="1"/>
  <c r="P65" i="1"/>
  <c r="O65" i="1"/>
  <c r="N65" i="1"/>
  <c r="M65" i="1"/>
  <c r="Q64" i="1"/>
  <c r="P64" i="1"/>
  <c r="O64" i="1"/>
  <c r="N64" i="1"/>
  <c r="M64" i="1"/>
  <c r="Q63" i="1"/>
  <c r="P63" i="1"/>
  <c r="O63" i="1"/>
  <c r="N63" i="1"/>
  <c r="M63" i="1"/>
  <c r="Q62" i="1"/>
  <c r="P62" i="1"/>
  <c r="O62" i="1"/>
  <c r="N62" i="1"/>
  <c r="M62" i="1"/>
  <c r="Q61" i="1"/>
  <c r="P61" i="1"/>
  <c r="O61" i="1"/>
  <c r="N61" i="1"/>
  <c r="M61" i="1"/>
  <c r="Q60" i="1"/>
  <c r="P60" i="1"/>
  <c r="O60" i="1"/>
  <c r="N60" i="1"/>
  <c r="M60" i="1"/>
  <c r="Q59" i="1"/>
  <c r="P59" i="1"/>
  <c r="O59" i="1"/>
  <c r="N59" i="1"/>
  <c r="M59" i="1"/>
  <c r="Q58" i="1"/>
  <c r="P58" i="1"/>
  <c r="O58" i="1"/>
  <c r="N58" i="1"/>
  <c r="M58" i="1"/>
  <c r="Q57" i="1"/>
  <c r="P57" i="1"/>
  <c r="O57" i="1"/>
  <c r="N57" i="1"/>
  <c r="M57" i="1"/>
  <c r="Q56" i="1"/>
  <c r="P56" i="1"/>
  <c r="O56" i="1"/>
  <c r="N56" i="1"/>
  <c r="M56" i="1"/>
  <c r="Q55" i="1"/>
  <c r="P55" i="1"/>
  <c r="O55" i="1"/>
  <c r="N55" i="1"/>
  <c r="M55" i="1"/>
  <c r="Q54" i="1"/>
  <c r="P54" i="1"/>
  <c r="O54" i="1"/>
  <c r="N54" i="1"/>
  <c r="M54" i="1"/>
  <c r="Q53" i="1"/>
  <c r="P53" i="1"/>
  <c r="O53" i="1"/>
  <c r="N53" i="1"/>
  <c r="M53" i="1"/>
  <c r="Q52" i="1"/>
  <c r="P52" i="1"/>
  <c r="O52" i="1"/>
  <c r="N52" i="1"/>
  <c r="M52" i="1"/>
  <c r="Q51" i="1"/>
  <c r="P51" i="1"/>
  <c r="O51" i="1"/>
  <c r="N51" i="1"/>
  <c r="M51" i="1"/>
  <c r="Q50" i="1"/>
  <c r="P50" i="1"/>
  <c r="O50" i="1"/>
  <c r="N50" i="1"/>
  <c r="M50" i="1"/>
  <c r="Q49" i="1"/>
  <c r="P49" i="1"/>
  <c r="O49" i="1"/>
  <c r="N49" i="1"/>
  <c r="M49" i="1"/>
  <c r="Q48" i="1"/>
  <c r="P48" i="1"/>
  <c r="O48" i="1"/>
  <c r="N48" i="1"/>
  <c r="M48" i="1"/>
  <c r="Q47" i="1"/>
  <c r="P47" i="1"/>
  <c r="O47" i="1"/>
  <c r="N47" i="1"/>
  <c r="M47" i="1"/>
  <c r="Q46" i="1"/>
  <c r="P46" i="1"/>
  <c r="O46" i="1"/>
  <c r="N46" i="1"/>
  <c r="M46" i="1"/>
  <c r="Q45" i="1"/>
  <c r="P45" i="1"/>
  <c r="O45" i="1"/>
  <c r="N45" i="1"/>
  <c r="M45" i="1"/>
  <c r="Q44" i="1"/>
  <c r="P44" i="1"/>
  <c r="O44" i="1"/>
  <c r="N44" i="1"/>
  <c r="M44" i="1"/>
  <c r="Q43" i="1"/>
  <c r="P43" i="1"/>
  <c r="O43" i="1"/>
  <c r="N43" i="1"/>
  <c r="M43" i="1"/>
  <c r="Q42" i="1"/>
  <c r="P42" i="1"/>
  <c r="O42" i="1"/>
  <c r="N42" i="1"/>
  <c r="M42" i="1"/>
  <c r="Q41" i="1"/>
  <c r="P41" i="1"/>
  <c r="O41" i="1"/>
  <c r="N41" i="1"/>
  <c r="M41" i="1"/>
  <c r="Q40" i="1"/>
  <c r="P40" i="1"/>
  <c r="O40" i="1"/>
  <c r="N40" i="1"/>
  <c r="M40" i="1"/>
  <c r="Q39" i="1"/>
  <c r="P39" i="1"/>
  <c r="O39" i="1"/>
  <c r="N39" i="1"/>
  <c r="M39" i="1"/>
  <c r="Q38" i="1"/>
  <c r="P38" i="1"/>
  <c r="O38" i="1"/>
  <c r="N38" i="1"/>
  <c r="M38" i="1"/>
  <c r="Q37" i="1"/>
  <c r="P37" i="1"/>
  <c r="O37" i="1"/>
  <c r="N37" i="1"/>
  <c r="M37" i="1"/>
  <c r="Q36" i="1"/>
  <c r="P36" i="1"/>
  <c r="O36" i="1"/>
  <c r="N36" i="1"/>
  <c r="M36" i="1"/>
  <c r="Q35" i="1"/>
  <c r="P35" i="1"/>
  <c r="O35" i="1"/>
  <c r="N35" i="1"/>
  <c r="M35" i="1"/>
  <c r="Q34" i="1"/>
  <c r="P34" i="1"/>
  <c r="O34" i="1"/>
  <c r="N34" i="1"/>
  <c r="M34" i="1"/>
  <c r="Q33" i="1"/>
  <c r="P33" i="1"/>
  <c r="O33" i="1"/>
  <c r="N33" i="1"/>
  <c r="M33" i="1"/>
  <c r="Q32" i="1"/>
  <c r="P32" i="1"/>
  <c r="O32" i="1"/>
  <c r="N32" i="1"/>
  <c r="M32" i="1"/>
  <c r="Q31" i="1"/>
  <c r="P31" i="1"/>
  <c r="O31" i="1"/>
  <c r="N31" i="1"/>
  <c r="M31" i="1"/>
  <c r="Q30" i="1"/>
  <c r="P30" i="1"/>
  <c r="O30" i="1"/>
  <c r="N30" i="1"/>
  <c r="M30" i="1"/>
  <c r="Q29" i="1"/>
  <c r="P29" i="1"/>
  <c r="O29" i="1"/>
  <c r="N29" i="1"/>
  <c r="M29" i="1"/>
  <c r="Q28" i="1"/>
  <c r="P28" i="1"/>
  <c r="O28" i="1"/>
  <c r="N28" i="1"/>
  <c r="M28" i="1"/>
  <c r="Q27" i="1"/>
  <c r="P27" i="1"/>
  <c r="O27" i="1"/>
  <c r="N27" i="1"/>
  <c r="M27" i="1"/>
  <c r="Q26" i="1"/>
  <c r="P26" i="1"/>
  <c r="O26" i="1"/>
  <c r="N26" i="1"/>
  <c r="M26" i="1"/>
  <c r="Q25" i="1"/>
  <c r="P25" i="1"/>
  <c r="O25" i="1"/>
  <c r="N25" i="1"/>
  <c r="M25" i="1"/>
  <c r="Q24" i="1"/>
  <c r="P24" i="1"/>
  <c r="O24" i="1"/>
  <c r="N24" i="1"/>
  <c r="M24" i="1"/>
  <c r="Q23" i="1"/>
  <c r="P23" i="1"/>
  <c r="O23" i="1"/>
  <c r="N23" i="1"/>
  <c r="M23" i="1"/>
  <c r="Q22" i="1"/>
  <c r="P22" i="1"/>
  <c r="O22" i="1"/>
  <c r="N22" i="1"/>
  <c r="M22" i="1"/>
  <c r="Q21" i="1"/>
  <c r="P21" i="1"/>
  <c r="O21" i="1"/>
  <c r="N21" i="1"/>
  <c r="M21" i="1"/>
  <c r="Q20" i="1"/>
  <c r="P20" i="1"/>
  <c r="O20" i="1"/>
  <c r="N20" i="1"/>
  <c r="M20" i="1"/>
  <c r="Q19" i="1"/>
  <c r="P19" i="1"/>
  <c r="O19" i="1"/>
  <c r="N19" i="1"/>
  <c r="M19" i="1"/>
  <c r="Q18" i="1"/>
  <c r="P18" i="1"/>
  <c r="O18" i="1"/>
  <c r="N18" i="1"/>
  <c r="M18" i="1"/>
  <c r="Q17" i="1"/>
  <c r="P17" i="1"/>
  <c r="O17" i="1"/>
  <c r="N17" i="1"/>
  <c r="M17" i="1"/>
  <c r="Q16" i="1"/>
  <c r="P16" i="1"/>
  <c r="O16" i="1"/>
  <c r="N16" i="1"/>
  <c r="M16" i="1"/>
  <c r="Q15" i="1"/>
  <c r="P15" i="1"/>
  <c r="O15" i="1"/>
  <c r="N15" i="1"/>
  <c r="M15" i="1"/>
  <c r="Q14" i="1"/>
  <c r="P14" i="1"/>
  <c r="O14" i="1"/>
  <c r="N14" i="1"/>
  <c r="M14" i="1"/>
  <c r="Q13" i="1"/>
  <c r="P13" i="1"/>
  <c r="O13" i="1"/>
  <c r="N13" i="1"/>
  <c r="M13" i="1"/>
  <c r="Q12" i="1"/>
  <c r="P12" i="1"/>
  <c r="O12" i="1"/>
  <c r="N12" i="1"/>
  <c r="M12" i="1"/>
  <c r="Q11" i="1"/>
  <c r="P11" i="1"/>
  <c r="O11" i="1"/>
  <c r="N11" i="1"/>
  <c r="M11" i="1"/>
  <c r="Q10" i="1"/>
  <c r="P10" i="1"/>
  <c r="O10" i="1"/>
  <c r="N10" i="1"/>
  <c r="M10" i="1"/>
  <c r="Q9" i="1"/>
  <c r="P9" i="1"/>
  <c r="O9" i="1"/>
  <c r="N9" i="1"/>
  <c r="M9" i="1"/>
  <c r="Q8" i="1"/>
  <c r="P8" i="1"/>
  <c r="O8" i="1"/>
  <c r="N8" i="1"/>
  <c r="M8" i="1"/>
  <c r="Q7" i="1"/>
  <c r="P7" i="1"/>
  <c r="O7" i="1"/>
  <c r="N7" i="1"/>
  <c r="M7" i="1"/>
  <c r="Q6" i="1"/>
  <c r="P6" i="1"/>
  <c r="O6" i="1"/>
  <c r="N6" i="1"/>
  <c r="M6" i="1"/>
  <c r="Q5" i="1"/>
  <c r="P5" i="1"/>
  <c r="O5" i="1"/>
  <c r="N5" i="1"/>
  <c r="M5" i="1"/>
  <c r="Q4" i="1"/>
  <c r="P4" i="1"/>
  <c r="O4" i="1"/>
  <c r="N4" i="1"/>
  <c r="M4" i="1"/>
  <c r="Q3" i="1"/>
  <c r="P3" i="1"/>
  <c r="O3" i="1"/>
  <c r="N3" i="1"/>
  <c r="M3" i="1"/>
  <c r="Q2" i="1"/>
  <c r="P2" i="1"/>
  <c r="O2" i="1"/>
  <c r="N2" i="1"/>
  <c r="M2" i="1"/>
  <c r="L6" i="12"/>
  <c r="H6" i="12"/>
  <c r="F6" i="12"/>
  <c r="D6" i="12"/>
</calcChain>
</file>

<file path=xl/sharedStrings.xml><?xml version="1.0" encoding="utf-8"?>
<sst xmlns="http://schemas.openxmlformats.org/spreadsheetml/2006/main" count="24087" uniqueCount="2099">
  <si>
    <t>Order_ID</t>
  </si>
  <si>
    <t>Order_Date</t>
  </si>
  <si>
    <t>Product_ID</t>
  </si>
  <si>
    <t>Product_Name</t>
  </si>
  <si>
    <t>Category</t>
  </si>
  <si>
    <t>Region</t>
  </si>
  <si>
    <t>Quantity</t>
  </si>
  <si>
    <t>Cost_Price</t>
  </si>
  <si>
    <t>Selling_Price</t>
  </si>
  <si>
    <t>Discount_%</t>
  </si>
  <si>
    <t>Sales</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</si>
  <si>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</si>
  <si>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</si>
  <si>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</si>
  <si>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</si>
  <si>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</si>
  <si>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</si>
  <si>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</si>
  <si>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</si>
  <si>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</si>
  <si>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</si>
  <si>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</si>
  <si>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</si>
  <si>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</si>
  <si>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</si>
  <si>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</si>
  <si>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</si>
  <si>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</si>
  <si>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</si>
  <si>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</si>
  <si>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</si>
  <si>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</si>
  <si>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</si>
  <si>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</si>
  <si>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</si>
  <si>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</si>
  <si>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</si>
  <si>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</si>
  <si>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</si>
  <si>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</si>
  <si>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</si>
  <si>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</si>
  <si>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</si>
  <si>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</si>
  <si>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</si>
  <si>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</si>
  <si>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</si>
  <si>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</si>
  <si>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</si>
  <si>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</si>
  <si>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</si>
  <si>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</si>
  <si>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</si>
  <si>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</si>
  <si>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</si>
  <si>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</si>
  <si>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</si>
  <si>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</si>
  <si>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</si>
  <si>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</si>
  <si>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</si>
  <si>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</si>
  <si>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</si>
  <si>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</si>
  <si>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</si>
  <si>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</si>
  <si>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</si>
  <si>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</si>
  <si>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</si>
  <si>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</si>
  <si>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</si>
  <si>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</si>
  <si>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</si>
  <si>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</si>
  <si>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</si>
  <si>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</si>
  <si>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</si>
  <si>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</si>
  <si>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</si>
  <si>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</si>
  <si>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</si>
  <si>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</si>
  <si>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</si>
  <si>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</si>
  <si>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</si>
  <si>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</si>
  <si>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</si>
  <si>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</si>
  <si>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</si>
  <si>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</si>
  <si>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</si>
  <si>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</si>
  <si>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</si>
  <si>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</si>
  <si>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</si>
  <si>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</si>
  <si>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</si>
  <si>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</si>
  <si>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</si>
  <si>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</si>
  <si>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</si>
  <si>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</si>
  <si>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</si>
  <si>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</si>
  <si>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</si>
  <si>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</si>
  <si>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</si>
  <si>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</si>
  <si>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</si>
  <si>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</si>
  <si>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</si>
  <si>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</si>
  <si>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</si>
  <si>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</si>
  <si>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</si>
  <si>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</si>
  <si>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</si>
  <si>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</si>
  <si>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</si>
  <si>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</si>
  <si>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</si>
  <si>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</si>
  <si>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</si>
  <si>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</si>
  <si>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</si>
  <si>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</si>
  <si>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</si>
  <si>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</si>
  <si>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</si>
  <si>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</si>
  <si>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</si>
  <si>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</si>
  <si>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</si>
  <si>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</si>
  <si>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</si>
  <si>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</si>
  <si>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</si>
  <si>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</si>
  <si>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</si>
  <si>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</si>
  <si>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</si>
  <si>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</si>
  <si>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</si>
  <si>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</si>
  <si>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</si>
  <si>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</si>
  <si>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</si>
  <si>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</si>
  <si>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</si>
  <si>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</si>
  <si>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</si>
  <si>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</si>
  <si>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</si>
  <si>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</si>
  <si>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</si>
  <si>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</si>
  <si>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</si>
  <si>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</si>
  <si>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</si>
  <si>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</si>
  <si>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</si>
  <si>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</si>
  <si>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</si>
  <si>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</si>
  <si>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</si>
  <si>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</si>
  <si>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</si>
  <si>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</si>
  <si>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</si>
  <si>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</si>
  <si>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</si>
  <si>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</si>
  <si>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</si>
  <si>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</si>
  <si>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</si>
  <si>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</si>
  <si>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</si>
  <si>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</si>
  <si>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</si>
  <si>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</si>
  <si>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</si>
  <si>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</si>
  <si>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</si>
  <si>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</si>
  <si>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</si>
  <si>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</si>
  <si>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</si>
  <si>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</si>
  <si>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</si>
  <si>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</si>
  <si>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</si>
  <si>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</si>
  <si>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</si>
  <si>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</si>
  <si>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</si>
  <si>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</si>
  <si>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</si>
  <si>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</si>
  <si>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</si>
  <si>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</si>
  <si>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</si>
  <si>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</si>
  <si>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</si>
  <si>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</si>
  <si>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</si>
  <si>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</si>
  <si>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</si>
  <si>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</si>
  <si>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</si>
  <si>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</si>
  <si>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</si>
  <si>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</si>
  <si>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</si>
  <si>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</si>
  <si>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</si>
  <si>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</si>
  <si>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</si>
  <si>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</si>
  <si>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</si>
  <si>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</si>
  <si>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</si>
  <si>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</si>
  <si>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</si>
  <si>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</si>
  <si>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</si>
  <si>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</si>
  <si>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</si>
  <si>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</si>
  <si>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</si>
  <si>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</si>
  <si>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</si>
  <si>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</si>
  <si>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</si>
  <si>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</si>
  <si>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</si>
  <si>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</si>
  <si>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</si>
  <si>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</si>
  <si>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</si>
  <si>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</si>
  <si>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</si>
  <si>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</si>
  <si>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</si>
  <si>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</si>
  <si>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</si>
  <si>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</si>
  <si>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</si>
  <si>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</si>
  <si>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</si>
  <si>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</si>
  <si>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</si>
  <si>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</si>
  <si>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</si>
  <si>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</si>
  <si>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</si>
  <si>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</si>
  <si>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</si>
  <si>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</si>
  <si>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</si>
  <si>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</si>
  <si>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</si>
  <si>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</si>
  <si>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</si>
  <si>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</si>
  <si>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</si>
  <si>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</si>
  <si>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</si>
  <si>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</si>
  <si>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</si>
  <si>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</si>
  <si>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</si>
  <si>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</si>
  <si>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</si>
  <si>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</si>
  <si>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</si>
  <si>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</si>
  <si>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</si>
  <si>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</si>
  <si>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</si>
  <si>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</si>
  <si>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</si>
  <si>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</si>
  <si>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</si>
  <si>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</si>
  <si>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</si>
  <si>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</si>
  <si>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</si>
  <si>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</si>
  <si>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</si>
  <si>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</si>
  <si>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</si>
  <si>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</si>
  <si>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</si>
  <si>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</si>
  <si>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</si>
  <si>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</si>
  <si>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</si>
  <si>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</si>
  <si>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</si>
  <si>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</si>
  <si>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</si>
  <si>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</si>
  <si>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</si>
  <si>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</si>
  <si>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</si>
  <si>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</si>
  <si>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</si>
  <si>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</si>
  <si>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</si>
  <si>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</si>
  <si>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</si>
  <si>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</si>
  <si>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</si>
  <si>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</si>
  <si>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</si>
  <si>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</si>
  <si>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</si>
  <si>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</si>
  <si>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</si>
  <si>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</si>
  <si>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</si>
  <si>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</si>
  <si>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</si>
  <si>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</si>
  <si>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</si>
  <si>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</si>
  <si>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</si>
  <si>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</si>
  <si>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</si>
  <si>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</si>
  <si>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</si>
  <si>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</si>
  <si>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</si>
  <si>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</si>
  <si>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</si>
  <si>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</si>
  <si>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</si>
  <si>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</si>
  <si>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</si>
  <si>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</si>
  <si>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</si>
  <si>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</si>
  <si>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</si>
  <si>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</si>
  <si>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</si>
  <si>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</si>
  <si>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</si>
  <si>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</si>
  <si>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</si>
  <si>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</si>
  <si>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</si>
  <si>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</si>
  <si>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</si>
  <si>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</si>
  <si>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</si>
  <si>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</si>
  <si>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</si>
  <si>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</si>
  <si>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</si>
  <si>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</si>
  <si>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</si>
  <si>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</si>
  <si>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</si>
  <si>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</si>
  <si>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</si>
  <si>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</si>
  <si>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</si>
  <si>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</si>
  <si>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</si>
  <si>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</si>
  <si>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</si>
  <si>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</si>
  <si>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</si>
  <si>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</si>
  <si>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</si>
  <si>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</si>
  <si>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</si>
  <si>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</si>
  <si>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</si>
  <si>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</si>
  <si>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</si>
  <si>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</si>
  <si>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</si>
  <si>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</si>
  <si>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</si>
  <si>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</si>
  <si>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</si>
  <si>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</si>
  <si>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</si>
  <si>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</si>
  <si>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</si>
  <si>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</si>
  <si>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</si>
  <si>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</si>
  <si>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</si>
  <si>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</si>
  <si>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</si>
  <si>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</si>
  <si>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</si>
  <si>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</si>
  <si>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</si>
  <si>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</si>
  <si>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</si>
  <si>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</si>
  <si>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</si>
  <si>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</si>
  <si>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</si>
  <si>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</si>
  <si>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</si>
  <si>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</si>
  <si>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</si>
  <si>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</si>
  <si>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</si>
  <si>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</si>
  <si>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</si>
  <si>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</si>
  <si>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</si>
  <si>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</si>
  <si>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</si>
  <si>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</si>
  <si>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</si>
  <si>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</si>
  <si>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</si>
  <si>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</si>
  <si>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</si>
  <si>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</si>
  <si>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</si>
  <si>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</si>
  <si>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</si>
  <si>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</si>
  <si>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</si>
  <si>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</si>
  <si>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</si>
  <si>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</si>
  <si>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</si>
  <si>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</si>
  <si>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</si>
  <si>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</si>
  <si>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</si>
  <si>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</si>
  <si>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</si>
  <si>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</si>
  <si>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</si>
  <si>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</si>
  <si>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</si>
  <si>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</si>
  <si>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</si>
  <si>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</si>
  <si>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</si>
  <si>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</si>
  <si>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</si>
  <si>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</si>
  <si>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</si>
  <si>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</si>
  <si>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</si>
  <si>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</si>
  <si>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</si>
  <si>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</si>
  <si>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</si>
  <si>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</si>
  <si>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</si>
  <si>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</si>
  <si>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</si>
  <si>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</si>
  <si>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</si>
  <si>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</si>
  <si>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</si>
  <si>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</si>
  <si>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</si>
  <si>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</si>
  <si>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</si>
  <si>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</si>
  <si>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</si>
  <si>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</si>
  <si>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</si>
  <si>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</si>
  <si>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</si>
  <si>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</si>
  <si>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</si>
  <si>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</si>
  <si>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</si>
  <si>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</si>
  <si>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</si>
  <si>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</si>
  <si>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</si>
  <si>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</si>
  <si>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</si>
  <si>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</si>
  <si>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</si>
  <si>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</si>
  <si>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</si>
  <si>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</si>
  <si>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</si>
  <si>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</si>
  <si>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</si>
  <si>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</si>
  <si>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</si>
  <si>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</si>
  <si>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</si>
  <si>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</si>
  <si>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</si>
  <si>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</si>
  <si>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</si>
  <si>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</si>
  <si>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</si>
  <si>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</si>
  <si>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</si>
  <si>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</si>
  <si>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</si>
  <si>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</si>
  <si>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</si>
  <si>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</si>
  <si>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</si>
  <si>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</si>
  <si>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</si>
  <si>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</si>
  <si>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</si>
  <si>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</si>
  <si>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</si>
  <si>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</si>
  <si>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</si>
  <si>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</si>
  <si>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</si>
  <si>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</si>
  <si>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</si>
  <si>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</si>
  <si>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</si>
  <si>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</si>
  <si>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</si>
  <si>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</si>
  <si>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</si>
  <si>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</si>
  <si>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</si>
  <si>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</si>
  <si>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</si>
  <si>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</si>
  <si>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</si>
  <si>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</si>
  <si>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</si>
  <si>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</si>
  <si>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</si>
  <si>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</si>
  <si>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</si>
  <si>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</si>
  <si>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</si>
  <si>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</si>
  <si>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</si>
  <si>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</si>
  <si>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</si>
  <si>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</si>
  <si>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</si>
  <si>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</si>
  <si>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</si>
  <si>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</si>
  <si>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</si>
  <si>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</si>
  <si>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</si>
  <si>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</si>
  <si>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</si>
  <si>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</si>
  <si>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</si>
  <si>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</si>
  <si>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</si>
  <si>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</si>
  <si>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</si>
  <si>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</si>
  <si>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</si>
  <si>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</si>
  <si>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</si>
  <si>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</si>
  <si>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</si>
  <si>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</si>
  <si>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</si>
  <si>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</si>
  <si>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</si>
  <si>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</si>
  <si>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</si>
  <si>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</si>
  <si>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</si>
  <si>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</si>
  <si>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</si>
  <si>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</si>
  <si>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</si>
  <si>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</si>
  <si>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</si>
  <si>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</si>
  <si>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</si>
  <si>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</si>
  <si>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</si>
  <si>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</si>
  <si>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</si>
  <si>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</si>
  <si>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</si>
  <si>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</si>
  <si>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</si>
  <si>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</si>
  <si>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</si>
  <si>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</si>
  <si>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</si>
  <si>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</si>
  <si>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</si>
  <si>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</si>
  <si>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</si>
  <si>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</si>
  <si>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</si>
  <si>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</si>
  <si>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</si>
  <si>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</si>
  <si>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</si>
  <si>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</si>
  <si>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</si>
  <si>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</si>
  <si>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</si>
  <si>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</si>
  <si>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</si>
  <si>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</si>
  <si>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</si>
  <si>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</si>
  <si>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</si>
  <si>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</si>
  <si>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</si>
  <si>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</si>
  <si>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</si>
  <si>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</si>
  <si>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</si>
  <si>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</si>
  <si>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</si>
  <si>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</si>
  <si>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</si>
  <si>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</si>
  <si>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</si>
  <si>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</si>
  <si>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</si>
  <si>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</si>
  <si>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</si>
  <si>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</si>
  <si>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</si>
  <si>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</si>
  <si>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</si>
  <si>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</si>
  <si>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</si>
  <si>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</si>
  <si>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</si>
  <si>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</si>
  <si>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</si>
  <si>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</si>
  <si>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</si>
  <si>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</si>
  <si>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</si>
  <si>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</si>
  <si>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</si>
  <si>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</si>
  <si>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</si>
  <si>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</si>
  <si>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</si>
  <si>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</si>
  <si>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</si>
  <si>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</si>
  <si>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</si>
  <si>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</si>
  <si>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</si>
  <si>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</si>
  <si>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</si>
  <si>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</si>
  <si>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</si>
  <si>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</si>
  <si>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</si>
  <si>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</si>
  <si>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</si>
  <si>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</si>
  <si>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</si>
  <si>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</si>
  <si>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</si>
  <si>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</si>
  <si>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</si>
  <si>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</si>
  <si>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</si>
  <si>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</si>
  <si>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</si>
  <si>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</si>
  <si>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</si>
  <si>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</si>
  <si>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</si>
  <si>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</si>
  <si>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</si>
  <si>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</si>
  <si>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</si>
  <si>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</si>
  <si>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</si>
  <si>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</si>
  <si>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</si>
  <si>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</si>
  <si>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</si>
  <si>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</si>
  <si>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</si>
  <si>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</si>
  <si>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</si>
  <si>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</si>
  <si>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</si>
  <si>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</si>
  <si>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</si>
  <si>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</si>
  <si>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</si>
  <si>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</si>
  <si>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</si>
  <si>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</si>
  <si>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</si>
  <si>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</si>
  <si>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</si>
  <si>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</si>
  <si>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</si>
  <si>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</si>
  <si>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</si>
  <si>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</si>
  <si>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</si>
  <si>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</si>
  <si>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</si>
  <si>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</si>
  <si>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</si>
  <si>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</si>
  <si>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</si>
  <si>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</si>
  <si>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</si>
  <si>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</si>
  <si>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</si>
  <si>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</si>
  <si>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</si>
  <si>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</si>
  <si>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</si>
  <si>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</si>
  <si>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</si>
  <si>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</si>
  <si>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</si>
  <si>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</si>
  <si>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</si>
  <si>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</si>
  <si>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</si>
  <si>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</si>
  <si>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</si>
  <si>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</si>
  <si>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</si>
  <si>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</si>
  <si>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</si>
  <si>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</si>
  <si>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</si>
  <si>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</si>
  <si>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</si>
  <si>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</si>
  <si>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</si>
  <si>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</si>
  <si>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</si>
  <si>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</si>
  <si>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</si>
  <si>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</si>
  <si>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</si>
  <si>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</si>
  <si>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</si>
  <si>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</si>
  <si>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</si>
  <si>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</si>
  <si>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</si>
  <si>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</si>
  <si>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</si>
  <si>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</si>
  <si>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</si>
  <si>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</si>
  <si>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</si>
  <si>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</si>
  <si>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</si>
  <si>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</si>
  <si>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</si>
  <si>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</si>
  <si>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</si>
  <si>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</si>
  <si>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</si>
  <si>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</si>
  <si>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</si>
  <si>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</si>
  <si>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</si>
  <si>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</si>
  <si>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</si>
  <si>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</si>
  <si>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</si>
  <si>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</si>
  <si>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</si>
  <si>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</si>
  <si>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</si>
  <si>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</si>
  <si>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</si>
  <si>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</si>
  <si>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</si>
  <si>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</si>
  <si>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</si>
  <si>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</si>
  <si>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</si>
  <si>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</si>
  <si>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</si>
  <si>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</si>
  <si>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</si>
  <si>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</si>
  <si>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</si>
  <si>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</si>
  <si>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</si>
  <si>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</si>
  <si>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</si>
  <si>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</si>
  <si>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</si>
  <si>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</si>
  <si>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</si>
  <si>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</si>
  <si>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</si>
  <si>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</si>
  <si>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</si>
  <si>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</si>
  <si>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</si>
  <si>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</si>
  <si>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</si>
  <si>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</si>
  <si>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</si>
  <si>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</si>
  <si>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</si>
  <si>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</si>
  <si>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</si>
  <si>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</si>
  <si>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</si>
  <si>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</si>
  <si>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</si>
  <si>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</si>
  <si>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</si>
  <si>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</si>
  <si>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</si>
  <si>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</si>
  <si>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</si>
  <si>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</si>
  <si>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</si>
  <si>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</si>
  <si>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</si>
  <si>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</si>
  <si>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</si>
  <si>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</si>
  <si>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</si>
  <si>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</si>
  <si>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</si>
  <si>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</si>
  <si>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</si>
  <si>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</si>
  <si>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</si>
  <si>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</si>
  <si>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</si>
  <si>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</si>
  <si>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</si>
  <si>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</si>
  <si>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</si>
  <si>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</si>
  <si>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</si>
  <si>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</si>
  <si>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</si>
  <si>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</si>
  <si>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</si>
  <si>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</si>
  <si>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</si>
  <si>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</si>
  <si>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</si>
  <si>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</si>
  <si>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</si>
  <si>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</si>
  <si>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</si>
  <si>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</si>
  <si>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</si>
  <si>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</si>
  <si>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</si>
  <si>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</si>
  <si>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</si>
  <si>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</si>
  <si>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</si>
  <si>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</si>
  <si>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</si>
  <si>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</si>
  <si>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</si>
  <si>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</si>
  <si>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</si>
  <si>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</si>
  <si>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</si>
  <si>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</si>
  <si>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</si>
  <si>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</si>
  <si>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</si>
  <si>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</si>
  <si>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</si>
  <si>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</si>
  <si>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</si>
  <si>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</si>
  <si>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</si>
  <si>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</si>
  <si>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</si>
  <si>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</si>
  <si>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</si>
  <si>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</si>
  <si>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</si>
  <si>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</si>
  <si>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</si>
  <si>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</si>
  <si>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</si>
  <si>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</si>
  <si>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</si>
  <si>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</si>
  <si>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</si>
  <si>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</si>
  <si>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</si>
  <si>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</si>
  <si>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</si>
  <si>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</si>
  <si>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</si>
  <si>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</si>
  <si>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</si>
  <si>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</si>
  <si>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</si>
  <si>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</si>
  <si>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</si>
  <si>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</si>
  <si>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</si>
  <si>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</si>
  <si>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</si>
  <si>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</si>
  <si>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</si>
  <si>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</si>
  <si>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</si>
  <si>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</si>
  <si>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</si>
  <si>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</si>
  <si>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</si>
  <si>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</si>
  <si>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</si>
  <si>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</si>
  <si>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</si>
  <si>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</si>
  <si>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</si>
  <si>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</si>
  <si>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</si>
  <si>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</si>
  <si>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</si>
  <si>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</si>
  <si>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</si>
  <si>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</si>
  <si>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</si>
  <si>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</si>
  <si>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</si>
  <si>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</si>
  <si>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</si>
  <si>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</si>
  <si>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</si>
  <si>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</si>
  <si>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</si>
  <si>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</si>
  <si>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</si>
  <si>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</si>
  <si>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</si>
  <si>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</si>
  <si>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</si>
  <si>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</si>
  <si>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</si>
  <si>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</si>
  <si>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</si>
  <si>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</si>
  <si>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</si>
  <si>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</si>
  <si>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</si>
  <si>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</si>
  <si>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</si>
  <si>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</si>
  <si>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</si>
  <si>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</si>
  <si>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</si>
  <si>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</si>
  <si>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</si>
  <si>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</si>
  <si>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</si>
  <si>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</si>
  <si>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</si>
  <si>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</si>
  <si>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</si>
  <si>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</si>
  <si>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</si>
  <si>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</si>
  <si>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</si>
  <si>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</si>
  <si>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</si>
  <si>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</si>
  <si>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</si>
  <si>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</si>
  <si>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</si>
  <si>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</si>
  <si>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</si>
  <si>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</si>
  <si>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</si>
  <si>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</si>
  <si>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</si>
  <si>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</si>
  <si>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</si>
  <si>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</si>
  <si>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</si>
  <si>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</si>
  <si>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</si>
  <si>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</si>
  <si>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</si>
  <si>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</si>
  <si>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</si>
  <si>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</si>
  <si>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</si>
  <si>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</si>
  <si>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</si>
  <si>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</si>
  <si>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</si>
  <si>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</si>
  <si>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</si>
  <si>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</si>
  <si>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</si>
  <si>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</si>
  <si>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</si>
  <si>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</si>
  <si>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</si>
  <si>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</si>
  <si>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</si>
  <si>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</si>
  <si>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</si>
  <si>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</si>
  <si>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</si>
  <si>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</si>
  <si>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</si>
  <si>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</si>
  <si>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</si>
  <si>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</si>
  <si>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</si>
  <si>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</si>
  <si>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</si>
  <si>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</si>
  <si>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</si>
  <si>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</si>
  <si>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</si>
  <si>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</si>
  <si>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</si>
  <si>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</si>
  <si>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</si>
  <si>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</si>
  <si>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</si>
  <si>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</si>
  <si>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</si>
  <si>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</si>
  <si>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</si>
  <si>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</si>
  <si>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</si>
  <si>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</si>
  <si>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</si>
  <si>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</si>
  <si>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</si>
  <si>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</si>
  <si>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</si>
  <si>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</si>
  <si>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</si>
  <si>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</si>
  <si>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</si>
  <si>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</si>
  <si>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</si>
  <si>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</si>
  <si>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</si>
  <si>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</si>
  <si>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</si>
  <si>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</si>
  <si>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</si>
  <si>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</si>
  <si>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</si>
  <si>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</si>
  <si>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</si>
  <si>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</si>
  <si>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</si>
  <si>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</si>
  <si>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</si>
  <si>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</si>
  <si>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</si>
  <si>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</si>
  <si>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</si>
  <si>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</si>
  <si>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</si>
  <si>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</si>
  <si>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</si>
  <si>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</si>
  <si>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</si>
  <si>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</si>
  <si>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</si>
  <si>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</si>
  <si>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</si>
  <si>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</si>
  <si>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</si>
  <si>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</si>
  <si>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</si>
  <si>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</si>
  <si>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</si>
  <si>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</si>
  <si>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</si>
  <si>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</si>
  <si>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</si>
  <si>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</si>
  <si>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</si>
  <si>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</si>
  <si>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</si>
  <si>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</si>
  <si>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</si>
  <si>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</si>
  <si>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</si>
  <si>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</si>
  <si>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</si>
  <si>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</si>
  <si>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</si>
  <si>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</si>
  <si>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</si>
  <si>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</si>
  <si>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</si>
  <si>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</si>
  <si>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</si>
  <si>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</si>
  <si>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</si>
  <si>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</si>
  <si>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</si>
  <si>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</si>
  <si>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</si>
  <si>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</si>
  <si>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</si>
  <si>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</si>
  <si>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</si>
  <si>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</si>
  <si>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</si>
  <si>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</si>
  <si>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</si>
  <si>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</si>
  <si>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</si>
  <si>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</si>
  <si>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</si>
  <si>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</si>
  <si>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</si>
  <si>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</si>
  <si>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</si>
  <si>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</si>
  <si>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</si>
  <si>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</si>
  <si>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</si>
  <si>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</si>
  <si>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</si>
  <si>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</si>
  <si>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</si>
  <si>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</si>
  <si>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</si>
  <si>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</si>
  <si>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</si>
  <si>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</si>
  <si>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</si>
  <si>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</si>
  <si>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</si>
  <si>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</si>
  <si>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</si>
  <si>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</si>
  <si>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</si>
  <si>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</si>
  <si>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</si>
  <si>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</si>
  <si>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</si>
  <si>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</si>
  <si>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</si>
  <si>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</si>
  <si>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</si>
  <si>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</si>
  <si>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</si>
  <si>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</si>
  <si>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</si>
  <si>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</si>
  <si>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</si>
  <si>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</si>
  <si>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</si>
  <si>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</si>
  <si>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</si>
  <si>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</si>
  <si>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</si>
  <si>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</si>
  <si>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</si>
  <si>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</si>
  <si>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</si>
  <si>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</si>
  <si>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</si>
  <si>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</si>
  <si>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</si>
  <si>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</si>
  <si>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</si>
  <si>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</si>
  <si>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</si>
  <si>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</si>
  <si>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</si>
  <si>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</si>
  <si>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</si>
  <si>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</si>
  <si>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</si>
  <si>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</si>
  <si>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</si>
  <si>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</si>
  <si>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</si>
  <si>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</si>
  <si>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</si>
  <si>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</si>
  <si>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</si>
  <si>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</si>
  <si>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</si>
  <si>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</si>
  <si>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</si>
  <si>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</si>
  <si>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</si>
  <si>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</si>
  <si>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</si>
  <si>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</si>
  <si>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</si>
  <si>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</si>
  <si>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</si>
  <si>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</si>
  <si>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</si>
  <si>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</si>
  <si>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</si>
  <si>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</si>
  <si>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</si>
  <si>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</si>
  <si>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</si>
  <si>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</si>
  <si>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</si>
  <si>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</si>
  <si>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</si>
  <si>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</si>
  <si>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</si>
  <si>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</si>
  <si>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</si>
  <si>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</si>
  <si>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</si>
  <si>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</si>
  <si>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</si>
  <si>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</si>
  <si>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</si>
  <si>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</si>
  <si>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</si>
  <si>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</si>
  <si>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</si>
  <si>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</si>
  <si>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</si>
  <si>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</si>
  <si>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</si>
  <si>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</si>
  <si>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</si>
  <si>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</si>
  <si>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</si>
  <si>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</si>
  <si>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</si>
  <si>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</si>
  <si>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</si>
  <si>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</si>
  <si>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</si>
  <si>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</si>
  <si>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</si>
  <si>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</si>
  <si>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</si>
  <si>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</si>
  <si>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</si>
  <si>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</si>
  <si>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</si>
  <si>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</si>
  <si>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</si>
  <si>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</si>
  <si>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</si>
  <si>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</si>
  <si>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</si>
  <si>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</si>
  <si>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</si>
  <si>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</si>
  <si>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</si>
  <si>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</si>
  <si>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</si>
  <si>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</si>
  <si>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</si>
  <si>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</si>
  <si>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</si>
  <si>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</si>
  <si>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</si>
  <si>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</si>
  <si>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</si>
  <si>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</si>
  <si>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</si>
  <si>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</si>
  <si>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</si>
  <si>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</si>
  <si>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</si>
  <si>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</si>
  <si>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</si>
  <si>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</si>
  <si>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</si>
  <si>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</si>
  <si>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</si>
  <si>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</si>
  <si>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</si>
  <si>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</si>
  <si>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</si>
  <si>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</si>
  <si>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</si>
  <si>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</si>
  <si>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</si>
  <si>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</si>
  <si>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</si>
  <si>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</si>
  <si>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</si>
  <si>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</si>
  <si>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</si>
  <si>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</si>
  <si>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</si>
  <si>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</si>
  <si>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</si>
  <si>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</si>
  <si>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</si>
  <si>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</si>
  <si>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</si>
  <si>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</si>
  <si>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</si>
  <si>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</si>
  <si>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</si>
  <si>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</si>
  <si>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</si>
  <si>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</si>
  <si>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</si>
  <si>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</si>
  <si>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</si>
  <si>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</si>
  <si>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</si>
  <si>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</si>
  <si>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</si>
  <si>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</si>
  <si>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</si>
  <si>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</si>
  <si>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</si>
  <si>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</si>
  <si>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</si>
  <si>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</si>
  <si>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</si>
  <si>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</si>
  <si>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</si>
  <si>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</si>
  <si>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</si>
  <si>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</si>
  <si>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</si>
  <si>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</si>
  <si>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</si>
  <si>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</si>
  <si>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</si>
  <si>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</si>
  <si>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</si>
  <si>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</si>
  <si>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</si>
  <si>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</si>
  <si>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</si>
  <si>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</si>
  <si>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</si>
  <si>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</si>
  <si>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</si>
  <si>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</si>
  <si>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</si>
  <si>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</si>
  <si>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</si>
  <si>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</si>
  <si>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</si>
  <si>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</si>
  <si>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</si>
  <si>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</si>
  <si>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</si>
  <si>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</si>
  <si>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</si>
  <si>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</si>
  <si>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</si>
  <si>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</si>
  <si>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</si>
  <si>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</si>
  <si>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</si>
  <si>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</si>
  <si>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</si>
  <si>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</si>
  <si>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</si>
  <si>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</si>
  <si>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</si>
  <si>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</si>
  <si>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</si>
  <si>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</si>
  <si>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</si>
  <si>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</si>
  <si>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</si>
  <si>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</si>
  <si>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</si>
  <si>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</si>
  <si>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</si>
  <si>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</si>
  <si>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</si>
  <si>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</si>
  <si>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</si>
  <si>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</si>
  <si>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</si>
  <si>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</si>
  <si>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</si>
  <si>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</si>
  <si>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</si>
  <si>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</si>
  <si>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</si>
  <si>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</si>
  <si>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</si>
  <si>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</si>
  <si>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</si>
  <si>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</si>
  <si>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</si>
  <si>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</si>
  <si>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</si>
  <si>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</si>
  <si>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</si>
  <si>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</si>
  <si>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</si>
  <si>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</si>
  <si>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</si>
  <si>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</si>
  <si>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</si>
  <si>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</si>
  <si>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</si>
  <si>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</si>
  <si>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</si>
  <si>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</si>
  <si>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</si>
  <si>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</si>
  <si>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</si>
  <si>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</si>
  <si>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</si>
  <si>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</si>
  <si>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</si>
  <si>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</si>
  <si>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</si>
  <si>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</si>
  <si>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</si>
  <si>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</si>
  <si>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</si>
  <si>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</si>
  <si>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</si>
  <si>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</si>
  <si>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</si>
  <si>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</si>
  <si>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</si>
  <si>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</si>
  <si>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</si>
  <si>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</si>
  <si>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</si>
  <si>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</si>
  <si>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</si>
  <si>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</si>
  <si>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</si>
  <si>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</si>
  <si>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</si>
  <si>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</si>
  <si>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</si>
  <si>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</si>
  <si>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</si>
  <si>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</si>
  <si>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</si>
  <si>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</si>
  <si>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</si>
  <si>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</si>
  <si>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</si>
  <si>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</si>
  <si>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</si>
  <si>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</si>
  <si>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</si>
  <si>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</si>
  <si>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</si>
  <si>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</si>
  <si>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</si>
  <si>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</si>
  <si>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</si>
  <si>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</si>
  <si>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</si>
  <si>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</si>
  <si>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</si>
  <si>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</si>
  <si>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</si>
  <si>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</si>
  <si>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</si>
  <si>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</si>
  <si>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</si>
  <si>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</si>
  <si>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</si>
  <si>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</si>
  <si>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</si>
  <si>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</si>
  <si>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</si>
  <si>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</si>
  <si>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</si>
  <si>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</si>
  <si>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</si>
  <si>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</si>
  <si>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</si>
  <si>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</si>
  <si>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</si>
  <si>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</si>
  <si>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</si>
  <si>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</si>
  <si>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</si>
  <si>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</si>
  <si>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</si>
  <si>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</si>
  <si>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</si>
  <si>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</si>
  <si>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</si>
  <si>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</si>
  <si>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</si>
  <si>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</si>
  <si>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</si>
  <si>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</si>
  <si>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</si>
  <si>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</si>
  <si>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</si>
  <si>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</si>
  <si>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</si>
  <si>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</si>
  <si>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</si>
  <si>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</si>
  <si>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</si>
  <si>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</si>
  <si>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</si>
  <si>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</si>
  <si>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</si>
  <si>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</si>
  <si>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</si>
  <si>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</si>
  <si>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</si>
  <si>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</si>
  <si>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</si>
  <si>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</si>
  <si>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</si>
  <si>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</si>
  <si>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</si>
  <si>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</si>
  <si>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</si>
  <si>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</si>
  <si>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</si>
  <si>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</si>
  <si>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</si>
  <si>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</si>
  <si>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</si>
  <si>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</si>
  <si>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</si>
  <si>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</si>
  <si>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</si>
  <si>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</si>
  <si>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</si>
  <si>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</si>
  <si>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</si>
  <si>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</si>
  <si>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</si>
  <si>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</si>
  <si>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</si>
  <si>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</si>
  <si>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</si>
  <si>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</si>
  <si>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</si>
  <si>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</si>
  <si>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</si>
  <si>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</si>
  <si>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</si>
  <si>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</si>
  <si>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</si>
  <si>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</si>
  <si>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</si>
  <si>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</si>
  <si>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</si>
  <si>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</si>
  <si>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</si>
  <si>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</si>
  <si>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</si>
  <si>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</si>
  <si>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</si>
  <si>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</si>
  <si>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</si>
  <si>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</si>
  <si>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</si>
  <si>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</si>
  <si>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</si>
  <si>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</si>
  <si>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</si>
  <si>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</si>
  <si>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</si>
  <si>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</si>
  <si>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</si>
  <si>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</si>
  <si>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</si>
  <si>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</si>
  <si>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</si>
  <si>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</si>
  <si>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</si>
  <si>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</si>
  <si>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</si>
  <si>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</si>
  <si>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</si>
  <si>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</si>
  <si>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</si>
  <si>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</si>
  <si>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</si>
  <si>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</si>
  <si>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</si>
  <si>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</si>
  <si>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</si>
  <si>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</si>
  <si>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</si>
  <si>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</si>
  <si>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</si>
  <si>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</si>
  <si>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</si>
  <si>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</si>
  <si>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</si>
  <si>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</si>
  <si>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</si>
  <si>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</si>
  <si>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</si>
  <si>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</si>
  <si>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</si>
  <si>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</si>
  <si>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</si>
  <si>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</si>
  <si>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</si>
  <si>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</si>
  <si>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</si>
  <si>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</si>
  <si>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</si>
  <si>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</si>
  <si>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</si>
  <si>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</si>
  <si>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</si>
  <si>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</si>
  <si>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</si>
  <si>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</si>
  <si>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</si>
  <si>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</si>
  <si>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</si>
  <si>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</si>
  <si>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</si>
  <si>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</si>
  <si>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</si>
  <si>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</si>
  <si>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</si>
  <si>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</si>
  <si>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</si>
  <si>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</si>
  <si>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</si>
  <si>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</si>
  <si>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</si>
  <si>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</si>
  <si>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</si>
  <si>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</si>
  <si>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</si>
  <si>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</si>
  <si>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</si>
  <si>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</si>
  <si>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</si>
  <si>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</si>
  <si>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</si>
  <si>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</si>
  <si>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</si>
  <si>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</si>
  <si>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</si>
  <si>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</si>
  <si>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</si>
  <si>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</si>
  <si>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</si>
  <si>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</si>
  <si>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</si>
  <si>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</si>
  <si>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</si>
  <si>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</si>
  <si>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</si>
  <si>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</si>
  <si>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</si>
  <si>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</si>
  <si>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</si>
  <si>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</si>
  <si>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</si>
  <si>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</si>
  <si>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</si>
  <si>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</si>
  <si>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</si>
  <si>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</si>
  <si>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</si>
  <si>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</si>
  <si>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</si>
  <si>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</si>
  <si>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</si>
  <si>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</si>
  <si>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</si>
  <si>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</si>
  <si>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</si>
  <si>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</si>
  <si>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</si>
  <si>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</si>
  <si>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</si>
  <si>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</si>
  <si>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</si>
  <si>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</si>
  <si>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</si>
  <si>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</si>
  <si>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</si>
  <si>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</si>
  <si>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</si>
  <si>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</si>
  <si>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</si>
  <si>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</si>
  <si>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</si>
  <si>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</si>
  <si>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</si>
  <si>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</si>
  <si>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</si>
  <si>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</si>
  <si>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</si>
  <si>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</si>
  <si>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</si>
  <si>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</si>
  <si>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</si>
  <si>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</si>
  <si>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</si>
  <si>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</si>
  <si>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</si>
  <si>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</si>
  <si>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</si>
  <si>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</si>
  <si>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</si>
  <si>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</si>
  <si>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</si>
  <si>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</si>
  <si>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</si>
  <si>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</si>
  <si>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</si>
  <si>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</si>
  <si>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</si>
  <si>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</si>
  <si>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</si>
  <si>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</si>
  <si>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</si>
  <si>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</si>
  <si>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</si>
  <si>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</si>
  <si>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</si>
  <si>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</si>
  <si>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</si>
  <si>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</si>
  <si>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</si>
  <si>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</si>
  <si>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</si>
  <si>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</si>
  <si>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</si>
  <si>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</si>
  <si>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</si>
  <si>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</si>
  <si>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</si>
  <si>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</si>
  <si>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</si>
  <si>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</si>
  <si>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</si>
  <si>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</si>
  <si>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</si>
  <si>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</si>
  <si>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</si>
  <si>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</si>
  <si>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</si>
  <si>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</si>
  <si>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</si>
  <si>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</si>
  <si>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</si>
  <si>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</si>
  <si>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</si>
  <si>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</si>
  <si>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</si>
  <si>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</si>
  <si>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</si>
  <si>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</si>
  <si>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</si>
  <si>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</si>
  <si>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</si>
  <si>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</si>
  <si>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</si>
  <si>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</si>
  <si>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</si>
  <si>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</si>
  <si>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</si>
  <si>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</si>
  <si>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</si>
  <si>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</si>
  <si>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</si>
  <si>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</si>
  <si>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</si>
  <si>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</si>
  <si>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</si>
  <si>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</si>
  <si>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</si>
  <si>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</si>
  <si>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</si>
  <si>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</si>
  <si>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</si>
  <si>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</si>
  <si>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</si>
  <si>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</si>
  <si>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</si>
  <si>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</si>
  <si>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</si>
  <si>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</si>
  <si>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</si>
  <si>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</si>
  <si>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</si>
  <si>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</si>
  <si>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</si>
  <si>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</si>
  <si>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</si>
  <si>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</si>
  <si>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</si>
  <si>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</si>
  <si>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</si>
  <si>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</si>
  <si>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</si>
  <si>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</si>
  <si>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</si>
  <si>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</si>
  <si>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</si>
  <si>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</si>
  <si>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</si>
  <si>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</si>
  <si>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</si>
  <si>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</si>
  <si>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</si>
  <si>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</si>
  <si>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</si>
  <si>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</si>
  <si>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</si>
  <si>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</si>
  <si>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</si>
  <si>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</si>
  <si>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</si>
  <si>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</si>
  <si>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</si>
  <si>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</si>
  <si>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</si>
  <si>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</si>
  <si>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</si>
  <si>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</si>
  <si>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</si>
  <si>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</si>
  <si>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</si>
  <si>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</si>
  <si>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</si>
  <si>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</si>
  <si>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</si>
  <si>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</si>
  <si>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</si>
  <si>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</si>
  <si>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</si>
  <si>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</si>
  <si>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</si>
  <si>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</si>
  <si>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</si>
  <si>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</si>
  <si>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</si>
  <si>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</si>
  <si>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</si>
  <si>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</si>
  <si>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</si>
  <si>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</si>
  <si>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</si>
  <si>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</si>
  <si>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</si>
  <si>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</si>
  <si>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</si>
  <si>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</si>
  <si>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</si>
  <si>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</si>
  <si>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</si>
  <si>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</si>
  <si>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</si>
  <si>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</si>
  <si>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</si>
  <si>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</si>
  <si>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</si>
  <si>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</si>
  <si>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</si>
  <si>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</si>
  <si>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</si>
  <si>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</si>
  <si>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</si>
  <si>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</si>
  <si>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</si>
  <si>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</si>
  <si>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</si>
  <si>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</si>
  <si>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</si>
  <si>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</si>
  <si>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</si>
  <si>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</si>
  <si>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</si>
  <si>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</si>
  <si>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</si>
  <si>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</si>
  <si>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</si>
  <si>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</si>
  <si>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</si>
  <si>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</si>
  <si>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</si>
  <si>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</si>
  <si>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</si>
  <si>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</si>
  <si>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</si>
  <si>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</si>
  <si>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</si>
  <si>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</si>
  <si>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</si>
  <si>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</si>
  <si>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</si>
  <si>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</si>
  <si>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</si>
  <si>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</si>
  <si>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</si>
  <si>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</si>
  <si>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</si>
  <si>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</si>
  <si>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</si>
  <si>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</si>
  <si>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</si>
  <si>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</si>
  <si>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</si>
  <si>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</si>
  <si>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</si>
  <si>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</si>
  <si>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</si>
  <si>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</si>
  <si>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</si>
  <si>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</si>
  <si>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</si>
  <si>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</si>
  <si>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</si>
  <si>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</si>
  <si>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</si>
  <si>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</si>
  <si>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</si>
  <si>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</si>
  <si>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</si>
  <si>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</si>
  <si>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</si>
  <si>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</si>
  <si>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</si>
  <si>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</si>
  <si>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</si>
  <si>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</si>
  <si>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</si>
  <si>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</si>
  <si>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</si>
  <si>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</si>
  <si>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</si>
  <si>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</si>
  <si>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</si>
  <si>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</si>
  <si>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</si>
  <si>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</si>
  <si>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</si>
  <si>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</si>
  <si>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</si>
  <si>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</si>
  <si>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</si>
  <si>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</si>
  <si>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</si>
  <si>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</si>
  <si>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</si>
  <si>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</si>
  <si>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</si>
  <si>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</si>
  <si>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</si>
  <si>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</si>
  <si>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</si>
  <si>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</si>
  <si>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</si>
  <si>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</si>
  <si>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</si>
  <si>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</si>
  <si>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</si>
  <si>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</si>
  <si>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</si>
  <si>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</si>
  <si>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</si>
  <si>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</si>
  <si>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</si>
  <si>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</si>
  <si>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</si>
  <si>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</si>
  <si>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</si>
  <si>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</si>
  <si>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</si>
  <si>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</si>
  <si>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</si>
  <si>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</si>
  <si>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</si>
  <si>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</si>
  <si>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</si>
  <si>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</si>
  <si>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</si>
  <si>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</si>
  <si>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</si>
  <si>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</si>
  <si>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</si>
  <si>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</si>
  <si>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P007</t>
  </si>
  <si>
    <t>P020</t>
  </si>
  <si>
    <t>P015</t>
  </si>
  <si>
    <t>P011</t>
  </si>
  <si>
    <t>P008</t>
  </si>
  <si>
    <t>P019</t>
  </si>
  <si>
    <t>P004</t>
  </si>
  <si>
    <t>P003</t>
  </si>
  <si>
    <t>P002</t>
  </si>
  <si>
    <t>P012</t>
  </si>
  <si>
    <t>P006</t>
  </si>
  <si>
    <t>P001</t>
  </si>
  <si>
    <t>P017</t>
  </si>
  <si>
    <t>P010</t>
  </si>
  <si>
    <t>P016</t>
  </si>
  <si>
    <t>P005</t>
  </si>
  <si>
    <t>P009</t>
  </si>
  <si>
    <t>P018</t>
  </si>
  <si>
    <t>P014</t>
  </si>
  <si>
    <t>P013</t>
  </si>
  <si>
    <t>Office Chair</t>
  </si>
  <si>
    <t>Printer</t>
  </si>
  <si>
    <t>Table</t>
  </si>
  <si>
    <t>Backpack</t>
  </si>
  <si>
    <t>Desk Lamp</t>
  </si>
  <si>
    <t>Smart Watch</t>
  </si>
  <si>
    <t>USB Hub</t>
  </si>
  <si>
    <t>Keyboard</t>
  </si>
  <si>
    <t>Wireless Mouse</t>
  </si>
  <si>
    <t>Water Bottle</t>
  </si>
  <si>
    <t>Monitor</t>
  </si>
  <si>
    <t>Laptop Stand</t>
  </si>
  <si>
    <t>Phone Case</t>
  </si>
  <si>
    <t>Pen Set</t>
  </si>
  <si>
    <t>Bookshelf</t>
  </si>
  <si>
    <t>Headphones</t>
  </si>
  <si>
    <t>Notebook</t>
  </si>
  <si>
    <t>Power Bank</t>
  </si>
  <si>
    <t>Blender</t>
  </si>
  <si>
    <t>Coffee Maker</t>
  </si>
  <si>
    <t>Furniture</t>
  </si>
  <si>
    <t>Electronics</t>
  </si>
  <si>
    <t>Bags</t>
  </si>
  <si>
    <t>Accessories</t>
  </si>
  <si>
    <t>Lifestyle</t>
  </si>
  <si>
    <t>Office Supplies</t>
  </si>
  <si>
    <t>Appliances</t>
  </si>
  <si>
    <t>South</t>
  </si>
  <si>
    <t>East</t>
  </si>
  <si>
    <t>West</t>
  </si>
  <si>
    <t>North</t>
  </si>
  <si>
    <t>Discount_Amount</t>
  </si>
  <si>
    <t>Total_Cost</t>
  </si>
  <si>
    <t>Profit Margin</t>
  </si>
  <si>
    <t>Month</t>
  </si>
  <si>
    <t>Profit Status</t>
  </si>
  <si>
    <t>Sum of Sales</t>
  </si>
  <si>
    <t>Sum of Profit</t>
  </si>
  <si>
    <t>Sum of Profit Margin</t>
  </si>
  <si>
    <t>Sum of Quantity</t>
  </si>
  <si>
    <t>Row Labels</t>
  </si>
  <si>
    <t>Grand Total</t>
  </si>
  <si>
    <t>Average of Discount_%</t>
  </si>
  <si>
    <t>Jan</t>
  </si>
  <si>
    <t>Feb</t>
  </si>
  <si>
    <t>Mar</t>
  </si>
  <si>
    <t>Apr</t>
  </si>
  <si>
    <t>May</t>
  </si>
  <si>
    <t>Jun</t>
  </si>
  <si>
    <t>Jul</t>
  </si>
  <si>
    <t>Aug</t>
  </si>
  <si>
    <t>Sep</t>
  </si>
  <si>
    <t>Oct</t>
  </si>
  <si>
    <t>Nov</t>
  </si>
  <si>
    <t>Dec</t>
  </si>
  <si>
    <t xml:space="preserve"> </t>
  </si>
  <si>
    <t>Sum of Discount_%</t>
  </si>
  <si>
    <t>Total Sales</t>
  </si>
  <si>
    <t xml:space="preserve"> Total Profit</t>
  </si>
  <si>
    <t>low profit</t>
  </si>
  <si>
    <t>good profit</t>
  </si>
  <si>
    <t>loss</t>
  </si>
  <si>
    <t>Average Discounts</t>
  </si>
  <si>
    <t>**</t>
  </si>
  <si>
    <t xml:space="preserve">         </t>
  </si>
  <si>
    <t>\</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</si>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</sst>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0" fontId="1" fillId="0" borderId="0" xfId="0" applyFont="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cellXfs>
  <cellStyles count="1">
    <cellStyle name="Normal" xfId="0" builtinId="0"/>
  </cellStyles>
  <dxfs count="20">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s>
  <tableStyles count="0" defaultTableStyle="TableStyleMedium9" defaultPivotStyle="PivotStyleLight16"/>
  <colors>
    <mruColors>
      <color rgb="FF000000"/>
      <color rgb="FF02E8EE"/>
      <color rgb="FF00133A"/>
      <color rgb="FF003D86"/>
      <color rgb="FF28AD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Dashboard.xlsx]Monthly Sales VS Profit Trend!PivotTable3</c:name>
    <c:fmtId val="0"/>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126289675578856E-3"/>
              <c:y val="0.11439842209072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59420138645266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4844717256684141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'Monthly Sales VS Profit Trend'!$B$3</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464C-4C3B-9529-7F43A37893BE}"/>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C83A-4DA8-80D5-F2452C524131}"/>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464C-4C3B-9529-7F43A37893BE}"/>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C83A-4DA8-80D5-F2452C524131}"/>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464C-4C3B-9529-7F43A37893BE}"/>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464C-4C3B-9529-7F43A37893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Sales VS Profit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'Monthly Sales VS Profit Trend'!$B$4:$B$15</c:f>
              <c:numCache>
                <c:formatCode>General</c:formatCode>
                <c:ptCount val="11"/>
                <c:pt idx="0">
                  <c:v>251213.99</c:v>
                </c:pt>
                <c:pt idx="1">
                  <c:v>101632.57</c:v>
                </c:pt>
                <c:pt idx="2">
                  <c:v>51967.25</c:v>
                </c:pt>
                <c:pt idx="3">
                  <c:v>69979.209999999992</c:v>
                </c:pt>
                <c:pt idx="4">
                  <c:v>7235.46</c:v>
                </c:pt>
                <c:pt idx="5">
                  <c:v>43879.1</c:v>
                </c:pt>
                <c:pt idx="6">
                  <c:v>109188.67</c:v>
                </c:pt>
                <c:pt idx="7">
                  <c:v>69248.740000000005</c:v>
                </c:pt>
                <c:pt idx="8">
                  <c:v>78436.479999999996</c:v>
                </c:pt>
                <c:pt idx="9">
                  <c:v>51255.66</c:v>
                </c:pt>
                <c:pt idx="10">
                  <c:v>19542.519999999997</c:v>
                </c:pt>
              </c:numCache>
            </c:numRef>
          </c:val>
          <c:smooth val="0"/>
          <c:extLst>
            <c:ext xmlns:c16="http://schemas.microsoft.com/office/drawing/2014/chart" uri="{C3380CC4-5D6E-409C-BE32-E72D297353CC}">
              <c16:uniqueId val="{00000000-9394-469F-8538-60B354CC66CA}"/>
            </c:ext>
          </c:extLst>
        </c:ser>
        <c:ser>
          <c:idx val="1"/>
          <c:order val="1"/>
          <c:tx>
            <c:strRef>
              <c:f>'Monthly Sales VS Profit Trend'!$C$3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464C-4C3B-9529-7F43A37893BE}"/>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464C-4C3B-9529-7F43A37893BE}"/>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464C-4C3B-9529-7F43A37893BE}"/>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464C-4C3B-9529-7F43A37893BE}"/>
              </c:ext>
            </c:extLst>
          </c:dPt>
          <c:dPt>
            <c:idx val="4"/>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8-464C-4C3B-9529-7F43A37893BE}"/>
              </c:ext>
            </c:extLst>
          </c:dPt>
          <c:dPt>
            <c:idx val="5"/>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9-464C-4C3B-9529-7F43A37893BE}"/>
              </c:ext>
            </c:extLst>
          </c:dPt>
          <c:dPt>
            <c:idx val="6"/>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A-464C-4C3B-9529-7F43A37893BE}"/>
              </c:ext>
            </c:extLst>
          </c:dPt>
          <c:dPt>
            <c:idx val="7"/>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B-464C-4C3B-9529-7F43A37893BE}"/>
              </c:ext>
            </c:extLst>
          </c:dPt>
          <c:dPt>
            <c:idx val="8"/>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C-464C-4C3B-9529-7F43A37893BE}"/>
              </c:ext>
            </c:extLst>
          </c:dPt>
          <c:dPt>
            <c:idx val="9"/>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D-464C-4C3B-9529-7F43A37893BE}"/>
              </c:ext>
            </c:extLst>
          </c:dPt>
          <c:dPt>
            <c:idx val="1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E-464C-4C3B-9529-7F43A37893BE}"/>
              </c:ext>
            </c:extLst>
          </c:dPt>
          <c:dLbls>
            <c:dLbl>
              <c:idx val="0"/>
              <c:layout>
                <c:manualLayout>
                  <c:x val="-3.3126289675578856E-3"/>
                  <c:y val="0.114398422090729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4C-4C3B-9529-7F43A37893BE}"/>
                </c:ext>
              </c:extLst>
            </c:dLbl>
            <c:dLbl>
              <c:idx val="1"/>
              <c:layout>
                <c:manualLayout>
                  <c:x val="-2.4844717256684141E-2"/>
                  <c:y val="-5.91715976331360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C-4C3B-9529-7F43A37893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Sales VS Profit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'Monthly Sales VS Profit Trend'!$C$4:$C$15</c:f>
              <c:numCache>
                <c:formatCode>General</c:formatCode>
                <c:ptCount val="11"/>
                <c:pt idx="0">
                  <c:v>15213.99</c:v>
                </c:pt>
                <c:pt idx="1">
                  <c:v>3632.57</c:v>
                </c:pt>
                <c:pt idx="2">
                  <c:v>967.25</c:v>
                </c:pt>
                <c:pt idx="3">
                  <c:v>3979.21</c:v>
                </c:pt>
                <c:pt idx="4">
                  <c:v>35.46</c:v>
                </c:pt>
                <c:pt idx="5">
                  <c:v>2379.1</c:v>
                </c:pt>
                <c:pt idx="6">
                  <c:v>7688.67</c:v>
                </c:pt>
                <c:pt idx="7">
                  <c:v>3248.74</c:v>
                </c:pt>
                <c:pt idx="8">
                  <c:v>6236.48</c:v>
                </c:pt>
                <c:pt idx="9">
                  <c:v>3055.6600000000003</c:v>
                </c:pt>
                <c:pt idx="10">
                  <c:v>1542.52</c:v>
                </c:pt>
              </c:numCache>
            </c:numRef>
          </c:val>
          <c:smooth val="0"/>
          <c:extLst>
            <c:ext xmlns:c16="http://schemas.microsoft.com/office/drawing/2014/chart" uri="{C3380CC4-5D6E-409C-BE32-E72D297353CC}">
              <c16:uniqueId val="{00000001-9394-469F-8538-60B354CC66CA}"/>
            </c:ext>
          </c:extLst>
        </c:ser>
        <c:dLbls>
          <c:showLegendKey val="0"/>
          <c:showVal val="0"/>
          <c:showCatName val="0"/>
          <c:showSerName val="0"/>
          <c:showPercent val="0"/>
          <c:showBubbleSize val="0"/>
        </c:dLbls>
        <c:marker val="1"/>
        <c:smooth val="0"/>
        <c:axId val="1219934895"/>
        <c:axId val="1566157040"/>
      </c:lineChart>
      <c:catAx>
        <c:axId val="1219934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57040"/>
        <c:crosses val="autoZero"/>
        <c:auto val="1"/>
        <c:lblAlgn val="ctr"/>
        <c:lblOffset val="100"/>
        <c:noMultiLvlLbl val="0"/>
      </c:catAx>
      <c:valAx>
        <c:axId val="156615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Dashboard.xlsx]Top Loss Making Products!PivotTable4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Loss Making Products'!$B$3</c:f>
              <c:strCache>
                <c:ptCount val="1"/>
                <c:pt idx="0">
                  <c:v>Total</c:v>
                </c:pt>
              </c:strCache>
            </c:strRef>
          </c:tx>
          <c:spPr>
            <a:solidFill>
              <a:schemeClr val="accent1"/>
            </a:solidFill>
            <a:ln>
              <a:noFill/>
            </a:ln>
            <a:effectLst/>
          </c:spPr>
          <c:invertIfNegative val="0"/>
          <c:cat>
            <c:strRef>
              <c:f>'Top Loss Making Products'!$A$4:$A$8</c:f>
              <c:strCache>
                <c:ptCount val="4"/>
                <c:pt idx="0">
                  <c:v>Bookshelf</c:v>
                </c:pt>
                <c:pt idx="1">
                  <c:v>Desk Lamp</c:v>
                </c:pt>
                <c:pt idx="2">
                  <c:v>Office Chair</c:v>
                </c:pt>
                <c:pt idx="3">
                  <c:v>Table</c:v>
                </c:pt>
              </c:strCache>
            </c:strRef>
          </c:cat>
          <c:val>
            <c:numRef>
              <c:f>'Top Loss Making Products'!$B$4:$B$8</c:f>
              <c:numCache>
                <c:formatCode>General</c:formatCode>
                <c:ptCount val="4"/>
                <c:pt idx="0">
                  <c:v>8209.66</c:v>
                </c:pt>
                <c:pt idx="1">
                  <c:v>2891.55</c:v>
                </c:pt>
                <c:pt idx="2">
                  <c:v>31965.440000000002</c:v>
                </c:pt>
                <c:pt idx="3">
                  <c:v>4912.9999999999991</c:v>
                </c:pt>
              </c:numCache>
            </c:numRef>
          </c:val>
          <c:extLst>
            <c:ext xmlns:c16="http://schemas.microsoft.com/office/drawing/2014/chart" uri="{C3380CC4-5D6E-409C-BE32-E72D297353CC}">
              <c16:uniqueId val="{00000000-B650-46D8-9525-FEAC1B4C5A2B}"/>
            </c:ext>
          </c:extLst>
        </c:ser>
        <c:dLbls>
          <c:showLegendKey val="0"/>
          <c:showVal val="0"/>
          <c:showCatName val="0"/>
          <c:showSerName val="0"/>
          <c:showPercent val="0"/>
          <c:showBubbleSize val="0"/>
        </c:dLbls>
        <c:gapWidth val="182"/>
        <c:axId val="1241414159"/>
        <c:axId val="1241413199"/>
      </c:barChart>
      <c:catAx>
        <c:axId val="124141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13199"/>
        <c:crosses val="autoZero"/>
        <c:auto val="1"/>
        <c:lblAlgn val="ctr"/>
        <c:lblOffset val="100"/>
        <c:noMultiLvlLbl val="0"/>
      </c:catAx>
      <c:valAx>
        <c:axId val="124141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Dashboard.xlsx]Discount % VS Profit Margin %!PivotTable2</c:name>
    <c:fmtId val="0"/>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'Discount % VS Profit Margin %'!$A$3</c:f>
              <c:strCache>
                <c:ptCount val="1"/>
                <c:pt idx="0">
                  <c:v>Sum of Discount_%</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'Discount % VS Profit Margin %'!$A$4</c:f>
              <c:strCache>
                <c:ptCount val="1"/>
                <c:pt idx="0">
                  <c:v>Total</c:v>
                </c:pt>
              </c:strCache>
            </c:strRef>
          </c:cat>
          <c:val>
            <c:numRef>
              <c:f>'Discount % VS Profit Margin %'!$A$4</c:f>
              <c:numCache>
                <c:formatCode>General</c:formatCode>
                <c:ptCount val="1"/>
                <c:pt idx="0">
                  <c:v>419.97</c:v>
                </c:pt>
              </c:numCache>
            </c:numRef>
          </c:val>
          <c:extLst>
            <c:ext xmlns:c16="http://schemas.microsoft.com/office/drawing/2014/chart" uri="{C3380CC4-5D6E-409C-BE32-E72D297353CC}">
              <c16:uniqueId val="{00000000-7259-435A-833B-B91294861A38}"/>
            </c:ext>
          </c:extLst>
        </c:ser>
        <c:ser>
          <c:idx val="1"/>
          <c:order val="1"/>
          <c:tx>
            <c:strRef>
              <c:f>'Discount % VS Profit Margin %'!$B$3</c:f>
              <c:strCache>
                <c:ptCount val="1"/>
                <c:pt idx="0">
                  <c:v>Sum of Profit Margin</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'Discount % VS Profit Margin %'!$A$4</c:f>
              <c:strCache>
                <c:ptCount val="1"/>
                <c:pt idx="0">
                  <c:v>Total</c:v>
                </c:pt>
              </c:strCache>
            </c:strRef>
          </c:cat>
          <c:val>
            <c:numRef>
              <c:f>'Discount % VS Profit Margin %'!$B$4</c:f>
              <c:numCache>
                <c:formatCode>General</c:formatCode>
                <c:ptCount val="1"/>
                <c:pt idx="0">
                  <c:v>169.91265177779184</c:v>
                </c:pt>
              </c:numCache>
            </c:numRef>
          </c:val>
          <c:extLst>
            <c:ext xmlns:c16="http://schemas.microsoft.com/office/drawing/2014/chart" uri="{C3380CC4-5D6E-409C-BE32-E72D297353CC}">
              <c16:uniqueId val="{00000001-7259-435A-833B-B91294861A38}"/>
            </c:ext>
          </c:extLst>
        </c:ser>
        <c:dLbls>
          <c:showLegendKey val="0"/>
          <c:showVal val="0"/>
          <c:showCatName val="0"/>
          <c:showSerName val="0"/>
          <c:showPercent val="0"/>
          <c:showBubbleSize val="0"/>
        </c:dLbls>
        <c:gapWidth val="150"/>
        <c:shape val="box"/>
        <c:axId val="381947664"/>
        <c:axId val="392552032"/>
        <c:axId val="0"/>
      </c:bar3DChart>
      <c:catAx>
        <c:axId val="38194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552032"/>
        <c:crosses val="autoZero"/>
        <c:auto val="1"/>
        <c:lblAlgn val="ctr"/>
        <c:lblOffset val="100"/>
        <c:noMultiLvlLbl val="0"/>
      </c:catAx>
      <c:valAx>
        <c:axId val="39255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Dashboard.xlsx]Profit By Region!PivotTable3</c:name>
    <c:fmtId val="0"/>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80927384077"/>
          <c:y val="0.21439596092155147"/>
          <c:w val="0.7913449256342957"/>
          <c:h val="0.60515128317293676"/>
        </c:manualLayout>
      </c:layout>
      <c:bar3DChart>
        <c:barDir val="col"/>
        <c:grouping val="clustered"/>
        <c:varyColors val="0"/>
        <c:ser>
          <c:idx val="0"/>
          <c:order val="0"/>
          <c:tx>
            <c:strRef>
              <c:f>'Profit By Region'!$B$3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1683-4E65-A451-0F317FB829E4}"/>
              </c:ext>
            </c:extLst>
          </c:dPt>
          <c:dPt>
            <c:idx val="3"/>
            <c:invertIfNegative val="0"/>
            <c:bubble3D val="0"/>
            <c:extLst>
              <c:ext xmlns:c16="http://schemas.microsoft.com/office/drawing/2014/chart" uri="{C3380CC4-5D6E-409C-BE32-E72D297353CC}">
                <c16:uniqueId val="{00000002-5152-4136-9202-AAE2CEB1F6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'Profit By Region'!$A$4:$A$5</c:f>
              <c:strCache>
                <c:ptCount val="1"/>
                <c:pt idx="0">
                  <c:v>South</c:v>
                </c:pt>
              </c:strCache>
            </c:strRef>
          </c:cat>
          <c:val>
            <c:numRef>
              <c:f>'Profit By Region'!$B$4:$B$5</c:f>
              <c:numCache>
                <c:formatCode>General</c:formatCode>
                <c:ptCount val="1"/>
                <c:pt idx="0">
                  <c:v>47979.65</c:v>
                </c:pt>
              </c:numCache>
            </c:numRef>
          </c:val>
          <c:extLst>
            <c:ext xmlns:c16="http://schemas.microsoft.com/office/drawing/2014/chart" uri="{C3380CC4-5D6E-409C-BE32-E72D297353CC}">
              <c16:uniqueId val="{00000000-5152-4136-9202-AAE2CEB1F6B4}"/>
            </c:ext>
          </c:extLst>
        </c:ser>
        <c:dLbls>
          <c:showLegendKey val="0"/>
          <c:showVal val="0"/>
          <c:showCatName val="0"/>
          <c:showSerName val="0"/>
          <c:showPercent val="0"/>
          <c:showBubbleSize val="0"/>
        </c:dLbls>
        <c:gapWidth val="150"/>
        <c:shape val="box"/>
        <c:axId val="726003024"/>
        <c:axId val="726003504"/>
        <c:axId val="0"/>
      </c:bar3DChart>
      <c:catAx>
        <c:axId val="726003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03504"/>
        <c:crosses val="autoZero"/>
        <c:auto val="1"/>
        <c:lblAlgn val="ctr"/>
        <c:lblOffset val="100"/>
        <c:noMultiLvlLbl val="0"/>
      </c:catAx>
      <c:valAx>
        <c:axId val="72600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0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Dashboard.xlsx]Profit By Category!PivotTable4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'Profit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'Profit By Category'!$A$4:$A$5</c:f>
              <c:strCache>
                <c:ptCount val="1"/>
                <c:pt idx="0">
                  <c:v>Furniture</c:v>
                </c:pt>
              </c:strCache>
            </c:strRef>
          </c:cat>
          <c:val>
            <c:numRef>
              <c:f>'Profit By Category'!$B$4:$B$5</c:f>
              <c:numCache>
                <c:formatCode>General</c:formatCode>
                <c:ptCount val="1"/>
                <c:pt idx="0">
                  <c:v>47979.65</c:v>
                </c:pt>
              </c:numCache>
            </c:numRef>
          </c:val>
          <c:extLst>
            <c:ext xmlns:c16="http://schemas.microsoft.com/office/drawing/2014/chart" uri="{C3380CC4-5D6E-409C-BE32-E72D297353CC}">
              <c16:uniqueId val="{00000000-F24A-4343-B7B0-567CC93879C6}"/>
            </c:ext>
          </c:extLst>
        </c:ser>
        <c:dLbls>
          <c:showLegendKey val="0"/>
          <c:showVal val="0"/>
          <c:showCatName val="0"/>
          <c:showSerName val="0"/>
          <c:showPercent val="0"/>
          <c:showBubbleSize val="0"/>
        </c:dLbls>
        <c:gapWidth val="115"/>
        <c:overlap val="-20"/>
        <c:axId val="726000624"/>
        <c:axId val="726001584"/>
      </c:barChart>
      <c:catAx>
        <c:axId val="7260006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01584"/>
        <c:crosses val="autoZero"/>
        <c:auto val="1"/>
        <c:lblAlgn val="ctr"/>
        <c:lblOffset val="100"/>
        <c:noMultiLvlLbl val="0"/>
      </c:catAx>
      <c:valAx>
        <c:axId val="72600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0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 Making Product Identification Dashboard.xlsx]Sales VS Profit By Products!PivotTable5</c:name>
    <c:fmtId val="1"/>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 By Products'!$B$3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 By Products'!$A$4:$A$8</c:f>
              <c:strCache>
                <c:ptCount val="4"/>
                <c:pt idx="0">
                  <c:v>Bookshelf</c:v>
                </c:pt>
                <c:pt idx="1">
                  <c:v>Desk Lamp</c:v>
                </c:pt>
                <c:pt idx="2">
                  <c:v>Office Chair</c:v>
                </c:pt>
                <c:pt idx="3">
                  <c:v>Table</c:v>
                </c:pt>
              </c:strCache>
            </c:strRef>
          </c:cat>
          <c:val>
            <c:numRef>
              <c:f>'Sales VS Profit By Products'!$B$4:$B$8</c:f>
              <c:numCache>
                <c:formatCode>General</c:formatCode>
                <c:ptCount val="4"/>
                <c:pt idx="0">
                  <c:v>161209.66</c:v>
                </c:pt>
                <c:pt idx="1">
                  <c:v>46991.549999999996</c:v>
                </c:pt>
                <c:pt idx="2">
                  <c:v>532465.43999999994</c:v>
                </c:pt>
                <c:pt idx="3">
                  <c:v>112913</c:v>
                </c:pt>
              </c:numCache>
            </c:numRef>
          </c:val>
          <c:extLst>
            <c:ext xmlns:c16="http://schemas.microsoft.com/office/drawing/2014/chart" uri="{C3380CC4-5D6E-409C-BE32-E72D297353CC}">
              <c16:uniqueId val="{00000000-505F-4A91-83D2-65DF93E2D5FA}"/>
            </c:ext>
          </c:extLst>
        </c:ser>
        <c:ser>
          <c:idx val="1"/>
          <c:order val="1"/>
          <c:tx>
            <c:strRef>
              <c:f>'Sales VS Profit By Products'!$C$3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 By Products'!$A$4:$A$8</c:f>
              <c:strCache>
                <c:ptCount val="4"/>
                <c:pt idx="0">
                  <c:v>Bookshelf</c:v>
                </c:pt>
                <c:pt idx="1">
                  <c:v>Desk Lamp</c:v>
                </c:pt>
                <c:pt idx="2">
                  <c:v>Office Chair</c:v>
                </c:pt>
                <c:pt idx="3">
                  <c:v>Table</c:v>
                </c:pt>
              </c:strCache>
            </c:strRef>
          </c:cat>
          <c:val>
            <c:numRef>
              <c:f>'Sales VS Profit By Products'!$C$4:$C$8</c:f>
              <c:numCache>
                <c:formatCode>General</c:formatCode>
                <c:ptCount val="4"/>
                <c:pt idx="0">
                  <c:v>8209.66</c:v>
                </c:pt>
                <c:pt idx="1">
                  <c:v>2891.55</c:v>
                </c:pt>
                <c:pt idx="2">
                  <c:v>31965.440000000002</c:v>
                </c:pt>
                <c:pt idx="3">
                  <c:v>4912.9999999999991</c:v>
                </c:pt>
              </c:numCache>
            </c:numRef>
          </c:val>
          <c:extLst>
            <c:ext xmlns:c16="http://schemas.microsoft.com/office/drawing/2014/chart" uri="{C3380CC4-5D6E-409C-BE32-E72D297353CC}">
              <c16:uniqueId val="{00000001-505F-4A91-83D2-65DF93E2D5FA}"/>
            </c:ext>
          </c:extLst>
        </c:ser>
        <c:dLbls>
          <c:showLegendKey val="0"/>
          <c:showVal val="0"/>
          <c:showCatName val="0"/>
          <c:showSerName val="0"/>
          <c:showPercent val="0"/>
          <c:showBubbleSize val="0"/>
        </c:dLbls>
        <c:gapWidth val="100"/>
        <c:overlap val="-24"/>
        <c:axId val="726294992"/>
        <c:axId val="726291632"/>
      </c:barChart>
      <c:catAx>
        <c:axId val="72629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91632"/>
        <c:crosses val="autoZero"/>
        <c:auto val="1"/>
        <c:lblAlgn val="ctr"/>
        <c:lblOffset val="100"/>
        <c:noMultiLvlLbl val="0"/>
      </c:catAx>
      <c:valAx>
        <c:axId val="72629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9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Dashboard.xlsx]Profit By Region!PivotTable3</c:name>
    <c:fmtId val="8"/>
  </c:pivotSource>
  <c:chart>
    <c:title>
      <c:tx>
        <c:rich>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r>
              <a:rPr lang="en-US" sz="4000">
                <a:solidFill>
                  <a:srgbClr val="02E8EE"/>
                </a:solidFill>
              </a:rPr>
              <a:t>PROFIT</a:t>
            </a:r>
            <a:r>
              <a:rPr lang="en-US" sz="4000" baseline="0">
                <a:solidFill>
                  <a:srgbClr val="02E8EE"/>
                </a:solidFill>
              </a:rPr>
              <a:t> BY REGION</a:t>
            </a:r>
            <a:endParaRPr lang="en-US" sz="4000">
              <a:solidFill>
                <a:srgbClr val="02E8EE"/>
              </a:solidFill>
            </a:endParaRPr>
          </a:p>
        </c:rich>
      </c:tx>
      <c:overlay val="0"/>
      <c:spPr>
        <a:noFill/>
        <a:ln>
          <a:noFill/>
        </a:ln>
        <a:effectLst/>
      </c:spPr>
      <c:txPr>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65176781980418"/>
          <c:y val="0.21439593830026851"/>
          <c:w val="0.7913449256342957"/>
          <c:h val="0.60515128317293676"/>
        </c:manualLayout>
      </c:layout>
      <c:bar3DChart>
        <c:barDir val="col"/>
        <c:grouping val="clustered"/>
        <c:varyColors val="0"/>
        <c:ser>
          <c:idx val="0"/>
          <c:order val="0"/>
          <c:tx>
            <c:strRef>
              <c:f>'Profit By Region'!$B$3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E249-4D26-87EF-85B3A8EFFCBE}"/>
              </c:ext>
            </c:extLst>
          </c:dPt>
          <c:dPt>
            <c:idx val="3"/>
            <c:invertIfNegative val="0"/>
            <c:bubble3D val="0"/>
            <c:extLst>
              <c:ext xmlns:c16="http://schemas.microsoft.com/office/drawing/2014/chart" uri="{C3380CC4-5D6E-409C-BE32-E72D297353CC}">
                <c16:uniqueId val="{00000000-24F2-46AC-80AF-DA6257769EA2}"/>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'Profit By Region'!$A$4:$A$5</c:f>
              <c:strCache>
                <c:ptCount val="1"/>
                <c:pt idx="0">
                  <c:v>South</c:v>
                </c:pt>
              </c:strCache>
            </c:strRef>
          </c:cat>
          <c:val>
            <c:numRef>
              <c:f>'Profit By Region'!$B$4:$B$5</c:f>
              <c:numCache>
                <c:formatCode>General</c:formatCode>
                <c:ptCount val="1"/>
                <c:pt idx="0">
                  <c:v>47979.65</c:v>
                </c:pt>
              </c:numCache>
            </c:numRef>
          </c:val>
          <c:extLst>
            <c:ext xmlns:c16="http://schemas.microsoft.com/office/drawing/2014/chart" uri="{C3380CC4-5D6E-409C-BE32-E72D297353CC}">
              <c16:uniqueId val="{00000001-24F2-46AC-80AF-DA6257769EA2}"/>
            </c:ext>
          </c:extLst>
        </c:ser>
        <c:dLbls>
          <c:showLegendKey val="0"/>
          <c:showVal val="0"/>
          <c:showCatName val="0"/>
          <c:showSerName val="0"/>
          <c:showPercent val="0"/>
          <c:showBubbleSize val="0"/>
        </c:dLbls>
        <c:gapWidth val="150"/>
        <c:shape val="box"/>
        <c:axId val="726003024"/>
        <c:axId val="726003504"/>
        <c:axId val="0"/>
      </c:bar3DChart>
      <c:catAx>
        <c:axId val="726003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lumMod val="95000"/>
                  </a:schemeClr>
                </a:solidFill>
                <a:latin typeface="+mn-lt"/>
                <a:ea typeface="+mn-ea"/>
                <a:cs typeface="+mn-cs"/>
              </a:defRPr>
            </a:pPr>
            <a:endParaRPr lang="en-US"/>
          </a:p>
        </c:txPr>
        <c:crossAx val="726003504"/>
        <c:crosses val="autoZero"/>
        <c:auto val="1"/>
        <c:lblAlgn val="ctr"/>
        <c:lblOffset val="100"/>
        <c:noMultiLvlLbl val="0"/>
      </c:catAx>
      <c:valAx>
        <c:axId val="72600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lumMod val="95000"/>
                  </a:schemeClr>
                </a:solidFill>
                <a:latin typeface="+mn-lt"/>
                <a:ea typeface="+mn-ea"/>
                <a:cs typeface="+mn-cs"/>
              </a:defRPr>
            </a:pPr>
            <a:endParaRPr lang="en-US"/>
          </a:p>
        </c:txPr>
        <c:crossAx val="72600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Dashboard.xlsx]Monthly Sales VS Profit Trend!PivotTable3</c:name>
    <c:fmtId val="4"/>
  </c:pivotSource>
  <c:chart>
    <c:title>
      <c:tx>
        <c:rich>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r>
              <a:rPr lang="en-US" sz="4000" b="1" i="0" u="none" strike="noStrike" kern="1200" baseline="0">
                <a:solidFill>
                  <a:srgbClr val="02E8EE"/>
                </a:solidFill>
              </a:rPr>
              <a:t>MONTHLY SALES VS PROFIT TREND</a:t>
            </a:r>
          </a:p>
        </c:rich>
      </c:tx>
      <c:overlay val="0"/>
      <c:spPr>
        <a:noFill/>
        <a:ln>
          <a:noFill/>
        </a:ln>
        <a:effectLst/>
      </c:spPr>
      <c:txPr>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9428E-3"/>
              <c:y val="-1.57790927021696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8821E-3"/>
              <c:y val="-7.8895463510848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9428E-3"/>
              <c:y val="-7.1005917159763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532088289126255E-2"/>
              <c:y val="3.15581854043392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095233126915685E-2"/>
              <c:y val="-7.88954635108481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126289675578856E-3"/>
              <c:y val="0.11439842209072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3002063480926169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59420138645266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281572418894774E-3"/>
              <c:y val="9.46745562130177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1469975191799913E-2"/>
              <c:y val="-5.91715976331362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126289675578856E-3"/>
              <c:y val="-6.31163708086785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9689434513369496E-3"/>
              <c:y val="0.11439842209072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4844717256684141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3250515870231542E-2"/>
              <c:y val="-4.3392504930966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
              <c:y val="0.11045364891518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9428E-3"/>
              <c:y val="-1.57790927021696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8821E-3"/>
              <c:y val="-7.8895463510848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532088289126255E-2"/>
              <c:y val="3.15581854043392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563144837789428E-3"/>
              <c:y val="-7.1005917159763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095233126915685E-2"/>
              <c:y val="-7.88954635108481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126289675578856E-3"/>
              <c:y val="0.11439842209072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3002063480926169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59420138645266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281572418894774E-3"/>
              <c:y val="9.46745562130177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1469975191799913E-2"/>
              <c:y val="-5.91715976331362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126289675578856E-3"/>
              <c:y val="-6.31163708086785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9689434513369496E-3"/>
              <c:y val="0.11439842209072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4844717256684141E-2"/>
              <c:y val="-5.9171597633136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3250515870231542E-2"/>
              <c:y val="-4.3392504930966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
              <c:y val="0.11045364891518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6"/>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7"/>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8"/>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9"/>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1"/>
      </c:pivotFmt>
      <c:pivotFmt>
        <c:idx val="42"/>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3"/>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4"/>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5"/>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6"/>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7"/>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8"/>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9"/>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0"/>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1"/>
        <c:spPr>
          <a:ln w="34925" cap="rnd">
            <a:solidFill>
              <a:srgbClr val="02E8EE"/>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5.6423114003476854E-2"/>
          <c:y val="0.17869174253220907"/>
          <c:w val="0.89376565356587623"/>
          <c:h val="0.74789149262394838"/>
        </c:manualLayout>
      </c:layout>
      <c:lineChart>
        <c:grouping val="standard"/>
        <c:varyColors val="0"/>
        <c:ser>
          <c:idx val="0"/>
          <c:order val="0"/>
          <c:tx>
            <c:strRef>
              <c:f>'Monthly Sales VS Profit Trend'!$B$3</c:f>
              <c:strCache>
                <c:ptCount val="1"/>
                <c:pt idx="0">
                  <c:v>Sum of Sales</c:v>
                </c:pt>
              </c:strCache>
            </c:strRef>
          </c:tx>
          <c:spPr>
            <a:ln w="34925" cap="rnd">
              <a:solidFill>
                <a:srgbClr val="28ADC8"/>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4"/>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2E8EE"/>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20E3-4408-BA45-6DC128807124}"/>
              </c:ext>
            </c:extLst>
          </c:dPt>
          <c:dPt>
            <c:idx val="5"/>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11-CA25-4A2B-81EF-6E698F8AE60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VS Profit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'Monthly Sales VS Profit Trend'!$B$4:$B$15</c:f>
              <c:numCache>
                <c:formatCode>General</c:formatCode>
                <c:ptCount val="11"/>
                <c:pt idx="0">
                  <c:v>251213.99</c:v>
                </c:pt>
                <c:pt idx="1">
                  <c:v>101632.57</c:v>
                </c:pt>
                <c:pt idx="2">
                  <c:v>51967.25</c:v>
                </c:pt>
                <c:pt idx="3">
                  <c:v>69979.209999999992</c:v>
                </c:pt>
                <c:pt idx="4">
                  <c:v>7235.46</c:v>
                </c:pt>
                <c:pt idx="5">
                  <c:v>43879.1</c:v>
                </c:pt>
                <c:pt idx="6">
                  <c:v>109188.67</c:v>
                </c:pt>
                <c:pt idx="7">
                  <c:v>69248.740000000005</c:v>
                </c:pt>
                <c:pt idx="8">
                  <c:v>78436.479999999996</c:v>
                </c:pt>
                <c:pt idx="9">
                  <c:v>51255.66</c:v>
                </c:pt>
                <c:pt idx="10">
                  <c:v>19542.519999999997</c:v>
                </c:pt>
              </c:numCache>
            </c:numRef>
          </c:val>
          <c:smooth val="0"/>
          <c:extLst>
            <c:ext xmlns:c16="http://schemas.microsoft.com/office/drawing/2014/chart" uri="{C3380CC4-5D6E-409C-BE32-E72D297353CC}">
              <c16:uniqueId val="{00000004-CA25-4A2B-81EF-6E698F8AE60C}"/>
            </c:ext>
          </c:extLst>
        </c:ser>
        <c:ser>
          <c:idx val="1"/>
          <c:order val="1"/>
          <c:tx>
            <c:strRef>
              <c:f>'Monthly Sales VS Profit Trend'!$C$3</c:f>
              <c:strCache>
                <c:ptCount val="1"/>
                <c:pt idx="0">
                  <c:v>Sum of Profit</c:v>
                </c:pt>
              </c:strCache>
            </c:strRef>
          </c:tx>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VS Profit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'Monthly Sales VS Profit Trend'!$C$4:$C$15</c:f>
              <c:numCache>
                <c:formatCode>General</c:formatCode>
                <c:ptCount val="11"/>
                <c:pt idx="0">
                  <c:v>15213.99</c:v>
                </c:pt>
                <c:pt idx="1">
                  <c:v>3632.57</c:v>
                </c:pt>
                <c:pt idx="2">
                  <c:v>967.25</c:v>
                </c:pt>
                <c:pt idx="3">
                  <c:v>3979.21</c:v>
                </c:pt>
                <c:pt idx="4">
                  <c:v>35.46</c:v>
                </c:pt>
                <c:pt idx="5">
                  <c:v>2379.1</c:v>
                </c:pt>
                <c:pt idx="6">
                  <c:v>7688.67</c:v>
                </c:pt>
                <c:pt idx="7">
                  <c:v>3248.74</c:v>
                </c:pt>
                <c:pt idx="8">
                  <c:v>6236.48</c:v>
                </c:pt>
                <c:pt idx="9">
                  <c:v>3055.6600000000003</c:v>
                </c:pt>
                <c:pt idx="10">
                  <c:v>1542.52</c:v>
                </c:pt>
              </c:numCache>
            </c:numRef>
          </c:val>
          <c:smooth val="0"/>
          <c:extLst>
            <c:ext xmlns:c16="http://schemas.microsoft.com/office/drawing/2014/chart" uri="{C3380CC4-5D6E-409C-BE32-E72D297353CC}">
              <c16:uniqueId val="{00000010-CA25-4A2B-81EF-6E698F8AE60C}"/>
            </c:ext>
          </c:extLst>
        </c:ser>
        <c:dLbls>
          <c:dLblPos val="t"/>
          <c:showLegendKey val="0"/>
          <c:showVal val="1"/>
          <c:showCatName val="0"/>
          <c:showSerName val="0"/>
          <c:showPercent val="0"/>
          <c:showBubbleSize val="0"/>
        </c:dLbls>
        <c:marker val="1"/>
        <c:smooth val="0"/>
        <c:axId val="1219934895"/>
        <c:axId val="1566157040"/>
      </c:lineChart>
      <c:catAx>
        <c:axId val="1219934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1566157040"/>
        <c:crosses val="autoZero"/>
        <c:auto val="1"/>
        <c:lblAlgn val="ctr"/>
        <c:lblOffset val="100"/>
        <c:noMultiLvlLbl val="0"/>
      </c:catAx>
      <c:valAx>
        <c:axId val="156615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endParaRPr lang="en-US"/>
          </a:p>
        </c:txPr>
        <c:crossAx val="121993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Dashboard.xlsx]Top Loss Making Products!PivotTable4</c:name>
    <c:fmtId val="3"/>
  </c:pivotSource>
  <c:chart>
    <c:title>
      <c:tx>
        <c:rich>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r>
              <a:rPr lang="en-US" sz="4000">
                <a:solidFill>
                  <a:srgbClr val="02E8EE"/>
                </a:solidFill>
              </a:rPr>
              <a:t>TOP</a:t>
            </a:r>
            <a:r>
              <a:rPr lang="en-US" sz="4000" baseline="0">
                <a:solidFill>
                  <a:srgbClr val="02E8EE"/>
                </a:solidFill>
              </a:rPr>
              <a:t> LOSS MAKING PRODUCT</a:t>
            </a:r>
            <a:endParaRPr lang="en-US" sz="4000">
              <a:solidFill>
                <a:srgbClr val="02E8EE"/>
              </a:solidFill>
            </a:endParaRPr>
          </a:p>
        </c:rich>
      </c:tx>
      <c:overlay val="0"/>
      <c:spPr>
        <a:noFill/>
        <a:ln>
          <a:noFill/>
        </a:ln>
        <a:effectLst/>
      </c:spPr>
      <c:txPr>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70442334061972E-2"/>
          <c:y val="0.18281719191115095"/>
          <c:w val="0.81588412059957438"/>
          <c:h val="0.74250234205956389"/>
        </c:manualLayout>
      </c:layout>
      <c:barChart>
        <c:barDir val="bar"/>
        <c:grouping val="clustered"/>
        <c:varyColors val="0"/>
        <c:ser>
          <c:idx val="0"/>
          <c:order val="0"/>
          <c:tx>
            <c:strRef>
              <c:f>'Top Loss Making Products'!$B$3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Loss Making Products'!$A$4:$A$8</c:f>
              <c:strCache>
                <c:ptCount val="4"/>
                <c:pt idx="0">
                  <c:v>Bookshelf</c:v>
                </c:pt>
                <c:pt idx="1">
                  <c:v>Desk Lamp</c:v>
                </c:pt>
                <c:pt idx="2">
                  <c:v>Office Chair</c:v>
                </c:pt>
                <c:pt idx="3">
                  <c:v>Table</c:v>
                </c:pt>
              </c:strCache>
            </c:strRef>
          </c:cat>
          <c:val>
            <c:numRef>
              <c:f>'Top Loss Making Products'!$B$4:$B$8</c:f>
              <c:numCache>
                <c:formatCode>General</c:formatCode>
                <c:ptCount val="4"/>
                <c:pt idx="0">
                  <c:v>8209.66</c:v>
                </c:pt>
                <c:pt idx="1">
                  <c:v>2891.55</c:v>
                </c:pt>
                <c:pt idx="2">
                  <c:v>31965.440000000002</c:v>
                </c:pt>
                <c:pt idx="3">
                  <c:v>4912.9999999999991</c:v>
                </c:pt>
              </c:numCache>
            </c:numRef>
          </c:val>
          <c:extLst>
            <c:ext xmlns:c16="http://schemas.microsoft.com/office/drawing/2014/chart" uri="{C3380CC4-5D6E-409C-BE32-E72D297353CC}">
              <c16:uniqueId val="{00000000-0914-453D-8B0D-DC777562045D}"/>
            </c:ext>
          </c:extLst>
        </c:ser>
        <c:dLbls>
          <c:showLegendKey val="0"/>
          <c:showVal val="0"/>
          <c:showCatName val="0"/>
          <c:showSerName val="0"/>
          <c:showPercent val="0"/>
          <c:showBubbleSize val="0"/>
        </c:dLbls>
        <c:gapWidth val="115"/>
        <c:overlap val="-20"/>
        <c:axId val="1241414159"/>
        <c:axId val="1241413199"/>
      </c:barChart>
      <c:catAx>
        <c:axId val="124141415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lumMod val="95000"/>
                  </a:schemeClr>
                </a:solidFill>
                <a:latin typeface="+mn-lt"/>
                <a:ea typeface="+mn-ea"/>
                <a:cs typeface="+mn-cs"/>
              </a:defRPr>
            </a:pPr>
            <a:endParaRPr lang="en-US"/>
          </a:p>
        </c:txPr>
        <c:crossAx val="1241413199"/>
        <c:crosses val="autoZero"/>
        <c:auto val="1"/>
        <c:lblAlgn val="ctr"/>
        <c:lblOffset val="100"/>
        <c:noMultiLvlLbl val="0"/>
      </c:catAx>
      <c:valAx>
        <c:axId val="1241413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12414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Dashboard.xlsx]Discount % VS Profit Margin %!PivotTable2</c:name>
    <c:fmtId val="2"/>
  </c:pivotSource>
  <c:chart>
    <c:title>
      <c:tx>
        <c:rich>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r>
              <a:rPr lang="en-US" sz="4000">
                <a:solidFill>
                  <a:srgbClr val="02E8EE"/>
                </a:solidFill>
              </a:rPr>
              <a:t>DISCOUNT%</a:t>
            </a:r>
            <a:r>
              <a:rPr lang="en-US" sz="4000" baseline="0">
                <a:solidFill>
                  <a:srgbClr val="02E8EE"/>
                </a:solidFill>
              </a:rPr>
              <a:t>  VS  PROFIT MARGIN %</a:t>
            </a:r>
            <a:endParaRPr lang="en-US" sz="4000">
              <a:solidFill>
                <a:srgbClr val="02E8EE"/>
              </a:solidFill>
            </a:endParaRPr>
          </a:p>
        </c:rich>
      </c:tx>
      <c:overlay val="0"/>
      <c:spPr>
        <a:noFill/>
        <a:ln>
          <a:noFill/>
        </a:ln>
        <a:effectLst/>
      </c:spPr>
      <c:txPr>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12057914346813E-2"/>
          <c:y val="2.0946381702287215E-2"/>
          <c:w val="0.92526623369004535"/>
          <c:h val="0.9233674980498604"/>
        </c:manualLayout>
      </c:layout>
      <c:bar3DChart>
        <c:barDir val="col"/>
        <c:grouping val="clustered"/>
        <c:varyColors val="0"/>
        <c:ser>
          <c:idx val="0"/>
          <c:order val="0"/>
          <c:tx>
            <c:strRef>
              <c:f>'Discount % VS Profit Margin %'!$A$3</c:f>
              <c:strCache>
                <c:ptCount val="1"/>
                <c:pt idx="0">
                  <c:v>Sum of Discount_%</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'Discount % VS Profit Margin %'!$A$4</c:f>
              <c:strCache>
                <c:ptCount val="1"/>
                <c:pt idx="0">
                  <c:v>Total</c:v>
                </c:pt>
              </c:strCache>
            </c:strRef>
          </c:cat>
          <c:val>
            <c:numRef>
              <c:f>'Discount % VS Profit Margin %'!$A$4</c:f>
              <c:numCache>
                <c:formatCode>General</c:formatCode>
                <c:ptCount val="1"/>
                <c:pt idx="0">
                  <c:v>419.97</c:v>
                </c:pt>
              </c:numCache>
            </c:numRef>
          </c:val>
          <c:extLst>
            <c:ext xmlns:c16="http://schemas.microsoft.com/office/drawing/2014/chart" uri="{C3380CC4-5D6E-409C-BE32-E72D297353CC}">
              <c16:uniqueId val="{00000000-7080-457B-8B1D-20F602D23BA9}"/>
            </c:ext>
          </c:extLst>
        </c:ser>
        <c:ser>
          <c:idx val="1"/>
          <c:order val="1"/>
          <c:tx>
            <c:strRef>
              <c:f>'Discount % VS Profit Margin %'!$B$3</c:f>
              <c:strCache>
                <c:ptCount val="1"/>
                <c:pt idx="0">
                  <c:v>Sum of Profit Margin</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'Discount % VS Profit Margin %'!$A$4</c:f>
              <c:strCache>
                <c:ptCount val="1"/>
                <c:pt idx="0">
                  <c:v>Total</c:v>
                </c:pt>
              </c:strCache>
            </c:strRef>
          </c:cat>
          <c:val>
            <c:numRef>
              <c:f>'Discount % VS Profit Margin %'!$B$4</c:f>
              <c:numCache>
                <c:formatCode>General</c:formatCode>
                <c:ptCount val="1"/>
                <c:pt idx="0">
                  <c:v>169.91265177779184</c:v>
                </c:pt>
              </c:numCache>
            </c:numRef>
          </c:val>
          <c:extLst>
            <c:ext xmlns:c16="http://schemas.microsoft.com/office/drawing/2014/chart" uri="{C3380CC4-5D6E-409C-BE32-E72D297353CC}">
              <c16:uniqueId val="{00000001-7080-457B-8B1D-20F602D23BA9}"/>
            </c:ext>
          </c:extLst>
        </c:ser>
        <c:dLbls>
          <c:showLegendKey val="0"/>
          <c:showVal val="0"/>
          <c:showCatName val="0"/>
          <c:showSerName val="0"/>
          <c:showPercent val="0"/>
          <c:showBubbleSize val="0"/>
        </c:dLbls>
        <c:gapWidth val="150"/>
        <c:shape val="box"/>
        <c:axId val="381947664"/>
        <c:axId val="392552032"/>
        <c:axId val="0"/>
      </c:bar3DChart>
      <c:catAx>
        <c:axId val="381947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392552032"/>
        <c:crosses val="autoZero"/>
        <c:auto val="1"/>
        <c:lblAlgn val="ctr"/>
        <c:lblOffset val="100"/>
        <c:noMultiLvlLbl val="0"/>
      </c:catAx>
      <c:valAx>
        <c:axId val="39255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bg1">
                    <a:lumMod val="95000"/>
                  </a:schemeClr>
                </a:solidFill>
                <a:latin typeface="+mn-lt"/>
                <a:ea typeface="+mn-ea"/>
                <a:cs typeface="+mn-cs"/>
              </a:defRPr>
            </a:pPr>
            <a:endParaRPr lang="en-US"/>
          </a:p>
        </c:txPr>
        <c:crossAx val="38194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Dashboard.xlsx]Profit By Category!PivotTable4</c:name>
    <c:fmtId val="4"/>
  </c:pivotSource>
  <c:chart>
    <c:title>
      <c:tx>
        <c:rich>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r>
              <a:rPr lang="en-US" sz="4000">
                <a:solidFill>
                  <a:srgbClr val="02E8EE"/>
                </a:solidFill>
              </a:rPr>
              <a:t>PROFIT</a:t>
            </a:r>
            <a:r>
              <a:rPr lang="en-US" sz="4000" baseline="0">
                <a:solidFill>
                  <a:srgbClr val="02E8EE"/>
                </a:solidFill>
              </a:rPr>
              <a:t> BY CATEGORY</a:t>
            </a:r>
            <a:endParaRPr lang="en-US" sz="4000">
              <a:solidFill>
                <a:srgbClr val="02E8EE"/>
              </a:solidFill>
            </a:endParaRPr>
          </a:p>
        </c:rich>
      </c:tx>
      <c:layout>
        <c:manualLayout>
          <c:xMode val="edge"/>
          <c:yMode val="edge"/>
          <c:x val="0.32891592368802292"/>
          <c:y val="0"/>
        </c:manualLayout>
      </c:layout>
      <c:overlay val="0"/>
      <c:spPr>
        <a:noFill/>
        <a:ln>
          <a:noFill/>
        </a:ln>
        <a:effectLst/>
      </c:spPr>
      <c:txPr>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409142424661854E-2"/>
              <c:y val="6.7530398347172893E-2"/>
            </c:manualLayout>
          </c:layout>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31039465211722"/>
                  <c:h val="8.7263306955113112E-2"/>
                </c:manualLayout>
              </c15:layout>
            </c:ext>
          </c:extLst>
        </c:dLbl>
      </c:pivotFmt>
    </c:pivotFmts>
    <c:plotArea>
      <c:layout>
        <c:manualLayout>
          <c:layoutTarget val="inner"/>
          <c:xMode val="edge"/>
          <c:yMode val="edge"/>
          <c:x val="2.0812623896614302E-2"/>
          <c:y val="0.11950993578612942"/>
          <c:w val="0.9573744155029672"/>
          <c:h val="0.80513615573236463"/>
        </c:manualLayout>
      </c:layout>
      <c:barChart>
        <c:barDir val="bar"/>
        <c:grouping val="clustered"/>
        <c:varyColors val="0"/>
        <c:ser>
          <c:idx val="0"/>
          <c:order val="0"/>
          <c:tx>
            <c:strRef>
              <c:f>'Profit By Category'!$B$3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extLst>
              <c:ext xmlns:c16="http://schemas.microsoft.com/office/drawing/2014/chart" uri="{C3380CC4-5D6E-409C-BE32-E72D297353CC}">
                <c16:uniqueId val="{00000001-E1B3-42F7-9DF4-0A0EDAFFC03E}"/>
              </c:ext>
            </c:extLst>
          </c:dPt>
          <c:dLbls>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'Profit By Category'!$A$4:$A$5</c:f>
              <c:strCache>
                <c:ptCount val="1"/>
                <c:pt idx="0">
                  <c:v>Furniture</c:v>
                </c:pt>
              </c:strCache>
            </c:strRef>
          </c:cat>
          <c:val>
            <c:numRef>
              <c:f>'Profit By Category'!$B$4:$B$5</c:f>
              <c:numCache>
                <c:formatCode>General</c:formatCode>
                <c:ptCount val="1"/>
                <c:pt idx="0">
                  <c:v>47979.65</c:v>
                </c:pt>
              </c:numCache>
            </c:numRef>
          </c:val>
          <c:extLst>
            <c:ext xmlns:c16="http://schemas.microsoft.com/office/drawing/2014/chart" uri="{C3380CC4-5D6E-409C-BE32-E72D297353CC}">
              <c16:uniqueId val="{00000000-E1B3-42F7-9DF4-0A0EDAFFC03E}"/>
            </c:ext>
          </c:extLst>
        </c:ser>
        <c:dLbls>
          <c:showLegendKey val="0"/>
          <c:showVal val="0"/>
          <c:showCatName val="0"/>
          <c:showSerName val="0"/>
          <c:showPercent val="0"/>
          <c:showBubbleSize val="0"/>
        </c:dLbls>
        <c:gapWidth val="115"/>
        <c:overlap val="-20"/>
        <c:axId val="726000624"/>
        <c:axId val="726001584"/>
      </c:barChart>
      <c:catAx>
        <c:axId val="7260006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726001584"/>
        <c:crosses val="autoZero"/>
        <c:auto val="1"/>
        <c:lblAlgn val="ctr"/>
        <c:lblOffset val="100"/>
        <c:noMultiLvlLbl val="0"/>
      </c:catAx>
      <c:valAx>
        <c:axId val="72600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lumMod val="95000"/>
                  </a:schemeClr>
                </a:solidFill>
                <a:latin typeface="+mn-lt"/>
                <a:ea typeface="+mn-ea"/>
                <a:cs typeface="+mn-cs"/>
              </a:defRPr>
            </a:pPr>
            <a:endParaRPr lang="en-US"/>
          </a:p>
        </c:txPr>
        <c:crossAx val="72600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[Loss Making Product Identification Dashboard.xlsx]Sales VS Profit By Products!PivotTable5</c:name>
    <c:fmtId val="6"/>
  </c:pivotSource>
  <c:chart>
    <c:title>
      <c:tx>
        <c:rich>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r>
              <a:rPr lang="en-US" sz="4000" b="1" i="0" u="none" strike="noStrike" kern="1200" baseline="0">
                <a:solidFill>
                  <a:srgbClr val="02E8EE"/>
                </a:solidFill>
              </a:rPr>
              <a:t>SALES VS PROFIT BY PRODUCTS</a:t>
            </a:r>
          </a:p>
        </c:rich>
      </c:tx>
      <c:overlay val="0"/>
      <c:spPr>
        <a:noFill/>
        <a:ln>
          <a:noFill/>
        </a:ln>
        <a:effectLst/>
      </c:spPr>
      <c:txPr>
        <a:bodyPr rot="0" spcFirstLastPara="1" vertOverflow="ellipsis" vert="horz" wrap="square" anchor="ctr" anchorCtr="1"/>
        <a:lstStyle/>
        <a:p>
          <a:pPr>
            <a:defRPr sz="4000" b="1" i="0" u="none" strike="noStrike" kern="1200" baseline="0">
              <a:solidFill>
                <a:srgbClr val="02E8EE"/>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6840564674809E-2"/>
          <c:y val="4.1913515539588456E-2"/>
          <c:w val="0.92593160939046837"/>
          <c:h val="0.89742659104110278"/>
        </c:manualLayout>
      </c:layout>
      <c:barChart>
        <c:barDir val="col"/>
        <c:grouping val="clustered"/>
        <c:varyColors val="0"/>
        <c:ser>
          <c:idx val="0"/>
          <c:order val="0"/>
          <c:tx>
            <c:strRef>
              <c:f>'Sales VS Profit By Products'!$B$3</c:f>
              <c:strCache>
                <c:ptCount val="1"/>
                <c:pt idx="0">
                  <c:v>Sum of Sales</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 By Products'!$A$4:$A$8</c:f>
              <c:strCache>
                <c:ptCount val="4"/>
                <c:pt idx="0">
                  <c:v>Bookshelf</c:v>
                </c:pt>
                <c:pt idx="1">
                  <c:v>Desk Lamp</c:v>
                </c:pt>
                <c:pt idx="2">
                  <c:v>Office Chair</c:v>
                </c:pt>
                <c:pt idx="3">
                  <c:v>Table</c:v>
                </c:pt>
              </c:strCache>
            </c:strRef>
          </c:cat>
          <c:val>
            <c:numRef>
              <c:f>'Sales VS Profit By Products'!$B$4:$B$8</c:f>
              <c:numCache>
                <c:formatCode>General</c:formatCode>
                <c:ptCount val="4"/>
                <c:pt idx="0">
                  <c:v>161209.66</c:v>
                </c:pt>
                <c:pt idx="1">
                  <c:v>46991.549999999996</c:v>
                </c:pt>
                <c:pt idx="2">
                  <c:v>532465.43999999994</c:v>
                </c:pt>
                <c:pt idx="3">
                  <c:v>112913</c:v>
                </c:pt>
              </c:numCache>
            </c:numRef>
          </c:val>
          <c:extLst>
            <c:ext xmlns:c16="http://schemas.microsoft.com/office/drawing/2014/chart" uri="{C3380CC4-5D6E-409C-BE32-E72D297353CC}">
              <c16:uniqueId val="{00000000-C616-4EBD-A22B-DFD873728E23}"/>
            </c:ext>
          </c:extLst>
        </c:ser>
        <c:ser>
          <c:idx val="1"/>
          <c:order val="1"/>
          <c:tx>
            <c:strRef>
              <c:f>'Sales VS Profit By Products'!$C$3</c:f>
              <c:strCache>
                <c:ptCount val="1"/>
                <c:pt idx="0">
                  <c:v>Sum of Profit</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 By Products'!$A$4:$A$8</c:f>
              <c:strCache>
                <c:ptCount val="4"/>
                <c:pt idx="0">
                  <c:v>Bookshelf</c:v>
                </c:pt>
                <c:pt idx="1">
                  <c:v>Desk Lamp</c:v>
                </c:pt>
                <c:pt idx="2">
                  <c:v>Office Chair</c:v>
                </c:pt>
                <c:pt idx="3">
                  <c:v>Table</c:v>
                </c:pt>
              </c:strCache>
            </c:strRef>
          </c:cat>
          <c:val>
            <c:numRef>
              <c:f>'Sales VS Profit By Products'!$C$4:$C$8</c:f>
              <c:numCache>
                <c:formatCode>General</c:formatCode>
                <c:ptCount val="4"/>
                <c:pt idx="0">
                  <c:v>8209.66</c:v>
                </c:pt>
                <c:pt idx="1">
                  <c:v>2891.55</c:v>
                </c:pt>
                <c:pt idx="2">
                  <c:v>31965.440000000002</c:v>
                </c:pt>
                <c:pt idx="3">
                  <c:v>4912.9999999999991</c:v>
                </c:pt>
              </c:numCache>
            </c:numRef>
          </c:val>
          <c:extLst>
            <c:ext xmlns:c16="http://schemas.microsoft.com/office/drawing/2014/chart" uri="{C3380CC4-5D6E-409C-BE32-E72D297353CC}">
              <c16:uniqueId val="{00000001-C616-4EBD-A22B-DFD873728E23}"/>
            </c:ext>
          </c:extLst>
        </c:ser>
        <c:dLbls>
          <c:showLegendKey val="0"/>
          <c:showVal val="0"/>
          <c:showCatName val="0"/>
          <c:showSerName val="0"/>
          <c:showPercent val="0"/>
          <c:showBubbleSize val="0"/>
        </c:dLbls>
        <c:gapWidth val="100"/>
        <c:overlap val="-24"/>
        <c:axId val="726294992"/>
        <c:axId val="726291632"/>
      </c:barChart>
      <c:catAx>
        <c:axId val="72629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726291632"/>
        <c:crosses val="autoZero"/>
        <c:auto val="1"/>
        <c:lblAlgn val="ctr"/>
        <c:lblOffset val="100"/>
        <c:noMultiLvlLbl val="0"/>
      </c:catAx>
      <c:valAx>
        <c:axId val="72629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crossAx val="72629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219075</xdr:colOff>
      <xdr:row>2</xdr:row>
      <xdr:rowOff>142875</xdr:rowOff>
    </xdr:from>
    <xdr:to>
      <xdr:col>6</xdr:col>
      <xdr:colOff>219075</xdr:colOff>
      <xdr:row>16</xdr:row>
      <xdr:rowOff>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8E274E6-D62D-E23C-594D-E08D075260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47875"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2</xdr:row>
      <xdr:rowOff>152400</xdr:rowOff>
    </xdr:from>
    <xdr:to>
      <xdr:col>9</xdr:col>
      <xdr:colOff>295275</xdr:colOff>
      <xdr:row>16</xdr:row>
      <xdr:rowOff>9525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3DCA2AD-AD25-C4F2-EADC-69BD79B92D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52875"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447675</xdr:colOff>
      <xdr:row>2</xdr:row>
      <xdr:rowOff>142875</xdr:rowOff>
    </xdr:from>
    <xdr:to>
      <xdr:col>12</xdr:col>
      <xdr:colOff>447675</xdr:colOff>
      <xdr:row>16</xdr:row>
      <xdr:rowOff>0</xdr:rowOff>
    </xdr:to>
    <mc:AlternateContent xmlns:mc="http://schemas.openxmlformats.org/markup-compatibility/2006" xmlns:a14="http://schemas.microsoft.com/office/drawing/2010/main">
      <mc:Choice Requires="a14">
        <xdr:graphicFrame macro="">
          <xdr:nvGraphicFramePr>
            <xdr:cNvPr id="4" name="Profit Status">
              <a:extLst>
                <a:ext uri="{FF2B5EF4-FFF2-40B4-BE49-F238E27FC236}">
                  <a16:creationId xmlns:a16="http://schemas.microsoft.com/office/drawing/2014/main" id="{911D5229-1DBC-FDDA-F6A7-868D57799B84}"/>
                </a:ext>
              </a:extLst>
            </xdr:cNvPr>
            <xdr:cNvGraphicFramePr/>
          </xdr:nvGraphicFramePr>
          <xdr:xfrm>
            <a:off x="0" y="0"/>
            <a:ext cx="0" cy="0"/>
          </xdr:xfrm>
          <a:graphic>
            <a:graphicData uri="http://schemas.microsoft.com/office/drawing/2010/slicer">
              <sle:slicer xmlns:sle="http://schemas.microsoft.com/office/drawing/2010/slicer" name="Profit Status"/>
            </a:graphicData>
          </a:graphic>
        </xdr:graphicFrame>
      </mc:Choice>
      <mc:Fallback xmlns="">
        <xdr:sp macro="" textlink="">
          <xdr:nvSpPr>
            <xdr:cNvPr id="0" name=""/>
            <xdr:cNvSpPr>
              <a:spLocks noTextEdit="1"/>
            </xdr:cNvSpPr>
          </xdr:nvSpPr>
          <xdr:spPr>
            <a:xfrm>
              <a:off x="5934075"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571499</xdr:colOff>
      <xdr:row>3</xdr:row>
      <xdr:rowOff>133350</xdr:rowOff>
    </xdr:from>
    <xdr:to>
      <xdr:col>17</xdr:col>
      <xdr:colOff>314325</xdr:colOff>
      <xdr:row>20</xdr:row>
      <xdr:rowOff>114300</xdr:rowOff>
    </xdr:to>
    <xdr:graphicFrame macro="">
      <xdr:nvGraphicFramePr>
        <xdr:cNvPr id="2" name="Chart 1">
          <a:extLst>
            <a:ext uri="{FF2B5EF4-FFF2-40B4-BE49-F238E27FC236}">
              <a16:creationId xmlns:a16="http://schemas.microsoft.com/office/drawing/2014/main" id="{3FE337D6-48C0-25FB-1A87-610EEEE34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200025</xdr:colOff>
      <xdr:row>4</xdr:row>
      <xdr:rowOff>47625</xdr:rowOff>
    </xdr:from>
    <xdr:to>
      <xdr:col>11</xdr:col>
      <xdr:colOff>504825</xdr:colOff>
      <xdr:row>18</xdr:row>
      <xdr:rowOff>123825</xdr:rowOff>
    </xdr:to>
    <xdr:graphicFrame macro="">
      <xdr:nvGraphicFramePr>
        <xdr:cNvPr id="2" name="Chart 1">
          <a:extLst>
            <a:ext uri="{FF2B5EF4-FFF2-40B4-BE49-F238E27FC236}">
              <a16:creationId xmlns:a16="http://schemas.microsoft.com/office/drawing/2014/main" id="{8E858D02-9523-81A6-4850-04443525C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542924</xdr:colOff>
      <xdr:row>5</xdr:row>
      <xdr:rowOff>9525</xdr:rowOff>
    </xdr:from>
    <xdr:to>
      <xdr:col>14</xdr:col>
      <xdr:colOff>76199</xdr:colOff>
      <xdr:row>23</xdr:row>
      <xdr:rowOff>0</xdr:rowOff>
    </xdr:to>
    <xdr:graphicFrame macro="">
      <xdr:nvGraphicFramePr>
        <xdr:cNvPr id="2" name="Chart 1">
          <a:extLst>
            <a:ext uri="{FF2B5EF4-FFF2-40B4-BE49-F238E27FC236}">
              <a16:creationId xmlns:a16="http://schemas.microsoft.com/office/drawing/2014/main" id="{EF8059D5-0C9B-D8C9-AAEB-3B9A88BAD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123825</xdr:colOff>
      <xdr:row>8</xdr:row>
      <xdr:rowOff>114300</xdr:rowOff>
    </xdr:from>
    <xdr:to>
      <xdr:col>12</xdr:col>
      <xdr:colOff>428625</xdr:colOff>
      <xdr:row>23</xdr:row>
      <xdr:rowOff>0</xdr:rowOff>
    </xdr:to>
    <xdr:graphicFrame macro="">
      <xdr:nvGraphicFramePr>
        <xdr:cNvPr id="2" name="Chart 1">
          <a:extLst>
            <a:ext uri="{FF2B5EF4-FFF2-40B4-BE49-F238E27FC236}">
              <a16:creationId xmlns:a16="http://schemas.microsoft.com/office/drawing/2014/main" id="{E1E2D6C9-5C56-826B-4D34-97C2FE7A4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600074</xdr:colOff>
      <xdr:row>6</xdr:row>
      <xdr:rowOff>19050</xdr:rowOff>
    </xdr:from>
    <xdr:to>
      <xdr:col>16</xdr:col>
      <xdr:colOff>533400</xdr:colOff>
      <xdr:row>22</xdr:row>
      <xdr:rowOff>171450</xdr:rowOff>
    </xdr:to>
    <xdr:graphicFrame macro="">
      <xdr:nvGraphicFramePr>
        <xdr:cNvPr id="2" name="Chart 1">
          <a:extLst>
            <a:ext uri="{FF2B5EF4-FFF2-40B4-BE49-F238E27FC236}">
              <a16:creationId xmlns:a16="http://schemas.microsoft.com/office/drawing/2014/main" id="{272FF4EC-EB0E-761B-0948-0276E7607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390525</xdr:colOff>
      <xdr:row>8</xdr:row>
      <xdr:rowOff>114299</xdr:rowOff>
    </xdr:from>
    <xdr:to>
      <xdr:col>13</xdr:col>
      <xdr:colOff>47625</xdr:colOff>
      <xdr:row>23</xdr:row>
      <xdr:rowOff>142874</xdr:rowOff>
    </xdr:to>
    <xdr:graphicFrame macro="">
      <xdr:nvGraphicFramePr>
        <xdr:cNvPr id="3" name="Chart 2">
          <a:extLst>
            <a:ext uri="{FF2B5EF4-FFF2-40B4-BE49-F238E27FC236}">
              <a16:creationId xmlns:a16="http://schemas.microsoft.com/office/drawing/2014/main" id="{7C065542-2127-D4C2-501C-62252C418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76</xdr:col>
      <xdr:colOff>366346</xdr:colOff>
      <xdr:row>120</xdr:row>
      <xdr:rowOff>155261</xdr:rowOff>
    </xdr:to>
    <xdr:sp macro="" textlink="">
      <xdr:nvSpPr>
        <xdr:cNvPr id="3" name="Rectangle 2">
          <a:extLst>
            <a:ext uri="{FF2B5EF4-FFF2-40B4-BE49-F238E27FC236}">
              <a16:creationId xmlns:a16="http://schemas.microsoft.com/office/drawing/2014/main" id="{D07EEA0D-51B2-B828-AAA0-8C63132F1F8A}"/>
            </a:ext>
          </a:extLst>
        </xdr:cNvPr>
        <xdr:cNvSpPr/>
      </xdr:nvSpPr>
      <xdr:spPr>
        <a:xfrm>
          <a:off x="0" y="0"/>
          <a:ext cx="50189423" cy="22136030"/>
        </a:xfrm>
        <a:prstGeom prst="rect">
          <a:avLst/>
        </a:prstGeom>
        <a:gradFill flip="none" rotWithShape="1">
          <a:gsLst>
            <a:gs pos="0">
              <a:srgbClr val="000000"/>
            </a:gs>
            <a:gs pos="50000">
              <a:srgbClr val="00133A"/>
            </a:gs>
            <a:gs pos="100000">
              <a:schemeClr val="accent1">
                <a:lumMod val="5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40000"/>
                <a:lumOff val="60000"/>
              </a:schemeClr>
            </a:solidFill>
          </a:endParaRPr>
        </a:p>
      </xdr:txBody>
    </xdr:sp>
    <xdr:clientData/>
  </xdr:twoCellAnchor>
  <xdr:twoCellAnchor>
    <xdr:from>
      <xdr:col>38</xdr:col>
      <xdr:colOff>527276</xdr:colOff>
      <xdr:row>71</xdr:row>
      <xdr:rowOff>138339</xdr:rowOff>
    </xdr:from>
    <xdr:to>
      <xdr:col>59</xdr:col>
      <xdr:colOff>408214</xdr:colOff>
      <xdr:row>110</xdr:row>
      <xdr:rowOff>28347</xdr:rowOff>
    </xdr:to>
    <xdr:graphicFrame macro="">
      <xdr:nvGraphicFramePr>
        <xdr:cNvPr id="7" name="Chart 6">
          <a:extLst>
            <a:ext uri="{FF2B5EF4-FFF2-40B4-BE49-F238E27FC236}">
              <a16:creationId xmlns:a16="http://schemas.microsoft.com/office/drawing/2014/main" id="{D4354DE2-F519-4E50-965E-D2FCFEEAA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454703</xdr:colOff>
      <xdr:row>34</xdr:row>
      <xdr:rowOff>94115</xdr:rowOff>
    </xdr:from>
    <xdr:to>
      <xdr:col>41</xdr:col>
      <xdr:colOff>136071</xdr:colOff>
      <xdr:row>67</xdr:row>
      <xdr:rowOff>37830</xdr:rowOff>
    </xdr:to>
    <xdr:graphicFrame macro="">
      <xdr:nvGraphicFramePr>
        <xdr:cNvPr id="4" name="Chart 3">
          <a:extLst>
            <a:ext uri="{FF2B5EF4-FFF2-40B4-BE49-F238E27FC236}">
              <a16:creationId xmlns:a16="http://schemas.microsoft.com/office/drawing/2014/main" id="{8EC2D270-3E9F-4E40-8E53-77853CDA7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566964</xdr:colOff>
      <xdr:row>71</xdr:row>
      <xdr:rowOff>72570</xdr:rowOff>
    </xdr:from>
    <xdr:to>
      <xdr:col>18</xdr:col>
      <xdr:colOff>49892</xdr:colOff>
      <xdr:row>108</xdr:row>
      <xdr:rowOff>100473</xdr:rowOff>
    </xdr:to>
    <xdr:graphicFrame macro="">
      <xdr:nvGraphicFramePr>
        <xdr:cNvPr id="5" name="Chart 4">
          <a:extLst>
            <a:ext uri="{FF2B5EF4-FFF2-40B4-BE49-F238E27FC236}">
              <a16:creationId xmlns:a16="http://schemas.microsoft.com/office/drawing/2014/main" id="{240D8B5F-B021-45D5-A6CF-A258A4EA9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314098</xdr:colOff>
      <xdr:row>70</xdr:row>
      <xdr:rowOff>91845</xdr:rowOff>
    </xdr:from>
    <xdr:to>
      <xdr:col>37</xdr:col>
      <xdr:colOff>99786</xdr:colOff>
      <xdr:row>110</xdr:row>
      <xdr:rowOff>139470</xdr:rowOff>
    </xdr:to>
    <xdr:graphicFrame macro="">
      <xdr:nvGraphicFramePr>
        <xdr:cNvPr id="6" name="Chart 5">
          <a:extLst>
            <a:ext uri="{FF2B5EF4-FFF2-40B4-BE49-F238E27FC236}">
              <a16:creationId xmlns:a16="http://schemas.microsoft.com/office/drawing/2014/main" id="{AF008556-F0E9-4FF8-8DCF-6158A2340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449035</xdr:colOff>
      <xdr:row>31</xdr:row>
      <xdr:rowOff>92983</xdr:rowOff>
    </xdr:from>
    <xdr:to>
      <xdr:col>60</xdr:col>
      <xdr:colOff>150606</xdr:colOff>
      <xdr:row>69</xdr:row>
      <xdr:rowOff>94425</xdr:rowOff>
    </xdr:to>
    <xdr:graphicFrame macro="">
      <xdr:nvGraphicFramePr>
        <xdr:cNvPr id="8" name="Chart 7">
          <a:extLst>
            <a:ext uri="{FF2B5EF4-FFF2-40B4-BE49-F238E27FC236}">
              <a16:creationId xmlns:a16="http://schemas.microsoft.com/office/drawing/2014/main" id="{E6C1E443-FE11-49F8-A66F-A3F622385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289151</xdr:colOff>
      <xdr:row>34</xdr:row>
      <xdr:rowOff>34018</xdr:rowOff>
    </xdr:from>
    <xdr:to>
      <xdr:col>18</xdr:col>
      <xdr:colOff>545419</xdr:colOff>
      <xdr:row>67</xdr:row>
      <xdr:rowOff>131843</xdr:rowOff>
    </xdr:to>
    <xdr:graphicFrame macro="">
      <xdr:nvGraphicFramePr>
        <xdr:cNvPr id="9" name="Chart 8">
          <a:extLst>
            <a:ext uri="{FF2B5EF4-FFF2-40B4-BE49-F238E27FC236}">
              <a16:creationId xmlns:a16="http://schemas.microsoft.com/office/drawing/2014/main" id="{6ECC140C-4130-4B59-9C44-322AB5051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16328</xdr:colOff>
      <xdr:row>13</xdr:row>
      <xdr:rowOff>113843</xdr:rowOff>
    </xdr:from>
    <xdr:to>
      <xdr:col>23</xdr:col>
      <xdr:colOff>16328</xdr:colOff>
      <xdr:row>24</xdr:row>
      <xdr:rowOff>113842</xdr:rowOff>
    </xdr:to>
    <xdr:sp macro="" textlink="KPI!B4:C4">
      <xdr:nvSpPr>
        <xdr:cNvPr id="29" name="Rectangle: Rounded Corners 28">
          <a:extLst>
            <a:ext uri="{FF2B5EF4-FFF2-40B4-BE49-F238E27FC236}">
              <a16:creationId xmlns:a16="http://schemas.microsoft.com/office/drawing/2014/main" id="{2BFF7253-7C52-E550-A786-8DF1CFDC903A}"/>
            </a:ext>
          </a:extLst>
        </xdr:cNvPr>
        <xdr:cNvSpPr/>
      </xdr:nvSpPr>
      <xdr:spPr>
        <a:xfrm>
          <a:off x="11128828" y="2472414"/>
          <a:ext cx="4717143" cy="1995714"/>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b"/>
        <a:lstStyle/>
        <a:p>
          <a:pPr algn="ctr"/>
          <a:fld id="{FB8D395C-7F14-4177-86AA-EEC2B26F5378}" type="TxLink">
            <a:rPr lang="en-US" sz="4800" b="1" i="0" u="none" strike="noStrike">
              <a:solidFill>
                <a:srgbClr val="000000"/>
              </a:solidFill>
              <a:latin typeface="Aptos Display" panose="020B0004020202020204" pitchFamily="34" charset="0"/>
              <a:cs typeface="Calibri"/>
            </a:rPr>
            <a:pPr algn="ctr"/>
            <a:t>47979.65</a:t>
          </a:fld>
          <a:endParaRPr lang="en-US" sz="4800" b="1">
            <a:latin typeface="Aptos Display" panose="020B0004020202020204" pitchFamily="34" charset="0"/>
          </a:endParaRPr>
        </a:p>
      </xdr:txBody>
    </xdr:sp>
    <xdr:clientData/>
  </xdr:twoCellAnchor>
  <xdr:twoCellAnchor>
    <xdr:from>
      <xdr:col>24</xdr:col>
      <xdr:colOff>363765</xdr:colOff>
      <xdr:row>14</xdr:row>
      <xdr:rowOff>904</xdr:rowOff>
    </xdr:from>
    <xdr:to>
      <xdr:col>32</xdr:col>
      <xdr:colOff>363764</xdr:colOff>
      <xdr:row>24</xdr:row>
      <xdr:rowOff>102048</xdr:rowOff>
    </xdr:to>
    <xdr:sp macro="" textlink="KPI!C4:D4">
      <xdr:nvSpPr>
        <xdr:cNvPr id="30" name="Rectangle: Rounded Corners 29">
          <a:extLst>
            <a:ext uri="{FF2B5EF4-FFF2-40B4-BE49-F238E27FC236}">
              <a16:creationId xmlns:a16="http://schemas.microsoft.com/office/drawing/2014/main" id="{F46CEC0F-24D0-4371-989F-4D1305C8F97A}"/>
            </a:ext>
          </a:extLst>
        </xdr:cNvPr>
        <xdr:cNvSpPr/>
      </xdr:nvSpPr>
      <xdr:spPr>
        <a:xfrm>
          <a:off x="16783051" y="2540904"/>
          <a:ext cx="4717142" cy="191543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b"/>
        <a:lstStyle/>
        <a:p>
          <a:pPr algn="ctr"/>
          <a:fld id="{6140BA25-03C9-403B-A46E-A1909940F79E}" type="TxLink">
            <a:rPr lang="en-US" sz="4800" b="1" i="0" u="none" strike="noStrike">
              <a:solidFill>
                <a:srgbClr val="000000"/>
              </a:solidFill>
              <a:latin typeface="Aptos Display" panose="020B0004020202020204" pitchFamily="34" charset="0"/>
              <a:cs typeface="Calibri"/>
            </a:rPr>
            <a:pPr algn="ctr"/>
            <a:t>169.9126518</a:t>
          </a:fld>
          <a:endParaRPr lang="en-US" sz="4800" b="1">
            <a:latin typeface="Aptos Display" panose="020B0004020202020204" pitchFamily="34" charset="0"/>
          </a:endParaRPr>
        </a:p>
      </xdr:txBody>
    </xdr:sp>
    <xdr:clientData/>
  </xdr:twoCellAnchor>
  <xdr:twoCellAnchor>
    <xdr:from>
      <xdr:col>34</xdr:col>
      <xdr:colOff>53526</xdr:colOff>
      <xdr:row>14</xdr:row>
      <xdr:rowOff>12696</xdr:rowOff>
    </xdr:from>
    <xdr:to>
      <xdr:col>42</xdr:col>
      <xdr:colOff>53526</xdr:colOff>
      <xdr:row>25</xdr:row>
      <xdr:rowOff>12696</xdr:rowOff>
    </xdr:to>
    <xdr:sp macro="" textlink="KPI!D4:E4">
      <xdr:nvSpPr>
        <xdr:cNvPr id="31" name="Rectangle: Rounded Corners 30">
          <a:extLst>
            <a:ext uri="{FF2B5EF4-FFF2-40B4-BE49-F238E27FC236}">
              <a16:creationId xmlns:a16="http://schemas.microsoft.com/office/drawing/2014/main" id="{8FD31D9C-87B5-89AA-BDE0-856B7F0AB53E}"/>
            </a:ext>
          </a:extLst>
        </xdr:cNvPr>
        <xdr:cNvSpPr/>
      </xdr:nvSpPr>
      <xdr:spPr>
        <a:xfrm>
          <a:off x="22369240" y="2552696"/>
          <a:ext cx="4717143" cy="1995714"/>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b"/>
        <a:lstStyle/>
        <a:p>
          <a:pPr algn="ctr"/>
          <a:fld id="{6B8B1321-2028-4A5F-B452-F2C0EFE13679}" type="TxLink">
            <a:rPr lang="en-US" sz="4800" b="1" i="0" u="none" strike="noStrike">
              <a:solidFill>
                <a:srgbClr val="000000"/>
              </a:solidFill>
              <a:latin typeface="Aptos Display" panose="020B0004020202020204" pitchFamily="34" charset="0"/>
              <a:cs typeface="Calibri"/>
            </a:rPr>
            <a:pPr algn="ctr"/>
            <a:t>201</a:t>
          </a:fld>
          <a:endParaRPr lang="en-US" sz="4800" b="1">
            <a:latin typeface="Aptos Display" panose="020B0004020202020204" pitchFamily="34" charset="0"/>
          </a:endParaRPr>
        </a:p>
      </xdr:txBody>
    </xdr:sp>
    <xdr:clientData/>
  </xdr:twoCellAnchor>
  <xdr:twoCellAnchor>
    <xdr:from>
      <xdr:col>43</xdr:col>
      <xdr:colOff>366938</xdr:colOff>
      <xdr:row>13</xdr:row>
      <xdr:rowOff>174174</xdr:rowOff>
    </xdr:from>
    <xdr:to>
      <xdr:col>52</xdr:col>
      <xdr:colOff>340178</xdr:colOff>
      <xdr:row>24</xdr:row>
      <xdr:rowOff>174173</xdr:rowOff>
    </xdr:to>
    <xdr:sp macro="" textlink="KPI!E4:F4">
      <xdr:nvSpPr>
        <xdr:cNvPr id="32" name="Rectangle: Rounded Corners 31">
          <a:extLst>
            <a:ext uri="{FF2B5EF4-FFF2-40B4-BE49-F238E27FC236}">
              <a16:creationId xmlns:a16="http://schemas.microsoft.com/office/drawing/2014/main" id="{6F6B385F-B033-7B93-1E03-D73C295851BD}"/>
            </a:ext>
          </a:extLst>
        </xdr:cNvPr>
        <xdr:cNvSpPr/>
      </xdr:nvSpPr>
      <xdr:spPr>
        <a:xfrm>
          <a:off x="28839884" y="2827567"/>
          <a:ext cx="5484133" cy="2245177"/>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b"/>
        <a:lstStyle/>
        <a:p>
          <a:pPr algn="ctr"/>
          <a:fld id="{998F360A-EE53-4367-A51B-3FF6EF2D3249}" type="TxLink">
            <a:rPr lang="en-US" sz="4800" b="1" i="0" u="none" strike="noStrike">
              <a:solidFill>
                <a:srgbClr val="000000"/>
              </a:solidFill>
              <a:latin typeface="Aptos Display" panose="020B0004020202020204" pitchFamily="34" charset="0"/>
              <a:cs typeface="Calibri"/>
            </a:rPr>
            <a:pPr algn="ctr"/>
            <a:t>13.999</a:t>
          </a:fld>
          <a:endParaRPr lang="en-US" sz="4800" b="1">
            <a:latin typeface="Aptos Display" panose="020B0004020202020204" pitchFamily="34" charset="0"/>
          </a:endParaRPr>
        </a:p>
      </xdr:txBody>
    </xdr:sp>
    <xdr:clientData/>
  </xdr:twoCellAnchor>
  <xdr:twoCellAnchor>
    <xdr:from>
      <xdr:col>43</xdr:col>
      <xdr:colOff>488620</xdr:colOff>
      <xdr:row>15</xdr:row>
      <xdr:rowOff>5567</xdr:rowOff>
    </xdr:from>
    <xdr:to>
      <xdr:col>53</xdr:col>
      <xdr:colOff>136072</xdr:colOff>
      <xdr:row>23</xdr:row>
      <xdr:rowOff>68036</xdr:rowOff>
    </xdr:to>
    <xdr:sp macro="" textlink="">
      <xdr:nvSpPr>
        <xdr:cNvPr id="33" name="Rectangle: Rounded Corners 32">
          <a:extLst>
            <a:ext uri="{FF2B5EF4-FFF2-40B4-BE49-F238E27FC236}">
              <a16:creationId xmlns:a16="http://schemas.microsoft.com/office/drawing/2014/main" id="{CC9BB98B-5CE0-4229-10F4-C34FCE16D9E3}"/>
            </a:ext>
          </a:extLst>
        </xdr:cNvPr>
        <xdr:cNvSpPr/>
      </xdr:nvSpPr>
      <xdr:spPr>
        <a:xfrm>
          <a:off x="28499176" y="2651400"/>
          <a:ext cx="5644674" cy="1473580"/>
        </a:xfrm>
        <a:prstGeom prst="roundRect">
          <a:avLst/>
        </a:prstGeom>
        <a:no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4800" b="1">
              <a:solidFill>
                <a:srgbClr val="00133A"/>
              </a:solidFill>
              <a:latin typeface="Aptos Display" panose="020B0004020202020204" pitchFamily="34" charset="0"/>
            </a:rPr>
            <a:t>AVG OF DISCOUNT</a:t>
          </a:r>
        </a:p>
      </xdr:txBody>
    </xdr:sp>
    <xdr:clientData/>
  </xdr:twoCellAnchor>
  <xdr:twoCellAnchor>
    <xdr:from>
      <xdr:col>7</xdr:col>
      <xdr:colOff>793632</xdr:colOff>
      <xdr:row>13</xdr:row>
      <xdr:rowOff>100169</xdr:rowOff>
    </xdr:from>
    <xdr:to>
      <xdr:col>13</xdr:col>
      <xdr:colOff>226668</xdr:colOff>
      <xdr:row>24</xdr:row>
      <xdr:rowOff>100168</xdr:rowOff>
    </xdr:to>
    <xdr:sp macro="" textlink="KPI!A4:B4">
      <xdr:nvSpPr>
        <xdr:cNvPr id="34" name="Rectangle: Rounded Corners 33">
          <a:extLst>
            <a:ext uri="{FF2B5EF4-FFF2-40B4-BE49-F238E27FC236}">
              <a16:creationId xmlns:a16="http://schemas.microsoft.com/office/drawing/2014/main" id="{513C5BD4-1621-3CD4-B71E-8909136E26BC}"/>
            </a:ext>
          </a:extLst>
        </xdr:cNvPr>
        <xdr:cNvSpPr/>
      </xdr:nvSpPr>
      <xdr:spPr>
        <a:xfrm>
          <a:off x="5420061" y="2458740"/>
          <a:ext cx="4739821" cy="1995714"/>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b"/>
        <a:lstStyle/>
        <a:p>
          <a:pPr algn="ctr"/>
          <a:fld id="{57EA8C10-5BE9-4C41-849D-B1D2E0FE65B9}" type="TxLink">
            <a:rPr lang="en-US" sz="4800" b="1" i="0" u="none" strike="noStrike">
              <a:solidFill>
                <a:srgbClr val="00133A"/>
              </a:solidFill>
              <a:latin typeface="Aptos Display" panose="020B0004020202020204" pitchFamily="34" charset="0"/>
              <a:cs typeface="Calibri"/>
            </a:rPr>
            <a:pPr algn="ctr"/>
            <a:t>853579.65</a:t>
          </a:fld>
          <a:endParaRPr lang="en-US" sz="4800" b="1">
            <a:solidFill>
              <a:srgbClr val="00133A"/>
            </a:solidFill>
            <a:latin typeface="Aptos Display" panose="020B0004020202020204" pitchFamily="34" charset="0"/>
          </a:endParaRPr>
        </a:p>
      </xdr:txBody>
    </xdr:sp>
    <xdr:clientData/>
  </xdr:twoCellAnchor>
  <xdr:twoCellAnchor>
    <xdr:from>
      <xdr:col>6</xdr:col>
      <xdr:colOff>397014</xdr:colOff>
      <xdr:row>11</xdr:row>
      <xdr:rowOff>156507</xdr:rowOff>
    </xdr:from>
    <xdr:to>
      <xdr:col>14</xdr:col>
      <xdr:colOff>567103</xdr:colOff>
      <xdr:row>22</xdr:row>
      <xdr:rowOff>69696</xdr:rowOff>
    </xdr:to>
    <xdr:sp macro="" textlink="">
      <xdr:nvSpPr>
        <xdr:cNvPr id="35" name="Rectangle: Rounded Corners 34">
          <a:extLst>
            <a:ext uri="{FF2B5EF4-FFF2-40B4-BE49-F238E27FC236}">
              <a16:creationId xmlns:a16="http://schemas.microsoft.com/office/drawing/2014/main" id="{350F8102-77EC-9058-D60B-1AAA157D157D}"/>
            </a:ext>
          </a:extLst>
        </xdr:cNvPr>
        <xdr:cNvSpPr/>
      </xdr:nvSpPr>
      <xdr:spPr>
        <a:xfrm>
          <a:off x="4433800" y="2152221"/>
          <a:ext cx="6656160" cy="1908904"/>
        </a:xfrm>
        <a:prstGeom prst="roundRect">
          <a:avLst/>
        </a:prstGeom>
        <a:no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4800" b="1">
              <a:solidFill>
                <a:srgbClr val="00133A"/>
              </a:solidFill>
              <a:latin typeface="Aptos Display" panose="020B0004020202020204" pitchFamily="34" charset="0"/>
            </a:rPr>
            <a:t>TOTAL SALES</a:t>
          </a:r>
          <a:endParaRPr lang="en-US" sz="4400" b="1">
            <a:solidFill>
              <a:srgbClr val="00133A"/>
            </a:solidFill>
            <a:latin typeface="Aptos Display" panose="020B0004020202020204" pitchFamily="34" charset="0"/>
          </a:endParaRPr>
        </a:p>
      </xdr:txBody>
    </xdr:sp>
    <xdr:clientData/>
  </xdr:twoCellAnchor>
  <xdr:twoCellAnchor>
    <xdr:from>
      <xdr:col>15</xdr:col>
      <xdr:colOff>359508</xdr:colOff>
      <xdr:row>14</xdr:row>
      <xdr:rowOff>175884</xdr:rowOff>
    </xdr:from>
    <xdr:to>
      <xdr:col>23</xdr:col>
      <xdr:colOff>296418</xdr:colOff>
      <xdr:row>20</xdr:row>
      <xdr:rowOff>123773</xdr:rowOff>
    </xdr:to>
    <xdr:sp macro="" textlink="">
      <xdr:nvSpPr>
        <xdr:cNvPr id="36" name="Rectangle: Rounded Corners 35">
          <a:extLst>
            <a:ext uri="{FF2B5EF4-FFF2-40B4-BE49-F238E27FC236}">
              <a16:creationId xmlns:a16="http://schemas.microsoft.com/office/drawing/2014/main" id="{BD4FBE93-102C-C14E-8229-D1F191047DB8}"/>
            </a:ext>
          </a:extLst>
        </xdr:cNvPr>
        <xdr:cNvSpPr/>
      </xdr:nvSpPr>
      <xdr:spPr>
        <a:xfrm>
          <a:off x="11472008" y="2715884"/>
          <a:ext cx="4654053" cy="1036460"/>
        </a:xfrm>
        <a:prstGeom prst="roundRect">
          <a:avLst/>
        </a:prstGeom>
        <a:no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4800" b="1">
              <a:solidFill>
                <a:srgbClr val="00133A"/>
              </a:solidFill>
              <a:latin typeface="Aptos Display" panose="020B0004020202020204" pitchFamily="34" charset="0"/>
            </a:rPr>
            <a:t>TOTAL</a:t>
          </a:r>
          <a:r>
            <a:rPr lang="en-US" sz="4800" b="1" baseline="0">
              <a:solidFill>
                <a:srgbClr val="00133A"/>
              </a:solidFill>
              <a:latin typeface="Aptos Display" panose="020B0004020202020204" pitchFamily="34" charset="0"/>
            </a:rPr>
            <a:t> PROFIT</a:t>
          </a:r>
          <a:endParaRPr lang="en-US" sz="4800" b="1">
            <a:solidFill>
              <a:srgbClr val="00133A"/>
            </a:solidFill>
            <a:latin typeface="Aptos Display" panose="020B0004020202020204" pitchFamily="34" charset="0"/>
          </a:endParaRPr>
        </a:p>
      </xdr:txBody>
    </xdr:sp>
    <xdr:clientData/>
  </xdr:twoCellAnchor>
  <xdr:twoCellAnchor>
    <xdr:from>
      <xdr:col>24</xdr:col>
      <xdr:colOff>419279</xdr:colOff>
      <xdr:row>14</xdr:row>
      <xdr:rowOff>178610</xdr:rowOff>
    </xdr:from>
    <xdr:to>
      <xdr:col>32</xdr:col>
      <xdr:colOff>363702</xdr:colOff>
      <xdr:row>19</xdr:row>
      <xdr:rowOff>127780</xdr:rowOff>
    </xdr:to>
    <xdr:sp macro="" textlink="">
      <xdr:nvSpPr>
        <xdr:cNvPr id="37" name="Rectangle: Rounded Corners 36">
          <a:extLst>
            <a:ext uri="{FF2B5EF4-FFF2-40B4-BE49-F238E27FC236}">
              <a16:creationId xmlns:a16="http://schemas.microsoft.com/office/drawing/2014/main" id="{C5EE5B33-4749-487D-52BC-D761FC097412}"/>
            </a:ext>
          </a:extLst>
        </xdr:cNvPr>
        <xdr:cNvSpPr/>
      </xdr:nvSpPr>
      <xdr:spPr>
        <a:xfrm>
          <a:off x="16838565" y="2718610"/>
          <a:ext cx="4661566" cy="856313"/>
        </a:xfrm>
        <a:prstGeom prst="roundRect">
          <a:avLst/>
        </a:prstGeom>
        <a:no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4800" b="1">
              <a:solidFill>
                <a:srgbClr val="00133A"/>
              </a:solidFill>
              <a:latin typeface="Aptos Display" panose="020B0004020202020204" pitchFamily="34" charset="0"/>
            </a:rPr>
            <a:t>PROFIT MARGIN</a:t>
          </a:r>
        </a:p>
      </xdr:txBody>
    </xdr:sp>
    <xdr:clientData/>
  </xdr:twoCellAnchor>
  <xdr:twoCellAnchor>
    <xdr:from>
      <xdr:col>32</xdr:col>
      <xdr:colOff>548326</xdr:colOff>
      <xdr:row>13</xdr:row>
      <xdr:rowOff>45357</xdr:rowOff>
    </xdr:from>
    <xdr:to>
      <xdr:col>43</xdr:col>
      <xdr:colOff>45361</xdr:colOff>
      <xdr:row>22</xdr:row>
      <xdr:rowOff>45351</xdr:rowOff>
    </xdr:to>
    <xdr:sp macro="" textlink="">
      <xdr:nvSpPr>
        <xdr:cNvPr id="38" name="Rectangle: Rounded Corners 37">
          <a:extLst>
            <a:ext uri="{FF2B5EF4-FFF2-40B4-BE49-F238E27FC236}">
              <a16:creationId xmlns:a16="http://schemas.microsoft.com/office/drawing/2014/main" id="{23878B85-E963-F962-8059-AA639229967B}"/>
            </a:ext>
          </a:extLst>
        </xdr:cNvPr>
        <xdr:cNvSpPr/>
      </xdr:nvSpPr>
      <xdr:spPr>
        <a:xfrm>
          <a:off x="21684755" y="2403928"/>
          <a:ext cx="5983106" cy="1632852"/>
        </a:xfrm>
        <a:prstGeom prst="roundRect">
          <a:avLst/>
        </a:prstGeom>
        <a:no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4800" b="1">
              <a:solidFill>
                <a:srgbClr val="00133A"/>
              </a:solidFill>
              <a:latin typeface="Aptos Display" panose="020B0004020202020204" pitchFamily="34" charset="0"/>
            </a:rPr>
            <a:t>TOTAL QUANTITY</a:t>
          </a:r>
        </a:p>
      </xdr:txBody>
    </xdr:sp>
    <xdr:clientData/>
  </xdr:twoCellAnchor>
  <xdr:twoCellAnchor>
    <xdr:from>
      <xdr:col>11</xdr:col>
      <xdr:colOff>11485</xdr:colOff>
      <xdr:row>2</xdr:row>
      <xdr:rowOff>100795</xdr:rowOff>
    </xdr:from>
    <xdr:to>
      <xdr:col>47</xdr:col>
      <xdr:colOff>95754</xdr:colOff>
      <xdr:row>22</xdr:row>
      <xdr:rowOff>145096</xdr:rowOff>
    </xdr:to>
    <xdr:sp macro="" textlink="">
      <xdr:nvSpPr>
        <xdr:cNvPr id="41" name="Rectangle: Rounded Corners 40">
          <a:extLst>
            <a:ext uri="{FF2B5EF4-FFF2-40B4-BE49-F238E27FC236}">
              <a16:creationId xmlns:a16="http://schemas.microsoft.com/office/drawing/2014/main" id="{34D4ADC6-87C6-0424-52C7-335AEDD1CD99}"/>
            </a:ext>
          </a:extLst>
        </xdr:cNvPr>
        <xdr:cNvSpPr/>
      </xdr:nvSpPr>
      <xdr:spPr>
        <a:xfrm>
          <a:off x="8054818" y="453573"/>
          <a:ext cx="22450380" cy="3572079"/>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6000" b="1">
              <a:solidFill>
                <a:srgbClr val="02E8EE"/>
              </a:solidFill>
              <a:latin typeface="Aptos Display" panose="020B0004020202020204" pitchFamily="34" charset="0"/>
            </a:rPr>
            <a:t>LOSS</a:t>
          </a:r>
          <a:r>
            <a:rPr lang="en-US" sz="6000" b="1" baseline="0">
              <a:solidFill>
                <a:srgbClr val="02E8EE"/>
              </a:solidFill>
              <a:latin typeface="Aptos Display" panose="020B0004020202020204" pitchFamily="34" charset="0"/>
            </a:rPr>
            <a:t> MAKING </a:t>
          </a:r>
          <a:r>
            <a:rPr lang="en-US" sz="6000" b="1" i="0" baseline="0">
              <a:solidFill>
                <a:srgbClr val="02E8EE"/>
              </a:solidFill>
              <a:latin typeface="Aptos Display" panose="020B0004020202020204" pitchFamily="34" charset="0"/>
            </a:rPr>
            <a:t>PRODUCT IDENTIFICATION DASHBOARD</a:t>
          </a:r>
          <a:endParaRPr lang="en-US" sz="6000" b="1" i="0">
            <a:solidFill>
              <a:srgbClr val="02E8EE"/>
            </a:solidFill>
            <a:latin typeface="Aptos Display" panose="020B0004020202020204" pitchFamily="34" charset="0"/>
          </a:endParaRPr>
        </a:p>
      </xdr:txBody>
    </xdr:sp>
    <xdr:clientData/>
  </xdr:twoCellAnchor>
  <xdr:twoCellAnchor editAs="oneCell">
    <xdr:from>
      <xdr:col>62</xdr:col>
      <xdr:colOff>0</xdr:colOff>
      <xdr:row>15</xdr:row>
      <xdr:rowOff>36634</xdr:rowOff>
    </xdr:from>
    <xdr:to>
      <xdr:col>73</xdr:col>
      <xdr:colOff>98180</xdr:colOff>
      <xdr:row>32</xdr:row>
      <xdr:rowOff>31652</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9185EF48-2111-48B0-90DE-763349D290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0737692" y="2784230"/>
              <a:ext cx="7315200"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62</xdr:col>
      <xdr:colOff>73269</xdr:colOff>
      <xdr:row>33</xdr:row>
      <xdr:rowOff>146537</xdr:rowOff>
    </xdr:from>
    <xdr:to>
      <xdr:col>73</xdr:col>
      <xdr:colOff>109902</xdr:colOff>
      <xdr:row>50</xdr:row>
      <xdr:rowOff>73269</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40122D96-019C-42FE-A1D5-97D9AF925B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810961" y="6191249"/>
              <a:ext cx="7253653" cy="3040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62</xdr:col>
      <xdr:colOff>14653</xdr:colOff>
      <xdr:row>52</xdr:row>
      <xdr:rowOff>69955</xdr:rowOff>
    </xdr:from>
    <xdr:to>
      <xdr:col>73</xdr:col>
      <xdr:colOff>55683</xdr:colOff>
      <xdr:row>69</xdr:row>
      <xdr:rowOff>965</xdr:rowOff>
    </xdr:to>
    <mc:AlternateContent xmlns:mc="http://schemas.openxmlformats.org/markup-compatibility/2006" xmlns:a14="http://schemas.microsoft.com/office/drawing/2010/main">
      <mc:Choice Requires="a14">
        <xdr:graphicFrame macro="">
          <xdr:nvGraphicFramePr>
            <xdr:cNvPr id="44" name="Profit Status 1">
              <a:extLst>
                <a:ext uri="{FF2B5EF4-FFF2-40B4-BE49-F238E27FC236}">
                  <a16:creationId xmlns:a16="http://schemas.microsoft.com/office/drawing/2014/main" id="{E0A98FB6-B266-4BAF-AD2D-6C0A94451F01}"/>
                </a:ext>
              </a:extLst>
            </xdr:cNvPr>
            <xdr:cNvGraphicFramePr/>
          </xdr:nvGraphicFramePr>
          <xdr:xfrm>
            <a:off x="0" y="0"/>
            <a:ext cx="0" cy="0"/>
          </xdr:xfrm>
          <a:graphic>
            <a:graphicData uri="http://schemas.microsoft.com/office/drawing/2010/slicer">
              <sle:slicer xmlns:sle="http://schemas.microsoft.com/office/drawing/2010/slicer" name="Profit Status 1"/>
            </a:graphicData>
          </a:graphic>
        </xdr:graphicFrame>
      </mc:Choice>
      <mc:Fallback xmlns="">
        <xdr:sp macro="" textlink="">
          <xdr:nvSpPr>
            <xdr:cNvPr id="0" name=""/>
            <xdr:cNvSpPr>
              <a:spLocks noTextEdit="1"/>
            </xdr:cNvSpPr>
          </xdr:nvSpPr>
          <xdr:spPr>
            <a:xfrm>
              <a:off x="40752345" y="9594955"/>
              <a:ext cx="7258050" cy="3044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farjith" refreshedDate="46278.99815590278" createdVersion="8" refreshedVersion="8" minRefreshableVersion="3" recordCount="2000" xr:uid="{2FC27573-8068-47E3-9CAD-6352DACA4516}">
  <cacheSource type="worksheet">
    <worksheetSource ref="A1:Q2001" sheet="Dataset"/>
  </cacheSource>
  <cacheFields count="17">
    <cacheField name="Order_ID" numFmtId="0">
      <sharedItems/>
    </cacheField>
    <cacheField name="Order_Date" numFmtId="14">
      <sharedItems containsSemiMixedTypes="0" containsNonDate="0" containsDate="1" containsString="0" minDate="2025-01-01T00:00:00" maxDate="2026-01-01T00:00:00"/>
    </cacheField>
    <cacheField name="Product_ID" numFmtId="0">
      <sharedItems count="20">
        <s v="P004"/>
        <s v="P010"/>
        <s v="P020"/>
        <s v="P015"/>
        <s v="P017"/>
        <s v="P019"/>
        <s v="P014"/>
        <s v="P012"/>
        <s v="P008"/>
        <s v="P016"/>
        <s v="P013"/>
        <s v="P003"/>
        <s v="P007"/>
        <s v="P011"/>
        <s v="P018"/>
        <s v="P001"/>
        <s v="P005"/>
        <s v="P006"/>
        <s v="P009"/>
        <s v="P002"/>
      </sharedItems>
    </cacheField>
    <cacheField name="Product_Name" numFmtId="0">
      <sharedItems count="20">
        <s v="USB Hub"/>
        <s v="Pen Set"/>
        <s v="Printer"/>
        <s v="Table"/>
        <s v="Phone Case"/>
        <s v="Smart Watch"/>
        <s v="Blender"/>
        <s v="Water Bottle"/>
        <s v="Desk Lamp"/>
        <s v="Bookshelf"/>
        <s v="Coffee Maker"/>
        <s v="Keyboard"/>
        <s v="Office Chair"/>
        <s v="Backpack"/>
        <s v="Power Bank"/>
        <s v="Laptop Stand"/>
        <s v="Headphones"/>
        <s v="Monitor"/>
        <s v="Notebook"/>
        <s v="Wireless Mouse"/>
      </sharedItems>
    </cacheField>
    <cacheField name="Category" numFmtId="0">
      <sharedItems count="7">
        <s v="Electronics"/>
        <s v="Office Supplies"/>
        <s v="Furniture"/>
        <s v="Accessories"/>
        <s v="Appliances"/>
        <s v="Lifestyle"/>
        <s v="Bags"/>
      </sharedItems>
    </cacheField>
    <cacheField name="Region" numFmtId="0">
      <sharedItems count="4">
        <s v="North"/>
        <s v="South"/>
        <s v="West"/>
        <s v="East"/>
      </sharedItems>
    </cacheField>
    <cacheField name="Quantity" numFmtId="0">
      <sharedItems containsSemiMixedTypes="0" containsString="0" containsNumber="1" containsInteger="1" minValue="1" maxValue="10"/>
    </cacheField>
    <cacheField name="Cost_Price" numFmtId="0">
      <sharedItems containsSemiMixedTypes="0" containsString="0" containsNumber="1" containsInteger="1" minValue="45" maxValue="8500"/>
    </cacheField>
    <cacheField name="Selling_Price" numFmtId="0">
      <sharedItems containsSemiMixedTypes="0" containsString="0" containsNumber="1" minValue="63" maxValue="9520"/>
    </cacheField>
    <cacheField name="Discount_%" numFmtId="0">
      <sharedItems containsSemiMixedTypes="0" containsString="0" containsNumber="1" minValue="0" maxValue="34" count="1264">
        <n v="9.56"/>
        <n v="6.13"/>
        <n v="21.13"/>
        <n v="7.74"/>
        <n v="17.989999999999998"/>
        <n v="15.05"/>
        <n v="6.66"/>
        <n v="8.42"/>
        <n v="6.69"/>
        <n v="0"/>
        <n v="16.97"/>
        <n v="20.89"/>
        <n v="16.850000000000001"/>
        <n v="12.41"/>
        <n v="13.46"/>
        <n v="12.24"/>
        <n v="19.940000000000001"/>
        <n v="22.56"/>
        <n v="16.3"/>
        <n v="21.64"/>
        <n v="16.71"/>
        <n v="10.44"/>
        <n v="16.32"/>
        <n v="13.33"/>
        <n v="8.08"/>
        <n v="18.03"/>
        <n v="18.579999999999998"/>
        <n v="4"/>
        <n v="4.8600000000000003"/>
        <n v="19.350000000000001"/>
        <n v="8.7200000000000006"/>
        <n v="12.92"/>
        <n v="17.77"/>
        <n v="6.65"/>
        <n v="10.68"/>
        <n v="14.53"/>
        <n v="17.13"/>
        <n v="15.26"/>
        <n v="14.03"/>
        <n v="7.88"/>
        <n v="5.18"/>
        <n v="0.4"/>
        <n v="12.63"/>
        <n v="14.76"/>
        <n v="8.07"/>
        <n v="7.04"/>
        <n v="13.79"/>
        <n v="3.39"/>
        <n v="5.35"/>
        <n v="9.67"/>
        <n v="15.78"/>
        <n v="3.33"/>
        <n v="13.01"/>
        <n v="28.35"/>
        <n v="17.09"/>
        <n v="8.99"/>
        <n v="13.6"/>
        <n v="19.71"/>
        <n v="15.64"/>
        <n v="1.2"/>
        <n v="18.25"/>
        <n v="10.93"/>
        <n v="17.579999999999998"/>
        <n v="12.2"/>
        <n v="0.77"/>
        <n v="10.14"/>
        <n v="8.24"/>
        <n v="5.34"/>
        <n v="14.55"/>
        <n v="29.36"/>
        <n v="14.82"/>
        <n v="17.68"/>
        <n v="20.48"/>
        <n v="19.29"/>
        <n v="8.0500000000000007"/>
        <n v="5.25"/>
        <n v="8.77"/>
        <n v="17.28"/>
        <n v="10.28"/>
        <n v="7.54"/>
        <n v="14.02"/>
        <n v="18.600000000000001"/>
        <n v="5.71"/>
        <n v="14.42"/>
        <n v="20.079999999999998"/>
        <n v="9.86"/>
        <n v="10.02"/>
        <n v="8.4600000000000009"/>
        <n v="5.43"/>
        <n v="9.91"/>
        <n v="23.44"/>
        <n v="2.5499999999999998"/>
        <n v="6.35"/>
        <n v="15.6"/>
        <n v="11.49"/>
        <n v="18.850000000000001"/>
        <n v="20.21"/>
        <n v="4.47"/>
        <n v="13.75"/>
        <n v="20.79"/>
        <n v="23.2"/>
        <n v="19.25"/>
        <n v="21.5"/>
        <n v="14.68"/>
        <n v="7.37"/>
        <n v="2"/>
        <n v="9.31"/>
        <n v="12.44"/>
        <n v="13.23"/>
        <n v="23.77"/>
        <n v="28"/>
        <n v="11.8"/>
        <n v="2.46"/>
        <n v="9.42"/>
        <n v="2.3199999999999998"/>
        <n v="8.82"/>
        <n v="8.35"/>
        <n v="15.32"/>
        <n v="12.25"/>
        <n v="2.73"/>
        <n v="17"/>
        <n v="11.03"/>
        <n v="12.6"/>
        <n v="8.51"/>
        <n v="14.28"/>
        <n v="13.2"/>
        <n v="14.85"/>
        <n v="5.63"/>
        <n v="11.98"/>
        <n v="17.399999999999999"/>
        <n v="10.11"/>
        <n v="15.59"/>
        <n v="31.67"/>
        <n v="10.64"/>
        <n v="4.42"/>
        <n v="17.05"/>
        <n v="8.56"/>
        <n v="13.06"/>
        <n v="2.54"/>
        <n v="2.23"/>
        <n v="6"/>
        <n v="0.76"/>
        <n v="17.16"/>
        <n v="8.33"/>
        <n v="8.18"/>
        <n v="18.09"/>
        <n v="11.91"/>
        <n v="11.12"/>
        <n v="22.18"/>
        <n v="26.12"/>
        <n v="9.02"/>
        <n v="18.829999999999998"/>
        <n v="18.5"/>
        <n v="5.78"/>
        <n v="12.74"/>
        <n v="3.81"/>
        <n v="1.07"/>
        <n v="7.39"/>
        <n v="4.75"/>
        <n v="3.56"/>
        <n v="17.96"/>
        <n v="5.0199999999999996"/>
        <n v="18.82"/>
        <n v="16.739999999999998"/>
        <n v="22.01"/>
        <n v="5.5"/>
        <n v="12.19"/>
        <n v="11.79"/>
        <n v="13.95"/>
        <n v="1.02"/>
        <n v="22.84"/>
        <n v="6.47"/>
        <n v="8.25"/>
        <n v="9.07"/>
        <n v="11.07"/>
        <n v="15.25"/>
        <n v="18.309999999999999"/>
        <n v="16.09"/>
        <n v="1.83"/>
        <n v="9.33"/>
        <n v="17.73"/>
        <n v="10.32"/>
        <n v="2.4700000000000002"/>
        <n v="8.8000000000000007"/>
        <n v="4.99"/>
        <n v="18.64"/>
        <n v="28.02"/>
        <n v="14.65"/>
        <n v="4.63"/>
        <n v="10.39"/>
        <n v="21.36"/>
        <n v="6.89"/>
        <n v="19.3"/>
        <n v="14.19"/>
        <n v="20.62"/>
        <n v="22.86"/>
        <n v="29.63"/>
        <n v="6.4"/>
        <n v="11.9"/>
        <n v="18.48"/>
        <n v="22.23"/>
        <n v="14.49"/>
        <n v="4.21"/>
        <n v="5.57"/>
        <n v="7.99"/>
        <n v="20.29"/>
        <n v="17.86"/>
        <n v="11.06"/>
        <n v="25.35"/>
        <n v="9.94"/>
        <n v="15.54"/>
        <n v="6.02"/>
        <n v="10.51"/>
        <n v="8.8699999999999992"/>
        <n v="9.7899999999999991"/>
        <n v="4.49"/>
        <n v="12.55"/>
        <n v="5.58"/>
        <n v="11.19"/>
        <n v="9.14"/>
        <n v="10.97"/>
        <n v="16.420000000000002"/>
        <n v="8.6"/>
        <n v="19.989999999999998"/>
        <n v="2.39"/>
        <n v="11.76"/>
        <n v="4.32"/>
        <n v="6.57"/>
        <n v="18.670000000000002"/>
        <n v="13.74"/>
        <n v="19.5"/>
        <n v="10.61"/>
        <n v="12.27"/>
        <n v="12.97"/>
        <n v="2.37"/>
        <n v="7.06"/>
        <n v="7.33"/>
        <n v="10.5"/>
        <n v="10.86"/>
        <n v="11.57"/>
        <n v="20.85"/>
        <n v="9.81"/>
        <n v="10.74"/>
        <n v="24.19"/>
        <n v="12.17"/>
        <n v="3.5"/>
        <n v="4.97"/>
        <n v="9.41"/>
        <n v="8.2899999999999991"/>
        <n v="16.66"/>
        <n v="14.1"/>
        <n v="23.39"/>
        <n v="2.93"/>
        <n v="7.71"/>
        <n v="15.42"/>
        <n v="16.12"/>
        <n v="10"/>
        <n v="24.03"/>
        <n v="7.43"/>
        <n v="16.87"/>
        <n v="18.71"/>
        <n v="21.58"/>
        <n v="8.31"/>
        <n v="4.6500000000000004"/>
        <n v="26.76"/>
        <n v="11.25"/>
        <n v="8.7799999999999994"/>
        <n v="19.82"/>
        <n v="10.73"/>
        <n v="13.1"/>
        <n v="15"/>
        <n v="10.199999999999999"/>
        <n v="5.7"/>
        <n v="20.54"/>
        <n v="9.7200000000000006"/>
        <n v="11.88"/>
        <n v="4.5599999999999996"/>
        <n v="7.44"/>
        <n v="17.649999999999999"/>
        <n v="19.309999999999999"/>
        <n v="7.17"/>
        <n v="23.1"/>
        <n v="7.21"/>
        <n v="17.27"/>
        <n v="8.57"/>
        <n v="9.7799999999999994"/>
        <n v="14.6"/>
        <n v="5.41"/>
        <n v="20.440000000000001"/>
        <n v="21.91"/>
        <n v="23.13"/>
        <n v="13.44"/>
        <n v="11.21"/>
        <n v="12.77"/>
        <n v="15.67"/>
        <n v="17.739999999999998"/>
        <n v="6.17"/>
        <n v="13.4"/>
        <n v="16.38"/>
        <n v="0.65"/>
        <n v="5.84"/>
        <n v="4.96"/>
        <n v="9.9600000000000009"/>
        <n v="0.56999999999999995"/>
        <n v="27.73"/>
        <n v="4.29"/>
        <n v="12.75"/>
        <n v="7.67"/>
        <n v="16.36"/>
        <n v="20.13"/>
        <n v="17.100000000000001"/>
        <n v="11.29"/>
        <n v="1.27"/>
        <n v="17.34"/>
        <n v="18.29"/>
        <n v="17.920000000000002"/>
        <n v="17.25"/>
        <n v="15.91"/>
        <n v="7.35"/>
        <n v="18.52"/>
        <n v="8.5"/>
        <n v="8.9600000000000009"/>
        <n v="4.0599999999999996"/>
        <n v="9.2799999999999994"/>
        <n v="15.07"/>
        <n v="7.93"/>
        <n v="7.91"/>
        <n v="12.03"/>
        <n v="11.22"/>
        <n v="14.15"/>
        <n v="6.11"/>
        <n v="7.94"/>
        <n v="5.85"/>
        <n v="11.02"/>
        <n v="27.52"/>
        <n v="2.96"/>
        <n v="16.53"/>
        <n v="28.16"/>
        <n v="19.850000000000001"/>
        <n v="3.38"/>
        <n v="17.23"/>
        <n v="18.88"/>
        <n v="28.85"/>
        <n v="13.3"/>
        <n v="3.75"/>
        <n v="16.48"/>
        <n v="16.28"/>
        <n v="14.2"/>
        <n v="10.88"/>
        <n v="26.81"/>
        <n v="4.33"/>
        <n v="1.53"/>
        <n v="12.28"/>
        <n v="20"/>
        <n v="11.36"/>
        <n v="5.79"/>
        <n v="20.36"/>
        <n v="5.53"/>
        <n v="25.56"/>
        <n v="3.49"/>
        <n v="1.01"/>
        <n v="9.26"/>
        <n v="18.239999999999998"/>
        <n v="5.94"/>
        <n v="3.96"/>
        <n v="2.27"/>
        <n v="24.63"/>
        <n v="24.51"/>
        <n v="10.87"/>
        <n v="4.84"/>
        <n v="23.45"/>
        <n v="19.899999999999999"/>
        <n v="10.99"/>
        <n v="13.15"/>
        <n v="17.55"/>
        <n v="12.98"/>
        <n v="7.15"/>
        <n v="22.47"/>
        <n v="10.47"/>
        <n v="17.760000000000002"/>
        <n v="27.38"/>
        <n v="14.12"/>
        <n v="12.34"/>
        <n v="13.56"/>
        <n v="9.82"/>
        <n v="5.54"/>
        <n v="4.3899999999999997"/>
        <n v="10.37"/>
        <n v="16.309999999999999"/>
        <n v="10.84"/>
        <n v="3.23"/>
        <n v="5.89"/>
        <n v="17.84"/>
        <n v="12"/>
        <n v="4.67"/>
        <n v="14.14"/>
        <n v="10.59"/>
        <n v="16.239999999999998"/>
        <n v="13.12"/>
        <n v="13.87"/>
        <n v="2.52"/>
        <n v="13.49"/>
        <n v="7.89"/>
        <n v="3.15"/>
        <n v="17.02"/>
        <n v="5.31"/>
        <n v="4.5199999999999996"/>
        <n v="4.9800000000000004"/>
        <n v="19.600000000000001"/>
        <n v="8.27"/>
        <n v="4.55"/>
        <n v="10.9"/>
        <n v="9.5399999999999991"/>
        <n v="12.78"/>
        <n v="6.9"/>
        <n v="29.89"/>
        <n v="10.69"/>
        <n v="14.59"/>
        <n v="8.4499999999999993"/>
        <n v="26.02"/>
        <n v="10.55"/>
        <n v="13.07"/>
        <n v="8.23"/>
        <n v="7.77"/>
        <n v="13.63"/>
        <n v="3.83"/>
        <n v="15.2"/>
        <n v="17.32"/>
        <n v="11.08"/>
        <n v="5.47"/>
        <n v="18.38"/>
        <n v="1.05"/>
        <n v="15.52"/>
        <n v="5.62"/>
        <n v="10.01"/>
        <n v="19.03"/>
        <n v="17.329999999999998"/>
        <n v="9.24"/>
        <n v="11.33"/>
        <n v="18.84"/>
        <n v="9.4700000000000006"/>
        <n v="8.66"/>
        <n v="9.3800000000000008"/>
        <n v="16.47"/>
        <n v="11.27"/>
        <n v="4.5"/>
        <n v="21.99"/>
        <n v="18.079999999999998"/>
        <n v="13.88"/>
        <n v="6.48"/>
        <n v="17.75"/>
        <n v="3.8"/>
        <n v="8.73"/>
        <n v="3.02"/>
        <n v="15.34"/>
        <n v="16.75"/>
        <n v="0.25"/>
        <n v="15.89"/>
        <n v="11.47"/>
        <n v="9.1999999999999993"/>
        <n v="7.78"/>
        <n v="21.12"/>
        <n v="5.61"/>
        <n v="6.07"/>
        <n v="19.489999999999998"/>
        <n v="20.170000000000002"/>
        <n v="0.12"/>
        <n v="6.99"/>
        <n v="22.54"/>
        <n v="2.33"/>
        <n v="12.57"/>
        <n v="7.56"/>
        <n v="11.18"/>
        <n v="13.13"/>
        <n v="11.68"/>
        <n v="12.42"/>
        <n v="19.14"/>
        <n v="2.72"/>
        <n v="13.85"/>
        <n v="16.07"/>
        <n v="4.2300000000000004"/>
        <n v="19.12"/>
        <n v="13.28"/>
        <n v="7.32"/>
        <n v="21.66"/>
        <n v="1.31"/>
        <n v="9.52"/>
        <n v="7.03"/>
        <n v="11.75"/>
        <n v="7.62"/>
        <n v="12.09"/>
        <n v="13.45"/>
        <n v="11.63"/>
        <n v="13.32"/>
        <n v="15.99"/>
        <n v="10.98"/>
        <n v="1.1200000000000001"/>
        <n v="4.45"/>
        <n v="15.44"/>
        <n v="11.84"/>
        <n v="17.850000000000001"/>
        <n v="6.73"/>
        <n v="4.7699999999999996"/>
        <n v="23.84"/>
        <n v="19.62"/>
        <n v="10.79"/>
        <n v="19.399999999999999"/>
        <n v="15.36"/>
        <n v="23.36"/>
        <n v="6.15"/>
        <n v="15.14"/>
        <n v="22.34"/>
        <n v="4.16"/>
        <n v="6.06"/>
        <n v="13"/>
        <n v="28.42"/>
        <n v="9.57"/>
        <n v="3.53"/>
        <n v="15.79"/>
        <n v="17.170000000000002"/>
        <n v="4.12"/>
        <n v="27.49"/>
        <n v="8.16"/>
        <n v="9.4"/>
        <n v="10.29"/>
        <n v="12.48"/>
        <n v="13.35"/>
        <n v="17.239999999999998"/>
        <n v="6.61"/>
        <n v="12.37"/>
        <n v="7.38"/>
        <n v="5.07"/>
        <n v="19.809999999999999"/>
        <n v="22.4"/>
        <n v="7.34"/>
        <n v="14.43"/>
        <n v="6.12"/>
        <n v="21.74"/>
        <n v="21.47"/>
        <n v="21.61"/>
        <n v="13.8"/>
        <n v="6.08"/>
        <n v="14.57"/>
        <n v="9.49"/>
        <n v="24.72"/>
        <n v="12.45"/>
        <n v="15.06"/>
        <n v="5.72"/>
        <n v="12.04"/>
        <n v="11.83"/>
        <n v="12.82"/>
        <n v="6.55"/>
        <n v="0.32"/>
        <n v="13.58"/>
        <n v="4.37"/>
        <n v="26.65"/>
        <n v="11.1"/>
        <n v="4.95"/>
        <n v="16.86"/>
        <n v="12.47"/>
        <n v="14.23"/>
        <n v="6.83"/>
        <n v="8.36"/>
        <n v="28.34"/>
        <n v="17.010000000000002"/>
        <n v="17.88"/>
        <n v="13.82"/>
        <n v="8.17"/>
        <n v="16.809999999999999"/>
        <n v="14.44"/>
        <n v="4.03"/>
        <n v="23.06"/>
        <n v="18.510000000000002"/>
        <n v="3.44"/>
        <n v="2.0299999999999998"/>
        <n v="4.17"/>
        <n v="16.68"/>
        <n v="8.61"/>
        <n v="5.38"/>
        <n v="19.48"/>
        <n v="8.2100000000000009"/>
        <n v="8.34"/>
        <n v="15.61"/>
        <n v="14.37"/>
        <n v="20.260000000000002"/>
        <n v="11.61"/>
        <n v="19.66"/>
        <n v="23.01"/>
        <n v="20.96"/>
        <n v="14.99"/>
        <n v="9.51"/>
        <n v="9.19"/>
        <n v="20.88"/>
        <n v="20.83"/>
        <n v="9.65"/>
        <n v="9.9700000000000006"/>
        <n v="3.57"/>
        <n v="11.7"/>
        <n v="19.559999999999999"/>
        <n v="3.79"/>
        <n v="1.42"/>
        <n v="11.11"/>
        <n v="20.329999999999998"/>
        <n v="19.39"/>
        <n v="3.51"/>
        <n v="7.64"/>
        <n v="7.29"/>
        <n v="7.83"/>
        <n v="24.79"/>
        <n v="31.6"/>
        <n v="30.47"/>
        <n v="10.42"/>
        <n v="10.18"/>
        <n v="18.75"/>
        <n v="21.21"/>
        <n v="16.11"/>
        <n v="15.56"/>
        <n v="14.56"/>
        <n v="10.17"/>
        <n v="0.47"/>
        <n v="15.58"/>
        <n v="9.7100000000000009"/>
        <n v="11.23"/>
        <n v="23.59"/>
        <n v="6.53"/>
        <n v="14.7"/>
        <n v="11.05"/>
        <n v="4.1100000000000003"/>
        <n v="12.49"/>
        <n v="20.87"/>
        <n v="13.84"/>
        <n v="18.440000000000001"/>
        <n v="12.36"/>
        <n v="5.67"/>
        <n v="15.92"/>
        <n v="4.7"/>
        <n v="14.77"/>
        <n v="10.26"/>
        <n v="13.78"/>
        <n v="4.46"/>
        <n v="26.57"/>
        <n v="23.05"/>
        <n v="22.5"/>
        <n v="7.26"/>
        <n v="10.8"/>
        <n v="19.440000000000001"/>
        <n v="8.02"/>
        <n v="13.27"/>
        <n v="17.72"/>
        <n v="4.24"/>
        <n v="5.76"/>
        <n v="16.41"/>
        <n v="10.89"/>
        <n v="5.8"/>
        <n v="14.91"/>
        <n v="30"/>
        <n v="16.52"/>
        <n v="8.84"/>
        <n v="28.97"/>
        <n v="12.12"/>
        <n v="10.08"/>
        <n v="6.87"/>
        <n v="3.99"/>
        <n v="18.8"/>
        <n v="17.309999999999999"/>
        <n v="5.37"/>
        <n v="18.489999999999998"/>
        <n v="15.46"/>
        <n v="21.29"/>
        <n v="9.1"/>
        <n v="13.81"/>
        <n v="9.08"/>
        <n v="22.35"/>
        <n v="0.87"/>
        <n v="17.39"/>
        <n v="9.4600000000000009"/>
        <n v="16.89"/>
        <n v="20.010000000000002"/>
        <n v="15.85"/>
        <n v="16.04"/>
        <n v="18.27"/>
        <n v="5.9"/>
        <n v="4.72"/>
        <n v="16"/>
        <n v="16.399999999999999"/>
        <n v="8.49"/>
        <n v="9.93"/>
        <n v="22.6"/>
        <n v="18.010000000000002"/>
        <n v="28.92"/>
        <n v="11.77"/>
        <n v="0.5"/>
        <n v="13.22"/>
        <n v="17.7"/>
        <n v="13.96"/>
        <n v="6.1"/>
        <n v="15.96"/>
        <n v="6.82"/>
        <n v="9.2100000000000009"/>
        <n v="4.0999999999999996"/>
        <n v="5.68"/>
        <n v="16.7"/>
        <n v="6.2"/>
        <n v="12.05"/>
        <n v="8.5399999999999991"/>
        <n v="8.83"/>
        <n v="30.66"/>
        <n v="6.68"/>
        <n v="6.96"/>
        <n v="26.14"/>
        <n v="7.8"/>
        <n v="23.71"/>
        <n v="7.76"/>
        <n v="14.45"/>
        <n v="12.16"/>
        <n v="20.95"/>
        <n v="12.54"/>
        <n v="20.63"/>
        <n v="14.64"/>
        <n v="15.16"/>
        <n v="14.95"/>
        <n v="18.21"/>
        <n v="20.51"/>
        <n v="3.17"/>
        <n v="14.13"/>
        <n v="20.69"/>
        <n v="3.13"/>
        <n v="7.61"/>
        <n v="7.9"/>
        <n v="4.0199999999999996"/>
        <n v="9.98"/>
        <n v="21"/>
        <n v="10.78"/>
        <n v="6.56"/>
        <n v="11.15"/>
        <n v="10.1"/>
        <n v="19.579999999999998"/>
        <n v="22.7"/>
        <n v="21.86"/>
        <n v="19.260000000000002"/>
        <n v="12.23"/>
        <n v="3.73"/>
        <n v="18.41"/>
        <n v="21.07"/>
        <n v="5.46"/>
        <n v="10.76"/>
        <n v="13.94"/>
        <n v="13.21"/>
        <n v="14.05"/>
        <n v="11.32"/>
        <n v="16.37"/>
        <n v="7"/>
        <n v="12.07"/>
        <n v="14.69"/>
        <n v="8.6999999999999993"/>
        <n v="12.3"/>
        <n v="7.58"/>
        <n v="13.61"/>
        <n v="4.6100000000000003"/>
        <n v="2.5099999999999998"/>
        <n v="9.99"/>
        <n v="16.16"/>
        <n v="3.25"/>
        <n v="2.68"/>
        <n v="22.1"/>
        <n v="6.59"/>
        <n v="9.83"/>
        <n v="19.54"/>
        <n v="19.27"/>
        <n v="20.18"/>
        <n v="10.45"/>
        <n v="11.52"/>
        <n v="14.16"/>
        <n v="18.93"/>
        <n v="3.76"/>
        <n v="17.79"/>
        <n v="11.01"/>
        <n v="5.51"/>
        <n v="15.35"/>
        <n v="6.18"/>
        <n v="24.37"/>
        <n v="16.829999999999998"/>
        <n v="10.91"/>
        <n v="6.16"/>
        <n v="11.51"/>
        <n v="22.32"/>
        <n v="23.07"/>
        <n v="14.81"/>
        <n v="8.1199999999999992"/>
        <n v="7.79"/>
        <n v="10.96"/>
        <n v="10.33"/>
        <n v="6.41"/>
        <n v="11.13"/>
        <n v="19.690000000000001"/>
        <n v="17.420000000000002"/>
        <n v="16.18"/>
        <n v="20.14"/>
        <n v="10.039999999999999"/>
        <n v="33.090000000000003"/>
        <n v="1"/>
        <n v="14.51"/>
        <n v="15.7"/>
        <n v="28.11"/>
        <n v="19.75"/>
        <n v="27.67"/>
        <n v="11.41"/>
        <n v="4.6900000000000004"/>
        <n v="23.33"/>
        <n v="10.77"/>
        <n v="5.4"/>
        <n v="13.65"/>
        <n v="11.78"/>
        <n v="6.26"/>
        <n v="15.18"/>
        <n v="15.28"/>
        <n v="9.6999999999999993"/>
        <n v="5.14"/>
        <n v="8.65"/>
        <n v="3.54"/>
        <n v="17.38"/>
        <n v="12.4"/>
        <n v="22.64"/>
        <n v="25.81"/>
        <n v="10.27"/>
        <n v="23.75"/>
        <n v="17.59"/>
        <n v="15.81"/>
        <n v="9.23"/>
        <n v="24.7"/>
        <n v="12.46"/>
        <n v="4.01"/>
        <n v="24.68"/>
        <n v="6.58"/>
        <n v="0.33"/>
        <n v="10.09"/>
        <n v="17.04"/>
        <n v="19.77"/>
        <n v="3.03"/>
        <n v="16.46"/>
        <n v="12.94"/>
        <n v="9.9"/>
        <n v="10.53"/>
        <n v="10.95"/>
        <n v="14.78"/>
        <n v="15.03"/>
        <n v="21.44"/>
        <n v="14.96"/>
        <n v="23.35"/>
        <n v="6.54"/>
        <n v="4.3600000000000003"/>
        <n v="25.01"/>
        <n v="19.46"/>
        <n v="2.56"/>
        <n v="1.25"/>
        <n v="13.91"/>
        <n v="16.559999999999999"/>
        <n v="12.96"/>
        <n v="23.86"/>
        <n v="17.47"/>
        <n v="17.43"/>
        <n v="20.28"/>
        <n v="6.38"/>
        <n v="8.76"/>
        <n v="13.11"/>
        <n v="17.18"/>
        <n v="10.66"/>
        <n v="10.119999999999999"/>
        <n v="18.690000000000001"/>
        <n v="14.04"/>
        <n v="6.23"/>
        <n v="20.66"/>
        <n v="14.01"/>
        <n v="14"/>
        <n v="3.45"/>
        <n v="19.78"/>
        <n v="9.0399999999999991"/>
        <n v="20.41"/>
        <n v="16.760000000000002"/>
        <n v="25.7"/>
        <n v="5.86"/>
        <n v="12.84"/>
        <n v="14.31"/>
        <n v="5.87"/>
        <n v="7.01"/>
        <n v="21.03"/>
        <n v="1.08"/>
        <n v="17.98"/>
        <n v="23.7"/>
        <n v="2.21"/>
        <n v="7.36"/>
        <n v="7.25"/>
        <n v="0.72"/>
        <n v="9.61"/>
        <n v="1.32"/>
        <n v="15.5"/>
        <n v="5.27"/>
        <n v="12.76"/>
        <n v="2.2200000000000002"/>
        <n v="7.96"/>
        <n v="18.059999999999999"/>
        <n v="21.42"/>
        <n v="3.74"/>
        <n v="11.69"/>
        <n v="14.3"/>
        <n v="21.33"/>
        <n v="16.55"/>
        <n v="18.559999999999999"/>
        <n v="4.91"/>
        <n v="26.73"/>
        <n v="0.79"/>
        <n v="6.03"/>
        <n v="21.3"/>
        <n v="0.67"/>
        <n v="9.48"/>
        <n v="19.68"/>
        <n v="2.64"/>
        <n v="11.65"/>
        <n v="12.86"/>
        <n v="16.8"/>
        <n v="7.75"/>
        <n v="7.1"/>
        <n v="0.01"/>
        <n v="14.27"/>
        <n v="21.18"/>
        <n v="11.35"/>
        <n v="10.19"/>
        <n v="1.68"/>
        <n v="13.42"/>
        <n v="8.3800000000000008"/>
        <n v="16.84"/>
        <n v="21.98"/>
        <n v="9.15"/>
        <n v="11.3"/>
        <n v="5.95"/>
        <n v="17.62"/>
        <n v="20.68"/>
        <n v="15.04"/>
        <n v="11.28"/>
        <n v="16.059999999999999"/>
        <n v="9.75"/>
        <n v="9.64"/>
        <n v="10.83"/>
        <n v="10.34"/>
        <n v="10.81"/>
        <n v="10.029999999999999"/>
        <n v="4.59"/>
        <n v="26.84"/>
        <n v="7.53"/>
        <n v="16.27"/>
        <n v="12.65"/>
        <n v="17.079999999999998"/>
        <n v="14.66"/>
        <n v="32.54"/>
        <n v="25.63"/>
        <n v="9.6"/>
        <n v="18.91"/>
        <n v="7.09"/>
        <n v="1.99"/>
        <n v="14.06"/>
        <n v="11.26"/>
        <n v="27.8"/>
        <n v="11.42"/>
        <n v="15.24"/>
        <n v="20.92"/>
        <n v="10.54"/>
        <n v="0.52"/>
        <n v="1.35"/>
        <n v="7.41"/>
        <n v="3.11"/>
        <n v="18.78"/>
        <n v="3.27"/>
        <n v="7.7"/>
        <n v="3.22"/>
        <n v="7.98"/>
        <n v="10.3"/>
        <n v="17.440000000000001"/>
        <n v="7.85"/>
        <n v="20.84"/>
        <n v="14.41"/>
        <n v="10.71"/>
        <n v="1.04"/>
        <n v="9.09"/>
        <n v="20.53"/>
        <n v="17.829999999999998"/>
        <n v="10.7"/>
        <n v="23.52"/>
        <n v="7.19"/>
        <n v="24.09"/>
        <n v="22.28"/>
        <n v="8.44"/>
        <n v="6.67"/>
        <n v="7.13"/>
        <n v="21.17"/>
        <n v="14.97"/>
        <n v="9.11"/>
        <n v="15.72"/>
        <n v="13.18"/>
        <n v="3.95"/>
        <n v="2.2799999999999998"/>
        <n v="7.92"/>
        <n v="6.84"/>
        <n v="21.77"/>
        <n v="1.62"/>
        <n v="11.55"/>
        <n v="0.22"/>
        <n v="7.08"/>
        <n v="14.98"/>
        <n v="7.16"/>
        <n v="12.18"/>
        <n v="11.54"/>
        <n v="22.25"/>
        <n v="12.67"/>
        <n v="7.49"/>
        <n v="8.32"/>
        <n v="21.24"/>
        <n v="6.19"/>
        <n v="20.47"/>
        <n v="6.76"/>
        <n v="7.05"/>
        <n v="12.13"/>
        <n v="5.23"/>
        <n v="9.27"/>
        <n v="21.7"/>
        <n v="13.37"/>
        <n v="2.14"/>
        <n v="9.9499999999999993"/>
        <n v="15.49"/>
        <n v="2.7"/>
        <n v="9.3000000000000007"/>
        <n v="20.73"/>
        <n v="18.62"/>
        <n v="12.64"/>
        <n v="5.36"/>
        <n v="5.6"/>
        <n v="11.6"/>
        <n v="21.97"/>
        <n v="13.83"/>
        <n v="25.42"/>
        <n v="23.23"/>
        <n v="14.29"/>
        <n v="18.18"/>
        <n v="17.940000000000001"/>
        <n v="12.85"/>
        <n v="17.809999999999999"/>
        <n v="26.05"/>
        <n v="12.93"/>
        <n v="7.55"/>
        <n v="4.7300000000000004"/>
        <n v="3.09"/>
        <n v="12.56"/>
        <n v="12.66"/>
        <n v="21.6"/>
        <n v="10.35"/>
        <n v="27.5"/>
        <n v="21.76"/>
        <n v="10.210000000000001"/>
        <n v="24.44"/>
        <n v="5.45"/>
        <n v="11.74"/>
        <n v="26.62"/>
        <n v="9.01"/>
        <n v="14.88"/>
        <n v="10.65"/>
        <n v="19.23"/>
        <n v="15.68"/>
        <n v="16.14"/>
        <n v="12.53"/>
        <n v="8.98"/>
        <n v="3.82"/>
        <n v="10.94"/>
        <n v="21.26"/>
        <n v="18.87"/>
        <n v="4.05"/>
        <n v="7.24"/>
        <n v="17.22"/>
        <n v="3.16"/>
        <n v="8.64"/>
        <n v="6.97"/>
        <n v="12.72"/>
        <n v="3.35"/>
        <n v="22.42"/>
        <n v="22.93"/>
        <n v="2.99"/>
        <n v="7.52"/>
        <n v="3.92"/>
        <n v="28.18"/>
        <n v="4.58"/>
        <n v="9.2899999999999991"/>
        <n v="4.4400000000000004"/>
        <n v="14.33"/>
        <n v="28.71"/>
        <n v="23.93"/>
        <n v="0.62"/>
        <n v="15.43"/>
        <n v="6.86"/>
        <n v="9.92"/>
        <n v="11.85"/>
        <n v="11.86"/>
        <n v="15.57"/>
        <n v="13.17"/>
        <n v="4.9000000000000004"/>
        <n v="19.170000000000002"/>
        <n v="17.87"/>
        <n v="16.54"/>
        <n v="19.57"/>
        <n v="1.85"/>
        <n v="2.0099999999999998"/>
        <n v="17.14"/>
        <n v="12.68"/>
        <n v="22.63"/>
        <n v="14.71"/>
        <n v="5.75"/>
        <n v="12.95"/>
        <n v="11.16"/>
        <n v="13.5"/>
        <n v="17.36"/>
        <n v="15.23"/>
        <n v="5.56"/>
        <n v="8.06"/>
        <n v="2.75"/>
        <n v="10.63"/>
        <n v="6.37"/>
        <n v="26.74"/>
        <n v="10.72"/>
        <n v="15.47"/>
        <n v="23.51"/>
        <n v="11.93"/>
        <n v="9.1300000000000008"/>
        <n v="15.1"/>
        <n v="3.72"/>
        <n v="4.3099999999999996"/>
        <n v="8.6199999999999992"/>
        <n v="3.37"/>
        <n v="21.49"/>
        <n v="8.89"/>
        <n v="7.2"/>
        <n v="8.4700000000000006"/>
        <n v="24.94"/>
        <n v="6.45"/>
        <n v="11.46"/>
        <n v="19.07"/>
        <n v="24.66"/>
        <n v="21.56"/>
        <n v="15.37"/>
        <n v="19.649999999999999"/>
        <n v="4.43"/>
        <n v="17.48"/>
        <n v="7.23"/>
        <n v="1.56"/>
        <n v="0.94"/>
        <n v="23.56"/>
        <n v="6.46"/>
        <n v="13.69"/>
        <n v="17.059999999999999"/>
        <n v="1.86"/>
        <n v="12.08"/>
        <n v="0.66"/>
        <n v="15.15"/>
        <n v="16.61"/>
        <n v="3.04"/>
        <n v="27.43"/>
        <n v="6.05"/>
        <n v="3.9"/>
        <n v="1.48"/>
        <n v="14.24"/>
        <n v="4.8899999999999997"/>
        <n v="3.84"/>
        <n v="8.93"/>
        <n v="22.8"/>
        <n v="9.8699999999999992"/>
        <n v="21.37"/>
        <n v="7.27"/>
        <n v="7.63"/>
        <n v="11.2"/>
        <n v="6.29"/>
        <n v="9.76"/>
        <n v="18.68"/>
        <n v="16.21"/>
        <n v="8.14"/>
        <n v="9.34"/>
        <n v="16.5"/>
        <n v="21.2"/>
        <n v="20.16"/>
        <n v="27.99"/>
        <n v="8.74"/>
        <n v="17.53"/>
        <n v="15.45"/>
        <n v="16.45"/>
        <n v="6.72"/>
        <n v="21.06"/>
        <n v="3.68"/>
        <n v="15.22"/>
        <n v="21.67"/>
        <n v="7.66"/>
        <n v="8.69"/>
        <n v="12.99"/>
        <n v="23.27"/>
        <n v="6.81"/>
        <n v="13.03"/>
        <n v="8.5500000000000007"/>
        <n v="27.3"/>
        <n v="13.98"/>
        <n v="25.3"/>
        <n v="4.1500000000000004"/>
        <n v="6.88"/>
        <n v="14.94"/>
        <n v="7.57"/>
        <n v="6.49"/>
        <n v="17.21"/>
        <n v="8.75"/>
        <n v="4.41"/>
        <n v="24.27"/>
        <n v="12.38"/>
        <n v="17.78"/>
        <n v="15.63"/>
        <n v="2.0499999999999998"/>
        <n v="34"/>
        <n v="15.11"/>
        <n v="12.29"/>
        <n v="9.3699999999999992"/>
        <n v="18.11"/>
        <n v="15.77"/>
        <n v="6.94"/>
        <n v="9.5"/>
        <n v="8.1"/>
        <n v="4.34"/>
        <n v="15.3"/>
        <n v="0.46"/>
        <n v="20.3"/>
        <n v="16.88"/>
        <n v="21.16"/>
        <n v="14.83"/>
        <n v="24.14"/>
        <n v="7.48"/>
        <n v="13.76"/>
        <n v="20.27"/>
        <n v="21.82"/>
        <n v="24.85"/>
        <n v="13.99"/>
        <n v="4.8499999999999996"/>
        <n v="24.88"/>
        <n v="21.87"/>
        <n v="19.079999999999998"/>
        <n v="25.14"/>
        <n v="12.33"/>
        <n v="8.15"/>
        <n v="6.75"/>
        <n v="12.61"/>
        <n v="16.72"/>
        <n v="15.21"/>
        <n v="19.010000000000002"/>
        <n v="24.24"/>
        <n v="12.69"/>
        <n v="14.47"/>
        <n v="16.670000000000002"/>
        <n v="19.329999999999998"/>
        <n v="18.12"/>
        <n v="13.71"/>
        <n v="16.03"/>
        <n v="16.2"/>
        <n v="8.0299999999999994"/>
        <n v="12.58"/>
        <n v="18.28"/>
      </sharedItems>
    </cacheField>
    <cacheField name="Sales" numFmtId="0">
      <sharedItems containsSemiMixedTypes="0" containsString="0" containsNumber="1" minValue="50.1" maxValue="91392"/>
    </cacheField>
    <cacheField name="Profit" numFmtId="0">
      <sharedItems containsSemiMixedTypes="0" containsString="0" containsNumber="1" minValue="-19172.810000000001" maxValue="11700" count="1917">
        <n v="413.3"/>
        <n v="98.97"/>
        <n v="-1721.47"/>
        <n v="314.02999999999997"/>
        <n v="-1753.62"/>
        <n v="79.27"/>
        <n v="550.51"/>
        <n v="1306.7"/>
        <n v="701.3"/>
        <n v="1350"/>
        <n v="-53.84"/>
        <n v="-972.47"/>
        <n v="-101.82"/>
        <n v="362.73"/>
        <n v="54.73"/>
        <n v="2126.9"/>
        <n v="90"/>
        <n v="199.51"/>
        <n v="-879.72"/>
        <n v="-27.6"/>
        <n v="449.24"/>
        <n v="134.4"/>
        <n v="115.85"/>
        <n v="527.08000000000004"/>
        <n v="2094.12"/>
        <n v="342.12"/>
        <n v="303.67"/>
        <n v="-1988.46"/>
        <n v="327.39999999999998"/>
        <n v="9100"/>
        <n v="196.05"/>
        <n v="-53.21"/>
        <n v="1680.15"/>
        <n v="7800"/>
        <n v="31.19"/>
        <n v="1810.4"/>
        <n v="1917.6"/>
        <n v="1160.4100000000001"/>
        <n v="179.3"/>
        <n v="761.55"/>
        <n v="2184"/>
        <n v="1866.24"/>
        <n v="72"/>
        <n v="770.72"/>
        <n v="-87.32"/>
        <n v="207.38"/>
        <n v="1538.62"/>
        <n v="2907.9"/>
        <n v="197.62"/>
        <n v="3067.2"/>
        <n v="139.63"/>
        <n v="1732.5"/>
        <n v="347.11"/>
        <n v="91.8"/>
        <n v="126.7"/>
        <n v="239.04"/>
        <n v="1703.31"/>
        <n v="2380.23"/>
        <n v="627.42999999999995"/>
        <n v="792"/>
        <n v="256.29000000000002"/>
        <n v="650.36"/>
        <n v="1954.41"/>
        <n v="92"/>
        <n v="-2780.91"/>
        <n v="-1143.23"/>
        <n v="35.92"/>
        <n v="5202.34"/>
        <n v="15.11"/>
        <n v="-578.57000000000005"/>
        <n v="340.56"/>
        <n v="65.87"/>
        <n v="60.72"/>
        <n v="40.58"/>
        <n v="611.41"/>
        <n v="203.79"/>
        <n v="169.62"/>
        <n v="1214.76"/>
        <n v="1660.57"/>
        <n v="150.24"/>
        <n v="-441.28"/>
        <n v="94.06"/>
        <n v="188.56"/>
        <n v="-777.34"/>
        <n v="-4899.57"/>
        <n v="1198.73"/>
        <n v="1122.68"/>
        <n v="271.17"/>
        <n v="105.44"/>
        <n v="2918.4"/>
        <n v="633.70000000000005"/>
        <n v="2286.0300000000002"/>
        <n v="289.3"/>
        <n v="380.92"/>
        <n v="9286.18"/>
        <n v="345.85"/>
        <n v="61.89"/>
        <n v="915.61"/>
        <n v="23.38"/>
        <n v="171.05"/>
        <n v="557.09"/>
        <n v="29.16"/>
        <n v="35.270000000000003"/>
        <n v="-975.67"/>
        <n v="1336.09"/>
        <n v="1702.98"/>
        <n v="433.65"/>
        <n v="6220.95"/>
        <n v="197.99"/>
        <n v="18.32"/>
        <n v="19.18"/>
        <n v="1259.8599999999999"/>
        <n v="118.39"/>
        <n v="-632.67999999999995"/>
        <n v="19.89"/>
        <n v="3404.8"/>
        <n v="3578.4"/>
        <n v="35.25"/>
        <n v="504"/>
        <n v="-729.87"/>
        <n v="267.32"/>
        <n v="333.22"/>
        <n v="357.03"/>
        <n v="234.67"/>
        <n v="740.25"/>
        <n v="654.5"/>
        <n v="1186.3900000000001"/>
        <n v="-723.87"/>
        <n v="82.59"/>
        <n v="-30.2"/>
        <n v="560.41"/>
        <n v="723.49"/>
        <n v="250.67"/>
        <n v="728.44"/>
        <n v="112"/>
        <n v="861.28"/>
        <n v="54.64"/>
        <n v="85.93"/>
        <n v="6296.32"/>
        <n v="295.47000000000003"/>
        <n v="221.17"/>
        <n v="624.59"/>
        <n v="-895.87"/>
        <n v="1468.37"/>
        <n v="28.29"/>
        <n v="235.68"/>
        <n v="-3153.56"/>
        <n v="426.26"/>
        <n v="271.07"/>
        <n v="-1507.19"/>
        <n v="353.91"/>
        <n v="434.32"/>
        <n v="-457.4"/>
        <n v="-1614.46"/>
        <n v="1299.5"/>
        <n v="783.34"/>
        <n v="5113.6000000000004"/>
        <n v="30.43"/>
        <n v="21.77"/>
        <n v="50.44"/>
        <n v="2556.8000000000002"/>
        <n v="286.62"/>
        <n v="302.08"/>
        <n v="189.74"/>
        <n v="484.19"/>
        <n v="2432.14"/>
        <n v="-1228.5"/>
        <n v="473.27"/>
        <n v="89.94"/>
        <n v="174.47"/>
        <n v="806.68"/>
        <n v="998.94"/>
        <n v="2079.21"/>
        <n v="-2189.48"/>
        <n v="-3861.87"/>
        <n v="1315.36"/>
        <n v="-77.739999999999995"/>
        <n v="-702.26"/>
        <n v="123.49"/>
        <n v="373.67"/>
        <n v="385.13"/>
        <n v="447.77"/>
        <n v="1241.72"/>
        <n v="-6140.49"/>
        <n v="499.55"/>
        <n v="817.95"/>
        <n v="5917.09"/>
        <n v="326.05"/>
        <n v="106.58"/>
        <n v="6500"/>
        <n v="-707.42"/>
        <n v="1479.07"/>
        <n v="-454.81"/>
        <n v="49.76"/>
        <n v="-1290.6199999999999"/>
        <n v="198.55"/>
        <n v="250.41"/>
        <n v="104.96"/>
        <n v="-25.98"/>
        <n v="501.75"/>
        <n v="-2361.0300000000002"/>
        <n v="1673.28"/>
        <n v="354.92"/>
        <n v="990"/>
        <n v="357.98"/>
        <n v="1147.06"/>
        <n v="-100.58"/>
        <n v="0.32"/>
        <n v="-2892.62"/>
        <n v="-4005.42"/>
        <n v="58.54"/>
        <n v="845.48"/>
        <n v="-210.08"/>
        <n v="-263.73"/>
        <n v="95"/>
        <n v="167.02"/>
        <n v="4362.22"/>
        <n v="223.62"/>
        <n v="1782"/>
        <n v="-9474.19"/>
        <n v="654.53"/>
        <n v="462.37"/>
        <n v="742.46"/>
        <n v="-292.10000000000002"/>
        <n v="416.35"/>
        <n v="-2297.85"/>
        <n v="727.68"/>
        <n v="1092"/>
        <n v="1570.8"/>
        <n v="-302.69"/>
        <n v="-282.24"/>
        <n v="-2489.41"/>
        <n v="681.23"/>
        <n v="919.17"/>
        <n v="-24.64"/>
        <n v="981.49"/>
        <n v="44.89"/>
        <n v="-325.81"/>
        <n v="252.9"/>
        <n v="270"/>
        <n v="1469.82"/>
        <n v="290.61"/>
        <n v="-962.43"/>
        <n v="-4759.1000000000004"/>
        <n v="-525.15"/>
        <n v="1020.7"/>
        <n v="-5571.71"/>
        <n v="194.24"/>
        <n v="72.88"/>
        <n v="1125"/>
        <n v="130.47999999999999"/>
        <n v="620.75"/>
        <n v="23.81"/>
        <n v="576.16"/>
        <n v="86.87"/>
        <n v="156.87"/>
        <n v="578.46"/>
        <n v="143.69"/>
        <n v="531.78"/>
        <n v="1378.99"/>
        <n v="63.43"/>
        <n v="22.18"/>
        <n v="49.12"/>
        <n v="402.78"/>
        <n v="-837.52"/>
        <n v="1693.96"/>
        <n v="344.15"/>
        <n v="76.400000000000006"/>
        <n v="489.53"/>
        <n v="-5303.46"/>
        <n v="316.35000000000002"/>
        <n v="728"/>
        <n v="-128.44"/>
        <n v="232.57"/>
        <n v="497.91"/>
        <n v="-277.07"/>
        <n v="1348.27"/>
        <n v="1446.43"/>
        <n v="770"/>
        <n v="1242.74"/>
        <n v="1029.8"/>
        <n v="163.85"/>
        <n v="58.14"/>
        <n v="-641.95000000000005"/>
        <n v="1389.91"/>
        <n v="1500"/>
        <n v="293.14"/>
        <n v="-3797.87"/>
        <n v="200.18"/>
        <n v="15.79"/>
        <n v="120.93"/>
        <n v="668.7"/>
        <n v="-92.65"/>
        <n v="2312.5100000000002"/>
        <n v="2.38"/>
        <n v="393.67"/>
        <n v="-345.7"/>
        <n v="1964.09"/>
        <n v="345.93"/>
        <n v="635.41999999999996"/>
        <n v="-3133.41"/>
        <n v="196.39"/>
        <n v="613.28"/>
        <n v="56.88"/>
        <n v="314.62"/>
        <n v="-105.14"/>
        <n v="-548.20000000000005"/>
        <n v="-176.97"/>
        <n v="408.21"/>
        <n v="430.8"/>
        <n v="-1163.26"/>
        <n v="213.92"/>
        <n v="812.36"/>
        <n v="-1136.21"/>
        <n v="1300.33"/>
        <n v="910.18"/>
        <n v="5200"/>
        <n v="2437.3200000000002"/>
        <n v="65.569999999999993"/>
        <n v="14.41"/>
        <n v="-2815.93"/>
        <n v="1094.26"/>
        <n v="392.9"/>
        <n v="2179.6799999999998"/>
        <n v="89.83"/>
        <n v="41.29"/>
        <n v="-602.6"/>
        <n v="508.16"/>
        <n v="-252.16"/>
        <n v="1583.27"/>
        <n v="6236.07"/>
        <n v="9.27"/>
        <n v="613.20000000000005"/>
        <n v="2114.6"/>
        <n v="97.89"/>
        <n v="304.63"/>
        <n v="-403.6"/>
        <n v="-805"/>
        <n v="1456"/>
        <n v="-1.18"/>
        <n v="153.72"/>
        <n v="399.28"/>
        <n v="-1369.69"/>
        <n v="-3292.52"/>
        <n v="1725.14"/>
        <n v="-1646.52"/>
        <n v="1580.71"/>
        <n v="470.88"/>
        <n v="116.03"/>
        <n v="244.46"/>
        <n v="464.29"/>
        <n v="605.16"/>
        <n v="2189.34"/>
        <n v="412.13"/>
        <n v="-85.71"/>
        <n v="2556.62"/>
        <n v="-106.97"/>
        <n v="310.24"/>
        <n v="108.92"/>
        <n v="177.41"/>
        <n v="-572.57000000000005"/>
        <n v="-3308.45"/>
        <n v="-33.130000000000003"/>
        <n v="197.46"/>
        <n v="306.70999999999998"/>
        <n v="-177.2"/>
        <n v="1390.67"/>
        <n v="120.64"/>
        <n v="474.69"/>
        <n v="-51.74"/>
        <n v="260.8"/>
        <n v="1681.57"/>
        <n v="-624.98"/>
        <n v="701.45"/>
        <n v="212.09"/>
        <n v="68.73"/>
        <n v="491.92"/>
        <n v="444.97"/>
        <n v="968.33"/>
        <n v="395.62"/>
        <n v="1771.93"/>
        <n v="1066.02"/>
        <n v="251.29"/>
        <n v="577.5"/>
        <n v="-761.91"/>
        <n v="676.97"/>
        <n v="643.41"/>
        <n v="1395.98"/>
        <n v="145.66"/>
        <n v="439.01"/>
        <n v="427.75"/>
        <n v="1.99"/>
        <n v="706.14"/>
        <n v="49.72"/>
        <n v="-2999.9"/>
        <n v="-2214.69"/>
        <n v="2305.08"/>
        <n v="-1793.47"/>
        <n v="491"/>
        <n v="-173.49"/>
        <n v="249.38"/>
        <n v="11700"/>
        <n v="538.86"/>
        <n v="180.03"/>
        <n v="324"/>
        <n v="-3084.63"/>
        <n v="-127.21"/>
        <n v="340.51"/>
        <n v="-6334.47"/>
        <n v="1804.86"/>
        <n v="1620"/>
        <n v="1781.77"/>
        <n v="221.13"/>
        <n v="352.21"/>
        <n v="390.77"/>
        <n v="224.07"/>
        <n v="-2756.07"/>
        <n v="3019.74"/>
        <n v="559.48"/>
        <n v="-12719.94"/>
        <n v="1374.77"/>
        <n v="156.29"/>
        <n v="622.5"/>
        <n v="-232.03"/>
        <n v="2285.4699999999998"/>
        <n v="732.97"/>
        <n v="2788.02"/>
        <n v="-815.35"/>
        <n v="962.5"/>
        <n v="-63.37"/>
        <n v="27.69"/>
        <n v="-301.17"/>
        <n v="670.86"/>
        <n v="426.72"/>
        <n v="91.99"/>
        <n v="-2230.9499999999998"/>
        <n v="1745.32"/>
        <n v="357.62"/>
        <n v="114.09"/>
        <n v="2736"/>
        <n v="86.74"/>
        <n v="947.06"/>
        <n v="-6045.55"/>
        <n v="367.57"/>
        <n v="2398.69"/>
        <n v="-1404.61"/>
        <n v="749.23"/>
        <n v="1107.58"/>
        <n v="-670.9"/>
        <n v="-4760.2"/>
        <n v="59.02"/>
        <n v="-256.83"/>
        <n v="3733.65"/>
        <n v="179.46"/>
        <n v="1100"/>
        <n v="953.32"/>
        <n v="241.22"/>
        <n v="148.65"/>
        <n v="633.16999999999996"/>
        <n v="1198.47"/>
        <n v="662.5"/>
        <n v="285.58"/>
        <n v="114.57"/>
        <n v="1299.9000000000001"/>
        <n v="567"/>
        <n v="48.69"/>
        <n v="238.35"/>
        <n v="-415.84"/>
        <n v="1420.74"/>
        <n v="100.85"/>
        <n v="1750.9"/>
        <n v="-4736.6400000000003"/>
        <n v="215.65"/>
        <n v="48.83"/>
        <n v="341.32"/>
        <n v="-3146.93"/>
        <n v="420"/>
        <n v="669.63"/>
        <n v="323.43"/>
        <n v="9771.1"/>
        <n v="165.32"/>
        <n v="1290.2"/>
        <n v="45.46"/>
        <n v="152.44"/>
        <n v="799.89"/>
        <n v="-900.7"/>
        <n v="-1764.4"/>
        <n v="2858.95"/>
        <n v="259.76"/>
        <n v="1037.1199999999999"/>
        <n v="633.64"/>
        <n v="692.06"/>
        <n v="64.099999999999994"/>
        <n v="282.56"/>
        <n v="-478.01"/>
        <n v="609.44000000000005"/>
        <n v="17.2"/>
        <n v="399.45"/>
        <n v="-12105.24"/>
        <n v="15.9"/>
        <n v="-853.76"/>
        <n v="956.3"/>
        <n v="974.96"/>
        <n v="456.36"/>
        <n v="207.97"/>
        <n v="-735.02"/>
        <n v="-184.3"/>
        <n v="66.13"/>
        <n v="497.19"/>
        <n v="336.16"/>
        <n v="981.73"/>
        <n v="906.88"/>
        <n v="707.61"/>
        <n v="174.03"/>
        <n v="88.44"/>
        <n v="580.05999999999995"/>
        <n v="-98.06"/>
        <n v="42.5"/>
        <n v="1276.3900000000001"/>
        <n v="549.62"/>
        <n v="-16.3"/>
        <n v="217.78"/>
        <n v="-835.35"/>
        <n v="279.99"/>
        <n v="507.73"/>
        <n v="560.65"/>
        <n v="51.21"/>
        <n v="136.43"/>
        <n v="311.70999999999998"/>
        <n v="1056"/>
        <n v="38.29"/>
        <n v="2520"/>
        <n v="204.48"/>
        <n v="165.13"/>
        <n v="-6455.09"/>
        <n v="524.33000000000004"/>
        <n v="-95.93"/>
        <n v="819.51"/>
        <n v="2700"/>
        <n v="1173.21"/>
        <n v="317.17"/>
        <n v="-5572.74"/>
        <n v="2255.9"/>
        <n v="843.75"/>
        <n v="180"/>
        <n v="685.32"/>
        <n v="652.99"/>
        <n v="357.26"/>
        <n v="2112.36"/>
        <n v="105"/>
        <n v="48.84"/>
        <n v="66.709999999999994"/>
        <n v="147.94"/>
        <n v="778.81"/>
        <n v="208.38"/>
        <n v="108.71"/>
        <n v="599.52"/>
        <n v="-11.67"/>
        <n v="-665.46"/>
        <n v="53.88"/>
        <n v="7942.51"/>
        <n v="-498.05"/>
        <n v="715.13"/>
        <n v="1212.6600000000001"/>
        <n v="804.18"/>
        <n v="249.72"/>
        <n v="-5400.04"/>
        <n v="1343.15"/>
        <n v="1229.28"/>
        <n v="781.14"/>
        <n v="192.5"/>
        <n v="-1353.94"/>
        <n v="689.77"/>
        <n v="801.96"/>
        <n v="417.23"/>
        <n v="589.85"/>
        <n v="1484.48"/>
        <n v="21.91"/>
        <n v="166.13"/>
        <n v="108"/>
        <n v="717.53"/>
        <n v="382.99"/>
        <n v="46.07"/>
        <n v="81.44"/>
        <n v="405.06"/>
        <n v="286.99"/>
        <n v="158.16999999999999"/>
        <n v="5.95"/>
        <n v="41.2"/>
        <n v="301.37"/>
        <n v="208.11"/>
        <n v="-539.32000000000005"/>
        <n v="1.84"/>
        <n v="203.98"/>
        <n v="912.73"/>
        <n v="99.83"/>
        <n v="1288.28"/>
        <n v="402.01"/>
        <n v="444.74"/>
        <n v="173.93"/>
        <n v="115.79"/>
        <n v="2091.2600000000002"/>
        <n v="725.29"/>
        <n v="229.9"/>
        <n v="-344.26"/>
        <n v="409.75"/>
        <n v="1004.79"/>
        <n v="988.76"/>
        <n v="141.83000000000001"/>
        <n v="248.45"/>
        <n v="1668.81"/>
        <n v="463.15"/>
        <n v="46.64"/>
        <n v="1499.13"/>
        <n v="-1927.17"/>
        <n v="26.48"/>
        <n v="-22.33"/>
        <n v="128.9"/>
        <n v="163.66"/>
        <n v="1300"/>
        <n v="431.97"/>
        <n v="-1640.26"/>
        <n v="792.16"/>
        <n v="324.92"/>
        <n v="-53.68"/>
        <n v="323.27"/>
        <n v="1367.39"/>
        <n v="719.49"/>
        <n v="275.02999999999997"/>
        <n v="0.76"/>
        <n v="122.93"/>
        <n v="633.99"/>
        <n v="-474.33"/>
        <n v="69.06"/>
        <n v="279.35000000000002"/>
        <n v="317.86"/>
        <n v="-251.96"/>
        <n v="-26.64"/>
        <n v="1215.3699999999999"/>
        <n v="43.17"/>
        <n v="1798.1"/>
        <n v="1138.01"/>
        <n v="237.16"/>
        <n v="-335.83"/>
        <n v="373.64"/>
        <n v="-184.87"/>
        <n v="278.70999999999998"/>
        <n v="315"/>
        <n v="174.71"/>
        <n v="164.65"/>
        <n v="573.48"/>
        <n v="-5362.74"/>
        <n v="-2063.1"/>
        <n v="3020.56"/>
        <n v="3168.8"/>
        <n v="96.25"/>
        <n v="-964.22"/>
        <n v="42.37"/>
        <n v="451.55"/>
        <n v="-21.87"/>
        <n v="88.72"/>
        <n v="736.92"/>
        <n v="38.71"/>
        <n v="756"/>
        <n v="-141.34"/>
        <n v="21.85"/>
        <n v="490.67"/>
        <n v="145.12"/>
        <n v="930.64"/>
        <n v="351.61"/>
        <n v="113.46"/>
        <n v="53.07"/>
        <n v="4372.55"/>
        <n v="500.42"/>
        <n v="1163.42"/>
        <n v="428.04"/>
        <n v="333.39"/>
        <n v="681.06"/>
        <n v="-5.3"/>
        <n v="420.45"/>
        <n v="1268.47"/>
        <n v="273.55"/>
        <n v="764.57"/>
        <n v="1533.6"/>
        <n v="-238.91"/>
        <n v="344.29"/>
        <n v="-1339.47"/>
        <n v="739.12"/>
        <n v="260.89"/>
        <n v="-4065.96"/>
        <n v="1651.46"/>
        <n v="213.17"/>
        <n v="43.34"/>
        <n v="-111.55"/>
        <n v="102.72"/>
        <n v="840"/>
        <n v="590.37"/>
        <n v="132.01"/>
        <n v="-281.92"/>
        <n v="4474.3999999999996"/>
        <n v="1456.62"/>
        <n v="-1326.24"/>
        <n v="726.66"/>
        <n v="317.45"/>
        <n v="-1303.57"/>
        <n v="630"/>
        <n v="919.85"/>
        <n v="95.76"/>
        <n v="1531.45"/>
        <n v="-3257.46"/>
        <n v="640.17999999999995"/>
        <n v="23.5"/>
        <n v="776.27"/>
        <n v="509.81"/>
        <n v="1031.51"/>
        <n v="26.99"/>
        <n v="1281.1099999999999"/>
        <n v="82.76"/>
        <n v="944.76"/>
        <n v="538.66"/>
        <n v="396"/>
        <n v="402.18"/>
        <n v="150.18"/>
        <n v="-950.23"/>
        <n v="401.73"/>
        <n v="69.05"/>
        <n v="-21.26"/>
        <n v="3406.98"/>
        <n v="-1341.53"/>
        <n v="-654.57000000000005"/>
        <n v="-2405.66"/>
        <n v="-1648.78"/>
        <n v="301.77999999999997"/>
        <n v="1167.3499999999999"/>
        <n v="-1376.28"/>
        <n v="217.75"/>
        <n v="311.7"/>
        <n v="1097.1400000000001"/>
        <n v="-712.94"/>
        <n v="1087.45"/>
        <n v="293.10000000000002"/>
        <n v="411.36"/>
        <n v="912.77"/>
        <n v="362.49"/>
        <n v="-935.9"/>
        <n v="3596.73"/>
        <n v="328.74"/>
        <n v="66.760000000000005"/>
        <n v="-650.97"/>
        <n v="173.53"/>
        <n v="171.07"/>
        <n v="313.87"/>
        <n v="-1283.8499999999999"/>
        <n v="1999.21"/>
        <n v="1696.57"/>
        <n v="-2387.0500000000002"/>
        <n v="-732.23"/>
        <n v="623.29999999999995"/>
        <n v="444.31"/>
        <n v="452.85"/>
        <n v="289.24"/>
        <n v="801.52"/>
        <n v="1245.48"/>
        <n v="-247.18"/>
        <n v="-8483.2800000000007"/>
        <n v="-969.65"/>
        <n v="888.47"/>
        <n v="1401.7"/>
        <n v="232.61"/>
        <n v="881.21"/>
        <n v="-1936.36"/>
        <n v="-90.58"/>
        <n v="153.94999999999999"/>
        <n v="-3659.99"/>
        <n v="498.64"/>
        <n v="1726.12"/>
        <n v="35.86"/>
        <n v="647.20000000000005"/>
        <n v="493.71"/>
        <n v="-445.01"/>
        <n v="-5112.83"/>
        <n v="1355.41"/>
        <n v="191.03"/>
        <n v="328.35"/>
        <n v="883.52"/>
        <n v="108.17"/>
        <n v="-967.06"/>
        <n v="-1018.43"/>
        <n v="147.36000000000001"/>
        <n v="-2427.5"/>
        <n v="207.77"/>
        <n v="-34.11"/>
        <n v="635.67999999999995"/>
        <n v="99.24"/>
        <n v="-1952.26"/>
        <n v="448.34"/>
        <n v="81.36"/>
        <n v="291.64999999999998"/>
        <n v="120.11"/>
        <n v="3788.73"/>
        <n v="1618.89"/>
        <n v="-4997.8100000000004"/>
        <n v="742.5"/>
        <n v="-1470.99"/>
        <n v="97.09"/>
        <n v="1305.81"/>
        <n v="111.95"/>
        <n v="-51.46"/>
        <n v="43.5"/>
        <n v="2508.5100000000002"/>
        <n v="734.52"/>
        <n v="1431.46"/>
        <n v="1884.8"/>
        <n v="-773.23"/>
        <n v="186.98"/>
        <n v="122.74"/>
        <n v="378.49"/>
        <n v="-1752"/>
        <n v="342.87"/>
        <n v="265.49"/>
        <n v="673"/>
        <n v="-7286.06"/>
        <n v="448.83"/>
        <n v="608.41"/>
        <n v="174.22"/>
        <n v="355.06"/>
        <n v="53.3"/>
        <n v="-27.96"/>
        <n v="1530.51"/>
        <n v="134.9"/>
        <n v="1035.74"/>
        <n v="90.33"/>
        <n v="167.16"/>
        <n v="981.51"/>
        <n v="278.51"/>
        <n v="193.35"/>
        <n v="187.69"/>
        <n v="246.26"/>
        <n v="2191.65"/>
        <n v="-150.74"/>
        <n v="244.9"/>
        <n v="417.47"/>
        <n v="199.5"/>
        <n v="238.61"/>
        <n v="-63.86"/>
        <n v="-974.01"/>
        <n v="3884.25"/>
        <n v="507.08"/>
        <n v="60.7"/>
        <n v="175.3"/>
        <n v="562.05999999999995"/>
        <n v="750"/>
        <n v="1065.44"/>
        <n v="1876.57"/>
        <n v="73.709999999999994"/>
        <n v="122.13"/>
        <n v="70.97"/>
        <n v="524.21"/>
        <n v="299.2"/>
        <n v="-11312.91"/>
        <n v="198.78"/>
        <n v="89.01"/>
        <n v="-7107.74"/>
        <n v="205.05"/>
        <n v="154.38999999999999"/>
        <n v="-1709.21"/>
        <n v="617.78"/>
        <n v="120.14"/>
        <n v="327"/>
        <n v="1037.6099999999999"/>
        <n v="73.37"/>
        <n v="91.18"/>
        <n v="560.61"/>
        <n v="2548"/>
        <n v="997.98"/>
        <n v="17.489999999999998"/>
        <n v="1040.29"/>
        <n v="769.75"/>
        <n v="304.33"/>
        <n v="-2.93"/>
        <n v="86.33"/>
        <n v="29.42"/>
        <n v="-5.43"/>
        <n v="28.18"/>
        <n v="605.79"/>
        <n v="1345.6"/>
        <n v="22.02"/>
        <n v="76.95"/>
        <n v="129.54"/>
        <n v="1790.02"/>
        <n v="-3464.93"/>
        <n v="6392"/>
        <n v="144.03"/>
        <n v="1329.9"/>
        <n v="873.19"/>
        <n v="1508.36"/>
        <n v="94.59"/>
        <n v="-5154.54"/>
        <n v="100.97"/>
        <n v="451.92"/>
        <n v="-439.05"/>
        <n v="1504.23"/>
        <n v="-2842.81"/>
        <n v="203.24"/>
        <n v="-848.02"/>
        <n v="368.37"/>
        <n v="-135"/>
        <n v="863.15"/>
        <n v="-348.91"/>
        <n v="155.43"/>
        <n v="925.81"/>
        <n v="-1208.51"/>
        <n v="917.47"/>
        <n v="-413.64"/>
        <n v="-254.06"/>
        <n v="465.83"/>
        <n v="892.4"/>
        <n v="10994.99"/>
        <n v="-3601"/>
        <n v="765.33"/>
        <n v="1101.7"/>
        <n v="1628.78"/>
        <n v="1073.44"/>
        <n v="339.13"/>
        <n v="690.49"/>
        <n v="1560.94"/>
        <n v="1397.15"/>
        <n v="-166.25"/>
        <n v="810"/>
        <n v="279.68"/>
        <n v="507.28"/>
        <n v="84.67"/>
        <n v="911.07"/>
        <n v="2329.3000000000002"/>
        <n v="694.88"/>
        <n v="839.63"/>
        <n v="-958.43"/>
        <n v="595.63"/>
        <n v="455.45"/>
        <n v="-223.41"/>
        <n v="35.46"/>
        <n v="88.98"/>
        <n v="-1430.82"/>
        <n v="392.01"/>
        <n v="748.07"/>
        <n v="-1544.14"/>
        <n v="-696.24"/>
        <n v="721.4"/>
        <n v="2269.9699999999998"/>
        <n v="36.880000000000003"/>
        <n v="1479.73"/>
        <n v="577.08000000000004"/>
        <n v="326.64999999999998"/>
        <n v="9.15"/>
        <n v="1438.89"/>
        <n v="243.29"/>
        <n v="185.86"/>
        <n v="696.3"/>
        <n v="101.02"/>
        <n v="47.79"/>
        <n v="797.82"/>
        <n v="125.7"/>
        <n v="564.14"/>
        <n v="-671.53"/>
        <n v="1820.69"/>
        <n v="-646.1"/>
        <n v="1944.08"/>
        <n v="341.44"/>
        <n v="153.08000000000001"/>
        <n v="-70.8"/>
        <n v="562.87"/>
        <n v="319.77"/>
        <n v="1381.08"/>
        <n v="102.79"/>
        <n v="1127.96"/>
        <n v="971.07"/>
        <n v="-2987.32"/>
        <n v="735"/>
        <n v="204.71"/>
        <n v="-728.09"/>
        <n v="31.44"/>
        <n v="1820"/>
        <n v="-1999.16"/>
        <n v="-314.63"/>
        <n v="131.62"/>
        <n v="-966.38"/>
        <n v="118.61"/>
        <n v="18.23"/>
        <n v="1193.19"/>
        <n v="226.64"/>
        <n v="92.18"/>
        <n v="238.42"/>
        <n v="116.16"/>
        <n v="719.26"/>
        <n v="252"/>
        <n v="723.23"/>
        <n v="2641.81"/>
        <n v="18.53"/>
        <n v="-1746.98"/>
        <n v="186.71"/>
        <n v="141.16999999999999"/>
        <n v="596.98"/>
        <n v="-91.69"/>
        <n v="1125.71"/>
        <n v="145.15"/>
        <n v="27.08"/>
        <n v="83.13"/>
        <n v="82.71"/>
        <n v="773.57"/>
        <n v="2770"/>
        <n v="532.72"/>
        <n v="264.36"/>
        <n v="-184.53"/>
        <n v="799.54"/>
        <n v="75.8"/>
        <n v="459.09"/>
        <n v="419.37"/>
        <n v="1566.74"/>
        <n v="-4273.97"/>
        <n v="96.96"/>
        <n v="512.74"/>
        <n v="-2600.92"/>
        <n v="1113.81"/>
        <n v="-128.79"/>
        <n v="690.8"/>
        <n v="-19172.810000000001"/>
        <n v="649.17999999999995"/>
        <n v="1014.46"/>
        <n v="729.09"/>
        <n v="2770.14"/>
        <n v="88.59"/>
        <n v="-66.650000000000006"/>
        <n v="-2719.55"/>
        <n v="17.34"/>
        <n v="105.89"/>
        <n v="-3566.09"/>
        <n v="49.89"/>
        <n v="183.35"/>
        <n v="-1625.53"/>
        <n v="1063.0999999999999"/>
        <n v="1314.89"/>
        <n v="-3096.46"/>
        <n v="133.72"/>
        <n v="2044.8"/>
        <n v="-131.19999999999999"/>
        <n v="731.77"/>
        <n v="4464.03"/>
        <n v="-5018.38"/>
        <n v="2186.14"/>
        <n v="-72.260000000000005"/>
        <n v="2438.48"/>
        <n v="164.46"/>
        <n v="576.87"/>
        <n v="236.15"/>
        <n v="1057.8599999999999"/>
        <n v="236.03"/>
        <n v="-1041.75"/>
        <n v="1612.32"/>
        <n v="2411.1799999999998"/>
        <n v="2285.59"/>
        <n v="125.29"/>
        <n v="642.21"/>
        <n v="-2951.02"/>
        <n v="435.88"/>
        <n v="126.68"/>
        <n v="655.88"/>
        <n v="112.74"/>
        <n v="-1568.62"/>
        <n v="-223.99"/>
        <n v="190.23"/>
        <n v="-7443.23"/>
        <n v="-272.41000000000003"/>
        <n v="-2402.9299999999998"/>
        <n v="540.97"/>
        <n v="470.72"/>
        <n v="58.78"/>
        <n v="6656.75"/>
        <n v="407.66"/>
        <n v="33.08"/>
        <n v="-852.71"/>
        <n v="88.75"/>
        <n v="750.93"/>
        <n v="-405.59"/>
        <n v="176.21"/>
        <n v="88.96"/>
        <n v="352.83"/>
        <n v="107.97"/>
        <n v="-5346.22"/>
        <n v="793.67"/>
        <n v="68.989999999999995"/>
        <n v="252.54"/>
        <n v="356.99"/>
        <n v="-59.68"/>
        <n v="2160"/>
        <n v="155.21"/>
        <n v="2942.36"/>
        <n v="63.11"/>
        <n v="363.64"/>
        <n v="60.66"/>
        <n v="589.03"/>
        <n v="282.27999999999997"/>
        <n v="501.83"/>
        <n v="1093.72"/>
        <n v="192"/>
        <n v="101.01"/>
        <n v="306.77999999999997"/>
        <n v="-9.75"/>
        <n v="3887.62"/>
        <n v="338.42"/>
        <n v="182.23"/>
        <n v="-4328.87"/>
        <n v="-641.07000000000005"/>
        <n v="350.63"/>
        <n v="653.6"/>
        <n v="732.85"/>
        <n v="127.56"/>
        <n v="178.73"/>
        <n v="198.72"/>
        <n v="-574.65"/>
        <n v="67.180000000000007"/>
        <n v="1048.33"/>
        <n v="58.06"/>
        <n v="472.6"/>
        <n v="348.2"/>
        <n v="-276.32"/>
        <n v="-5393.65"/>
        <n v="528.23"/>
        <n v="-521.70000000000005"/>
        <n v="893.05"/>
        <n v="2627.55"/>
        <n v="286.06"/>
        <n v="403.75"/>
        <n v="35.409999999999997"/>
        <n v="1319.85"/>
        <n v="504.15"/>
        <n v="431.7"/>
        <n v="706.5"/>
        <n v="205.32"/>
        <n v="584.1"/>
        <n v="437.68"/>
        <n v="72.02"/>
        <n v="56.22"/>
        <n v="1209.6199999999999"/>
        <n v="900.37"/>
        <n v="171.75"/>
        <n v="5752.8"/>
        <n v="-3242.27"/>
        <n v="64.260000000000005"/>
        <n v="2482.58"/>
        <n v="271.06"/>
        <n v="365.16"/>
        <n v="460.23"/>
        <n v="127.3"/>
        <n v="177.59"/>
        <n v="-1211.27"/>
        <n v="-28.91"/>
        <n v="167.64"/>
        <n v="458.83"/>
        <n v="-7133.71"/>
        <n v="494.89"/>
        <n v="443.98"/>
        <n v="81.260000000000005"/>
        <n v="146.75"/>
        <n v="41.84"/>
        <n v="282.18"/>
        <n v="2488.17"/>
        <n v="336.25"/>
        <n v="-1255.6600000000001"/>
        <n v="369.04"/>
        <n v="412.88"/>
        <n v="7492.73"/>
        <n v="936.32"/>
        <n v="-179.4"/>
        <n v="461.05"/>
        <n v="2580.61"/>
        <n v="2014.91"/>
        <n v="1851.44"/>
        <n v="202.69"/>
        <n v="306.20999999999998"/>
        <n v="74.569999999999993"/>
        <n v="254.52"/>
        <n v="296.62"/>
        <n v="4449.25"/>
        <n v="479.95"/>
        <n v="328.33"/>
        <n v="1556.29"/>
        <n v="1161.75"/>
        <n v="90.13"/>
        <n v="1768.11"/>
        <n v="87.51"/>
        <n v="77.03"/>
        <n v="-501.85"/>
        <n v="6626.19"/>
        <n v="-99.04"/>
        <n v="628.84"/>
        <n v="769.04"/>
        <n v="412.28"/>
        <n v="229.6"/>
        <n v="68.33"/>
        <n v="992.17"/>
        <n v="116.11"/>
        <n v="39.659999999999997"/>
        <n v="-33.700000000000003"/>
        <n v="952.06"/>
        <n v="-3732.87"/>
        <n v="170.24"/>
        <n v="-3278.96"/>
        <n v="503.27"/>
        <n v="272.83"/>
        <n v="2113.0700000000002"/>
        <n v="147.69999999999999"/>
        <n v="797.24"/>
        <n v="-6047.38"/>
        <n v="1688.02"/>
        <n v="490.5"/>
        <n v="234.34"/>
        <n v="929.92"/>
        <n v="636.13"/>
        <n v="20.55"/>
        <n v="31.28"/>
        <n v="51.45"/>
        <n v="89.67"/>
        <n v="462.99"/>
        <n v="51.91"/>
        <n v="304.60000000000002"/>
        <n v="1058.72"/>
        <n v="17.989999999999998"/>
        <n v="278.63"/>
        <n v="114.88"/>
        <n v="283.26"/>
        <n v="-2700.27"/>
        <n v="232.75"/>
        <n v="4215.7"/>
        <n v="-470.8"/>
        <n v="-1384.78"/>
        <n v="1260.03"/>
        <n v="-75.319999999999993"/>
        <n v="298.5"/>
        <n v="-18.72"/>
        <n v="-427.21"/>
        <n v="148.82"/>
        <n v="654.35"/>
        <n v="164.38"/>
        <n v="87.28"/>
        <n v="15.08"/>
        <n v="-4561.07"/>
        <n v="193.46"/>
        <n v="83.98"/>
        <n v="346.18"/>
        <n v="152"/>
        <n v="1914"/>
        <n v="24.46"/>
        <n v="137.47999999999999"/>
        <n v="-136.97999999999999"/>
        <n v="1200.78"/>
        <n v="766.58"/>
        <n v="491.66"/>
        <n v="346.32"/>
        <n v="435.15"/>
        <n v="172.83"/>
        <n v="1373.28"/>
        <n v="633.13"/>
        <n v="-111.18"/>
        <n v="2310.75"/>
        <n v="172.99"/>
        <n v="345.46"/>
        <n v="1943.98"/>
        <n v="1347.5"/>
        <n v="912"/>
        <n v="15.88"/>
        <n v="449.63"/>
        <n v="1255.77"/>
        <n v="194.92"/>
        <n v="5825.56"/>
        <n v="8.7100000000000009"/>
        <n v="781.26"/>
        <n v="185.7"/>
        <n v="96.81"/>
        <n v="-4.6500000000000004"/>
        <n v="-5711.33"/>
        <n v="45.63"/>
        <n v="137.44999999999999"/>
        <n v="559.67999999999995"/>
        <n v="378"/>
        <n v="-4570.66"/>
        <n v="-1984.21"/>
        <n v="2172.39"/>
        <n v="242.76"/>
        <n v="43.13"/>
        <n v="-310.63"/>
        <n v="355.47"/>
        <n v="748.06"/>
        <n v="95.94"/>
        <n v="-70.66"/>
        <n v="-518.82000000000005"/>
        <n v="95.28"/>
        <n v="653.48"/>
        <n v="276.35000000000002"/>
        <n v="-139.46"/>
        <n v="-8922.01"/>
        <n v="48.75"/>
        <n v="735.73"/>
        <n v="96.83"/>
        <n v="462.69"/>
        <n v="-306.02"/>
        <n v="166.74"/>
        <n v="1028.23"/>
        <n v="191.26"/>
        <n v="329.06"/>
        <n v="1459.63"/>
        <n v="194.46"/>
        <n v="1103.3900000000001"/>
        <n v="2311.2199999999998"/>
        <n v="132.08000000000001"/>
        <n v="-65.38"/>
        <n v="908.69"/>
        <n v="563.64"/>
        <n v="1296.81"/>
        <n v="587.98"/>
        <n v="-112.86"/>
        <n v="156.18"/>
        <n v="1590.19"/>
        <n v="136.35"/>
        <n v="34.31"/>
        <n v="168.39"/>
        <n v="-339.02"/>
        <n v="-1331.26"/>
        <n v="676.96"/>
        <n v="86.58"/>
        <n v="742.75"/>
        <n v="-157.47"/>
        <n v="803.97"/>
        <n v="907.04"/>
        <n v="428.88"/>
        <n v="185.2"/>
        <n v="-444.75"/>
        <n v="-233.94"/>
        <n v="89.51"/>
        <n v="194.3"/>
        <n v="91.87"/>
        <n v="-8.02"/>
        <n v="1252.3399999999999"/>
        <n v="-1613.13"/>
        <n v="57.7"/>
        <n v="718.44"/>
        <n v="11.88"/>
        <n v="131.07"/>
        <n v="1466.13"/>
        <n v="344.95"/>
        <n v="-853.46"/>
        <n v="-840.36"/>
        <n v="275.89999999999998"/>
        <n v="305.74"/>
        <n v="148.87"/>
        <n v="1486.72"/>
        <n v="270.05"/>
        <n v="266.99"/>
        <n v="100.05"/>
        <n v="97.84"/>
        <n v="1286.42"/>
        <n v="32.799999999999997"/>
        <n v="850.2"/>
        <n v="-1175.77"/>
        <n v="1538.97"/>
        <n v="973.31"/>
        <n v="297.31"/>
        <n v="761.45"/>
        <n v="717.12"/>
        <n v="1890"/>
        <n v="1624.06"/>
        <n v="58.21"/>
        <n v="142.99"/>
        <n v="-1739.49"/>
        <n v="291.07"/>
        <n v="401.68"/>
        <n v="-421.42"/>
        <n v="1731.6"/>
        <n v="-33.409999999999997"/>
        <n v="127.49"/>
        <n v="119.08"/>
        <n v="-363.44"/>
        <n v="393.71"/>
        <n v="798.19"/>
        <n v="-3028.58"/>
        <n v="75.44"/>
        <n v="550.94000000000005"/>
        <n v="158.1"/>
        <n v="68.14"/>
        <n v="1237.71"/>
        <n v="785.1"/>
        <n v="722.44"/>
        <n v="5.0999999999999996"/>
        <n v="1824"/>
        <n v="1084.02"/>
        <n v="-3129.48"/>
        <n v="159.74"/>
        <n v="111.29"/>
        <n v="202.77"/>
        <n v="164.81"/>
        <n v="626.30999999999995"/>
        <n v="61.44"/>
        <n v="266.38"/>
        <n v="157"/>
        <n v="905.8"/>
        <n v="76.63"/>
        <n v="118.87"/>
        <n v="-3132.89"/>
        <n v="1412.79"/>
        <n v="107.9"/>
        <n v="82.13"/>
        <n v="619.94000000000005"/>
        <n v="169.3"/>
        <n v="282.35000000000002"/>
        <n v="468.82"/>
        <n v="-1547.34"/>
        <n v="165.2"/>
        <n v="266.31"/>
        <n v="135.55000000000001"/>
        <n v="2606.0300000000002"/>
        <n v="-383.66"/>
        <n v="301.91000000000003"/>
        <n v="87.95"/>
        <n v="196.12"/>
        <n v="564.64"/>
        <n v="-348.62"/>
        <n v="120.03"/>
        <n v="293.93"/>
        <n v="-13996.47"/>
        <n v="-2635.75"/>
        <n v="1189.21"/>
        <n v="330"/>
        <n v="-2.61"/>
        <n v="148.59"/>
        <n v="1169.26"/>
        <n v="409.01"/>
        <n v="-1015.08"/>
        <n v="-411.4"/>
        <n v="23.12"/>
        <n v="30.18"/>
        <n v="1089.92"/>
        <n v="1101.45"/>
        <n v="184.95"/>
        <n v="21.43"/>
        <n v="487.61"/>
        <n v="-208.9"/>
        <n v="-451.19"/>
        <n v="567.24"/>
        <n v="-3327.57"/>
        <n v="800.45"/>
        <n v="1591.88"/>
        <n v="26.78"/>
        <n v="1282.9100000000001"/>
        <n v="-1143.02"/>
        <n v="210"/>
        <n v="34.71"/>
        <n v="-2613.29"/>
        <n v="-1523.73"/>
        <n v="-147.47999999999999"/>
        <n v="307.07"/>
        <n v="-392.39"/>
        <n v="21.8"/>
        <n v="540"/>
        <n v="8.1"/>
        <n v="1155"/>
        <n v="-1338.98"/>
        <n v="399.12"/>
        <n v="102.2"/>
        <n v="955.09"/>
        <n v="70.540000000000006"/>
        <n v="264.67"/>
        <n v="335.77"/>
        <n v="414.89"/>
        <n v="3375"/>
        <n v="550.48"/>
        <n v="2430"/>
        <n v="149.22"/>
        <n v="385"/>
        <n v="214.11"/>
        <n v="1071.3699999999999"/>
        <n v="128.80000000000001"/>
        <n v="94.72"/>
        <n v="335.84"/>
        <n v="82.23"/>
        <n v="1065.5999999999999"/>
        <n v="349.57"/>
        <n v="1872.04"/>
        <n v="1470.31"/>
        <n v="604.26"/>
        <n v="81.05"/>
        <n v="43.26"/>
        <n v="85.97"/>
        <n v="63.6"/>
        <n v="44.27"/>
        <n v="-2649.44"/>
        <n v="1017.85"/>
        <n v="-945.9"/>
        <n v="121.1"/>
        <n v="340.29"/>
        <n v="-1079.82"/>
        <n v="1989.52"/>
        <n v="230.22"/>
        <n v="233.8"/>
        <n v="586.30999999999995"/>
        <n v="5915.78"/>
        <n v="1951"/>
        <n v="-1523.02"/>
        <n v="-4770.42"/>
        <n v="949.9"/>
        <n v="334.43"/>
        <n v="897.84"/>
        <n v="54"/>
        <n v="68.290000000000006"/>
        <n v="36.130000000000003"/>
        <n v="268.39"/>
        <n v="1980"/>
        <n v="610.29"/>
        <n v="7435.82"/>
        <n v="1175.23"/>
        <n v="-217.99"/>
        <n v="-134.78"/>
        <n v="867.92"/>
        <n v="24.48"/>
        <n v="1584.91"/>
        <n v="1757.99"/>
        <n v="-282.39999999999998"/>
        <n v="3046.26"/>
        <n v="404.16"/>
        <n v="376.78"/>
        <n v="5680.75"/>
        <n v="596.97"/>
        <n v="-37.159999999999997"/>
        <n v="1163.68"/>
        <n v="448"/>
        <n v="823.19"/>
        <n v="-6227.98"/>
        <n v="-71.180000000000007"/>
        <n v="509.84"/>
        <n v="90.52"/>
        <n v="302.35000000000002"/>
        <n v="1730.07"/>
        <n v="1069.9000000000001"/>
        <n v="529.89"/>
        <n v="362.31"/>
        <n v="25.12"/>
        <n v="-1585.71"/>
        <n v="27.8"/>
        <n v="2671.23"/>
        <n v="50.32"/>
        <n v="92.51"/>
        <n v="267.17"/>
        <n v="1922.9"/>
        <n v="39.909999999999997"/>
        <n v="-582.42999999999995"/>
        <n v="-2127.7800000000002"/>
        <n v="396.7"/>
        <n v="407.48"/>
        <n v="688.74"/>
        <n v="704.33"/>
        <n v="1637.72"/>
        <n v="1359.04"/>
        <n v="206.08"/>
        <n v="1931.49"/>
        <n v="171.97"/>
        <n v="-331.73"/>
        <n v="555.73"/>
        <n v="156.76"/>
        <n v="281.70999999999998"/>
        <n v="2181.08"/>
        <n v="965.37"/>
        <n v="1089.8599999999999"/>
        <n v="395.16"/>
        <n v="464.27"/>
        <n v="58.85"/>
        <n v="-805.93"/>
        <n v="89.57"/>
        <n v="-214.7"/>
        <n v="500.69"/>
        <n v="549.28"/>
        <n v="1288.55"/>
        <n v="407.21"/>
        <n v="2027.37"/>
        <n v="601.91"/>
        <n v="1134.3800000000001"/>
        <n v="857.42"/>
        <n v="478.08"/>
        <n v="1584"/>
        <n v="-3715.24"/>
        <n v="1540"/>
        <n v="477.86"/>
        <n v="107.01"/>
        <n v="-174.81"/>
        <n v="441.55"/>
        <n v="568.15"/>
        <n v="1039.58"/>
        <n v="251.81"/>
        <n v="228.27"/>
        <n v="3600.12"/>
        <n v="1813.54"/>
        <n v="2936.09"/>
        <n v="1229.53"/>
        <n v="881.48"/>
        <n v="134.59"/>
        <n v="118.33"/>
        <n v="-53.06"/>
        <n v="197.44"/>
        <n v="1954.69"/>
        <n v="-478.07"/>
        <n v="295.55"/>
        <n v="97.1"/>
        <n v="266.83999999999997"/>
        <n v="144"/>
        <n v="-9.49"/>
        <n v="-5.01"/>
        <n v="207.87"/>
        <n v="370.63"/>
        <n v="229.45"/>
        <n v="380.11"/>
        <n v="2428.2399999999998"/>
        <n v="133.76"/>
        <n v="803.73"/>
        <n v="125.23"/>
        <n v="962.86"/>
        <n v="801.24"/>
        <n v="420.61"/>
        <n v="-608.84"/>
        <n v="1050"/>
        <n v="95.27"/>
        <n v="10400"/>
        <n v="30.71"/>
        <n v="1496.19"/>
        <n v="-140.88"/>
        <n v="69.459999999999994"/>
        <n v="1690.42"/>
        <n v="1323.84"/>
        <n v="2778.94"/>
        <n v="642.96"/>
        <n v="-421.63"/>
        <n v="525"/>
        <n v="-1307.78"/>
        <n v="1534.15"/>
        <n v="96.33"/>
        <n v="852.99"/>
        <n v="18.22"/>
        <n v="-5106.4799999999996"/>
        <n v="-2674.14"/>
        <n v="-457.53"/>
        <n v="1738.5"/>
        <n v="-1347.73"/>
        <n v="-67.27"/>
        <n v="-142.12"/>
        <n v="-115.26"/>
        <n v="1194.7"/>
        <n v="889.9"/>
        <n v="-6160.1"/>
        <n v="243.44"/>
        <n v="392.83"/>
        <n v="102.56"/>
        <n v="2038.61"/>
        <n v="2122.69"/>
        <n v="3591.24"/>
        <n v="522.80999999999995"/>
        <n v="116.74"/>
        <n v="1697.04"/>
        <n v="602.89"/>
        <n v="1228.6600000000001"/>
        <n v="2390.4"/>
        <n v="-3357.85"/>
        <n v="185.52"/>
        <n v="-324.35000000000002"/>
        <n v="253.75"/>
        <n v="58.55"/>
        <n v="-1736.02"/>
        <n v="-248.72"/>
        <n v="473.02"/>
        <n v="109.8"/>
        <n v="-808.9"/>
        <n v="2368.3200000000002"/>
        <n v="336.47"/>
        <n v="175.81"/>
        <n v="12.01"/>
        <n v="619.54"/>
        <n v="606.75"/>
        <n v="162"/>
        <n v="49.62"/>
        <n v="2268"/>
        <n v="815.37"/>
        <n v="2600"/>
        <n v="279.08"/>
        <n v="194.81"/>
        <n v="-22.28"/>
        <n v="-1161.6099999999999"/>
        <n v="1578.54"/>
        <n v="240.48"/>
        <n v="-4071.96"/>
        <n v="2244.0300000000002"/>
        <n v="2788.82"/>
        <n v="3276"/>
        <n v="223.25"/>
        <n v="181.48"/>
        <n v="-3023.77"/>
        <n v="1470.4"/>
        <n v="511.13"/>
        <n v="-54.44"/>
        <n v="175.04"/>
        <n v="1675.13"/>
        <n v="328.36"/>
        <n v="1010.84"/>
        <n v="960.96"/>
        <n v="1527.03"/>
        <n v="-2349.75"/>
        <n v="139.66"/>
        <n v="178.01"/>
        <n v="-714.9"/>
        <n v="554.75"/>
        <n v="1222.6400000000001"/>
        <n v="232.85"/>
        <n v="800.75"/>
        <n v="1890.44"/>
        <n v="165.49"/>
        <n v="36.369999999999997"/>
        <n v="1094.93"/>
        <n v="144.07"/>
        <n v="381.69"/>
        <n v="110.25"/>
        <n v="-429.87"/>
        <n v="-301.02"/>
        <n v="82.43"/>
        <n v="1173.6500000000001"/>
        <n v="236.87"/>
        <n v="294.12"/>
        <n v="60.93"/>
        <n v="-2545.42"/>
        <n v="195.36"/>
        <n v="302.54000000000002"/>
        <n v="342.05"/>
        <n v="141.53"/>
        <n v="622.74"/>
        <n v="625.23"/>
        <n v="2275.83"/>
        <n v="-2345.33"/>
        <n v="-53.02"/>
        <n v="-66.760000000000005"/>
        <n v="37.909999999999997"/>
        <n v="1360.64"/>
        <n v="117.07"/>
        <n v="-120.63"/>
        <n v="1195.69"/>
        <n v="-1162.1099999999999"/>
        <n v="1093.47"/>
        <n v="-3605.22"/>
        <n v="307.94"/>
        <n v="-620.71"/>
        <n v="-1386.94"/>
        <n v="309.27999999999997"/>
        <n v="-998.56"/>
        <n v="1936.65"/>
        <n v="39.590000000000003"/>
        <n v="554.15"/>
        <n v="1401.71"/>
        <n v="107.69"/>
        <n v="-602.83000000000004"/>
        <n v="51.68"/>
        <n v="183.48"/>
        <n v="901.51"/>
        <n v="-858.38"/>
        <n v="272.8"/>
        <n v="-743.99"/>
        <n v="67.81"/>
        <n v="5015.1099999999997"/>
        <n v="374.04"/>
        <n v="361.19"/>
        <n v="60.06"/>
        <n v="895.63"/>
        <n v="38.08"/>
        <n v="-1114.93"/>
        <n v="1351.4"/>
        <n v="1893.2"/>
        <n v="346.76"/>
        <n v="989.31"/>
        <n v="-467.88"/>
        <n v="33.380000000000003"/>
        <n v="309.75"/>
        <n v="138.34"/>
        <n v="61.01"/>
        <n v="1009.77"/>
        <n v="-246.9"/>
        <n v="-1139.8800000000001"/>
        <n v="71.98"/>
        <n v="614.08000000000004"/>
        <n v="-1186.18"/>
        <n v="40.380000000000003"/>
        <n v="237.27"/>
        <n v="-1063.99"/>
        <n v="1059.3900000000001"/>
        <n v="16.62"/>
        <n v="2012.5"/>
        <n v="-39.75"/>
        <n v="-221.55"/>
        <n v="1066.1099999999999"/>
        <n v="233.4"/>
        <n v="673.14"/>
        <n v="397.76"/>
        <n v="-182.59"/>
        <n v="296.05"/>
        <n v="139.37"/>
        <n v="974.34"/>
        <n v="2012.7"/>
        <n v="205.78"/>
        <n v="2743.09"/>
        <n v="337.5"/>
        <n v="740.78"/>
        <n v="366.07"/>
        <n v="-546.78"/>
        <n v="138.05000000000001"/>
        <n v="-939.49"/>
        <n v="-426.05"/>
        <n v="-389.33"/>
        <n v="499.99"/>
        <n v="165.82"/>
        <n v="61.77"/>
        <n v="353.07"/>
        <n v="333.48"/>
        <n v="83.53"/>
        <n v="1419.42"/>
        <n v="-6328.8"/>
        <n v="3177.31"/>
        <n v="287.67"/>
        <n v="181.96"/>
        <n v="66.27"/>
        <n v="933.96"/>
        <n v="201.21"/>
        <n v="684.01"/>
        <n v="-9.59"/>
        <n v="3252.96"/>
        <n v="222.14"/>
        <n v="115.81"/>
        <n v="882.86"/>
        <n v="916.72"/>
        <n v="1454.1"/>
        <n v="232.01"/>
        <n v="210.52"/>
        <n v="2544.5"/>
        <n v="-954.41"/>
        <n v="233.44"/>
        <n v="-787.69"/>
        <n v="823.43"/>
        <n v="-208.72"/>
        <n v="-61.48"/>
        <n v="65.459999999999994"/>
        <n v="117.15"/>
        <n v="417.59"/>
        <n v="658.72"/>
        <n v="-112.21"/>
        <n v="231.18"/>
        <n v="1156.23"/>
        <n v="450.71"/>
        <n v="-92.62"/>
        <n v="784.55"/>
        <n v="-184.04"/>
        <n v="560.73"/>
        <n v="-106.62"/>
        <n v="-887.91"/>
        <n v="-32.35"/>
        <n v="458.92"/>
        <n v="330.59"/>
        <n v="2722.09"/>
        <n v="925.53"/>
        <n v="246.21"/>
        <n v="-2660.38"/>
        <n v="-374.64"/>
        <n v="-1396.84"/>
        <n v="-5000.1099999999997"/>
        <n v="52.41"/>
        <n v="75.89"/>
        <n v="823.28"/>
        <n v="324.73"/>
        <n v="492.64"/>
        <n v="339.64"/>
        <n v="1219.97"/>
        <n v="205.68"/>
        <n v="66.37"/>
        <n v="1080"/>
        <n v="419.2"/>
        <n v="1280.94"/>
        <n v="105.42"/>
        <n v="15.96"/>
        <n v="317.29000000000002"/>
        <n v="1117.25"/>
        <n v="3640"/>
        <n v="999.71"/>
        <n v="173.61"/>
        <n v="60.59"/>
        <n v="1080.42"/>
        <n v="465.65"/>
        <n v="-389.52"/>
        <n v="-1335.62"/>
        <n v="32.61"/>
        <n v="237.04"/>
        <n v="25.23"/>
        <n v="737.9"/>
        <n v="419.65"/>
        <n v="488.41"/>
        <n v="418.31"/>
        <n v="210.91"/>
        <n v="914.61"/>
        <n v="90.68"/>
        <n v="591.82000000000005"/>
        <n v="322.66000000000003"/>
        <n v="-160.81"/>
        <n v="-2638.05"/>
        <n v="1167.78"/>
        <n v="122"/>
        <n v="963.3"/>
        <n v="-7702.29"/>
        <n v="1556.49"/>
        <n v="249.24"/>
        <n v="-4320.16"/>
      </sharedItems>
    </cacheField>
    <cacheField name="Discount_Amount" numFmtId="0">
      <sharedItems containsSemiMixedTypes="0" containsString="0" containsNumber="1" minValue="0" maxValue="2835151.2"/>
    </cacheField>
    <cacheField name="Total_Cost" numFmtId="0">
      <sharedItems containsSemiMixedTypes="0" containsString="0" containsNumber="1" containsInteger="1" minValue="45" maxValue="85000"/>
    </cacheField>
    <cacheField name="Profit Margin" numFmtId="0">
      <sharedItems containsSemiMixedTypes="0" containsString="0" containsNumber="1" minValue="-33.444531294835841" maxValue="31.03448275862069"/>
    </cacheField>
    <cacheField name="Month" numFmtId="0">
      <sharedItems count="12">
        <s v="Jan"/>
        <s v="Feb"/>
        <s v="Mar"/>
        <s v="Apr"/>
        <s v="May"/>
        <s v="Jun"/>
        <s v="Jul"/>
        <s v="Aug"/>
        <s v="Sep"/>
        <s v="Oct"/>
        <s v="Nov"/>
        <s v="Dec"/>
      </sharedItems>
    </cacheField>
    <cacheField name="Profit Status" numFmtId="0">
      <sharedItems count="3">
        <s v="low profit"/>
        <s v="good profit"/>
        <s v="loss"/>
      </sharedItems>
    </cacheField>
  </cacheFields>
  <extLst>
    <ext xmlns:x14="http://schemas.microsoft.com/office/spreadsheetml/2009/9/main" uri="{725AE2AE-9491-48be-B2B4-4EB974FC3084}">
      <x14:pivotCacheDefinition pivotCacheId="5630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769"/>
    <d v="2025-01-01T00:00:00"/>
    <x v="0"/>
    <x v="0"/>
    <x v="0"/>
    <x v="0"/>
    <n v="8"/>
    <n v="500"/>
    <n v="610"/>
    <x v="0"/>
    <n v="4413.3"/>
    <x v="0"/>
    <n v="46652.800000000003"/>
    <n v="4000"/>
    <n v="9.3648743570570776"/>
    <x v="0"/>
    <x v="0"/>
  </r>
  <r>
    <s v="ORD10973"/>
    <d v="2025-01-01T00:00:00"/>
    <x v="1"/>
    <x v="1"/>
    <x v="1"/>
    <x v="0"/>
    <n v="7"/>
    <n v="45"/>
    <n v="63"/>
    <x v="1"/>
    <n v="413.97"/>
    <x v="1"/>
    <n v="2703.33"/>
    <n v="315"/>
    <n v="23.907529531125444"/>
    <x v="0"/>
    <x v="1"/>
  </r>
  <r>
    <s v="ORD11278"/>
    <d v="2025-01-01T00:00:00"/>
    <x v="2"/>
    <x v="2"/>
    <x v="0"/>
    <x v="0"/>
    <n v="2"/>
    <n v="6500"/>
    <n v="7150"/>
    <x v="2"/>
    <n v="11278.53"/>
    <x v="2"/>
    <n v="302159"/>
    <n v="13000"/>
    <n v="-15.26324795873221"/>
    <x v="0"/>
    <x v="2"/>
  </r>
  <r>
    <s v="ORD11889"/>
    <d v="2025-01-01T00:00:00"/>
    <x v="0"/>
    <x v="0"/>
    <x v="0"/>
    <x v="1"/>
    <n v="5"/>
    <n v="500"/>
    <n v="610"/>
    <x v="3"/>
    <n v="2814.03"/>
    <x v="3"/>
    <n v="23607"/>
    <n v="2500"/>
    <n v="11.159440375546811"/>
    <x v="0"/>
    <x v="1"/>
  </r>
  <r>
    <s v="ORD10608"/>
    <d v="2025-01-02T00:00:00"/>
    <x v="3"/>
    <x v="3"/>
    <x v="2"/>
    <x v="1"/>
    <n v="8"/>
    <n v="4500"/>
    <n v="5220"/>
    <x v="4"/>
    <n v="34246.379999999997"/>
    <x v="4"/>
    <n v="751262.39999999991"/>
    <n v="36000"/>
    <n v="-5.1205996079001634"/>
    <x v="0"/>
    <x v="2"/>
  </r>
  <r>
    <s v="ORD10850"/>
    <d v="2025-01-02T00:00:00"/>
    <x v="4"/>
    <x v="4"/>
    <x v="3"/>
    <x v="0"/>
    <n v="3"/>
    <n v="180"/>
    <n v="243"/>
    <x v="5"/>
    <n v="619.27"/>
    <x v="5"/>
    <n v="10971.45"/>
    <n v="540"/>
    <n v="12.800555492757601"/>
    <x v="0"/>
    <x v="1"/>
  </r>
  <r>
    <s v="ORD11028"/>
    <d v="2025-01-02T00:00:00"/>
    <x v="5"/>
    <x v="5"/>
    <x v="3"/>
    <x v="1"/>
    <n v="3"/>
    <n v="2500"/>
    <n v="2875"/>
    <x v="6"/>
    <n v="8050.51"/>
    <x v="6"/>
    <n v="57442.5"/>
    <n v="7500"/>
    <n v="6.8382003127752151"/>
    <x v="0"/>
    <x v="0"/>
  </r>
  <r>
    <s v="ORD11947"/>
    <d v="2025-01-02T00:00:00"/>
    <x v="6"/>
    <x v="6"/>
    <x v="4"/>
    <x v="1"/>
    <n v="9"/>
    <n v="1800"/>
    <n v="2124"/>
    <x v="7"/>
    <n v="17506.7"/>
    <x v="7"/>
    <n v="160956.72"/>
    <n v="16200"/>
    <n v="7.4639994973353048"/>
    <x v="0"/>
    <x v="0"/>
  </r>
  <r>
    <s v="ORD10019"/>
    <d v="2025-01-03T00:00:00"/>
    <x v="7"/>
    <x v="7"/>
    <x v="5"/>
    <x v="2"/>
    <n v="9"/>
    <n v="300"/>
    <n v="405"/>
    <x v="8"/>
    <n v="3401.3"/>
    <x v="8"/>
    <n v="24385.050000000003"/>
    <n v="2700"/>
    <n v="20.618587010848792"/>
    <x v="0"/>
    <x v="1"/>
  </r>
  <r>
    <s v="ORD10355"/>
    <d v="2025-01-03T00:00:00"/>
    <x v="8"/>
    <x v="8"/>
    <x v="2"/>
    <x v="0"/>
    <n v="5"/>
    <n v="900"/>
    <n v="1170"/>
    <x v="9"/>
    <n v="5850"/>
    <x v="9"/>
    <n v="0"/>
    <n v="4500"/>
    <n v="23.076923076923077"/>
    <x v="0"/>
    <x v="1"/>
  </r>
  <r>
    <s v="ORD10375"/>
    <d v="2025-01-03T00:00:00"/>
    <x v="9"/>
    <x v="9"/>
    <x v="2"/>
    <x v="2"/>
    <n v="5"/>
    <n v="3000"/>
    <n v="3600"/>
    <x v="10"/>
    <n v="14946.16"/>
    <x v="10"/>
    <n v="305460"/>
    <n v="15000"/>
    <n v="-0.36022630561963742"/>
    <x v="0"/>
    <x v="2"/>
  </r>
  <r>
    <s v="ORD10429"/>
    <d v="2025-01-03T00:00:00"/>
    <x v="10"/>
    <x v="10"/>
    <x v="4"/>
    <x v="2"/>
    <n v="6"/>
    <n v="3200"/>
    <n v="3840"/>
    <x v="11"/>
    <n v="18227.53"/>
    <x v="11"/>
    <n v="481305.60000000003"/>
    <n v="19200"/>
    <n v="-5.3351715783762259"/>
    <x v="0"/>
    <x v="2"/>
  </r>
  <r>
    <s v="ORD11467"/>
    <d v="2025-01-03T00:00:00"/>
    <x v="6"/>
    <x v="6"/>
    <x v="4"/>
    <x v="1"/>
    <n v="3"/>
    <n v="1800"/>
    <n v="2124"/>
    <x v="12"/>
    <n v="5298.18"/>
    <x v="12"/>
    <n v="107368.20000000001"/>
    <n v="5400"/>
    <n v="-1.9217920115964349"/>
    <x v="0"/>
    <x v="2"/>
  </r>
  <r>
    <s v="ORD11628"/>
    <d v="2025-01-03T00:00:00"/>
    <x v="11"/>
    <x v="11"/>
    <x v="0"/>
    <x v="3"/>
    <n v="2"/>
    <n v="900"/>
    <n v="1152"/>
    <x v="1"/>
    <n v="2162.73"/>
    <x v="13"/>
    <n v="14123.52"/>
    <n v="1800"/>
    <n v="16.77185779084768"/>
    <x v="0"/>
    <x v="1"/>
  </r>
  <r>
    <s v="ORD11829"/>
    <d v="2025-01-03T00:00:00"/>
    <x v="7"/>
    <x v="7"/>
    <x v="5"/>
    <x v="2"/>
    <n v="1"/>
    <n v="300"/>
    <n v="405"/>
    <x v="13"/>
    <n v="354.73"/>
    <x v="14"/>
    <n v="5026.05"/>
    <n v="300"/>
    <n v="15.428635863896483"/>
    <x v="0"/>
    <x v="1"/>
  </r>
  <r>
    <s v="ORD11903"/>
    <d v="2025-01-03T00:00:00"/>
    <x v="12"/>
    <x v="12"/>
    <x v="2"/>
    <x v="2"/>
    <n v="4"/>
    <n v="6500"/>
    <n v="8125"/>
    <x v="14"/>
    <n v="28126.9"/>
    <x v="15"/>
    <n v="437450"/>
    <n v="26000"/>
    <n v="7.5618002694929052"/>
    <x v="0"/>
    <x v="0"/>
  </r>
  <r>
    <s v="ORD10426"/>
    <d v="2025-01-04T00:00:00"/>
    <x v="1"/>
    <x v="1"/>
    <x v="1"/>
    <x v="0"/>
    <n v="5"/>
    <n v="45"/>
    <n v="63"/>
    <x v="9"/>
    <n v="315"/>
    <x v="16"/>
    <n v="0"/>
    <n v="225"/>
    <n v="28.571428571428569"/>
    <x v="0"/>
    <x v="1"/>
  </r>
  <r>
    <s v="ORD10775"/>
    <d v="2025-01-04T00:00:00"/>
    <x v="4"/>
    <x v="4"/>
    <x v="3"/>
    <x v="3"/>
    <n v="6"/>
    <n v="180"/>
    <n v="243"/>
    <x v="15"/>
    <n v="1279.51"/>
    <x v="17"/>
    <n v="17845.920000000002"/>
    <n v="1080"/>
    <n v="15.592687825808316"/>
    <x v="0"/>
    <x v="1"/>
  </r>
  <r>
    <s v="ORD11564"/>
    <d v="2025-01-04T00:00:00"/>
    <x v="10"/>
    <x v="10"/>
    <x v="4"/>
    <x v="1"/>
    <n v="7"/>
    <n v="3200"/>
    <n v="3840"/>
    <x v="16"/>
    <n v="21520.28"/>
    <x v="18"/>
    <n v="535987.20000000007"/>
    <n v="22400"/>
    <n v="-4.0878650277784496"/>
    <x v="0"/>
    <x v="2"/>
  </r>
  <r>
    <s v="ORD11802"/>
    <d v="2025-01-04T00:00:00"/>
    <x v="0"/>
    <x v="0"/>
    <x v="0"/>
    <x v="3"/>
    <n v="1"/>
    <n v="500"/>
    <n v="610"/>
    <x v="17"/>
    <n v="472.4"/>
    <x v="19"/>
    <n v="13761.599999999999"/>
    <n v="500"/>
    <n v="-5.8425063505503818"/>
    <x v="0"/>
    <x v="2"/>
  </r>
  <r>
    <s v="ORD10028"/>
    <d v="2025-01-05T00:00:00"/>
    <x v="11"/>
    <x v="11"/>
    <x v="0"/>
    <x v="0"/>
    <n v="7"/>
    <n v="900"/>
    <n v="1152"/>
    <x v="18"/>
    <n v="6749.24"/>
    <x v="20"/>
    <n v="131443.20000000001"/>
    <n v="6300"/>
    <n v="6.65615684136288"/>
    <x v="0"/>
    <x v="0"/>
  </r>
  <r>
    <s v="ORD10129"/>
    <d v="2025-01-05T00:00:00"/>
    <x v="13"/>
    <x v="13"/>
    <x v="6"/>
    <x v="3"/>
    <n v="8"/>
    <n v="900"/>
    <n v="1170"/>
    <x v="19"/>
    <n v="7334.4"/>
    <x v="21"/>
    <n v="202550.39999999999"/>
    <n v="7200"/>
    <n v="1.8324607329842935"/>
    <x v="0"/>
    <x v="0"/>
  </r>
  <r>
    <s v="ORD10607"/>
    <d v="2025-01-05T00:00:00"/>
    <x v="14"/>
    <x v="14"/>
    <x v="3"/>
    <x v="1"/>
    <n v="6"/>
    <n v="1200"/>
    <n v="1464"/>
    <x v="20"/>
    <n v="7315.85"/>
    <x v="22"/>
    <n v="146780.64000000001"/>
    <n v="7200"/>
    <n v="1.583548049782322"/>
    <x v="0"/>
    <x v="0"/>
  </r>
  <r>
    <s v="ORD11175"/>
    <d v="2025-01-05T00:00:00"/>
    <x v="11"/>
    <x v="11"/>
    <x v="0"/>
    <x v="3"/>
    <n v="4"/>
    <n v="900"/>
    <n v="1152"/>
    <x v="21"/>
    <n v="4127.08"/>
    <x v="23"/>
    <n v="48107.519999999997"/>
    <n v="3600"/>
    <n v="12.771257160025975"/>
    <x v="0"/>
    <x v="1"/>
  </r>
  <r>
    <s v="ORD11192"/>
    <d v="2025-01-05T00:00:00"/>
    <x v="12"/>
    <x v="12"/>
    <x v="2"/>
    <x v="2"/>
    <n v="7"/>
    <n v="6500"/>
    <n v="8125"/>
    <x v="22"/>
    <n v="47594.12"/>
    <x v="24"/>
    <n v="928200"/>
    <n v="45500"/>
    <n v="4.399955288594473"/>
    <x v="0"/>
    <x v="0"/>
  </r>
  <r>
    <s v="ORD11605"/>
    <d v="2025-01-05T00:00:00"/>
    <x v="13"/>
    <x v="13"/>
    <x v="6"/>
    <x v="1"/>
    <n v="3"/>
    <n v="900"/>
    <n v="1170"/>
    <x v="23"/>
    <n v="3042.12"/>
    <x v="25"/>
    <n v="46788.3"/>
    <n v="2700"/>
    <n v="11.246104690150291"/>
    <x v="0"/>
    <x v="1"/>
  </r>
  <r>
    <s v="ORD11968"/>
    <d v="2025-01-05T00:00:00"/>
    <x v="0"/>
    <x v="0"/>
    <x v="0"/>
    <x v="2"/>
    <n v="5"/>
    <n v="500"/>
    <n v="610"/>
    <x v="24"/>
    <n v="2803.67"/>
    <x v="26"/>
    <n v="24644"/>
    <n v="2500"/>
    <n v="10.831160585946279"/>
    <x v="0"/>
    <x v="1"/>
  </r>
  <r>
    <s v="ORD11629"/>
    <d v="2025-01-06T00:00:00"/>
    <x v="3"/>
    <x v="3"/>
    <x v="2"/>
    <x v="0"/>
    <n v="9"/>
    <n v="4500"/>
    <n v="5220"/>
    <x v="25"/>
    <n v="38511.54"/>
    <x v="27"/>
    <n v="847049.4"/>
    <n v="40500"/>
    <n v="-5.1632835248863067"/>
    <x v="0"/>
    <x v="2"/>
  </r>
  <r>
    <s v="ORD10079"/>
    <d v="2025-01-07T00:00:00"/>
    <x v="15"/>
    <x v="15"/>
    <x v="0"/>
    <x v="2"/>
    <n v="6"/>
    <n v="550"/>
    <n v="742.5"/>
    <x v="26"/>
    <n v="3627.4"/>
    <x v="28"/>
    <n v="82773.899999999994"/>
    <n v="3300"/>
    <n v="9.0257484699784971"/>
    <x v="0"/>
    <x v="0"/>
  </r>
  <r>
    <s v="ORD10165"/>
    <d v="2025-01-07T00:00:00"/>
    <x v="12"/>
    <x v="12"/>
    <x v="2"/>
    <x v="1"/>
    <n v="7"/>
    <n v="6500"/>
    <n v="8125"/>
    <x v="27"/>
    <n v="54600"/>
    <x v="29"/>
    <n v="227500"/>
    <n v="45500"/>
    <n v="16.666666666666664"/>
    <x v="0"/>
    <x v="1"/>
  </r>
  <r>
    <s v="ORD10560"/>
    <d v="2025-01-07T00:00:00"/>
    <x v="11"/>
    <x v="11"/>
    <x v="0"/>
    <x v="3"/>
    <n v="1"/>
    <n v="900"/>
    <n v="1152"/>
    <x v="28"/>
    <n v="1096.05"/>
    <x v="30"/>
    <n v="5598.72"/>
    <n v="900"/>
    <n v="17.886957711783225"/>
    <x v="0"/>
    <x v="1"/>
  </r>
  <r>
    <s v="ORD11077"/>
    <d v="2025-01-07T00:00:00"/>
    <x v="16"/>
    <x v="16"/>
    <x v="0"/>
    <x v="3"/>
    <n v="1"/>
    <n v="1100"/>
    <n v="1298"/>
    <x v="29"/>
    <n v="1046.79"/>
    <x v="31"/>
    <n v="25116.300000000003"/>
    <n v="1100"/>
    <n v="-5.0831589908195536"/>
    <x v="0"/>
    <x v="2"/>
  </r>
  <r>
    <s v="ORD11534"/>
    <d v="2025-01-07T00:00:00"/>
    <x v="8"/>
    <x v="8"/>
    <x v="2"/>
    <x v="1"/>
    <n v="10"/>
    <n v="900"/>
    <n v="1170"/>
    <x v="30"/>
    <n v="10680.15"/>
    <x v="32"/>
    <n v="102024.00000000001"/>
    <n v="9000"/>
    <n v="15.731520624710329"/>
    <x v="0"/>
    <x v="1"/>
  </r>
  <r>
    <s v="ORD11951"/>
    <d v="2025-01-07T00:00:00"/>
    <x v="12"/>
    <x v="12"/>
    <x v="2"/>
    <x v="0"/>
    <n v="6"/>
    <n v="6500"/>
    <n v="8125"/>
    <x v="27"/>
    <n v="46800"/>
    <x v="33"/>
    <n v="195000"/>
    <n v="39000"/>
    <n v="16.666666666666664"/>
    <x v="0"/>
    <x v="1"/>
  </r>
  <r>
    <s v="ORD10241"/>
    <d v="2025-01-08T00:00:00"/>
    <x v="0"/>
    <x v="0"/>
    <x v="0"/>
    <x v="3"/>
    <n v="1"/>
    <n v="500"/>
    <n v="610"/>
    <x v="31"/>
    <n v="531.19000000000005"/>
    <x v="34"/>
    <n v="7881.2"/>
    <n v="500"/>
    <n v="5.8717219827180482"/>
    <x v="0"/>
    <x v="0"/>
  </r>
  <r>
    <s v="ORD10263"/>
    <d v="2025-01-08T00:00:00"/>
    <x v="12"/>
    <x v="12"/>
    <x v="2"/>
    <x v="3"/>
    <n v="10"/>
    <n v="6500"/>
    <n v="8125"/>
    <x v="32"/>
    <n v="66810.399999999994"/>
    <x v="35"/>
    <n v="1443812.5"/>
    <n v="65000"/>
    <n v="2.7097577622645579"/>
    <x v="0"/>
    <x v="0"/>
  </r>
  <r>
    <s v="ORD10664"/>
    <d v="2025-01-08T00:00:00"/>
    <x v="17"/>
    <x v="17"/>
    <x v="0"/>
    <x v="1"/>
    <n v="3"/>
    <n v="8500"/>
    <n v="9520"/>
    <x v="27"/>
    <n v="27417.599999999999"/>
    <x v="36"/>
    <n v="114240"/>
    <n v="25500"/>
    <n v="6.9940476190476195"/>
    <x v="0"/>
    <x v="0"/>
  </r>
  <r>
    <s v="ORD10687"/>
    <d v="2025-01-08T00:00:00"/>
    <x v="17"/>
    <x v="17"/>
    <x v="0"/>
    <x v="2"/>
    <n v="3"/>
    <n v="8500"/>
    <n v="9520"/>
    <x v="33"/>
    <n v="26660.41"/>
    <x v="37"/>
    <n v="189924"/>
    <n v="25500"/>
    <n v="4.3525587190894663"/>
    <x v="0"/>
    <x v="0"/>
  </r>
  <r>
    <s v="ORD10879"/>
    <d v="2025-01-08T00:00:00"/>
    <x v="0"/>
    <x v="0"/>
    <x v="0"/>
    <x v="0"/>
    <n v="4"/>
    <n v="500"/>
    <n v="610"/>
    <x v="34"/>
    <n v="2179.3000000000002"/>
    <x v="38"/>
    <n v="26059.200000000001"/>
    <n v="2000"/>
    <n v="8.2274124718946453"/>
    <x v="0"/>
    <x v="0"/>
  </r>
  <r>
    <s v="ORD10986"/>
    <d v="2025-01-08T00:00:00"/>
    <x v="15"/>
    <x v="15"/>
    <x v="0"/>
    <x v="2"/>
    <n v="9"/>
    <n v="550"/>
    <n v="742.5"/>
    <x v="35"/>
    <n v="5711.55"/>
    <x v="39"/>
    <n v="97096.724999999991"/>
    <n v="4950"/>
    <n v="13.333508417154711"/>
    <x v="0"/>
    <x v="1"/>
  </r>
  <r>
    <s v="ORD11173"/>
    <d v="2025-01-08T00:00:00"/>
    <x v="2"/>
    <x v="2"/>
    <x v="0"/>
    <x v="0"/>
    <n v="6"/>
    <n v="6500"/>
    <n v="7150"/>
    <x v="27"/>
    <n v="41184"/>
    <x v="40"/>
    <n v="171600"/>
    <n v="39000"/>
    <n v="5.3030303030303028"/>
    <x v="0"/>
    <x v="0"/>
  </r>
  <r>
    <s v="ORD11631"/>
    <d v="2025-01-08T00:00:00"/>
    <x v="12"/>
    <x v="12"/>
    <x v="2"/>
    <x v="1"/>
    <n v="8"/>
    <n v="6500"/>
    <n v="8125"/>
    <x v="36"/>
    <n v="53866.239999999998"/>
    <x v="41"/>
    <n v="1113450"/>
    <n v="52000"/>
    <n v="3.4645818976783973"/>
    <x v="0"/>
    <x v="0"/>
  </r>
  <r>
    <s v="ORD11675"/>
    <d v="2025-01-08T00:00:00"/>
    <x v="18"/>
    <x v="18"/>
    <x v="1"/>
    <x v="3"/>
    <n v="2"/>
    <n v="80"/>
    <n v="116"/>
    <x v="9"/>
    <n v="232"/>
    <x v="42"/>
    <n v="0"/>
    <n v="160"/>
    <n v="31.03448275862069"/>
    <x v="0"/>
    <x v="1"/>
  </r>
  <r>
    <s v="ORD11678"/>
    <d v="2025-01-08T00:00:00"/>
    <x v="12"/>
    <x v="12"/>
    <x v="2"/>
    <x v="3"/>
    <n v="2"/>
    <n v="6500"/>
    <n v="8125"/>
    <x v="37"/>
    <n v="13770.72"/>
    <x v="43"/>
    <n v="247975"/>
    <n v="13000"/>
    <n v="5.5968024910825296"/>
    <x v="0"/>
    <x v="0"/>
  </r>
  <r>
    <s v="ORD11864"/>
    <d v="2025-01-09T00:00:00"/>
    <x v="3"/>
    <x v="3"/>
    <x v="2"/>
    <x v="3"/>
    <n v="7"/>
    <n v="4500"/>
    <n v="5220"/>
    <x v="38"/>
    <n v="31412.68"/>
    <x v="44"/>
    <n v="512656.19999999995"/>
    <n v="31500"/>
    <n v="-0.27797691887479831"/>
    <x v="0"/>
    <x v="2"/>
  </r>
  <r>
    <s v="ORD10222"/>
    <d v="2025-01-10T00:00:00"/>
    <x v="19"/>
    <x v="19"/>
    <x v="0"/>
    <x v="2"/>
    <n v="3"/>
    <n v="350"/>
    <n v="455"/>
    <x v="39"/>
    <n v="1257.3800000000001"/>
    <x v="45"/>
    <n v="10756.2"/>
    <n v="1050"/>
    <n v="16.493025179341167"/>
    <x v="0"/>
    <x v="1"/>
  </r>
  <r>
    <s v="ORD10299"/>
    <d v="2025-01-10T00:00:00"/>
    <x v="11"/>
    <x v="11"/>
    <x v="0"/>
    <x v="1"/>
    <n v="8"/>
    <n v="900"/>
    <n v="1152"/>
    <x v="40"/>
    <n v="8738.6200000000008"/>
    <x v="46"/>
    <n v="47738.879999999997"/>
    <n v="7200"/>
    <n v="17.607127898913095"/>
    <x v="0"/>
    <x v="1"/>
  </r>
  <r>
    <s v="ORD10381"/>
    <d v="2025-01-10T00:00:00"/>
    <x v="5"/>
    <x v="5"/>
    <x v="3"/>
    <x v="2"/>
    <n v="8"/>
    <n v="2500"/>
    <n v="2875"/>
    <x v="41"/>
    <n v="22907.9"/>
    <x v="47"/>
    <n v="9200"/>
    <n v="20000"/>
    <n v="12.693874165680835"/>
    <x v="0"/>
    <x v="1"/>
  </r>
  <r>
    <s v="ORD11349"/>
    <d v="2025-01-10T00:00:00"/>
    <x v="0"/>
    <x v="0"/>
    <x v="0"/>
    <x v="2"/>
    <n v="6"/>
    <n v="500"/>
    <n v="610"/>
    <x v="42"/>
    <n v="3197.62"/>
    <x v="48"/>
    <n v="46225.8"/>
    <n v="3000"/>
    <n v="6.1802215397702049"/>
    <x v="0"/>
    <x v="0"/>
  </r>
  <r>
    <s v="ORD11713"/>
    <d v="2025-01-10T00:00:00"/>
    <x v="3"/>
    <x v="3"/>
    <x v="2"/>
    <x v="0"/>
    <n v="6"/>
    <n v="4500"/>
    <n v="5220"/>
    <x v="27"/>
    <n v="30067.200000000001"/>
    <x v="49"/>
    <n v="125280"/>
    <n v="27000"/>
    <n v="10.201149425287355"/>
    <x v="0"/>
    <x v="1"/>
  </r>
  <r>
    <s v="ORD11866"/>
    <d v="2025-01-10T00:00:00"/>
    <x v="0"/>
    <x v="0"/>
    <x v="0"/>
    <x v="2"/>
    <n v="7"/>
    <n v="500"/>
    <n v="610"/>
    <x v="43"/>
    <n v="3639.63"/>
    <x v="50"/>
    <n v="63025.2"/>
    <n v="3500"/>
    <n v="3.8363789725878727"/>
    <x v="0"/>
    <x v="0"/>
  </r>
  <r>
    <s v="ORD10298"/>
    <d v="2025-01-11T00:00:00"/>
    <x v="15"/>
    <x v="15"/>
    <x v="0"/>
    <x v="2"/>
    <n v="9"/>
    <n v="550"/>
    <n v="742.5"/>
    <x v="9"/>
    <n v="6682.5"/>
    <x v="51"/>
    <n v="0"/>
    <n v="4950"/>
    <n v="25.925925925925924"/>
    <x v="0"/>
    <x v="1"/>
  </r>
  <r>
    <s v="ORD11423"/>
    <d v="2025-01-11T00:00:00"/>
    <x v="4"/>
    <x v="4"/>
    <x v="3"/>
    <x v="3"/>
    <n v="8"/>
    <n v="180"/>
    <n v="243"/>
    <x v="44"/>
    <n v="1787.11"/>
    <x v="52"/>
    <n v="15688.08"/>
    <n v="1440"/>
    <n v="19.422978999613903"/>
    <x v="0"/>
    <x v="1"/>
  </r>
  <r>
    <s v="ORD11640"/>
    <d v="2025-01-11T00:00:00"/>
    <x v="4"/>
    <x v="4"/>
    <x v="3"/>
    <x v="0"/>
    <n v="2"/>
    <n v="180"/>
    <n v="243"/>
    <x v="45"/>
    <n v="451.8"/>
    <x v="53"/>
    <n v="3421.44"/>
    <n v="360"/>
    <n v="20.318725099601593"/>
    <x v="0"/>
    <x v="1"/>
  </r>
  <r>
    <s v="ORD10016"/>
    <d v="2025-01-12T00:00:00"/>
    <x v="19"/>
    <x v="19"/>
    <x v="0"/>
    <x v="3"/>
    <n v="3"/>
    <n v="350"/>
    <n v="455"/>
    <x v="46"/>
    <n v="1176.7"/>
    <x v="54"/>
    <n v="18823.349999999999"/>
    <n v="1050"/>
    <n v="10.767400356930398"/>
    <x v="0"/>
    <x v="1"/>
  </r>
  <r>
    <s v="ORD10066"/>
    <d v="2025-01-12T00:00:00"/>
    <x v="6"/>
    <x v="6"/>
    <x v="4"/>
    <x v="2"/>
    <n v="1"/>
    <n v="1800"/>
    <n v="2124"/>
    <x v="27"/>
    <n v="2039.04"/>
    <x v="55"/>
    <n v="8496"/>
    <n v="1800"/>
    <n v="11.72316384180791"/>
    <x v="0"/>
    <x v="1"/>
  </r>
  <r>
    <s v="ORD10110"/>
    <d v="2025-01-12T00:00:00"/>
    <x v="11"/>
    <x v="11"/>
    <x v="0"/>
    <x v="3"/>
    <n v="8"/>
    <n v="900"/>
    <n v="1152"/>
    <x v="47"/>
    <n v="8903.31"/>
    <x v="56"/>
    <n v="31242.240000000002"/>
    <n v="7200"/>
    <n v="19.131199520178452"/>
    <x v="0"/>
    <x v="1"/>
  </r>
  <r>
    <s v="ORD10393"/>
    <d v="2025-01-12T00:00:00"/>
    <x v="12"/>
    <x v="12"/>
    <x v="2"/>
    <x v="1"/>
    <n v="2"/>
    <n v="6500"/>
    <n v="8125"/>
    <x v="48"/>
    <n v="15380.23"/>
    <x v="57"/>
    <n v="86937.5"/>
    <n v="13000"/>
    <n v="15.47590640712135"/>
    <x v="0"/>
    <x v="1"/>
  </r>
  <r>
    <s v="ORD10697"/>
    <d v="2025-01-12T00:00:00"/>
    <x v="13"/>
    <x v="13"/>
    <x v="6"/>
    <x v="1"/>
    <n v="4"/>
    <n v="900"/>
    <n v="1170"/>
    <x v="49"/>
    <n v="4227.43"/>
    <x v="58"/>
    <n v="45255.6"/>
    <n v="3600"/>
    <n v="14.841877925832003"/>
    <x v="0"/>
    <x v="1"/>
  </r>
  <r>
    <s v="ORD11196"/>
    <d v="2025-01-12T00:00:00"/>
    <x v="16"/>
    <x v="16"/>
    <x v="0"/>
    <x v="1"/>
    <n v="4"/>
    <n v="1100"/>
    <n v="1298"/>
    <x v="9"/>
    <n v="5192"/>
    <x v="59"/>
    <n v="0"/>
    <n v="4400"/>
    <n v="15.254237288135593"/>
    <x v="0"/>
    <x v="1"/>
  </r>
  <r>
    <s v="ORD11365"/>
    <d v="2025-01-12T00:00:00"/>
    <x v="13"/>
    <x v="13"/>
    <x v="6"/>
    <x v="0"/>
    <n v="3"/>
    <n v="900"/>
    <n v="1170"/>
    <x v="50"/>
    <n v="2956.29"/>
    <x v="60"/>
    <n v="55387.799999999996"/>
    <n v="2700"/>
    <n v="8.6693118740042436"/>
    <x v="0"/>
    <x v="0"/>
  </r>
  <r>
    <s v="ORD11538"/>
    <d v="2025-01-12T00:00:00"/>
    <x v="3"/>
    <x v="3"/>
    <x v="2"/>
    <x v="1"/>
    <n v="8"/>
    <n v="4500"/>
    <n v="5220"/>
    <x v="15"/>
    <n v="36650.36"/>
    <x v="61"/>
    <n v="511142.40000000002"/>
    <n v="36000"/>
    <n v="1.774498258680133"/>
    <x v="0"/>
    <x v="0"/>
  </r>
  <r>
    <s v="ORD11961"/>
    <d v="2025-01-12T00:00:00"/>
    <x v="5"/>
    <x v="5"/>
    <x v="3"/>
    <x v="0"/>
    <n v="7"/>
    <n v="2500"/>
    <n v="2875"/>
    <x v="51"/>
    <n v="19454.41"/>
    <x v="62"/>
    <n v="67016.25"/>
    <n v="17500"/>
    <n v="10.046102657443736"/>
    <x v="0"/>
    <x v="1"/>
  </r>
  <r>
    <s v="ORD10182"/>
    <d v="2025-01-13T00:00:00"/>
    <x v="0"/>
    <x v="0"/>
    <x v="0"/>
    <x v="1"/>
    <n v="3"/>
    <n v="500"/>
    <n v="610"/>
    <x v="52"/>
    <n v="1592"/>
    <x v="63"/>
    <n v="23808.3"/>
    <n v="1500"/>
    <n v="5.7788944723618094"/>
    <x v="0"/>
    <x v="0"/>
  </r>
  <r>
    <s v="ORD10387"/>
    <d v="2025-01-13T00:00:00"/>
    <x v="6"/>
    <x v="6"/>
    <x v="4"/>
    <x v="2"/>
    <n v="10"/>
    <n v="1800"/>
    <n v="2124"/>
    <x v="53"/>
    <n v="15219.09"/>
    <x v="64"/>
    <n v="602154"/>
    <n v="18000"/>
    <n v="-18.272511694194591"/>
    <x v="0"/>
    <x v="2"/>
  </r>
  <r>
    <s v="ORD11240"/>
    <d v="2025-01-13T00:00:00"/>
    <x v="2"/>
    <x v="2"/>
    <x v="0"/>
    <x v="3"/>
    <n v="2"/>
    <n v="6500"/>
    <n v="7150"/>
    <x v="54"/>
    <n v="11856.77"/>
    <x v="65"/>
    <n v="244387"/>
    <n v="13000"/>
    <n v="-9.6420019954844367"/>
    <x v="0"/>
    <x v="2"/>
  </r>
  <r>
    <s v="ORD11319"/>
    <d v="2025-01-13T00:00:00"/>
    <x v="2"/>
    <x v="2"/>
    <x v="0"/>
    <x v="3"/>
    <n v="5"/>
    <n v="6500"/>
    <n v="7150"/>
    <x v="55"/>
    <n v="32535.919999999998"/>
    <x v="66"/>
    <n v="321392.5"/>
    <n v="32500"/>
    <n v="0.1104010582765141"/>
    <x v="0"/>
    <x v="0"/>
  </r>
  <r>
    <s v="ORD11419"/>
    <d v="2025-01-13T00:00:00"/>
    <x v="12"/>
    <x v="12"/>
    <x v="2"/>
    <x v="1"/>
    <n v="10"/>
    <n v="6500"/>
    <n v="8125"/>
    <x v="56"/>
    <n v="70202.34"/>
    <x v="67"/>
    <n v="1105000"/>
    <n v="65000"/>
    <n v="7.4104937242832651"/>
    <x v="0"/>
    <x v="0"/>
  </r>
  <r>
    <s v="ORD11446"/>
    <d v="2025-01-13T00:00:00"/>
    <x v="4"/>
    <x v="4"/>
    <x v="3"/>
    <x v="0"/>
    <n v="1"/>
    <n v="180"/>
    <n v="243"/>
    <x v="57"/>
    <n v="195.11"/>
    <x v="68"/>
    <n v="4789.5300000000007"/>
    <n v="180"/>
    <n v="7.7443493413971591"/>
    <x v="0"/>
    <x v="0"/>
  </r>
  <r>
    <s v="ORD11479"/>
    <d v="2025-01-13T00:00:00"/>
    <x v="3"/>
    <x v="3"/>
    <x v="2"/>
    <x v="1"/>
    <n v="6"/>
    <n v="4500"/>
    <n v="5220"/>
    <x v="58"/>
    <n v="26421.43"/>
    <x v="69"/>
    <n v="489844.80000000005"/>
    <n v="27000"/>
    <n v="-2.1897754966328469"/>
    <x v="0"/>
    <x v="2"/>
  </r>
  <r>
    <s v="ORD11491"/>
    <d v="2025-01-13T00:00:00"/>
    <x v="5"/>
    <x v="5"/>
    <x v="3"/>
    <x v="3"/>
    <n v="1"/>
    <n v="2500"/>
    <n v="2875"/>
    <x v="59"/>
    <n v="2840.56"/>
    <x v="70"/>
    <n v="3450"/>
    <n v="2500"/>
    <n v="11.989185231081196"/>
    <x v="0"/>
    <x v="1"/>
  </r>
  <r>
    <s v="ORD11936"/>
    <d v="2025-01-13T00:00:00"/>
    <x v="19"/>
    <x v="19"/>
    <x v="0"/>
    <x v="0"/>
    <n v="3"/>
    <n v="350"/>
    <n v="455"/>
    <x v="60"/>
    <n v="1115.8699999999999"/>
    <x v="71"/>
    <n v="24911.25"/>
    <n v="1050"/>
    <n v="5.9030173765761251"/>
    <x v="0"/>
    <x v="0"/>
  </r>
  <r>
    <s v="ORD10080"/>
    <d v="2025-01-14T00:00:00"/>
    <x v="7"/>
    <x v="7"/>
    <x v="5"/>
    <x v="3"/>
    <n v="1"/>
    <n v="300"/>
    <n v="405"/>
    <x v="61"/>
    <n v="360.72"/>
    <x v="72"/>
    <n v="4426.6499999999996"/>
    <n v="300"/>
    <n v="16.833000665335991"/>
    <x v="0"/>
    <x v="1"/>
  </r>
  <r>
    <s v="ORD10168"/>
    <d v="2025-01-14T00:00:00"/>
    <x v="4"/>
    <x v="4"/>
    <x v="3"/>
    <x v="1"/>
    <n v="2"/>
    <n v="180"/>
    <n v="243"/>
    <x v="62"/>
    <n v="400.58"/>
    <x v="73"/>
    <n v="8543.8799999999992"/>
    <n v="360"/>
    <n v="10.130311048978982"/>
    <x v="0"/>
    <x v="1"/>
  </r>
  <r>
    <s v="ORD10395"/>
    <d v="2025-01-14T00:00:00"/>
    <x v="15"/>
    <x v="15"/>
    <x v="0"/>
    <x v="3"/>
    <n v="6"/>
    <n v="550"/>
    <n v="742.5"/>
    <x v="63"/>
    <n v="3911.41"/>
    <x v="74"/>
    <n v="54351"/>
    <n v="3300"/>
    <n v="15.631447483132682"/>
    <x v="0"/>
    <x v="1"/>
  </r>
  <r>
    <s v="ORD10428"/>
    <d v="2025-01-14T00:00:00"/>
    <x v="7"/>
    <x v="7"/>
    <x v="5"/>
    <x v="3"/>
    <n v="2"/>
    <n v="300"/>
    <n v="405"/>
    <x v="64"/>
    <n v="803.79"/>
    <x v="75"/>
    <n v="623.70000000000005"/>
    <n v="600"/>
    <n v="25.353637144030156"/>
    <x v="0"/>
    <x v="1"/>
  </r>
  <r>
    <s v="ORD11354"/>
    <d v="2025-01-14T00:00:00"/>
    <x v="18"/>
    <x v="18"/>
    <x v="1"/>
    <x v="2"/>
    <n v="7"/>
    <n v="80"/>
    <n v="116"/>
    <x v="65"/>
    <n v="729.62"/>
    <x v="76"/>
    <n v="8233.68"/>
    <n v="560"/>
    <n v="23.247717990186672"/>
    <x v="0"/>
    <x v="1"/>
  </r>
  <r>
    <s v="ORD11988"/>
    <d v="2025-01-14T00:00:00"/>
    <x v="8"/>
    <x v="8"/>
    <x v="2"/>
    <x v="1"/>
    <n v="7"/>
    <n v="900"/>
    <n v="1170"/>
    <x v="66"/>
    <n v="7514.76"/>
    <x v="77"/>
    <n v="67485.600000000006"/>
    <n v="6300"/>
    <n v="16.164987304983789"/>
    <x v="0"/>
    <x v="1"/>
  </r>
  <r>
    <s v="ORD10886"/>
    <d v="2025-01-15T00:00:00"/>
    <x v="8"/>
    <x v="8"/>
    <x v="2"/>
    <x v="1"/>
    <n v="8"/>
    <n v="900"/>
    <n v="1170"/>
    <x v="67"/>
    <n v="8860.57"/>
    <x v="78"/>
    <n v="49982.400000000001"/>
    <n v="7200"/>
    <n v="18.741119363652679"/>
    <x v="0"/>
    <x v="1"/>
  </r>
  <r>
    <s v="ORD11613"/>
    <d v="2025-01-15T00:00:00"/>
    <x v="6"/>
    <x v="6"/>
    <x v="4"/>
    <x v="2"/>
    <n v="10"/>
    <n v="1800"/>
    <n v="2124"/>
    <x v="68"/>
    <n v="18150.240000000002"/>
    <x v="79"/>
    <n v="309042"/>
    <n v="18000"/>
    <n v="0.82775764948562658"/>
    <x v="0"/>
    <x v="0"/>
  </r>
  <r>
    <s v="ORD10699"/>
    <d v="2025-01-16T00:00:00"/>
    <x v="8"/>
    <x v="8"/>
    <x v="2"/>
    <x v="0"/>
    <n v="6"/>
    <n v="900"/>
    <n v="1170"/>
    <x v="69"/>
    <n v="4958.72"/>
    <x v="80"/>
    <n v="206107.19999999998"/>
    <n v="5400"/>
    <n v="-8.8990707279297876"/>
    <x v="0"/>
    <x v="2"/>
  </r>
  <r>
    <s v="ORD10859"/>
    <d v="2025-01-16T00:00:00"/>
    <x v="14"/>
    <x v="14"/>
    <x v="3"/>
    <x v="2"/>
    <n v="2"/>
    <n v="1200"/>
    <n v="1464"/>
    <x v="70"/>
    <n v="2494.06"/>
    <x v="81"/>
    <n v="43392.959999999999"/>
    <n v="2400"/>
    <n v="3.7713607531494828"/>
    <x v="0"/>
    <x v="0"/>
  </r>
  <r>
    <s v="ORD11310"/>
    <d v="2025-01-16T00:00:00"/>
    <x v="12"/>
    <x v="12"/>
    <x v="2"/>
    <x v="0"/>
    <n v="1"/>
    <n v="6500"/>
    <n v="8125"/>
    <x v="71"/>
    <n v="6688.56"/>
    <x v="82"/>
    <n v="143650"/>
    <n v="6500"/>
    <n v="2.8191419378760152"/>
    <x v="0"/>
    <x v="0"/>
  </r>
  <r>
    <s v="ORD11451"/>
    <d v="2025-01-16T00:00:00"/>
    <x v="6"/>
    <x v="6"/>
    <x v="4"/>
    <x v="3"/>
    <n v="7"/>
    <n v="1800"/>
    <n v="2124"/>
    <x v="72"/>
    <n v="11822.66"/>
    <x v="83"/>
    <n v="304496.64000000001"/>
    <n v="12600"/>
    <n v="-6.5750008881250075"/>
    <x v="0"/>
    <x v="2"/>
  </r>
  <r>
    <s v="ORD11539"/>
    <d v="2025-01-16T00:00:00"/>
    <x v="17"/>
    <x v="17"/>
    <x v="0"/>
    <x v="3"/>
    <n v="6"/>
    <n v="8500"/>
    <n v="9520"/>
    <x v="73"/>
    <n v="46100.43"/>
    <x v="84"/>
    <n v="1101844.8"/>
    <n v="51000"/>
    <n v="-10.628035356720099"/>
    <x v="0"/>
    <x v="2"/>
  </r>
  <r>
    <s v="ORD11850"/>
    <d v="2025-01-16T00:00:00"/>
    <x v="3"/>
    <x v="3"/>
    <x v="2"/>
    <x v="1"/>
    <n v="4"/>
    <n v="4500"/>
    <n v="5220"/>
    <x v="74"/>
    <n v="19198.73"/>
    <x v="85"/>
    <n v="168084.00000000003"/>
    <n v="18000"/>
    <n v="6.2437984179161852"/>
    <x v="0"/>
    <x v="0"/>
  </r>
  <r>
    <s v="ORD10214"/>
    <d v="2025-01-17T00:00:00"/>
    <x v="14"/>
    <x v="14"/>
    <x v="3"/>
    <x v="2"/>
    <n v="6"/>
    <n v="1200"/>
    <n v="1464"/>
    <x v="75"/>
    <n v="8322.68"/>
    <x v="86"/>
    <n v="46116"/>
    <n v="7200"/>
    <n v="13.489404855166844"/>
    <x v="0"/>
    <x v="1"/>
  </r>
  <r>
    <s v="ORD10248"/>
    <d v="2025-01-17T00:00:00"/>
    <x v="14"/>
    <x v="14"/>
    <x v="3"/>
    <x v="3"/>
    <n v="2"/>
    <n v="1200"/>
    <n v="1464"/>
    <x v="76"/>
    <n v="2671.17"/>
    <x v="87"/>
    <n v="25678.559999999998"/>
    <n v="2400"/>
    <n v="10.151731263828211"/>
    <x v="0"/>
    <x v="1"/>
  </r>
  <r>
    <s v="ORD10600"/>
    <d v="2025-01-17T00:00:00"/>
    <x v="19"/>
    <x v="19"/>
    <x v="0"/>
    <x v="2"/>
    <n v="4"/>
    <n v="350"/>
    <n v="455"/>
    <x v="77"/>
    <n v="1505.44"/>
    <x v="88"/>
    <n v="31449.600000000002"/>
    <n v="1400"/>
    <n v="7.0039324051440106"/>
    <x v="0"/>
    <x v="0"/>
  </r>
  <r>
    <s v="ORD10958"/>
    <d v="2025-01-17T00:00:00"/>
    <x v="10"/>
    <x v="10"/>
    <x v="4"/>
    <x v="0"/>
    <n v="6"/>
    <n v="3200"/>
    <n v="3840"/>
    <x v="27"/>
    <n v="22118.400000000001"/>
    <x v="89"/>
    <n v="92160"/>
    <n v="19200"/>
    <n v="13.194444444444445"/>
    <x v="0"/>
    <x v="1"/>
  </r>
  <r>
    <s v="ORD11198"/>
    <d v="2025-01-17T00:00:00"/>
    <x v="7"/>
    <x v="7"/>
    <x v="5"/>
    <x v="3"/>
    <n v="10"/>
    <n v="300"/>
    <n v="405"/>
    <x v="78"/>
    <n v="3633.7"/>
    <x v="90"/>
    <n v="41634"/>
    <n v="3000"/>
    <n v="17.439524451660844"/>
    <x v="0"/>
    <x v="1"/>
  </r>
  <r>
    <s v="ORD11502"/>
    <d v="2025-01-17T00:00:00"/>
    <x v="3"/>
    <x v="3"/>
    <x v="2"/>
    <x v="3"/>
    <n v="7"/>
    <n v="4500"/>
    <n v="5220"/>
    <x v="79"/>
    <n v="33786.03"/>
    <x v="91"/>
    <n v="275511.59999999998"/>
    <n v="31500"/>
    <n v="6.7661989289656121"/>
    <x v="0"/>
    <x v="0"/>
  </r>
  <r>
    <s v="ORD11577"/>
    <d v="2025-01-17T00:00:00"/>
    <x v="7"/>
    <x v="7"/>
    <x v="5"/>
    <x v="1"/>
    <n v="6"/>
    <n v="300"/>
    <n v="405"/>
    <x v="80"/>
    <n v="2089.3000000000002"/>
    <x v="92"/>
    <n v="34068.6"/>
    <n v="1800"/>
    <n v="13.84674292825348"/>
    <x v="0"/>
    <x v="1"/>
  </r>
  <r>
    <s v="ORD11736"/>
    <d v="2025-01-17T00:00:00"/>
    <x v="15"/>
    <x v="15"/>
    <x v="0"/>
    <x v="3"/>
    <n v="7"/>
    <n v="550"/>
    <n v="742.5"/>
    <x v="81"/>
    <n v="4230.92"/>
    <x v="93"/>
    <n v="96673.500000000015"/>
    <n v="3850"/>
    <n v="9.0032427935295392"/>
    <x v="0"/>
    <x v="0"/>
  </r>
  <r>
    <s v="ORD10321"/>
    <d v="2025-01-18T00:00:00"/>
    <x v="12"/>
    <x v="12"/>
    <x v="2"/>
    <x v="2"/>
    <n v="8"/>
    <n v="6500"/>
    <n v="8125"/>
    <x v="82"/>
    <n v="61286.18"/>
    <x v="94"/>
    <n v="371150"/>
    <n v="52000"/>
    <n v="15.152159915987584"/>
    <x v="0"/>
    <x v="1"/>
  </r>
  <r>
    <s v="ORD10358"/>
    <d v="2025-01-19T00:00:00"/>
    <x v="10"/>
    <x v="10"/>
    <x v="4"/>
    <x v="3"/>
    <n v="4"/>
    <n v="3200"/>
    <n v="3840"/>
    <x v="83"/>
    <n v="13145.85"/>
    <x v="95"/>
    <n v="221491.20000000001"/>
    <n v="12800"/>
    <n v="2.6308682968389263"/>
    <x v="0"/>
    <x v="0"/>
  </r>
  <r>
    <s v="ORD10454"/>
    <d v="2025-01-19T00:00:00"/>
    <x v="11"/>
    <x v="11"/>
    <x v="0"/>
    <x v="3"/>
    <n v="3"/>
    <n v="900"/>
    <n v="1152"/>
    <x v="84"/>
    <n v="2761.89"/>
    <x v="96"/>
    <n v="69396.479999999996"/>
    <n v="2700"/>
    <n v="2.2408568045794728"/>
    <x v="0"/>
    <x v="0"/>
  </r>
  <r>
    <s v="ORD10976"/>
    <d v="2025-01-19T00:00:00"/>
    <x v="5"/>
    <x v="5"/>
    <x v="3"/>
    <x v="3"/>
    <n v="10"/>
    <n v="2500"/>
    <n v="2875"/>
    <x v="85"/>
    <n v="25915.61"/>
    <x v="97"/>
    <n v="283475"/>
    <n v="25000"/>
    <n v="3.5330443697833078"/>
    <x v="0"/>
    <x v="0"/>
  </r>
  <r>
    <s v="ORD11266"/>
    <d v="2025-01-19T00:00:00"/>
    <x v="1"/>
    <x v="1"/>
    <x v="1"/>
    <x v="2"/>
    <n v="2"/>
    <n v="45"/>
    <n v="63"/>
    <x v="86"/>
    <n v="113.38"/>
    <x v="98"/>
    <n v="1262.52"/>
    <n v="90"/>
    <n v="20.62092079731875"/>
    <x v="0"/>
    <x v="1"/>
  </r>
  <r>
    <s v="ORD11659"/>
    <d v="2025-01-19T00:00:00"/>
    <x v="8"/>
    <x v="8"/>
    <x v="2"/>
    <x v="2"/>
    <n v="1"/>
    <n v="900"/>
    <n v="1170"/>
    <x v="87"/>
    <n v="1071.05"/>
    <x v="99"/>
    <n v="9898.2000000000007"/>
    <n v="900"/>
    <n v="15.970309509359975"/>
    <x v="0"/>
    <x v="1"/>
  </r>
  <r>
    <s v="ORD11977"/>
    <d v="2025-01-19T00:00:00"/>
    <x v="17"/>
    <x v="17"/>
    <x v="0"/>
    <x v="0"/>
    <n v="1"/>
    <n v="8500"/>
    <n v="9520"/>
    <x v="28"/>
    <n v="9057.09"/>
    <x v="100"/>
    <n v="46267.200000000004"/>
    <n v="8500"/>
    <n v="6.1508718584004356"/>
    <x v="0"/>
    <x v="0"/>
  </r>
  <r>
    <s v="ORD10118"/>
    <d v="2025-01-20T00:00:00"/>
    <x v="1"/>
    <x v="1"/>
    <x v="1"/>
    <x v="2"/>
    <n v="2"/>
    <n v="45"/>
    <n v="63"/>
    <x v="88"/>
    <n v="119.16"/>
    <x v="101"/>
    <n v="684.18"/>
    <n v="90"/>
    <n v="24.471299093655592"/>
    <x v="0"/>
    <x v="1"/>
  </r>
  <r>
    <s v="ORD10397"/>
    <d v="2025-01-20T00:00:00"/>
    <x v="1"/>
    <x v="1"/>
    <x v="1"/>
    <x v="2"/>
    <n v="3"/>
    <n v="45"/>
    <n v="63"/>
    <x v="89"/>
    <n v="170.27"/>
    <x v="102"/>
    <n v="1872.99"/>
    <n v="135"/>
    <n v="20.714159863745817"/>
    <x v="0"/>
    <x v="1"/>
  </r>
  <r>
    <s v="ORD10409"/>
    <d v="2025-01-20T00:00:00"/>
    <x v="9"/>
    <x v="9"/>
    <x v="2"/>
    <x v="3"/>
    <n v="4"/>
    <n v="3000"/>
    <n v="3600"/>
    <x v="90"/>
    <n v="11024.33"/>
    <x v="103"/>
    <n v="337536"/>
    <n v="12000"/>
    <n v="-8.8501523448590529"/>
    <x v="0"/>
    <x v="2"/>
  </r>
  <r>
    <s v="ORD10422"/>
    <d v="2025-01-20T00:00:00"/>
    <x v="11"/>
    <x v="11"/>
    <x v="0"/>
    <x v="1"/>
    <n v="6"/>
    <n v="900"/>
    <n v="1152"/>
    <x v="91"/>
    <n v="6736.09"/>
    <x v="104"/>
    <n v="17625.599999999999"/>
    <n v="5400"/>
    <n v="19.834800307003022"/>
    <x v="0"/>
    <x v="1"/>
  </r>
  <r>
    <s v="ORD10631"/>
    <d v="2025-01-20T00:00:00"/>
    <x v="6"/>
    <x v="6"/>
    <x v="4"/>
    <x v="1"/>
    <n v="9"/>
    <n v="1800"/>
    <n v="2124"/>
    <x v="92"/>
    <n v="17902.98"/>
    <x v="105"/>
    <n v="121386.59999999999"/>
    <n v="16200"/>
    <n v="9.5122711414524286"/>
    <x v="0"/>
    <x v="0"/>
  </r>
  <r>
    <s v="ORD11194"/>
    <d v="2025-01-20T00:00:00"/>
    <x v="11"/>
    <x v="11"/>
    <x v="0"/>
    <x v="2"/>
    <n v="6"/>
    <n v="900"/>
    <n v="1152"/>
    <x v="93"/>
    <n v="5833.65"/>
    <x v="106"/>
    <n v="107827.2"/>
    <n v="5400"/>
    <n v="7.4335964619063537"/>
    <x v="0"/>
    <x v="0"/>
  </r>
  <r>
    <s v="ORD10209"/>
    <d v="2025-01-21T00:00:00"/>
    <x v="12"/>
    <x v="12"/>
    <x v="2"/>
    <x v="3"/>
    <n v="9"/>
    <n v="6500"/>
    <n v="8125"/>
    <x v="94"/>
    <n v="64720.95"/>
    <x v="107"/>
    <n v="840206.25"/>
    <n v="58500"/>
    <n v="9.6119571792441239"/>
    <x v="0"/>
    <x v="0"/>
  </r>
  <r>
    <s v="ORD10557"/>
    <d v="2025-01-21T00:00:00"/>
    <x v="13"/>
    <x v="13"/>
    <x v="6"/>
    <x v="3"/>
    <n v="4"/>
    <n v="900"/>
    <n v="1170"/>
    <x v="95"/>
    <n v="3797.99"/>
    <x v="108"/>
    <n v="88218"/>
    <n v="3600"/>
    <n v="5.2130205714075082"/>
    <x v="0"/>
    <x v="0"/>
  </r>
  <r>
    <s v="ORD10574"/>
    <d v="2025-01-21T00:00:00"/>
    <x v="1"/>
    <x v="1"/>
    <x v="1"/>
    <x v="0"/>
    <n v="2"/>
    <n v="45"/>
    <n v="63"/>
    <x v="38"/>
    <n v="108.32"/>
    <x v="109"/>
    <n v="1767.78"/>
    <n v="90"/>
    <n v="16.912850812407683"/>
    <x v="0"/>
    <x v="1"/>
  </r>
  <r>
    <s v="ORD10703"/>
    <d v="2025-01-21T00:00:00"/>
    <x v="11"/>
    <x v="11"/>
    <x v="0"/>
    <x v="1"/>
    <n v="1"/>
    <n v="900"/>
    <n v="1152"/>
    <x v="96"/>
    <n v="919.18"/>
    <x v="110"/>
    <n v="23281.920000000002"/>
    <n v="900"/>
    <n v="2.0866424421767227"/>
    <x v="0"/>
    <x v="0"/>
  </r>
  <r>
    <s v="ORD10780"/>
    <d v="2025-01-21T00:00:00"/>
    <x v="16"/>
    <x v="16"/>
    <x v="0"/>
    <x v="1"/>
    <n v="9"/>
    <n v="1100"/>
    <n v="1298"/>
    <x v="97"/>
    <n v="11159.86"/>
    <x v="111"/>
    <n v="52218.539999999994"/>
    <n v="9900"/>
    <n v="11.289209721268904"/>
    <x v="0"/>
    <x v="1"/>
  </r>
  <r>
    <s v="ORD10893"/>
    <d v="2025-01-21T00:00:00"/>
    <x v="4"/>
    <x v="4"/>
    <x v="3"/>
    <x v="1"/>
    <n v="4"/>
    <n v="180"/>
    <n v="243"/>
    <x v="98"/>
    <n v="838.39"/>
    <x v="112"/>
    <n v="13365"/>
    <n v="720"/>
    <n v="14.121113085795395"/>
    <x v="0"/>
    <x v="1"/>
  </r>
  <r>
    <s v="ORD11150"/>
    <d v="2025-01-21T00:00:00"/>
    <x v="10"/>
    <x v="10"/>
    <x v="4"/>
    <x v="1"/>
    <n v="4"/>
    <n v="3200"/>
    <n v="3840"/>
    <x v="99"/>
    <n v="12167.32"/>
    <x v="113"/>
    <n v="319334.39999999997"/>
    <n v="12800"/>
    <n v="-5.1998303652735354"/>
    <x v="0"/>
    <x v="2"/>
  </r>
  <r>
    <s v="ORD11337"/>
    <d v="2025-01-21T00:00:00"/>
    <x v="4"/>
    <x v="4"/>
    <x v="3"/>
    <x v="1"/>
    <n v="3"/>
    <n v="180"/>
    <n v="243"/>
    <x v="100"/>
    <n v="559.89"/>
    <x v="114"/>
    <n v="16912.8"/>
    <n v="540"/>
    <n v="3.5524835235492684"/>
    <x v="0"/>
    <x v="0"/>
  </r>
  <r>
    <s v="ORD11428"/>
    <d v="2025-01-21T00:00:00"/>
    <x v="10"/>
    <x v="10"/>
    <x v="4"/>
    <x v="1"/>
    <n v="7"/>
    <n v="3200"/>
    <n v="3840"/>
    <x v="27"/>
    <n v="25804.799999999999"/>
    <x v="115"/>
    <n v="107520"/>
    <n v="22400"/>
    <n v="13.194444444444445"/>
    <x v="0"/>
    <x v="1"/>
  </r>
  <r>
    <s v="ORD11475"/>
    <d v="2025-01-21T00:00:00"/>
    <x v="3"/>
    <x v="3"/>
    <x v="2"/>
    <x v="1"/>
    <n v="7"/>
    <n v="4500"/>
    <n v="5220"/>
    <x v="27"/>
    <n v="35078.400000000001"/>
    <x v="116"/>
    <n v="146160"/>
    <n v="31500"/>
    <n v="10.201149425287356"/>
    <x v="0"/>
    <x v="1"/>
  </r>
  <r>
    <s v="ORD10338"/>
    <d v="2025-01-22T00:00:00"/>
    <x v="1"/>
    <x v="1"/>
    <x v="1"/>
    <x v="3"/>
    <n v="6"/>
    <n v="45"/>
    <n v="63"/>
    <x v="101"/>
    <n v="305.25"/>
    <x v="117"/>
    <n v="7276.5"/>
    <n v="270"/>
    <n v="11.547911547911548"/>
    <x v="0"/>
    <x v="1"/>
  </r>
  <r>
    <s v="ORD10609"/>
    <d v="2025-01-22T00:00:00"/>
    <x v="4"/>
    <x v="4"/>
    <x v="3"/>
    <x v="1"/>
    <n v="8"/>
    <n v="180"/>
    <n v="243"/>
    <x v="9"/>
    <n v="1944"/>
    <x v="118"/>
    <n v="0"/>
    <n v="1440"/>
    <n v="25.925925925925924"/>
    <x v="0"/>
    <x v="1"/>
  </r>
  <r>
    <s v="ORD11245"/>
    <d v="2025-01-22T00:00:00"/>
    <x v="12"/>
    <x v="12"/>
    <x v="2"/>
    <x v="0"/>
    <n v="6"/>
    <n v="6500"/>
    <n v="8125"/>
    <x v="102"/>
    <n v="38270.129999999997"/>
    <x v="119"/>
    <n v="1048125"/>
    <n v="39000"/>
    <n v="-1.9071531766419398"/>
    <x v="0"/>
    <x v="2"/>
  </r>
  <r>
    <s v="ORD11358"/>
    <d v="2025-01-22T00:00:00"/>
    <x v="19"/>
    <x v="19"/>
    <x v="0"/>
    <x v="1"/>
    <n v="7"/>
    <n v="350"/>
    <n v="455"/>
    <x v="103"/>
    <n v="2717.32"/>
    <x v="120"/>
    <n v="46755.799999999996"/>
    <n v="2450"/>
    <n v="9.8376341395198192"/>
    <x v="0"/>
    <x v="0"/>
  </r>
  <r>
    <s v="ORD11851"/>
    <d v="2025-01-22T00:00:00"/>
    <x v="7"/>
    <x v="7"/>
    <x v="5"/>
    <x v="3"/>
    <n v="8"/>
    <n v="300"/>
    <n v="405"/>
    <x v="58"/>
    <n v="2733.22"/>
    <x v="121"/>
    <n v="50673.599999999999"/>
    <n v="2400"/>
    <n v="12.191481110192376"/>
    <x v="0"/>
    <x v="1"/>
  </r>
  <r>
    <s v="ORD11948"/>
    <d v="2025-01-22T00:00:00"/>
    <x v="10"/>
    <x v="10"/>
    <x v="4"/>
    <x v="0"/>
    <n v="1"/>
    <n v="3200"/>
    <n v="3840"/>
    <x v="104"/>
    <n v="3557.03"/>
    <x v="122"/>
    <n v="28300.799999999999"/>
    <n v="3200"/>
    <n v="10.037306404500383"/>
    <x v="0"/>
    <x v="1"/>
  </r>
  <r>
    <s v="ORD10359"/>
    <d v="2025-01-23T00:00:00"/>
    <x v="14"/>
    <x v="14"/>
    <x v="3"/>
    <x v="3"/>
    <n v="1"/>
    <n v="1200"/>
    <n v="1464"/>
    <x v="105"/>
    <n v="1434.67"/>
    <x v="123"/>
    <n v="2928"/>
    <n v="1200"/>
    <n v="16.357071661078855"/>
    <x v="0"/>
    <x v="1"/>
  </r>
  <r>
    <s v="ORD11066"/>
    <d v="2025-01-23T00:00:00"/>
    <x v="15"/>
    <x v="15"/>
    <x v="0"/>
    <x v="2"/>
    <n v="6"/>
    <n v="550"/>
    <n v="742.5"/>
    <x v="106"/>
    <n v="4040.25"/>
    <x v="124"/>
    <n v="41476.050000000003"/>
    <n v="3300"/>
    <n v="18.321886021904586"/>
    <x v="0"/>
    <x v="1"/>
  </r>
  <r>
    <s v="ORD11293"/>
    <d v="2025-01-23T00:00:00"/>
    <x v="14"/>
    <x v="14"/>
    <x v="3"/>
    <x v="0"/>
    <n v="8"/>
    <n v="1200"/>
    <n v="1464"/>
    <x v="107"/>
    <n v="10254.5"/>
    <x v="125"/>
    <n v="145697.28"/>
    <n v="9600"/>
    <n v="6.3825637524989025"/>
    <x v="0"/>
    <x v="0"/>
  </r>
  <r>
    <s v="ORD11346"/>
    <d v="2025-01-23T00:00:00"/>
    <x v="10"/>
    <x v="10"/>
    <x v="4"/>
    <x v="1"/>
    <n v="9"/>
    <n v="3200"/>
    <n v="3840"/>
    <x v="108"/>
    <n v="29986.39"/>
    <x v="126"/>
    <n v="457228.79999999999"/>
    <n v="28800"/>
    <n v="3.9564282329416787"/>
    <x v="0"/>
    <x v="0"/>
  </r>
  <r>
    <s v="ORD11416"/>
    <d v="2025-01-23T00:00:00"/>
    <x v="6"/>
    <x v="6"/>
    <x v="4"/>
    <x v="2"/>
    <n v="4"/>
    <n v="1800"/>
    <n v="2124"/>
    <x v="109"/>
    <n v="6476.13"/>
    <x v="127"/>
    <n v="201949.91999999998"/>
    <n v="7200"/>
    <n v="-11.177508789971789"/>
    <x v="0"/>
    <x v="2"/>
  </r>
  <r>
    <s v="ORD10410"/>
    <d v="2025-01-24T00:00:00"/>
    <x v="19"/>
    <x v="19"/>
    <x v="0"/>
    <x v="0"/>
    <n v="7"/>
    <n v="350"/>
    <n v="455"/>
    <x v="72"/>
    <n v="2532.59"/>
    <x v="128"/>
    <n v="65228.800000000003"/>
    <n v="2450"/>
    <n v="3.261088450953372"/>
    <x v="0"/>
    <x v="0"/>
  </r>
  <r>
    <s v="ORD10436"/>
    <d v="2025-01-24T00:00:00"/>
    <x v="4"/>
    <x v="4"/>
    <x v="3"/>
    <x v="0"/>
    <n v="6"/>
    <n v="180"/>
    <n v="243"/>
    <x v="110"/>
    <n v="1049.8"/>
    <x v="129"/>
    <n v="40824"/>
    <n v="1080"/>
    <n v="-2.8767384263669271"/>
    <x v="0"/>
    <x v="2"/>
  </r>
  <r>
    <s v="ORD11421"/>
    <d v="2025-01-24T00:00:00"/>
    <x v="10"/>
    <x v="10"/>
    <x v="4"/>
    <x v="1"/>
    <n v="3"/>
    <n v="3200"/>
    <n v="3840"/>
    <x v="111"/>
    <n v="10160.41"/>
    <x v="130"/>
    <n v="135936"/>
    <n v="9600"/>
    <n v="5.5156238773829003"/>
    <x v="0"/>
    <x v="0"/>
  </r>
  <r>
    <s v="ORD11505"/>
    <d v="2025-01-24T00:00:00"/>
    <x v="8"/>
    <x v="8"/>
    <x v="2"/>
    <x v="3"/>
    <n v="3"/>
    <n v="900"/>
    <n v="1170"/>
    <x v="112"/>
    <n v="3423.49"/>
    <x v="131"/>
    <n v="8634.6"/>
    <n v="2700"/>
    <n v="21.133112700781954"/>
    <x v="0"/>
    <x v="1"/>
  </r>
  <r>
    <s v="ORD11800"/>
    <d v="2025-01-24T00:00:00"/>
    <x v="18"/>
    <x v="18"/>
    <x v="1"/>
    <x v="2"/>
    <n v="10"/>
    <n v="80"/>
    <n v="116"/>
    <x v="113"/>
    <n v="1050.67"/>
    <x v="132"/>
    <n v="10927.2"/>
    <n v="800"/>
    <n v="23.858109587215772"/>
    <x v="0"/>
    <x v="1"/>
  </r>
  <r>
    <s v="ORD11801"/>
    <d v="2025-01-24T00:00:00"/>
    <x v="13"/>
    <x v="13"/>
    <x v="6"/>
    <x v="0"/>
    <n v="3"/>
    <n v="900"/>
    <n v="1170"/>
    <x v="114"/>
    <n v="3428.44"/>
    <x v="133"/>
    <n v="8143.2"/>
    <n v="2700"/>
    <n v="21.246981134276815"/>
    <x v="0"/>
    <x v="1"/>
  </r>
  <r>
    <s v="ORD10090"/>
    <d v="2025-01-25T00:00:00"/>
    <x v="1"/>
    <x v="1"/>
    <x v="1"/>
    <x v="1"/>
    <n v="9"/>
    <n v="45"/>
    <n v="63"/>
    <x v="115"/>
    <n v="517"/>
    <x v="134"/>
    <n v="5000.9400000000005"/>
    <n v="405"/>
    <n v="21.663442940038685"/>
    <x v="0"/>
    <x v="1"/>
  </r>
  <r>
    <s v="ORD10103"/>
    <d v="2025-01-25T00:00:00"/>
    <x v="8"/>
    <x v="8"/>
    <x v="2"/>
    <x v="0"/>
    <n v="5"/>
    <n v="900"/>
    <n v="1170"/>
    <x v="116"/>
    <n v="5361.28"/>
    <x v="135"/>
    <n v="48847.5"/>
    <n v="4500"/>
    <n v="16.064820341411007"/>
    <x v="0"/>
    <x v="1"/>
  </r>
  <r>
    <s v="ORD10106"/>
    <d v="2025-01-25T00:00:00"/>
    <x v="11"/>
    <x v="11"/>
    <x v="0"/>
    <x v="3"/>
    <n v="1"/>
    <n v="900"/>
    <n v="1152"/>
    <x v="36"/>
    <n v="954.64"/>
    <x v="136"/>
    <n v="19733.759999999998"/>
    <n v="900"/>
    <n v="5.7236235649040479"/>
    <x v="0"/>
    <x v="0"/>
  </r>
  <r>
    <s v="ORD10715"/>
    <d v="2025-01-25T00:00:00"/>
    <x v="7"/>
    <x v="7"/>
    <x v="5"/>
    <x v="0"/>
    <n v="2"/>
    <n v="300"/>
    <n v="405"/>
    <x v="117"/>
    <n v="685.93"/>
    <x v="137"/>
    <n v="12409.2"/>
    <n v="600"/>
    <n v="12.527517385155923"/>
    <x v="0"/>
    <x v="1"/>
  </r>
  <r>
    <s v="ORD11276"/>
    <d v="2025-01-25T00:00:00"/>
    <x v="12"/>
    <x v="12"/>
    <x v="2"/>
    <x v="1"/>
    <n v="10"/>
    <n v="6500"/>
    <n v="8125"/>
    <x v="118"/>
    <n v="71296.320000000007"/>
    <x v="138"/>
    <n v="995312.5"/>
    <n v="65000"/>
    <n v="8.8311991418350893"/>
    <x v="0"/>
    <x v="0"/>
  </r>
  <r>
    <s v="ORD11583"/>
    <d v="2025-01-25T00:00:00"/>
    <x v="18"/>
    <x v="18"/>
    <x v="1"/>
    <x v="3"/>
    <n v="9"/>
    <n v="80"/>
    <n v="116"/>
    <x v="119"/>
    <n v="1015.47"/>
    <x v="139"/>
    <n v="2850.12"/>
    <n v="720"/>
    <n v="29.096871399450503"/>
    <x v="0"/>
    <x v="1"/>
  </r>
  <r>
    <s v="ORD11843"/>
    <d v="2025-01-25T00:00:00"/>
    <x v="19"/>
    <x v="19"/>
    <x v="0"/>
    <x v="3"/>
    <n v="8"/>
    <n v="350"/>
    <n v="455"/>
    <x v="120"/>
    <n v="3021.17"/>
    <x v="140"/>
    <n v="61880"/>
    <n v="2800"/>
    <n v="7.3206737787016278"/>
    <x v="0"/>
    <x v="0"/>
  </r>
  <r>
    <s v="ORD10646"/>
    <d v="2025-01-26T00:00:00"/>
    <x v="11"/>
    <x v="11"/>
    <x v="0"/>
    <x v="1"/>
    <n v="5"/>
    <n v="900"/>
    <n v="1152"/>
    <x v="121"/>
    <n v="5124.59"/>
    <x v="141"/>
    <n v="63532.799999999996"/>
    <n v="4500"/>
    <n v="12.188096998979431"/>
    <x v="0"/>
    <x v="1"/>
  </r>
  <r>
    <s v="ORD10889"/>
    <d v="2025-01-26T00:00:00"/>
    <x v="17"/>
    <x v="17"/>
    <x v="0"/>
    <x v="3"/>
    <n v="5"/>
    <n v="8500"/>
    <n v="9520"/>
    <x v="122"/>
    <n v="41604.129999999997"/>
    <x v="142"/>
    <n v="599760"/>
    <n v="42500"/>
    <n v="-2.1533198747335902"/>
    <x v="0"/>
    <x v="2"/>
  </r>
  <r>
    <s v="ORD11582"/>
    <d v="2025-01-26T00:00:00"/>
    <x v="17"/>
    <x v="17"/>
    <x v="0"/>
    <x v="0"/>
    <n v="7"/>
    <n v="8500"/>
    <n v="9520"/>
    <x v="123"/>
    <n v="60968.37"/>
    <x v="143"/>
    <n v="567106.4"/>
    <n v="59500"/>
    <n v="2.408412755663305"/>
    <x v="0"/>
    <x v="0"/>
  </r>
  <r>
    <s v="ORD11327"/>
    <d v="2025-01-27T00:00:00"/>
    <x v="4"/>
    <x v="4"/>
    <x v="3"/>
    <x v="2"/>
    <n v="1"/>
    <n v="180"/>
    <n v="243"/>
    <x v="124"/>
    <n v="208.29"/>
    <x v="144"/>
    <n v="3470.04"/>
    <n v="180"/>
    <n v="13.582025061212732"/>
    <x v="0"/>
    <x v="1"/>
  </r>
  <r>
    <s v="ORD10257"/>
    <d v="2025-01-28T00:00:00"/>
    <x v="0"/>
    <x v="0"/>
    <x v="0"/>
    <x v="3"/>
    <n v="8"/>
    <n v="500"/>
    <n v="610"/>
    <x v="125"/>
    <n v="4235.68"/>
    <x v="145"/>
    <n v="64416"/>
    <n v="4000"/>
    <n v="5.5641597098930982"/>
    <x v="0"/>
    <x v="0"/>
  </r>
  <r>
    <s v="ORD10595"/>
    <d v="2025-01-28T00:00:00"/>
    <x v="17"/>
    <x v="17"/>
    <x v="0"/>
    <x v="3"/>
    <n v="8"/>
    <n v="8500"/>
    <n v="9520"/>
    <x v="126"/>
    <n v="64846.44"/>
    <x v="146"/>
    <n v="1130976"/>
    <n v="68000"/>
    <n v="-4.8631197024848234"/>
    <x v="0"/>
    <x v="2"/>
  </r>
  <r>
    <s v="ORD10902"/>
    <d v="2025-01-28T00:00:00"/>
    <x v="5"/>
    <x v="5"/>
    <x v="3"/>
    <x v="2"/>
    <n v="2"/>
    <n v="2500"/>
    <n v="2875"/>
    <x v="127"/>
    <n v="5426.26"/>
    <x v="147"/>
    <n v="32372.5"/>
    <n v="5000"/>
    <n v="7.8555026850906513"/>
    <x v="0"/>
    <x v="0"/>
  </r>
  <r>
    <s v="ORD11023"/>
    <d v="2025-01-28T00:00:00"/>
    <x v="4"/>
    <x v="4"/>
    <x v="3"/>
    <x v="1"/>
    <n v="8"/>
    <n v="180"/>
    <n v="243"/>
    <x v="128"/>
    <n v="1711.07"/>
    <x v="148"/>
    <n v="23289.120000000003"/>
    <n v="1440"/>
    <n v="15.842133869450109"/>
    <x v="0"/>
    <x v="1"/>
  </r>
  <r>
    <s v="ORD11437"/>
    <d v="2025-01-28T00:00:00"/>
    <x v="3"/>
    <x v="3"/>
    <x v="2"/>
    <x v="1"/>
    <n v="8"/>
    <n v="4500"/>
    <n v="5220"/>
    <x v="129"/>
    <n v="34492.81"/>
    <x v="149"/>
    <n v="726623.99999999988"/>
    <n v="36000"/>
    <n v="-4.3695773119093522"/>
    <x v="0"/>
    <x v="2"/>
  </r>
  <r>
    <s v="ORD11468"/>
    <d v="2025-01-28T00:00:00"/>
    <x v="19"/>
    <x v="19"/>
    <x v="0"/>
    <x v="3"/>
    <n v="6"/>
    <n v="350"/>
    <n v="455"/>
    <x v="130"/>
    <n v="2453.91"/>
    <x v="150"/>
    <n v="27600.3"/>
    <n v="2100"/>
    <n v="14.422289326014404"/>
    <x v="0"/>
    <x v="1"/>
  </r>
  <r>
    <s v="ORD11471"/>
    <d v="2025-01-28T00:00:00"/>
    <x v="11"/>
    <x v="11"/>
    <x v="0"/>
    <x v="2"/>
    <n v="6"/>
    <n v="900"/>
    <n v="1152"/>
    <x v="131"/>
    <n v="5834.32"/>
    <x v="151"/>
    <n v="107758.08"/>
    <n v="5400"/>
    <n v="7.4442265765333415"/>
    <x v="0"/>
    <x v="0"/>
  </r>
  <r>
    <s v="ORD11574"/>
    <d v="2025-01-28T00:00:00"/>
    <x v="3"/>
    <x v="3"/>
    <x v="2"/>
    <x v="1"/>
    <n v="1"/>
    <n v="4500"/>
    <n v="5220"/>
    <x v="17"/>
    <n v="4042.6"/>
    <x v="152"/>
    <n v="117763.2"/>
    <n v="4500"/>
    <n v="-11.31450056894078"/>
    <x v="0"/>
    <x v="2"/>
  </r>
  <r>
    <s v="ORD10220"/>
    <d v="2025-01-29T00:00:00"/>
    <x v="2"/>
    <x v="2"/>
    <x v="0"/>
    <x v="2"/>
    <n v="1"/>
    <n v="6500"/>
    <n v="7150"/>
    <x v="132"/>
    <n v="4885.54"/>
    <x v="153"/>
    <n v="226440.5"/>
    <n v="6500"/>
    <n v="-33.045681746541838"/>
    <x v="0"/>
    <x v="2"/>
  </r>
  <r>
    <s v="ORD10343"/>
    <d v="2025-01-29T00:00:00"/>
    <x v="15"/>
    <x v="15"/>
    <x v="0"/>
    <x v="1"/>
    <n v="10"/>
    <n v="550"/>
    <n v="742.5"/>
    <x v="7"/>
    <n v="6799.5"/>
    <x v="154"/>
    <n v="62518.5"/>
    <n v="5500"/>
    <n v="19.111699389661005"/>
    <x v="0"/>
    <x v="1"/>
  </r>
  <r>
    <s v="ORD11506"/>
    <d v="2025-01-29T00:00:00"/>
    <x v="6"/>
    <x v="6"/>
    <x v="4"/>
    <x v="3"/>
    <n v="8"/>
    <n v="1800"/>
    <n v="2124"/>
    <x v="133"/>
    <n v="15183.34"/>
    <x v="155"/>
    <n v="180794.88"/>
    <n v="14400"/>
    <n v="5.1592073944204637"/>
    <x v="0"/>
    <x v="0"/>
  </r>
  <r>
    <s v="ORD11993"/>
    <d v="2025-01-29T00:00:00"/>
    <x v="17"/>
    <x v="17"/>
    <x v="0"/>
    <x v="3"/>
    <n v="8"/>
    <n v="8500"/>
    <n v="9520"/>
    <x v="27"/>
    <n v="73113.600000000006"/>
    <x v="156"/>
    <n v="304640"/>
    <n v="68000"/>
    <n v="6.9940476190476195"/>
    <x v="0"/>
    <x v="0"/>
  </r>
  <r>
    <s v="ORD10021"/>
    <d v="2025-01-30T00:00:00"/>
    <x v="1"/>
    <x v="1"/>
    <x v="1"/>
    <x v="0"/>
    <n v="2"/>
    <n v="45"/>
    <n v="63"/>
    <x v="134"/>
    <n v="120.43"/>
    <x v="157"/>
    <n v="556.91999999999996"/>
    <n v="90"/>
    <n v="25.267790417670017"/>
    <x v="0"/>
    <x v="1"/>
  </r>
  <r>
    <s v="ORD10360"/>
    <d v="2025-01-30T00:00:00"/>
    <x v="1"/>
    <x v="1"/>
    <x v="1"/>
    <x v="1"/>
    <n v="3"/>
    <n v="45"/>
    <n v="63"/>
    <x v="135"/>
    <n v="156.77000000000001"/>
    <x v="158"/>
    <n v="3222.4500000000003"/>
    <n v="135"/>
    <n v="13.886585443643554"/>
    <x v="0"/>
    <x v="1"/>
  </r>
  <r>
    <s v="ORD10449"/>
    <d v="2025-01-30T00:00:00"/>
    <x v="1"/>
    <x v="1"/>
    <x v="1"/>
    <x v="2"/>
    <n v="4"/>
    <n v="45"/>
    <n v="63"/>
    <x v="136"/>
    <n v="230.44"/>
    <x v="159"/>
    <n v="2157.1200000000003"/>
    <n v="180"/>
    <n v="21.888561013712895"/>
    <x v="0"/>
    <x v="1"/>
  </r>
  <r>
    <s v="ORD10807"/>
    <d v="2025-01-30T00:00:00"/>
    <x v="17"/>
    <x v="17"/>
    <x v="0"/>
    <x v="2"/>
    <n v="4"/>
    <n v="8500"/>
    <n v="9520"/>
    <x v="27"/>
    <n v="36556.800000000003"/>
    <x v="160"/>
    <n v="152320"/>
    <n v="34000"/>
    <n v="6.9940476190476195"/>
    <x v="0"/>
    <x v="0"/>
  </r>
  <r>
    <s v="ORD11055"/>
    <d v="2025-01-30T00:00:00"/>
    <x v="15"/>
    <x v="15"/>
    <x v="0"/>
    <x v="0"/>
    <n v="3"/>
    <n v="550"/>
    <n v="742.5"/>
    <x v="137"/>
    <n v="1936.62"/>
    <x v="161"/>
    <n v="29091.15"/>
    <n v="1650"/>
    <n v="14.800012392725471"/>
    <x v="0"/>
    <x v="1"/>
  </r>
  <r>
    <s v="ORD11115"/>
    <d v="2025-01-30T00:00:00"/>
    <x v="5"/>
    <x v="5"/>
    <x v="3"/>
    <x v="1"/>
    <n v="1"/>
    <n v="2500"/>
    <n v="2875"/>
    <x v="138"/>
    <n v="2802.08"/>
    <x v="162"/>
    <n v="7302.5"/>
    <n v="2500"/>
    <n v="10.780563010335181"/>
    <x v="0"/>
    <x v="1"/>
  </r>
  <r>
    <s v="ORD11271"/>
    <d v="2025-01-30T00:00:00"/>
    <x v="19"/>
    <x v="19"/>
    <x v="0"/>
    <x v="2"/>
    <n v="2"/>
    <n v="350"/>
    <n v="455"/>
    <x v="139"/>
    <n v="889.74"/>
    <x v="163"/>
    <n v="2029.3"/>
    <n v="700"/>
    <n v="21.32533099557174"/>
    <x v="0"/>
    <x v="1"/>
  </r>
  <r>
    <s v="ORD11359"/>
    <d v="2025-01-30T00:00:00"/>
    <x v="7"/>
    <x v="7"/>
    <x v="5"/>
    <x v="0"/>
    <n v="6"/>
    <n v="300"/>
    <n v="405"/>
    <x v="140"/>
    <n v="2284.19"/>
    <x v="164"/>
    <n v="14580"/>
    <n v="1800"/>
    <n v="21.19744854850078"/>
    <x v="0"/>
    <x v="1"/>
  </r>
  <r>
    <s v="ORD11840"/>
    <d v="2025-01-30T00:00:00"/>
    <x v="11"/>
    <x v="11"/>
    <x v="0"/>
    <x v="2"/>
    <n v="10"/>
    <n v="900"/>
    <n v="1152"/>
    <x v="141"/>
    <n v="11432.14"/>
    <x v="165"/>
    <n v="8755.2000000000007"/>
    <n v="9000"/>
    <n v="21.274582011766828"/>
    <x v="0"/>
    <x v="1"/>
  </r>
  <r>
    <s v="ORD10116"/>
    <d v="2025-01-31T00:00:00"/>
    <x v="3"/>
    <x v="3"/>
    <x v="2"/>
    <x v="2"/>
    <n v="7"/>
    <n v="4500"/>
    <n v="5220"/>
    <x v="142"/>
    <n v="30271.5"/>
    <x v="166"/>
    <n v="627026.4"/>
    <n v="31500"/>
    <n v="-4.0582726326742975"/>
    <x v="0"/>
    <x v="2"/>
  </r>
  <r>
    <s v="ORD10528"/>
    <d v="2025-01-31T00:00:00"/>
    <x v="0"/>
    <x v="0"/>
    <x v="0"/>
    <x v="2"/>
    <n v="8"/>
    <n v="500"/>
    <n v="610"/>
    <x v="143"/>
    <n v="4473.2700000000004"/>
    <x v="167"/>
    <n v="40650.400000000001"/>
    <n v="4000"/>
    <n v="10.579956050048397"/>
    <x v="0"/>
    <x v="1"/>
  </r>
  <r>
    <s v="ORD11096"/>
    <d v="2025-01-31T00:00:00"/>
    <x v="1"/>
    <x v="1"/>
    <x v="1"/>
    <x v="0"/>
    <n v="7"/>
    <n v="45"/>
    <n v="63"/>
    <x v="144"/>
    <n v="404.94"/>
    <x v="168"/>
    <n v="3607.3799999999997"/>
    <n v="315"/>
    <n v="22.210697881167579"/>
    <x v="0"/>
    <x v="1"/>
  </r>
  <r>
    <s v="ORD11343"/>
    <d v="2025-01-31T00:00:00"/>
    <x v="11"/>
    <x v="11"/>
    <x v="0"/>
    <x v="2"/>
    <n v="4"/>
    <n v="900"/>
    <n v="1152"/>
    <x v="145"/>
    <n v="3774.47"/>
    <x v="169"/>
    <n v="83358.720000000001"/>
    <n v="3600"/>
    <n v="4.6223708229234832"/>
    <x v="0"/>
    <x v="0"/>
  </r>
  <r>
    <s v="ORD11450"/>
    <d v="2025-01-31T00:00:00"/>
    <x v="14"/>
    <x v="14"/>
    <x v="3"/>
    <x v="0"/>
    <n v="9"/>
    <n v="1200"/>
    <n v="1464"/>
    <x v="146"/>
    <n v="11606.68"/>
    <x v="170"/>
    <n v="156926.16"/>
    <n v="10800"/>
    <n v="6.9501356115616169"/>
    <x v="0"/>
    <x v="0"/>
  </r>
  <r>
    <s v="ORD10315"/>
    <d v="2025-02-01T00:00:00"/>
    <x v="9"/>
    <x v="9"/>
    <x v="2"/>
    <x v="0"/>
    <n v="5"/>
    <n v="3000"/>
    <n v="3600"/>
    <x v="147"/>
    <n v="15998.94"/>
    <x v="171"/>
    <n v="200160"/>
    <n v="15000"/>
    <n v="6.2437886509981286"/>
    <x v="1"/>
    <x v="0"/>
  </r>
  <r>
    <s v="ORD10629"/>
    <d v="2025-02-01T00:00:00"/>
    <x v="5"/>
    <x v="5"/>
    <x v="3"/>
    <x v="0"/>
    <n v="8"/>
    <n v="2500"/>
    <n v="2875"/>
    <x v="27"/>
    <n v="22079.21"/>
    <x v="172"/>
    <n v="92000"/>
    <n v="20000"/>
    <n v="9.41704888897746"/>
    <x v="1"/>
    <x v="0"/>
  </r>
  <r>
    <s v="ORD10695"/>
    <d v="2025-02-01T00:00:00"/>
    <x v="3"/>
    <x v="3"/>
    <x v="2"/>
    <x v="2"/>
    <n v="5"/>
    <n v="4500"/>
    <n v="5220"/>
    <x v="148"/>
    <n v="20310.52"/>
    <x v="173"/>
    <n v="578898"/>
    <n v="22500"/>
    <n v="-10.780029265621954"/>
    <x v="1"/>
    <x v="2"/>
  </r>
  <r>
    <s v="ORD11347"/>
    <d v="2025-02-01T00:00:00"/>
    <x v="3"/>
    <x v="3"/>
    <x v="2"/>
    <x v="1"/>
    <n v="6"/>
    <n v="4500"/>
    <n v="5220"/>
    <x v="149"/>
    <n v="23138.13"/>
    <x v="174"/>
    <n v="818078.4"/>
    <n v="27000"/>
    <n v="-16.690501782123274"/>
    <x v="1"/>
    <x v="2"/>
  </r>
  <r>
    <s v="ORD11860"/>
    <d v="2025-02-01T00:00:00"/>
    <x v="13"/>
    <x v="13"/>
    <x v="6"/>
    <x v="3"/>
    <n v="8"/>
    <n v="900"/>
    <n v="1170"/>
    <x v="150"/>
    <n v="8515.36"/>
    <x v="175"/>
    <n v="84427.199999999997"/>
    <n v="7200"/>
    <n v="15.44691005430187"/>
    <x v="1"/>
    <x v="1"/>
  </r>
  <r>
    <s v="ORD11916"/>
    <d v="2025-02-01T00:00:00"/>
    <x v="9"/>
    <x v="9"/>
    <x v="2"/>
    <x v="1"/>
    <n v="1"/>
    <n v="3000"/>
    <n v="3600"/>
    <x v="151"/>
    <n v="2922.26"/>
    <x v="176"/>
    <n v="67788"/>
    <n v="3000"/>
    <n v="-2.6602697911890112"/>
    <x v="1"/>
    <x v="2"/>
  </r>
  <r>
    <s v="ORD11532"/>
    <d v="2025-02-02T00:00:00"/>
    <x v="10"/>
    <x v="10"/>
    <x v="4"/>
    <x v="2"/>
    <n v="10"/>
    <n v="3200"/>
    <n v="3840"/>
    <x v="152"/>
    <n v="31297.74"/>
    <x v="177"/>
    <n v="710400"/>
    <n v="32000"/>
    <n v="-2.2438041852223192"/>
    <x v="1"/>
    <x v="2"/>
  </r>
  <r>
    <s v="ORD11974"/>
    <d v="2025-02-02T00:00:00"/>
    <x v="18"/>
    <x v="18"/>
    <x v="1"/>
    <x v="0"/>
    <n v="4"/>
    <n v="80"/>
    <n v="116"/>
    <x v="134"/>
    <n v="443.49"/>
    <x v="178"/>
    <n v="2050.88"/>
    <n v="320"/>
    <n v="27.845047238945636"/>
    <x v="1"/>
    <x v="1"/>
  </r>
  <r>
    <s v="ORD10199"/>
    <d v="2025-02-03T00:00:00"/>
    <x v="0"/>
    <x v="0"/>
    <x v="0"/>
    <x v="3"/>
    <n v="5"/>
    <n v="500"/>
    <n v="610"/>
    <x v="153"/>
    <n v="2873.67"/>
    <x v="179"/>
    <n v="17629"/>
    <n v="2500"/>
    <n v="13.003232799869158"/>
    <x v="1"/>
    <x v="1"/>
  </r>
  <r>
    <s v="ORD10743"/>
    <d v="2025-02-03T00:00:00"/>
    <x v="3"/>
    <x v="3"/>
    <x v="2"/>
    <x v="2"/>
    <n v="7"/>
    <n v="4500"/>
    <n v="5220"/>
    <x v="154"/>
    <n v="31885.13"/>
    <x v="180"/>
    <n v="465519.60000000003"/>
    <n v="31500"/>
    <n v="1.2078671154861216"/>
    <x v="1"/>
    <x v="0"/>
  </r>
  <r>
    <s v="ORD11719"/>
    <d v="2025-02-03T00:00:00"/>
    <x v="7"/>
    <x v="7"/>
    <x v="5"/>
    <x v="2"/>
    <n v="5"/>
    <n v="300"/>
    <n v="405"/>
    <x v="155"/>
    <n v="1947.77"/>
    <x v="181"/>
    <n v="7715.25"/>
    <n v="1500"/>
    <n v="22.98885392012404"/>
    <x v="1"/>
    <x v="1"/>
  </r>
  <r>
    <s v="ORD10500"/>
    <d v="2025-02-04T00:00:00"/>
    <x v="14"/>
    <x v="14"/>
    <x v="3"/>
    <x v="1"/>
    <n v="5"/>
    <n v="1200"/>
    <n v="1464"/>
    <x v="156"/>
    <n v="7241.72"/>
    <x v="182"/>
    <n v="7832.4000000000005"/>
    <n v="6000"/>
    <n v="17.146755190755787"/>
    <x v="1"/>
    <x v="1"/>
  </r>
  <r>
    <s v="ORD10805"/>
    <d v="2025-02-04T00:00:00"/>
    <x v="17"/>
    <x v="17"/>
    <x v="0"/>
    <x v="0"/>
    <n v="10"/>
    <n v="8500"/>
    <n v="9520"/>
    <x v="142"/>
    <n v="78859.509999999995"/>
    <x v="183"/>
    <n v="1633632"/>
    <n v="85000"/>
    <n v="-7.7866195212219811"/>
    <x v="1"/>
    <x v="2"/>
  </r>
  <r>
    <s v="ORD10863"/>
    <d v="2025-02-04T00:00:00"/>
    <x v="19"/>
    <x v="19"/>
    <x v="0"/>
    <x v="2"/>
    <n v="7"/>
    <n v="350"/>
    <n v="455"/>
    <x v="157"/>
    <n v="2949.55"/>
    <x v="184"/>
    <n v="23537.149999999998"/>
    <n v="2450"/>
    <n v="16.936481836212302"/>
    <x v="1"/>
    <x v="1"/>
  </r>
  <r>
    <s v="ORD10876"/>
    <d v="2025-02-04T00:00:00"/>
    <x v="16"/>
    <x v="16"/>
    <x v="0"/>
    <x v="1"/>
    <n v="6"/>
    <n v="1100"/>
    <n v="1298"/>
    <x v="158"/>
    <n v="7417.95"/>
    <x v="185"/>
    <n v="36993"/>
    <n v="6600"/>
    <n v="11.026631346935476"/>
    <x v="1"/>
    <x v="1"/>
  </r>
  <r>
    <s v="ORD11122"/>
    <d v="2025-02-04T00:00:00"/>
    <x v="12"/>
    <x v="12"/>
    <x v="2"/>
    <x v="0"/>
    <n v="9"/>
    <n v="6500"/>
    <n v="8125"/>
    <x v="146"/>
    <n v="64417.09"/>
    <x v="186"/>
    <n v="870918.75"/>
    <n v="58500"/>
    <n v="9.1855903456675865"/>
    <x v="1"/>
    <x v="0"/>
  </r>
  <r>
    <s v="ORD11259"/>
    <d v="2025-02-04T00:00:00"/>
    <x v="4"/>
    <x v="4"/>
    <x v="3"/>
    <x v="1"/>
    <n v="6"/>
    <n v="180"/>
    <n v="243"/>
    <x v="159"/>
    <n v="1406.05"/>
    <x v="187"/>
    <n v="5190.4800000000005"/>
    <n v="1080"/>
    <n v="23.189075779666442"/>
    <x v="1"/>
    <x v="1"/>
  </r>
  <r>
    <s v="ORD11289"/>
    <d v="2025-02-04T00:00:00"/>
    <x v="4"/>
    <x v="4"/>
    <x v="3"/>
    <x v="2"/>
    <n v="2"/>
    <n v="180"/>
    <n v="243"/>
    <x v="27"/>
    <n v="466.58"/>
    <x v="188"/>
    <n v="1944"/>
    <n v="360"/>
    <n v="22.842813665395003"/>
    <x v="1"/>
    <x v="1"/>
  </r>
  <r>
    <s v="ORD10006"/>
    <d v="2025-02-05T00:00:00"/>
    <x v="12"/>
    <x v="12"/>
    <x v="2"/>
    <x v="3"/>
    <n v="5"/>
    <n v="6500"/>
    <n v="8125"/>
    <x v="27"/>
    <n v="39000"/>
    <x v="189"/>
    <n v="162500"/>
    <n v="32500"/>
    <n v="16.666666666666664"/>
    <x v="1"/>
    <x v="1"/>
  </r>
  <r>
    <s v="ORD10531"/>
    <d v="2025-02-05T00:00:00"/>
    <x v="5"/>
    <x v="5"/>
    <x v="3"/>
    <x v="2"/>
    <n v="5"/>
    <n v="2500"/>
    <n v="2875"/>
    <x v="160"/>
    <n v="11792.58"/>
    <x v="190"/>
    <n v="258175"/>
    <n v="12500"/>
    <n v="-5.9988569083270997"/>
    <x v="1"/>
    <x v="2"/>
  </r>
  <r>
    <s v="ORD11694"/>
    <d v="2025-02-05T00:00:00"/>
    <x v="13"/>
    <x v="13"/>
    <x v="6"/>
    <x v="2"/>
    <n v="7"/>
    <n v="900"/>
    <n v="1170"/>
    <x v="161"/>
    <n v="7779.07"/>
    <x v="191"/>
    <n v="41113.799999999996"/>
    <n v="6300"/>
    <n v="19.013455335920618"/>
    <x v="1"/>
    <x v="1"/>
  </r>
  <r>
    <s v="ORD10955"/>
    <d v="2025-02-06T00:00:00"/>
    <x v="6"/>
    <x v="6"/>
    <x v="4"/>
    <x v="2"/>
    <n v="6"/>
    <n v="1800"/>
    <n v="2124"/>
    <x v="162"/>
    <n v="10345.19"/>
    <x v="192"/>
    <n v="239842.08000000002"/>
    <n v="10800"/>
    <n v="-4.3963426481292274"/>
    <x v="1"/>
    <x v="2"/>
  </r>
  <r>
    <s v="ORD11118"/>
    <d v="2025-02-06T00:00:00"/>
    <x v="18"/>
    <x v="18"/>
    <x v="1"/>
    <x v="3"/>
    <n v="3"/>
    <n v="80"/>
    <n v="116"/>
    <x v="163"/>
    <n v="289.76"/>
    <x v="193"/>
    <n v="5825.5199999999995"/>
    <n v="240"/>
    <n v="17.172832689122032"/>
    <x v="1"/>
    <x v="1"/>
  </r>
  <r>
    <s v="ORD11277"/>
    <d v="2025-02-06T00:00:00"/>
    <x v="6"/>
    <x v="6"/>
    <x v="4"/>
    <x v="0"/>
    <n v="9"/>
    <n v="1800"/>
    <n v="2124"/>
    <x v="164"/>
    <n v="14909.38"/>
    <x v="194"/>
    <n v="420743.16000000003"/>
    <n v="16200"/>
    <n v="-8.6564297106921941"/>
    <x v="1"/>
    <x v="2"/>
  </r>
  <r>
    <s v="ORD11279"/>
    <d v="2025-02-06T00:00:00"/>
    <x v="4"/>
    <x v="4"/>
    <x v="3"/>
    <x v="2"/>
    <n v="4"/>
    <n v="180"/>
    <n v="243"/>
    <x v="165"/>
    <n v="918.55"/>
    <x v="195"/>
    <n v="5346"/>
    <n v="720"/>
    <n v="21.615589788253228"/>
    <x v="1"/>
    <x v="1"/>
  </r>
  <r>
    <s v="ORD10041"/>
    <d v="2025-02-07T00:00:00"/>
    <x v="3"/>
    <x v="3"/>
    <x v="2"/>
    <x v="2"/>
    <n v="3"/>
    <n v="4500"/>
    <n v="5220"/>
    <x v="166"/>
    <n v="13750.41"/>
    <x v="196"/>
    <n v="190895.4"/>
    <n v="13500"/>
    <n v="1.8211093341943985"/>
    <x v="1"/>
    <x v="0"/>
  </r>
  <r>
    <s v="ORD10266"/>
    <d v="2025-02-07T00:00:00"/>
    <x v="15"/>
    <x v="15"/>
    <x v="0"/>
    <x v="2"/>
    <n v="1"/>
    <n v="550"/>
    <n v="742.5"/>
    <x v="167"/>
    <n v="654.96"/>
    <x v="197"/>
    <n v="8754.0749999999989"/>
    <n v="550"/>
    <n v="16.025406131672163"/>
    <x v="1"/>
    <x v="1"/>
  </r>
  <r>
    <s v="ORD10418"/>
    <d v="2025-02-07T00:00:00"/>
    <x v="5"/>
    <x v="5"/>
    <x v="3"/>
    <x v="3"/>
    <n v="1"/>
    <n v="2500"/>
    <n v="2875"/>
    <x v="168"/>
    <n v="2474.02"/>
    <x v="198"/>
    <n v="40106.25"/>
    <n v="2500"/>
    <n v="-1.0501127719258536"/>
    <x v="1"/>
    <x v="2"/>
  </r>
  <r>
    <s v="ORD10800"/>
    <d v="2025-02-07T00:00:00"/>
    <x v="19"/>
    <x v="19"/>
    <x v="0"/>
    <x v="0"/>
    <n v="5"/>
    <n v="350"/>
    <n v="455"/>
    <x v="169"/>
    <n v="2251.75"/>
    <x v="199"/>
    <n v="2320.5"/>
    <n v="1750"/>
    <n v="22.28266903519485"/>
    <x v="1"/>
    <x v="1"/>
  </r>
  <r>
    <s v="ORD10895"/>
    <d v="2025-02-07T00:00:00"/>
    <x v="3"/>
    <x v="3"/>
    <x v="2"/>
    <x v="3"/>
    <n v="5"/>
    <n v="4500"/>
    <n v="5220"/>
    <x v="170"/>
    <n v="20138.97"/>
    <x v="200"/>
    <n v="596124"/>
    <n v="22500"/>
    <n v="-11.723687954249895"/>
    <x v="1"/>
    <x v="2"/>
  </r>
  <r>
    <s v="ORD11834"/>
    <d v="2025-02-07T00:00:00"/>
    <x v="6"/>
    <x v="6"/>
    <x v="4"/>
    <x v="1"/>
    <n v="7"/>
    <n v="1800"/>
    <n v="2124"/>
    <x v="27"/>
    <n v="14273.28"/>
    <x v="201"/>
    <n v="59472"/>
    <n v="12600"/>
    <n v="11.723163841807908"/>
    <x v="1"/>
    <x v="1"/>
  </r>
  <r>
    <s v="ORD10318"/>
    <d v="2025-02-08T00:00:00"/>
    <x v="11"/>
    <x v="11"/>
    <x v="0"/>
    <x v="2"/>
    <n v="2"/>
    <n v="900"/>
    <n v="1152"/>
    <x v="171"/>
    <n v="2154.92"/>
    <x v="202"/>
    <n v="14906.88"/>
    <n v="1800"/>
    <n v="16.470216991814084"/>
    <x v="1"/>
    <x v="1"/>
  </r>
  <r>
    <s v="ORD10786"/>
    <d v="2025-02-08T00:00:00"/>
    <x v="16"/>
    <x v="16"/>
    <x v="0"/>
    <x v="2"/>
    <n v="5"/>
    <n v="1100"/>
    <n v="1298"/>
    <x v="9"/>
    <n v="6490"/>
    <x v="203"/>
    <n v="0"/>
    <n v="5500"/>
    <n v="15.254237288135593"/>
    <x v="1"/>
    <x v="1"/>
  </r>
  <r>
    <s v="ORD10965"/>
    <d v="2025-02-08T00:00:00"/>
    <x v="7"/>
    <x v="7"/>
    <x v="5"/>
    <x v="3"/>
    <n v="5"/>
    <n v="300"/>
    <n v="405"/>
    <x v="172"/>
    <n v="1857.98"/>
    <x v="204"/>
    <n v="16706.25"/>
    <n v="1500"/>
    <n v="19.267161110453287"/>
    <x v="1"/>
    <x v="1"/>
  </r>
  <r>
    <s v="ORD11022"/>
    <d v="2025-02-08T00:00:00"/>
    <x v="8"/>
    <x v="8"/>
    <x v="2"/>
    <x v="3"/>
    <n v="7"/>
    <n v="900"/>
    <n v="1170"/>
    <x v="173"/>
    <n v="7447.06"/>
    <x v="205"/>
    <n v="74283.3"/>
    <n v="6300"/>
    <n v="15.402856966373305"/>
    <x v="1"/>
    <x v="1"/>
  </r>
  <r>
    <s v="ORD11682"/>
    <d v="2025-02-08T00:00:00"/>
    <x v="17"/>
    <x v="17"/>
    <x v="0"/>
    <x v="0"/>
    <n v="3"/>
    <n v="8500"/>
    <n v="9520"/>
    <x v="174"/>
    <n v="25399.42"/>
    <x v="206"/>
    <n v="316159.2"/>
    <n v="25500"/>
    <n v="-0.39599329433506758"/>
    <x v="1"/>
    <x v="2"/>
  </r>
  <r>
    <s v="ORD11849"/>
    <d v="2025-02-08T00:00:00"/>
    <x v="16"/>
    <x v="16"/>
    <x v="0"/>
    <x v="2"/>
    <n v="10"/>
    <n v="1100"/>
    <n v="1298"/>
    <x v="175"/>
    <n v="11000.32"/>
    <x v="207"/>
    <n v="197945"/>
    <n v="11000"/>
    <n v="2.9090062834535727E-3"/>
    <x v="1"/>
    <x v="0"/>
  </r>
  <r>
    <s v="ORD10150"/>
    <d v="2025-02-09T00:00:00"/>
    <x v="17"/>
    <x v="17"/>
    <x v="0"/>
    <x v="3"/>
    <n v="4"/>
    <n v="8500"/>
    <n v="9520"/>
    <x v="176"/>
    <n v="31107.38"/>
    <x v="208"/>
    <n v="697244.79999999993"/>
    <n v="34000"/>
    <n v="-9.298822337336027"/>
    <x v="1"/>
    <x v="2"/>
  </r>
  <r>
    <s v="ORD10684"/>
    <d v="2025-02-09T00:00:00"/>
    <x v="2"/>
    <x v="2"/>
    <x v="0"/>
    <x v="0"/>
    <n v="8"/>
    <n v="6500"/>
    <n v="7150"/>
    <x v="177"/>
    <n v="47994.58"/>
    <x v="209"/>
    <n v="920348"/>
    <n v="52000"/>
    <n v="-8.3455673536470147"/>
    <x v="1"/>
    <x v="2"/>
  </r>
  <r>
    <s v="ORD11777"/>
    <d v="2025-02-09T00:00:00"/>
    <x v="4"/>
    <x v="4"/>
    <x v="3"/>
    <x v="1"/>
    <n v="1"/>
    <n v="180"/>
    <n v="243"/>
    <x v="178"/>
    <n v="238.54"/>
    <x v="210"/>
    <n v="444.69"/>
    <n v="180"/>
    <n v="24.540957491406054"/>
    <x v="1"/>
    <x v="1"/>
  </r>
  <r>
    <s v="ORD11797"/>
    <d v="2025-02-09T00:00:00"/>
    <x v="10"/>
    <x v="10"/>
    <x v="4"/>
    <x v="3"/>
    <n v="3"/>
    <n v="3200"/>
    <n v="3840"/>
    <x v="179"/>
    <n v="10445.48"/>
    <x v="211"/>
    <n v="107481.60000000001"/>
    <n v="9600"/>
    <n v="8.0942187434182067"/>
    <x v="1"/>
    <x v="0"/>
  </r>
  <r>
    <s v="ORD10744"/>
    <d v="2025-02-10T00:00:00"/>
    <x v="6"/>
    <x v="6"/>
    <x v="4"/>
    <x v="0"/>
    <n v="4"/>
    <n v="1800"/>
    <n v="2124"/>
    <x v="180"/>
    <n v="6989.92"/>
    <x v="212"/>
    <n v="150634.08000000002"/>
    <n v="7200"/>
    <n v="-3.0054707350012593"/>
    <x v="1"/>
    <x v="2"/>
  </r>
  <r>
    <s v="ORD10846"/>
    <d v="2025-02-10T00:00:00"/>
    <x v="2"/>
    <x v="2"/>
    <x v="0"/>
    <x v="0"/>
    <n v="3"/>
    <n v="6500"/>
    <n v="7150"/>
    <x v="181"/>
    <n v="19236.27"/>
    <x v="213"/>
    <n v="221364"/>
    <n v="19500"/>
    <n v="-1.3710038380621608"/>
    <x v="1"/>
    <x v="2"/>
  </r>
  <r>
    <s v="ORD10957"/>
    <d v="2025-02-10T00:00:00"/>
    <x v="7"/>
    <x v="7"/>
    <x v="5"/>
    <x v="0"/>
    <n v="1"/>
    <n v="300"/>
    <n v="405"/>
    <x v="182"/>
    <n v="395"/>
    <x v="214"/>
    <n v="1000.35"/>
    <n v="300"/>
    <n v="24.050632911392405"/>
    <x v="1"/>
    <x v="1"/>
  </r>
  <r>
    <s v="ORD10964"/>
    <d v="2025-02-10T00:00:00"/>
    <x v="13"/>
    <x v="13"/>
    <x v="6"/>
    <x v="2"/>
    <n v="1"/>
    <n v="900"/>
    <n v="1170"/>
    <x v="183"/>
    <n v="1067.02"/>
    <x v="215"/>
    <n v="10296"/>
    <n v="900"/>
    <n v="15.652939963637047"/>
    <x v="1"/>
    <x v="1"/>
  </r>
  <r>
    <s v="ORD11010"/>
    <d v="2025-02-10T00:00:00"/>
    <x v="17"/>
    <x v="17"/>
    <x v="0"/>
    <x v="1"/>
    <n v="8"/>
    <n v="8500"/>
    <n v="9520"/>
    <x v="184"/>
    <n v="72362.22"/>
    <x v="216"/>
    <n v="380038.40000000002"/>
    <n v="68000"/>
    <n v="6.028311458658953"/>
    <x v="1"/>
    <x v="0"/>
  </r>
  <r>
    <s v="ORD11064"/>
    <d v="2025-02-10T00:00:00"/>
    <x v="11"/>
    <x v="11"/>
    <x v="0"/>
    <x v="2"/>
    <n v="6"/>
    <n v="900"/>
    <n v="1152"/>
    <x v="185"/>
    <n v="5623.62"/>
    <x v="217"/>
    <n v="128839.68000000001"/>
    <n v="5400"/>
    <n v="3.9764422204914274"/>
    <x v="1"/>
    <x v="0"/>
  </r>
  <r>
    <s v="ORD11438"/>
    <d v="2025-02-10T00:00:00"/>
    <x v="16"/>
    <x v="16"/>
    <x v="0"/>
    <x v="2"/>
    <n v="9"/>
    <n v="1100"/>
    <n v="1298"/>
    <x v="9"/>
    <n v="11682"/>
    <x v="218"/>
    <n v="0"/>
    <n v="9900"/>
    <n v="15.254237288135593"/>
    <x v="1"/>
    <x v="1"/>
  </r>
  <r>
    <s v="ORD11755"/>
    <d v="2025-02-10T00:00:00"/>
    <x v="2"/>
    <x v="2"/>
    <x v="0"/>
    <x v="3"/>
    <n v="7"/>
    <n v="6500"/>
    <n v="7150"/>
    <x v="186"/>
    <n v="36025.81"/>
    <x v="219"/>
    <n v="1402401"/>
    <n v="45500"/>
    <n v="-26.298339995686433"/>
    <x v="1"/>
    <x v="2"/>
  </r>
  <r>
    <s v="ORD11787"/>
    <d v="2025-02-10T00:00:00"/>
    <x v="9"/>
    <x v="9"/>
    <x v="2"/>
    <x v="0"/>
    <n v="9"/>
    <n v="3000"/>
    <n v="3600"/>
    <x v="187"/>
    <n v="27654.53"/>
    <x v="220"/>
    <n v="474660"/>
    <n v="27000"/>
    <n v="2.3668093437133084"/>
    <x v="1"/>
    <x v="0"/>
  </r>
  <r>
    <s v="ORD10069"/>
    <d v="2025-02-11T00:00:00"/>
    <x v="10"/>
    <x v="10"/>
    <x v="4"/>
    <x v="1"/>
    <n v="1"/>
    <n v="3200"/>
    <n v="3840"/>
    <x v="188"/>
    <n v="3662.37"/>
    <x v="221"/>
    <n v="17779.2"/>
    <n v="3200"/>
    <n v="12.62488497885249"/>
    <x v="1"/>
    <x v="1"/>
  </r>
  <r>
    <s v="ORD10208"/>
    <d v="2025-02-11T00:00:00"/>
    <x v="8"/>
    <x v="8"/>
    <x v="2"/>
    <x v="2"/>
    <n v="5"/>
    <n v="900"/>
    <n v="1170"/>
    <x v="189"/>
    <n v="5242.46"/>
    <x v="222"/>
    <n v="60781.5"/>
    <n v="4500"/>
    <n v="14.16243519263857"/>
    <x v="1"/>
    <x v="1"/>
  </r>
  <r>
    <s v="ORD10210"/>
    <d v="2025-02-11T00:00:00"/>
    <x v="14"/>
    <x v="14"/>
    <x v="3"/>
    <x v="0"/>
    <n v="6"/>
    <n v="1200"/>
    <n v="1464"/>
    <x v="190"/>
    <n v="6907.9"/>
    <x v="223"/>
    <n v="187626.23999999999"/>
    <n v="7200"/>
    <n v="-4.2284920163870359"/>
    <x v="1"/>
    <x v="2"/>
  </r>
  <r>
    <s v="ORD10652"/>
    <d v="2025-02-11T00:00:00"/>
    <x v="4"/>
    <x v="4"/>
    <x v="3"/>
    <x v="1"/>
    <n v="9"/>
    <n v="180"/>
    <n v="243"/>
    <x v="191"/>
    <n v="2036.35"/>
    <x v="224"/>
    <n v="15068.429999999998"/>
    <n v="1620"/>
    <n v="20.445895843052522"/>
    <x v="1"/>
    <x v="1"/>
  </r>
  <r>
    <s v="ORD10674"/>
    <d v="2025-02-11T00:00:00"/>
    <x v="3"/>
    <x v="3"/>
    <x v="2"/>
    <x v="1"/>
    <n v="8"/>
    <n v="4500"/>
    <n v="5220"/>
    <x v="192"/>
    <n v="33702.15"/>
    <x v="225"/>
    <n v="805968"/>
    <n v="36000"/>
    <n v="-6.818111010721867"/>
    <x v="1"/>
    <x v="2"/>
  </r>
  <r>
    <s v="ORD11144"/>
    <d v="2025-02-11T00:00:00"/>
    <x v="8"/>
    <x v="8"/>
    <x v="2"/>
    <x v="3"/>
    <n v="7"/>
    <n v="900"/>
    <n v="1170"/>
    <x v="193"/>
    <n v="7027.68"/>
    <x v="226"/>
    <n v="116216.09999999999"/>
    <n v="6300"/>
    <n v="10.354483983334472"/>
    <x v="1"/>
    <x v="1"/>
  </r>
  <r>
    <s v="ORD10123"/>
    <d v="2025-02-12T00:00:00"/>
    <x v="2"/>
    <x v="2"/>
    <x v="0"/>
    <x v="1"/>
    <n v="3"/>
    <n v="6500"/>
    <n v="7150"/>
    <x v="27"/>
    <n v="20592"/>
    <x v="227"/>
    <n v="85800"/>
    <n v="19500"/>
    <n v="5.3030303030303028"/>
    <x v="1"/>
    <x v="0"/>
  </r>
  <r>
    <s v="ORD10245"/>
    <d v="2025-02-12T00:00:00"/>
    <x v="11"/>
    <x v="11"/>
    <x v="0"/>
    <x v="2"/>
    <n v="10"/>
    <n v="900"/>
    <n v="1152"/>
    <x v="66"/>
    <n v="10570.8"/>
    <x v="228"/>
    <n v="94924.800000000003"/>
    <n v="9000"/>
    <n v="14.859802474741743"/>
    <x v="1"/>
    <x v="1"/>
  </r>
  <r>
    <s v="ORD10596"/>
    <d v="2025-02-12T00:00:00"/>
    <x v="14"/>
    <x v="14"/>
    <x v="3"/>
    <x v="3"/>
    <n v="8"/>
    <n v="1200"/>
    <n v="1464"/>
    <x v="194"/>
    <n v="9297.31"/>
    <x v="229"/>
    <n v="241501.44"/>
    <n v="9600"/>
    <n v="-3.2556728774236849"/>
    <x v="1"/>
    <x v="2"/>
  </r>
  <r>
    <s v="ORD10941"/>
    <d v="2025-02-12T00:00:00"/>
    <x v="5"/>
    <x v="5"/>
    <x v="3"/>
    <x v="1"/>
    <n v="1"/>
    <n v="2500"/>
    <n v="2875"/>
    <x v="195"/>
    <n v="2217.7600000000002"/>
    <x v="230"/>
    <n v="65722.5"/>
    <n v="2500"/>
    <n v="-12.72635451987591"/>
    <x v="1"/>
    <x v="2"/>
  </r>
  <r>
    <s v="ORD11541"/>
    <d v="2025-02-12T00:00:00"/>
    <x v="10"/>
    <x v="10"/>
    <x v="4"/>
    <x v="2"/>
    <n v="5"/>
    <n v="3200"/>
    <n v="3840"/>
    <x v="196"/>
    <n v="13510.59"/>
    <x v="231"/>
    <n v="568896"/>
    <n v="16000"/>
    <n v="-18.42562019867378"/>
    <x v="1"/>
    <x v="2"/>
  </r>
  <r>
    <s v="ORD11920"/>
    <d v="2025-02-12T00:00:00"/>
    <x v="14"/>
    <x v="14"/>
    <x v="3"/>
    <x v="3"/>
    <n v="4"/>
    <n v="1200"/>
    <n v="1464"/>
    <x v="197"/>
    <n v="5481.23"/>
    <x v="232"/>
    <n v="37478.400000000001"/>
    <n v="4800"/>
    <n v="12.428414790110979"/>
    <x v="1"/>
    <x v="1"/>
  </r>
  <r>
    <s v="ORD11942"/>
    <d v="2025-02-12T00:00:00"/>
    <x v="11"/>
    <x v="11"/>
    <x v="0"/>
    <x v="1"/>
    <n v="8"/>
    <n v="900"/>
    <n v="1152"/>
    <x v="198"/>
    <n v="8119.17"/>
    <x v="233"/>
    <n v="109670.40000000001"/>
    <n v="7200"/>
    <n v="11.320984780464013"/>
    <x v="1"/>
    <x v="1"/>
  </r>
  <r>
    <s v="ORD10349"/>
    <d v="2025-02-13T00:00:00"/>
    <x v="0"/>
    <x v="0"/>
    <x v="0"/>
    <x v="0"/>
    <n v="9"/>
    <n v="500"/>
    <n v="610"/>
    <x v="199"/>
    <n v="4475.3599999999997"/>
    <x v="234"/>
    <n v="101455.2"/>
    <n v="4500"/>
    <n v="-0.55057023345607947"/>
    <x v="1"/>
    <x v="2"/>
  </r>
  <r>
    <s v="ORD10547"/>
    <d v="2025-02-13T00:00:00"/>
    <x v="10"/>
    <x v="10"/>
    <x v="4"/>
    <x v="2"/>
    <n v="4"/>
    <n v="3200"/>
    <n v="3840"/>
    <x v="78"/>
    <n v="13781.49"/>
    <x v="235"/>
    <n v="157900.79999999999"/>
    <n v="12800"/>
    <n v="7.1217988766091329"/>
    <x v="1"/>
    <x v="0"/>
  </r>
  <r>
    <s v="ORD10650"/>
    <d v="2025-02-13T00:00:00"/>
    <x v="7"/>
    <x v="7"/>
    <x v="5"/>
    <x v="2"/>
    <n v="3"/>
    <n v="300"/>
    <n v="405"/>
    <x v="200"/>
    <n v="944.89"/>
    <x v="236"/>
    <n v="27009.45"/>
    <n v="900"/>
    <n v="4.7508175554826488"/>
    <x v="1"/>
    <x v="0"/>
  </r>
  <r>
    <s v="ORD11486"/>
    <d v="2025-02-13T00:00:00"/>
    <x v="3"/>
    <x v="3"/>
    <x v="2"/>
    <x v="2"/>
    <n v="9"/>
    <n v="4500"/>
    <n v="5220"/>
    <x v="201"/>
    <n v="40174.19"/>
    <x v="237"/>
    <n v="680740.2"/>
    <n v="40500"/>
    <n v="-0.81099332681007374"/>
    <x v="1"/>
    <x v="2"/>
  </r>
  <r>
    <s v="ORD11691"/>
    <d v="2025-02-13T00:00:00"/>
    <x v="0"/>
    <x v="0"/>
    <x v="0"/>
    <x v="0"/>
    <n v="3"/>
    <n v="500"/>
    <n v="610"/>
    <x v="202"/>
    <n v="1752.9"/>
    <x v="238"/>
    <n v="7704.3"/>
    <n v="1500"/>
    <n v="14.427520109532773"/>
    <x v="1"/>
    <x v="1"/>
  </r>
  <r>
    <s v="ORD10972"/>
    <d v="2025-02-14T00:00:00"/>
    <x v="8"/>
    <x v="8"/>
    <x v="2"/>
    <x v="0"/>
    <n v="1"/>
    <n v="900"/>
    <n v="1170"/>
    <x v="9"/>
    <n v="1170"/>
    <x v="239"/>
    <n v="0"/>
    <n v="900"/>
    <n v="23.076923076923077"/>
    <x v="1"/>
    <x v="1"/>
  </r>
  <r>
    <s v="ORD11103"/>
    <d v="2025-02-14T00:00:00"/>
    <x v="17"/>
    <x v="17"/>
    <x v="0"/>
    <x v="3"/>
    <n v="3"/>
    <n v="8500"/>
    <n v="9520"/>
    <x v="203"/>
    <n v="26969.82"/>
    <x v="240"/>
    <n v="159079.20000000001"/>
    <n v="25500"/>
    <n v="5.4498695208199388"/>
    <x v="1"/>
    <x v="0"/>
  </r>
  <r>
    <s v="ORD11305"/>
    <d v="2025-02-14T00:00:00"/>
    <x v="7"/>
    <x v="7"/>
    <x v="5"/>
    <x v="3"/>
    <n v="4"/>
    <n v="300"/>
    <n v="405"/>
    <x v="204"/>
    <n v="1490.61"/>
    <x v="241"/>
    <n v="12943.800000000001"/>
    <n v="1200"/>
    <n v="19.496045243222575"/>
    <x v="1"/>
    <x v="1"/>
  </r>
  <r>
    <s v="ORD11551"/>
    <d v="2025-02-14T00:00:00"/>
    <x v="6"/>
    <x v="6"/>
    <x v="4"/>
    <x v="1"/>
    <n v="9"/>
    <n v="1800"/>
    <n v="2124"/>
    <x v="205"/>
    <n v="15237.57"/>
    <x v="242"/>
    <n v="387863.63999999996"/>
    <n v="16200"/>
    <n v="-6.3161645852980497"/>
    <x v="1"/>
    <x v="2"/>
  </r>
  <r>
    <s v="ORD10799"/>
    <d v="2025-02-15T00:00:00"/>
    <x v="17"/>
    <x v="17"/>
    <x v="0"/>
    <x v="0"/>
    <n v="7"/>
    <n v="8500"/>
    <n v="9520"/>
    <x v="206"/>
    <n v="54740.9"/>
    <x v="243"/>
    <n v="1190190.3999999999"/>
    <n v="59500"/>
    <n v="-8.6938650990392929"/>
    <x v="1"/>
    <x v="2"/>
  </r>
  <r>
    <s v="ORD10971"/>
    <d v="2025-02-15T00:00:00"/>
    <x v="16"/>
    <x v="16"/>
    <x v="0"/>
    <x v="3"/>
    <n v="10"/>
    <n v="1100"/>
    <n v="1298"/>
    <x v="192"/>
    <n v="10474.85"/>
    <x v="244"/>
    <n v="250514"/>
    <n v="11000"/>
    <n v="-5.0134369465911206"/>
    <x v="1"/>
    <x v="2"/>
  </r>
  <r>
    <s v="ORD11195"/>
    <d v="2025-02-15T00:00:00"/>
    <x v="14"/>
    <x v="14"/>
    <x v="3"/>
    <x v="2"/>
    <n v="10"/>
    <n v="1200"/>
    <n v="1464"/>
    <x v="207"/>
    <n v="13020.7"/>
    <x v="245"/>
    <n v="161918.39999999999"/>
    <n v="12000"/>
    <n v="7.8390562719362249"/>
    <x v="1"/>
    <x v="0"/>
  </r>
  <r>
    <s v="ORD11490"/>
    <d v="2025-02-15T00:00:00"/>
    <x v="17"/>
    <x v="17"/>
    <x v="0"/>
    <x v="3"/>
    <n v="4"/>
    <n v="8500"/>
    <n v="9520"/>
    <x v="208"/>
    <n v="28428.29"/>
    <x v="246"/>
    <n v="965328"/>
    <n v="34000"/>
    <n v="-19.599173921470477"/>
    <x v="1"/>
    <x v="2"/>
  </r>
  <r>
    <s v="ORD11618"/>
    <d v="2025-02-15T00:00:00"/>
    <x v="7"/>
    <x v="7"/>
    <x v="5"/>
    <x v="2"/>
    <n v="3"/>
    <n v="300"/>
    <n v="405"/>
    <x v="209"/>
    <n v="1094.24"/>
    <x v="247"/>
    <n v="12077.099999999999"/>
    <n v="900"/>
    <n v="17.751133206609154"/>
    <x v="1"/>
    <x v="1"/>
  </r>
  <r>
    <s v="ORD11791"/>
    <d v="2025-02-15T00:00:00"/>
    <x v="14"/>
    <x v="14"/>
    <x v="3"/>
    <x v="1"/>
    <n v="2"/>
    <n v="1200"/>
    <n v="1464"/>
    <x v="210"/>
    <n v="2472.88"/>
    <x v="248"/>
    <n v="45501.119999999995"/>
    <n v="2400"/>
    <n v="2.9471709100320274"/>
    <x v="1"/>
    <x v="0"/>
  </r>
  <r>
    <s v="ORD10476"/>
    <d v="2025-02-16T00:00:00"/>
    <x v="5"/>
    <x v="5"/>
    <x v="3"/>
    <x v="2"/>
    <n v="3"/>
    <n v="2500"/>
    <n v="2875"/>
    <x v="9"/>
    <n v="8625"/>
    <x v="249"/>
    <n v="0"/>
    <n v="7500"/>
    <n v="13.043478260869565"/>
    <x v="1"/>
    <x v="1"/>
  </r>
  <r>
    <s v="ORD10478"/>
    <d v="2025-02-16T00:00:00"/>
    <x v="18"/>
    <x v="18"/>
    <x v="1"/>
    <x v="1"/>
    <n v="8"/>
    <n v="80"/>
    <n v="116"/>
    <x v="10"/>
    <n v="770.48"/>
    <x v="250"/>
    <n v="15748.16"/>
    <n v="640"/>
    <n v="16.934897726092824"/>
    <x v="1"/>
    <x v="1"/>
  </r>
  <r>
    <s v="ORD10670"/>
    <d v="2025-02-16T00:00:00"/>
    <x v="19"/>
    <x v="19"/>
    <x v="0"/>
    <x v="2"/>
    <n v="8"/>
    <n v="350"/>
    <n v="455"/>
    <x v="211"/>
    <n v="3420.75"/>
    <x v="251"/>
    <n v="21912.799999999999"/>
    <n v="2800"/>
    <n v="18.146605276620626"/>
    <x v="1"/>
    <x v="1"/>
  </r>
  <r>
    <s v="ORD10765"/>
    <d v="2025-02-16T00:00:00"/>
    <x v="18"/>
    <x v="18"/>
    <x v="1"/>
    <x v="1"/>
    <n v="1"/>
    <n v="80"/>
    <n v="116"/>
    <x v="212"/>
    <n v="103.81"/>
    <x v="252"/>
    <n v="1219.1600000000001"/>
    <n v="80"/>
    <n v="22.936133320489354"/>
    <x v="1"/>
    <x v="1"/>
  </r>
  <r>
    <s v="ORD10885"/>
    <d v="2025-02-16T00:00:00"/>
    <x v="12"/>
    <x v="12"/>
    <x v="2"/>
    <x v="2"/>
    <n v="5"/>
    <n v="6500"/>
    <n v="8125"/>
    <x v="26"/>
    <n v="33076.160000000003"/>
    <x v="253"/>
    <n v="754812.49999999988"/>
    <n v="32500"/>
    <n v="1.7419192554395673"/>
    <x v="1"/>
    <x v="0"/>
  </r>
  <r>
    <s v="ORD11082"/>
    <d v="2025-02-16T00:00:00"/>
    <x v="1"/>
    <x v="1"/>
    <x v="1"/>
    <x v="0"/>
    <n v="7"/>
    <n v="45"/>
    <n v="63"/>
    <x v="213"/>
    <n v="401.87"/>
    <x v="254"/>
    <n v="3911.6699999999996"/>
    <n v="315"/>
    <n v="21.616443128374847"/>
    <x v="1"/>
    <x v="1"/>
  </r>
  <r>
    <s v="ORD11187"/>
    <d v="2025-02-16T00:00:00"/>
    <x v="4"/>
    <x v="4"/>
    <x v="3"/>
    <x v="0"/>
    <n v="4"/>
    <n v="180"/>
    <n v="243"/>
    <x v="214"/>
    <n v="876.87"/>
    <x v="255"/>
    <n v="9515.8799999999992"/>
    <n v="720"/>
    <n v="17.889767012213898"/>
    <x v="1"/>
    <x v="1"/>
  </r>
  <r>
    <s v="ORD11599"/>
    <d v="2025-02-16T00:00:00"/>
    <x v="0"/>
    <x v="0"/>
    <x v="0"/>
    <x v="0"/>
    <n v="7"/>
    <n v="500"/>
    <n v="610"/>
    <x v="215"/>
    <n v="4078.46"/>
    <x v="256"/>
    <n v="19172.3"/>
    <n v="3500"/>
    <n v="14.183294674950838"/>
    <x v="1"/>
    <x v="1"/>
  </r>
  <r>
    <s v="ORD11847"/>
    <d v="2025-02-16T00:00:00"/>
    <x v="19"/>
    <x v="19"/>
    <x v="0"/>
    <x v="2"/>
    <n v="3"/>
    <n v="350"/>
    <n v="455"/>
    <x v="216"/>
    <n v="1193.69"/>
    <x v="257"/>
    <n v="17130.75"/>
    <n v="1050"/>
    <n v="12.037463663095108"/>
    <x v="1"/>
    <x v="1"/>
  </r>
  <r>
    <s v="ORD11980"/>
    <d v="2025-02-16T00:00:00"/>
    <x v="0"/>
    <x v="0"/>
    <x v="0"/>
    <x v="2"/>
    <n v="7"/>
    <n v="500"/>
    <n v="610"/>
    <x v="217"/>
    <n v="4031.78"/>
    <x v="258"/>
    <n v="23826.6"/>
    <n v="3500"/>
    <n v="13.189707771753417"/>
    <x v="1"/>
    <x v="1"/>
  </r>
  <r>
    <s v="ORD10219"/>
    <d v="2025-02-17T00:00:00"/>
    <x v="9"/>
    <x v="9"/>
    <x v="2"/>
    <x v="2"/>
    <n v="7"/>
    <n v="3000"/>
    <n v="3600"/>
    <x v="218"/>
    <n v="22378.99"/>
    <x v="259"/>
    <n v="281988"/>
    <n v="21000"/>
    <n v="6.1619849689373822"/>
    <x v="1"/>
    <x v="0"/>
  </r>
  <r>
    <s v="ORD11069"/>
    <d v="2025-02-17T00:00:00"/>
    <x v="19"/>
    <x v="19"/>
    <x v="0"/>
    <x v="1"/>
    <n v="1"/>
    <n v="350"/>
    <n v="455"/>
    <x v="219"/>
    <n v="413.43"/>
    <x v="260"/>
    <n v="4158.7"/>
    <n v="350"/>
    <n v="15.342379604769851"/>
    <x v="1"/>
    <x v="1"/>
  </r>
  <r>
    <s v="ORD11226"/>
    <d v="2025-02-17T00:00:00"/>
    <x v="1"/>
    <x v="1"/>
    <x v="1"/>
    <x v="2"/>
    <n v="2"/>
    <n v="45"/>
    <n v="63"/>
    <x v="220"/>
    <n v="112.18"/>
    <x v="261"/>
    <n v="1382.22"/>
    <n v="90"/>
    <n v="19.771795328935639"/>
    <x v="1"/>
    <x v="1"/>
  </r>
  <r>
    <s v="ORD11649"/>
    <d v="2025-02-17T00:00:00"/>
    <x v="0"/>
    <x v="0"/>
    <x v="0"/>
    <x v="3"/>
    <n v="5"/>
    <n v="500"/>
    <n v="610"/>
    <x v="221"/>
    <n v="2549.12"/>
    <x v="262"/>
    <n v="50081.000000000007"/>
    <n v="2500"/>
    <n v="1.9269394928445895"/>
    <x v="1"/>
    <x v="0"/>
  </r>
  <r>
    <s v="ORD11870"/>
    <d v="2025-02-17T00:00:00"/>
    <x v="0"/>
    <x v="0"/>
    <x v="0"/>
    <x v="0"/>
    <n v="7"/>
    <n v="500"/>
    <n v="610"/>
    <x v="222"/>
    <n v="3902.78"/>
    <x v="263"/>
    <n v="36722"/>
    <n v="3500"/>
    <n v="10.32033576066291"/>
    <x v="1"/>
    <x v="1"/>
  </r>
  <r>
    <s v="ORD10068"/>
    <d v="2025-02-18T00:00:00"/>
    <x v="9"/>
    <x v="9"/>
    <x v="2"/>
    <x v="3"/>
    <n v="7"/>
    <n v="3000"/>
    <n v="3600"/>
    <x v="223"/>
    <n v="20162.48"/>
    <x v="264"/>
    <n v="503747.99999999994"/>
    <n v="21000"/>
    <n v="-4.1538540893778935"/>
    <x v="1"/>
    <x v="2"/>
  </r>
  <r>
    <s v="ORD10275"/>
    <d v="2025-02-18T00:00:00"/>
    <x v="8"/>
    <x v="8"/>
    <x v="2"/>
    <x v="3"/>
    <n v="7"/>
    <n v="900"/>
    <n v="1170"/>
    <x v="224"/>
    <n v="7993.96"/>
    <x v="265"/>
    <n v="19574.100000000002"/>
    <n v="6300"/>
    <n v="21.190498826614093"/>
    <x v="1"/>
    <x v="1"/>
  </r>
  <r>
    <s v="ORD10505"/>
    <d v="2025-02-18T00:00:00"/>
    <x v="7"/>
    <x v="7"/>
    <x v="5"/>
    <x v="0"/>
    <n v="6"/>
    <n v="300"/>
    <n v="405"/>
    <x v="225"/>
    <n v="2144.15"/>
    <x v="266"/>
    <n v="28576.799999999999"/>
    <n v="1800"/>
    <n v="16.050649441503626"/>
    <x v="1"/>
    <x v="1"/>
  </r>
  <r>
    <s v="ORD10628"/>
    <d v="2025-02-18T00:00:00"/>
    <x v="1"/>
    <x v="1"/>
    <x v="1"/>
    <x v="2"/>
    <n v="5"/>
    <n v="45"/>
    <n v="63"/>
    <x v="226"/>
    <n v="301.39999999999998"/>
    <x v="267"/>
    <n v="1360.8000000000002"/>
    <n v="225"/>
    <n v="25.348374253483748"/>
    <x v="1"/>
    <x v="1"/>
  </r>
  <r>
    <s v="ORD10937"/>
    <d v="2025-02-18T00:00:00"/>
    <x v="0"/>
    <x v="0"/>
    <x v="0"/>
    <x v="0"/>
    <n v="7"/>
    <n v="500"/>
    <n v="610"/>
    <x v="227"/>
    <n v="3989.53"/>
    <x v="268"/>
    <n v="28053.9"/>
    <n v="3500"/>
    <n v="12.270367687421825"/>
    <x v="1"/>
    <x v="1"/>
  </r>
  <r>
    <s v="ORD11043"/>
    <d v="2025-02-18T00:00:00"/>
    <x v="17"/>
    <x v="17"/>
    <x v="0"/>
    <x v="0"/>
    <n v="7"/>
    <n v="8500"/>
    <n v="9520"/>
    <x v="228"/>
    <n v="54196.54"/>
    <x v="269"/>
    <n v="1244168.8"/>
    <n v="59500"/>
    <n v="-9.7856062398079278"/>
    <x v="1"/>
    <x v="2"/>
  </r>
  <r>
    <s v="ORD11375"/>
    <d v="2025-02-18T00:00:00"/>
    <x v="9"/>
    <x v="9"/>
    <x v="2"/>
    <x v="2"/>
    <n v="3"/>
    <n v="3000"/>
    <n v="3600"/>
    <x v="229"/>
    <n v="9316.35"/>
    <x v="270"/>
    <n v="148392"/>
    <n v="9000"/>
    <n v="3.3956431435057723"/>
    <x v="1"/>
    <x v="0"/>
  </r>
  <r>
    <s v="ORD11481"/>
    <d v="2025-02-18T00:00:00"/>
    <x v="2"/>
    <x v="2"/>
    <x v="0"/>
    <x v="3"/>
    <n v="2"/>
    <n v="6500"/>
    <n v="7150"/>
    <x v="27"/>
    <n v="13728"/>
    <x v="271"/>
    <n v="57200"/>
    <n v="13000"/>
    <n v="5.3030303030303028"/>
    <x v="1"/>
    <x v="0"/>
  </r>
  <r>
    <s v="ORD11592"/>
    <d v="2025-02-18T00:00:00"/>
    <x v="14"/>
    <x v="14"/>
    <x v="3"/>
    <x v="0"/>
    <n v="6"/>
    <n v="1200"/>
    <n v="1464"/>
    <x v="230"/>
    <n v="7071.56"/>
    <x v="272"/>
    <n v="171288"/>
    <n v="7200"/>
    <n v="-1.8162894750238985"/>
    <x v="1"/>
    <x v="2"/>
  </r>
  <r>
    <s v="ORD11906"/>
    <d v="2025-02-18T00:00:00"/>
    <x v="10"/>
    <x v="10"/>
    <x v="4"/>
    <x v="3"/>
    <n v="1"/>
    <n v="3200"/>
    <n v="3840"/>
    <x v="231"/>
    <n v="3432.57"/>
    <x v="273"/>
    <n v="40742.399999999994"/>
    <n v="3200"/>
    <n v="6.7753898682328391"/>
    <x v="1"/>
    <x v="0"/>
  </r>
  <r>
    <s v="ORD10346"/>
    <d v="2025-02-19T00:00:00"/>
    <x v="7"/>
    <x v="7"/>
    <x v="5"/>
    <x v="2"/>
    <n v="9"/>
    <n v="300"/>
    <n v="405"/>
    <x v="232"/>
    <n v="3197.91"/>
    <x v="274"/>
    <n v="44724.15"/>
    <n v="2700"/>
    <n v="15.569856562567427"/>
    <x v="1"/>
    <x v="1"/>
  </r>
  <r>
    <s v="ORD10488"/>
    <d v="2025-02-19T00:00:00"/>
    <x v="2"/>
    <x v="2"/>
    <x v="0"/>
    <x v="0"/>
    <n v="1"/>
    <n v="6500"/>
    <n v="7150"/>
    <x v="233"/>
    <n v="6222.93"/>
    <x v="275"/>
    <n v="92735.5"/>
    <n v="6500"/>
    <n v="-4.4524042533019008"/>
    <x v="1"/>
    <x v="2"/>
  </r>
  <r>
    <s v="ORD10866"/>
    <d v="2025-02-19T00:00:00"/>
    <x v="11"/>
    <x v="11"/>
    <x v="0"/>
    <x v="1"/>
    <n v="6"/>
    <n v="900"/>
    <n v="1152"/>
    <x v="234"/>
    <n v="6748.27"/>
    <x v="276"/>
    <n v="16381.44"/>
    <n v="5400"/>
    <n v="19.979491039925787"/>
    <x v="1"/>
    <x v="1"/>
  </r>
  <r>
    <s v="ORD11639"/>
    <d v="2025-02-19T00:00:00"/>
    <x v="14"/>
    <x v="14"/>
    <x v="3"/>
    <x v="1"/>
    <n v="9"/>
    <n v="1200"/>
    <n v="1464"/>
    <x v="235"/>
    <n v="12246.43"/>
    <x v="277"/>
    <n v="93022.56"/>
    <n v="10800"/>
    <n v="11.811033909474027"/>
    <x v="1"/>
    <x v="1"/>
  </r>
  <r>
    <s v="ORD11976"/>
    <d v="2025-02-19T00:00:00"/>
    <x v="15"/>
    <x v="15"/>
    <x v="0"/>
    <x v="3"/>
    <n v="4"/>
    <n v="550"/>
    <n v="742.5"/>
    <x v="9"/>
    <n v="2970"/>
    <x v="278"/>
    <n v="0"/>
    <n v="2200"/>
    <n v="25.925925925925924"/>
    <x v="1"/>
    <x v="1"/>
  </r>
  <r>
    <s v="ORD10258"/>
    <d v="2025-02-20T00:00:00"/>
    <x v="15"/>
    <x v="15"/>
    <x v="0"/>
    <x v="0"/>
    <n v="9"/>
    <n v="550"/>
    <n v="742.5"/>
    <x v="236"/>
    <n v="6192.74"/>
    <x v="279"/>
    <n v="48982.724999999999"/>
    <n v="4950"/>
    <n v="20.067692168571586"/>
    <x v="1"/>
    <x v="1"/>
  </r>
  <r>
    <s v="ORD10498"/>
    <d v="2025-02-20T00:00:00"/>
    <x v="13"/>
    <x v="13"/>
    <x v="6"/>
    <x v="3"/>
    <n v="7"/>
    <n v="900"/>
    <n v="1170"/>
    <x v="237"/>
    <n v="7329.8"/>
    <x v="280"/>
    <n v="85995"/>
    <n v="6300"/>
    <n v="14.049496575622801"/>
    <x v="1"/>
    <x v="1"/>
  </r>
  <r>
    <s v="ORD11019"/>
    <d v="2025-02-20T00:00:00"/>
    <x v="18"/>
    <x v="18"/>
    <x v="1"/>
    <x v="0"/>
    <n v="7"/>
    <n v="80"/>
    <n v="116"/>
    <x v="238"/>
    <n v="723.85"/>
    <x v="281"/>
    <n v="8818.32"/>
    <n v="560"/>
    <n v="22.635905228983905"/>
    <x v="1"/>
    <x v="1"/>
  </r>
  <r>
    <s v="ORD11109"/>
    <d v="2025-02-20T00:00:00"/>
    <x v="7"/>
    <x v="7"/>
    <x v="5"/>
    <x v="0"/>
    <n v="1"/>
    <n v="300"/>
    <n v="405"/>
    <x v="239"/>
    <n v="358.14"/>
    <x v="282"/>
    <n v="4685.8500000000004"/>
    <n v="300"/>
    <n v="16.233875020941532"/>
    <x v="1"/>
    <x v="1"/>
  </r>
  <r>
    <s v="ORD11147"/>
    <d v="2025-02-20T00:00:00"/>
    <x v="10"/>
    <x v="10"/>
    <x v="4"/>
    <x v="2"/>
    <n v="4"/>
    <n v="3200"/>
    <n v="3840"/>
    <x v="240"/>
    <n v="12158.05"/>
    <x v="283"/>
    <n v="320256"/>
    <n v="12800"/>
    <n v="-5.2800407960158093"/>
    <x v="1"/>
    <x v="2"/>
  </r>
  <r>
    <s v="ORD11880"/>
    <d v="2025-02-20T00:00:00"/>
    <x v="11"/>
    <x v="11"/>
    <x v="0"/>
    <x v="3"/>
    <n v="10"/>
    <n v="900"/>
    <n v="1152"/>
    <x v="241"/>
    <n v="10389.91"/>
    <x v="284"/>
    <n v="113011.20000000001"/>
    <n v="9000"/>
    <n v="13.377497976402106"/>
    <x v="1"/>
    <x v="1"/>
  </r>
  <r>
    <s v="ORD10200"/>
    <d v="2025-02-21T00:00:00"/>
    <x v="5"/>
    <x v="5"/>
    <x v="3"/>
    <x v="1"/>
    <n v="4"/>
    <n v="2500"/>
    <n v="2875"/>
    <x v="9"/>
    <n v="11500"/>
    <x v="285"/>
    <n v="0"/>
    <n v="10000"/>
    <n v="13.043478260869565"/>
    <x v="1"/>
    <x v="1"/>
  </r>
  <r>
    <s v="ORD11351"/>
    <d v="2025-02-21T00:00:00"/>
    <x v="16"/>
    <x v="16"/>
    <x v="0"/>
    <x v="0"/>
    <n v="5"/>
    <n v="1100"/>
    <n v="1298"/>
    <x v="242"/>
    <n v="5793.14"/>
    <x v="286"/>
    <n v="69702.600000000006"/>
    <n v="5500"/>
    <n v="5.0601228349392553"/>
    <x v="1"/>
    <x v="0"/>
  </r>
  <r>
    <s v="ORD11594"/>
    <d v="2025-02-21T00:00:00"/>
    <x v="3"/>
    <x v="3"/>
    <x v="2"/>
    <x v="1"/>
    <n v="7"/>
    <n v="4500"/>
    <n v="5220"/>
    <x v="243"/>
    <n v="27702.13"/>
    <x v="287"/>
    <n v="883902.60000000009"/>
    <n v="31500"/>
    <n v="-13.709667812547266"/>
    <x v="1"/>
    <x v="2"/>
  </r>
  <r>
    <s v="ORD11331"/>
    <d v="2025-02-22T00:00:00"/>
    <x v="16"/>
    <x v="16"/>
    <x v="0"/>
    <x v="1"/>
    <n v="5"/>
    <n v="1100"/>
    <n v="1298"/>
    <x v="244"/>
    <n v="5700.18"/>
    <x v="288"/>
    <n v="78983.3"/>
    <n v="5500"/>
    <n v="3.5118189250164029"/>
    <x v="1"/>
    <x v="0"/>
  </r>
  <r>
    <s v="ORD11338"/>
    <d v="2025-02-22T00:00:00"/>
    <x v="1"/>
    <x v="1"/>
    <x v="1"/>
    <x v="1"/>
    <n v="1"/>
    <n v="45"/>
    <n v="63"/>
    <x v="245"/>
    <n v="60.79"/>
    <x v="289"/>
    <n v="220.5"/>
    <n v="45"/>
    <n v="25.974666886000985"/>
    <x v="1"/>
    <x v="1"/>
  </r>
  <r>
    <s v="ORD11356"/>
    <d v="2025-02-22T00:00:00"/>
    <x v="18"/>
    <x v="18"/>
    <x v="1"/>
    <x v="1"/>
    <n v="4"/>
    <n v="80"/>
    <n v="116"/>
    <x v="246"/>
    <n v="440.93"/>
    <x v="290"/>
    <n v="2306.08"/>
    <n v="320"/>
    <n v="27.426122060190959"/>
    <x v="1"/>
    <x v="1"/>
  </r>
  <r>
    <s v="ORD11485"/>
    <d v="2025-02-22T00:00:00"/>
    <x v="7"/>
    <x v="7"/>
    <x v="5"/>
    <x v="2"/>
    <n v="10"/>
    <n v="300"/>
    <n v="405"/>
    <x v="247"/>
    <n v="3668.7"/>
    <x v="291"/>
    <n v="38110.5"/>
    <n v="3000"/>
    <n v="18.227164935808325"/>
    <x v="1"/>
    <x v="1"/>
  </r>
  <r>
    <s v="ORD11488"/>
    <d v="2025-02-22T00:00:00"/>
    <x v="16"/>
    <x v="16"/>
    <x v="0"/>
    <x v="0"/>
    <n v="2"/>
    <n v="1100"/>
    <n v="1298"/>
    <x v="162"/>
    <n v="2107.35"/>
    <x v="292"/>
    <n v="48856.72"/>
    <n v="2200"/>
    <n v="-4.3965169525707646"/>
    <x v="1"/>
    <x v="2"/>
  </r>
  <r>
    <s v="ORD11963"/>
    <d v="2025-02-22T00:00:00"/>
    <x v="17"/>
    <x v="17"/>
    <x v="0"/>
    <x v="3"/>
    <n v="10"/>
    <n v="8500"/>
    <n v="9520"/>
    <x v="248"/>
    <n v="87312.51"/>
    <x v="293"/>
    <n v="789207.99999999988"/>
    <n v="85000"/>
    <n v="2.6485437195655015"/>
    <x v="1"/>
    <x v="0"/>
  </r>
  <r>
    <s v="ORD10392"/>
    <d v="2025-02-23T00:00:00"/>
    <x v="9"/>
    <x v="9"/>
    <x v="2"/>
    <x v="2"/>
    <n v="7"/>
    <n v="3000"/>
    <n v="3600"/>
    <x v="249"/>
    <n v="21002.38"/>
    <x v="294"/>
    <n v="419832"/>
    <n v="21000"/>
    <n v="1.1332049034442763E-2"/>
    <x v="1"/>
    <x v="0"/>
  </r>
  <r>
    <s v="ORD11250"/>
    <d v="2025-02-23T00:00:00"/>
    <x v="10"/>
    <x v="10"/>
    <x v="4"/>
    <x v="0"/>
    <n v="4"/>
    <n v="3200"/>
    <n v="3840"/>
    <x v="250"/>
    <n v="13193.67"/>
    <x v="295"/>
    <n v="216576"/>
    <n v="12800"/>
    <n v="2.9837793426696289"/>
    <x v="1"/>
    <x v="0"/>
  </r>
  <r>
    <s v="ORD11350"/>
    <d v="2025-02-23T00:00:00"/>
    <x v="6"/>
    <x v="6"/>
    <x v="4"/>
    <x v="1"/>
    <n v="2"/>
    <n v="1800"/>
    <n v="2124"/>
    <x v="251"/>
    <n v="3254.3"/>
    <x v="296"/>
    <n v="99360.72"/>
    <n v="3600"/>
    <n v="-10.622868205143963"/>
    <x v="1"/>
    <x v="2"/>
  </r>
  <r>
    <s v="ORD11483"/>
    <d v="2025-02-23T00:00:00"/>
    <x v="11"/>
    <x v="11"/>
    <x v="0"/>
    <x v="3"/>
    <n v="9"/>
    <n v="900"/>
    <n v="1152"/>
    <x v="252"/>
    <n v="10064.09"/>
    <x v="297"/>
    <n v="30378.240000000002"/>
    <n v="8100"/>
    <n v="19.51582308981736"/>
    <x v="1"/>
    <x v="1"/>
  </r>
  <r>
    <s v="ORD11610"/>
    <d v="2025-02-23T00:00:00"/>
    <x v="10"/>
    <x v="10"/>
    <x v="4"/>
    <x v="0"/>
    <n v="8"/>
    <n v="3200"/>
    <n v="3840"/>
    <x v="210"/>
    <n v="25945.93"/>
    <x v="298"/>
    <n v="477388.79999999999"/>
    <n v="25600"/>
    <n v="1.3332726944071769"/>
    <x v="1"/>
    <x v="0"/>
  </r>
  <r>
    <s v="ORD11819"/>
    <d v="2025-02-23T00:00:00"/>
    <x v="3"/>
    <x v="3"/>
    <x v="2"/>
    <x v="2"/>
    <n v="2"/>
    <n v="4500"/>
    <n v="5220"/>
    <x v="253"/>
    <n v="9635.42"/>
    <x v="299"/>
    <n v="80492.399999999994"/>
    <n v="9000"/>
    <n v="6.5946269078047441"/>
    <x v="1"/>
    <x v="0"/>
  </r>
  <r>
    <s v="ORD10015"/>
    <d v="2025-02-24T00:00:00"/>
    <x v="17"/>
    <x v="17"/>
    <x v="0"/>
    <x v="0"/>
    <n v="7"/>
    <n v="8500"/>
    <n v="9520"/>
    <x v="254"/>
    <n v="56366.59"/>
    <x v="300"/>
    <n v="1027588.8"/>
    <n v="59500"/>
    <n v="-5.558984497731724"/>
    <x v="1"/>
    <x v="2"/>
  </r>
  <r>
    <s v="ORD10434"/>
    <d v="2025-02-24T00:00:00"/>
    <x v="14"/>
    <x v="14"/>
    <x v="3"/>
    <x v="2"/>
    <n v="7"/>
    <n v="1200"/>
    <n v="1464"/>
    <x v="255"/>
    <n v="8596.39"/>
    <x v="301"/>
    <n v="165197.76000000001"/>
    <n v="8400"/>
    <n v="2.284563636596292"/>
    <x v="1"/>
    <x v="0"/>
  </r>
  <r>
    <s v="ORD10669"/>
    <d v="2025-02-24T00:00:00"/>
    <x v="5"/>
    <x v="5"/>
    <x v="3"/>
    <x v="3"/>
    <n v="7"/>
    <n v="2500"/>
    <n v="2875"/>
    <x v="256"/>
    <n v="18113.28"/>
    <x v="302"/>
    <n v="201250"/>
    <n v="17500"/>
    <n v="3.3858031234541732"/>
    <x v="1"/>
    <x v="0"/>
  </r>
  <r>
    <s v="ORD11326"/>
    <d v="2025-02-24T00:00:00"/>
    <x v="18"/>
    <x v="18"/>
    <x v="1"/>
    <x v="2"/>
    <n v="7"/>
    <n v="80"/>
    <n v="116"/>
    <x v="257"/>
    <n v="616.88"/>
    <x v="303"/>
    <n v="19512.36"/>
    <n v="560"/>
    <n v="9.2205939566852546"/>
    <x v="1"/>
    <x v="0"/>
  </r>
  <r>
    <s v="ORD11533"/>
    <d v="2025-02-24T00:00:00"/>
    <x v="4"/>
    <x v="4"/>
    <x v="3"/>
    <x v="2"/>
    <n v="7"/>
    <n v="180"/>
    <n v="243"/>
    <x v="258"/>
    <n v="1574.62"/>
    <x v="304"/>
    <n v="12638.43"/>
    <n v="1260"/>
    <n v="19.980693754683671"/>
    <x v="1"/>
    <x v="1"/>
  </r>
  <r>
    <s v="ORD11704"/>
    <d v="2025-02-24T00:00:00"/>
    <x v="16"/>
    <x v="16"/>
    <x v="0"/>
    <x v="3"/>
    <n v="5"/>
    <n v="1100"/>
    <n v="1298"/>
    <x v="259"/>
    <n v="5394.86"/>
    <x v="305"/>
    <n v="109486.3"/>
    <n v="5500"/>
    <n v="-1.948892093585376"/>
    <x v="1"/>
    <x v="2"/>
  </r>
  <r>
    <s v="ORD10136"/>
    <d v="2025-02-25T00:00:00"/>
    <x v="10"/>
    <x v="10"/>
    <x v="4"/>
    <x v="0"/>
    <n v="7"/>
    <n v="3200"/>
    <n v="3840"/>
    <x v="260"/>
    <n v="21851.8"/>
    <x v="306"/>
    <n v="502924.80000000005"/>
    <n v="22400"/>
    <n v="-2.5087178172965157"/>
    <x v="1"/>
    <x v="2"/>
  </r>
  <r>
    <s v="ORD11079"/>
    <d v="2025-02-25T00:00:00"/>
    <x v="9"/>
    <x v="9"/>
    <x v="2"/>
    <x v="0"/>
    <n v="1"/>
    <n v="3000"/>
    <n v="3600"/>
    <x v="261"/>
    <n v="2823.03"/>
    <x v="307"/>
    <n v="77688"/>
    <n v="3000"/>
    <n v="-6.2687962933443853"/>
    <x v="1"/>
    <x v="2"/>
  </r>
  <r>
    <s v="ORD11408"/>
    <d v="2025-02-25T00:00:00"/>
    <x v="5"/>
    <x v="5"/>
    <x v="3"/>
    <x v="1"/>
    <n v="3"/>
    <n v="2500"/>
    <n v="2875"/>
    <x v="262"/>
    <n v="7908.21"/>
    <x v="308"/>
    <n v="71673.75"/>
    <n v="7500"/>
    <n v="5.1618507854495519"/>
    <x v="1"/>
    <x v="0"/>
  </r>
  <r>
    <s v="ORD10421"/>
    <d v="2025-02-26T00:00:00"/>
    <x v="7"/>
    <x v="7"/>
    <x v="5"/>
    <x v="0"/>
    <n v="5"/>
    <n v="300"/>
    <n v="405"/>
    <x v="263"/>
    <n v="1930.8"/>
    <x v="309"/>
    <n v="9416.25"/>
    <n v="1500"/>
    <n v="22.311995027967683"/>
    <x v="1"/>
    <x v="1"/>
  </r>
  <r>
    <s v="ORD10527"/>
    <d v="2025-02-26T00:00:00"/>
    <x v="10"/>
    <x v="10"/>
    <x v="4"/>
    <x v="0"/>
    <n v="3"/>
    <n v="3200"/>
    <n v="3840"/>
    <x v="264"/>
    <n v="8436.74"/>
    <x v="310"/>
    <n v="308275.20000000001"/>
    <n v="9600"/>
    <n v="-13.788027128962135"/>
    <x v="1"/>
    <x v="2"/>
  </r>
  <r>
    <s v="ORD10611"/>
    <d v="2025-02-26T00:00:00"/>
    <x v="4"/>
    <x v="4"/>
    <x v="3"/>
    <x v="2"/>
    <n v="6"/>
    <n v="180"/>
    <n v="243"/>
    <x v="265"/>
    <n v="1293.92"/>
    <x v="311"/>
    <n v="16402.5"/>
    <n v="1080"/>
    <n v="16.532706813404229"/>
    <x v="1"/>
    <x v="1"/>
  </r>
  <r>
    <s v="ORD11262"/>
    <d v="2025-02-26T00:00:00"/>
    <x v="14"/>
    <x v="14"/>
    <x v="3"/>
    <x v="1"/>
    <n v="6"/>
    <n v="1200"/>
    <n v="1464"/>
    <x v="266"/>
    <n v="8012.36"/>
    <x v="312"/>
    <n v="77123.51999999999"/>
    <n v="7200"/>
    <n v="10.138835499153807"/>
    <x v="1"/>
    <x v="1"/>
  </r>
  <r>
    <s v="ORD11598"/>
    <d v="2025-02-26T00:00:00"/>
    <x v="9"/>
    <x v="9"/>
    <x v="2"/>
    <x v="1"/>
    <n v="10"/>
    <n v="3000"/>
    <n v="3600"/>
    <x v="267"/>
    <n v="28863.79"/>
    <x v="313"/>
    <n v="713520"/>
    <n v="30000"/>
    <n v="-3.9364546374540557"/>
    <x v="1"/>
    <x v="2"/>
  </r>
  <r>
    <s v="ORD11969"/>
    <d v="2025-02-26T00:00:00"/>
    <x v="8"/>
    <x v="8"/>
    <x v="2"/>
    <x v="2"/>
    <n v="9"/>
    <n v="900"/>
    <n v="1170"/>
    <x v="268"/>
    <n v="9400.33"/>
    <x v="314"/>
    <n v="112986.90000000001"/>
    <n v="8100"/>
    <n v="13.832812252335822"/>
    <x v="1"/>
    <x v="1"/>
  </r>
  <r>
    <s v="ORD11999"/>
    <d v="2025-02-26T00:00:00"/>
    <x v="11"/>
    <x v="11"/>
    <x v="0"/>
    <x v="3"/>
    <n v="9"/>
    <n v="900"/>
    <n v="1152"/>
    <x v="269"/>
    <n v="9010.18"/>
    <x v="315"/>
    <n v="135820.79999999999"/>
    <n v="8100"/>
    <n v="10.10168498298591"/>
    <x v="1"/>
    <x v="1"/>
  </r>
  <r>
    <s v="ORD10644"/>
    <d v="2025-02-27T00:00:00"/>
    <x v="12"/>
    <x v="12"/>
    <x v="2"/>
    <x v="1"/>
    <n v="4"/>
    <n v="6500"/>
    <n v="8125"/>
    <x v="27"/>
    <n v="31200"/>
    <x v="316"/>
    <n v="130000"/>
    <n v="26000"/>
    <n v="16.666666666666664"/>
    <x v="1"/>
    <x v="1"/>
  </r>
  <r>
    <s v="ORD11747"/>
    <d v="2025-02-27T00:00:00"/>
    <x v="12"/>
    <x v="12"/>
    <x v="2"/>
    <x v="0"/>
    <n v="6"/>
    <n v="6500"/>
    <n v="8125"/>
    <x v="270"/>
    <n v="41437.32"/>
    <x v="317"/>
    <n v="731250"/>
    <n v="39000"/>
    <n v="5.8819441025626178"/>
    <x v="1"/>
    <x v="0"/>
  </r>
  <r>
    <s v="ORD10622"/>
    <d v="2025-02-28T00:00:00"/>
    <x v="16"/>
    <x v="16"/>
    <x v="0"/>
    <x v="0"/>
    <n v="1"/>
    <n v="1100"/>
    <n v="1298"/>
    <x v="271"/>
    <n v="1165.57"/>
    <x v="318"/>
    <n v="13239.599999999999"/>
    <n v="1100"/>
    <n v="5.6255737536141108"/>
    <x v="1"/>
    <x v="0"/>
  </r>
  <r>
    <s v="ORD10710"/>
    <d v="2025-02-28T00:00:00"/>
    <x v="1"/>
    <x v="1"/>
    <x v="1"/>
    <x v="3"/>
    <n v="1"/>
    <n v="45"/>
    <n v="63"/>
    <x v="272"/>
    <n v="59.41"/>
    <x v="319"/>
    <n v="359.1"/>
    <n v="45"/>
    <n v="24.255175896313755"/>
    <x v="1"/>
    <x v="1"/>
  </r>
  <r>
    <s v="ORD10962"/>
    <d v="2025-02-28T00:00:00"/>
    <x v="3"/>
    <x v="3"/>
    <x v="2"/>
    <x v="0"/>
    <n v="8"/>
    <n v="4500"/>
    <n v="5220"/>
    <x v="273"/>
    <n v="33184.07"/>
    <x v="320"/>
    <n v="857750.39999999991"/>
    <n v="36000"/>
    <n v="-8.4857885123795835"/>
    <x v="1"/>
    <x v="2"/>
  </r>
  <r>
    <s v="ORD11130"/>
    <d v="2025-02-28T00:00:00"/>
    <x v="13"/>
    <x v="13"/>
    <x v="6"/>
    <x v="2"/>
    <n v="7"/>
    <n v="900"/>
    <n v="1170"/>
    <x v="274"/>
    <n v="7394.26"/>
    <x v="321"/>
    <n v="79606.8"/>
    <n v="6300"/>
    <n v="14.798776348140313"/>
    <x v="1"/>
    <x v="1"/>
  </r>
  <r>
    <s v="ORD11363"/>
    <d v="2025-02-28T00:00:00"/>
    <x v="8"/>
    <x v="8"/>
    <x v="2"/>
    <x v="0"/>
    <n v="3"/>
    <n v="900"/>
    <n v="1170"/>
    <x v="275"/>
    <n v="3092.9"/>
    <x v="322"/>
    <n v="41698.800000000003"/>
    <n v="2700"/>
    <n v="12.703288176145364"/>
    <x v="1"/>
    <x v="1"/>
  </r>
  <r>
    <s v="ORD11553"/>
    <d v="2025-02-28T00:00:00"/>
    <x v="9"/>
    <x v="9"/>
    <x v="2"/>
    <x v="3"/>
    <n v="5"/>
    <n v="3000"/>
    <n v="3600"/>
    <x v="276"/>
    <n v="17179.68"/>
    <x v="323"/>
    <n v="82080"/>
    <n v="15000"/>
    <n v="12.687547148724537"/>
    <x v="1"/>
    <x v="1"/>
  </r>
  <r>
    <s v="ORD11578"/>
    <d v="2025-02-28T00:00:00"/>
    <x v="4"/>
    <x v="4"/>
    <x v="3"/>
    <x v="0"/>
    <n v="2"/>
    <n v="180"/>
    <n v="243"/>
    <x v="277"/>
    <n v="449.83"/>
    <x v="324"/>
    <n v="3615.84"/>
    <n v="360"/>
    <n v="19.969766356179001"/>
    <x v="1"/>
    <x v="1"/>
  </r>
  <r>
    <s v="ORD11666"/>
    <d v="2025-02-28T00:00:00"/>
    <x v="1"/>
    <x v="1"/>
    <x v="1"/>
    <x v="0"/>
    <n v="6"/>
    <n v="45"/>
    <n v="63"/>
    <x v="278"/>
    <n v="311.29000000000002"/>
    <x v="325"/>
    <n v="6671.7"/>
    <n v="270"/>
    <n v="13.264158822962511"/>
    <x v="1"/>
    <x v="1"/>
  </r>
  <r>
    <s v="ORD11857"/>
    <d v="2025-02-28T00:00:00"/>
    <x v="6"/>
    <x v="6"/>
    <x v="4"/>
    <x v="0"/>
    <n v="7"/>
    <n v="1800"/>
    <n v="2124"/>
    <x v="279"/>
    <n v="11997.4"/>
    <x v="326"/>
    <n v="287101.07999999996"/>
    <n v="12600"/>
    <n v="-5.0227549302348846"/>
    <x v="1"/>
    <x v="2"/>
  </r>
  <r>
    <s v="ORD11973"/>
    <d v="2025-02-28T00:00:00"/>
    <x v="11"/>
    <x v="11"/>
    <x v="0"/>
    <x v="1"/>
    <n v="3"/>
    <n v="900"/>
    <n v="1152"/>
    <x v="280"/>
    <n v="3208.16"/>
    <x v="327"/>
    <n v="24779.52"/>
    <n v="2700"/>
    <n v="15.839608997057505"/>
    <x v="1"/>
    <x v="1"/>
  </r>
  <r>
    <s v="ORD10126"/>
    <d v="2025-03-01T00:00:00"/>
    <x v="12"/>
    <x v="12"/>
    <x v="2"/>
    <x v="3"/>
    <n v="1"/>
    <n v="6500"/>
    <n v="8125"/>
    <x v="281"/>
    <n v="6247.84"/>
    <x v="328"/>
    <n v="187687.5"/>
    <n v="6500"/>
    <n v="-4.0359548259878615"/>
    <x v="2"/>
    <x v="2"/>
  </r>
  <r>
    <s v="ORD10218"/>
    <d v="2025-03-01T00:00:00"/>
    <x v="9"/>
    <x v="9"/>
    <x v="2"/>
    <x v="0"/>
    <n v="10"/>
    <n v="3000"/>
    <n v="3600"/>
    <x v="232"/>
    <n v="31583.27"/>
    <x v="329"/>
    <n v="441720"/>
    <n v="30000"/>
    <n v="5.0130021368908286"/>
    <x v="2"/>
    <x v="0"/>
  </r>
  <r>
    <s v="ORD10442"/>
    <d v="2025-03-01T00:00:00"/>
    <x v="12"/>
    <x v="12"/>
    <x v="2"/>
    <x v="1"/>
    <n v="6"/>
    <n v="6500"/>
    <n v="8125"/>
    <x v="282"/>
    <n v="45236.07"/>
    <x v="330"/>
    <n v="351487.5"/>
    <n v="39000"/>
    <n v="13.785614002277386"/>
    <x v="2"/>
    <x v="1"/>
  </r>
  <r>
    <s v="ORD10727"/>
    <d v="2025-03-01T00:00:00"/>
    <x v="0"/>
    <x v="0"/>
    <x v="0"/>
    <x v="2"/>
    <n v="2"/>
    <n v="500"/>
    <n v="610"/>
    <x v="283"/>
    <n v="1009.27"/>
    <x v="331"/>
    <n v="21069.399999999998"/>
    <n v="1000"/>
    <n v="0.91848563813449324"/>
    <x v="2"/>
    <x v="0"/>
  </r>
  <r>
    <s v="ORD10486"/>
    <d v="2025-03-02T00:00:00"/>
    <x v="11"/>
    <x v="11"/>
    <x v="0"/>
    <x v="0"/>
    <n v="4"/>
    <n v="900"/>
    <n v="1152"/>
    <x v="284"/>
    <n v="4213.2"/>
    <x v="332"/>
    <n v="39490.559999999998"/>
    <n v="3600"/>
    <n v="14.554258046140703"/>
    <x v="2"/>
    <x v="1"/>
  </r>
  <r>
    <s v="ORD10592"/>
    <d v="2025-03-02T00:00:00"/>
    <x v="10"/>
    <x v="10"/>
    <x v="4"/>
    <x v="1"/>
    <n v="8"/>
    <n v="3200"/>
    <n v="3840"/>
    <x v="285"/>
    <n v="27714.6"/>
    <x v="333"/>
    <n v="300441.59999999998"/>
    <n v="25600"/>
    <n v="7.6299134752080127"/>
    <x v="2"/>
    <x v="0"/>
  </r>
  <r>
    <s v="ORD10593"/>
    <d v="2025-03-02T00:00:00"/>
    <x v="6"/>
    <x v="6"/>
    <x v="4"/>
    <x v="1"/>
    <n v="7"/>
    <n v="1800"/>
    <n v="2124"/>
    <x v="286"/>
    <n v="12697.89"/>
    <x v="334"/>
    <n v="217072.8"/>
    <n v="12600"/>
    <n v="0.77091548280856115"/>
    <x v="2"/>
    <x v="0"/>
  </r>
  <r>
    <s v="ORD10918"/>
    <d v="2025-03-02T00:00:00"/>
    <x v="15"/>
    <x v="15"/>
    <x v="0"/>
    <x v="1"/>
    <n v="2"/>
    <n v="550"/>
    <n v="742.5"/>
    <x v="287"/>
    <n v="1404.63"/>
    <x v="335"/>
    <n v="8033.85"/>
    <n v="1100"/>
    <n v="21.687561849027855"/>
    <x v="2"/>
    <x v="1"/>
  </r>
  <r>
    <s v="ORD11306"/>
    <d v="2025-03-02T00:00:00"/>
    <x v="16"/>
    <x v="16"/>
    <x v="0"/>
    <x v="3"/>
    <n v="6"/>
    <n v="1100"/>
    <n v="1298"/>
    <x v="288"/>
    <n v="6196.4"/>
    <x v="336"/>
    <n v="159186.72"/>
    <n v="6600"/>
    <n v="-6.5134594280550004"/>
    <x v="2"/>
    <x v="2"/>
  </r>
  <r>
    <s v="ORD11615"/>
    <d v="2025-03-02T00:00:00"/>
    <x v="10"/>
    <x v="10"/>
    <x v="4"/>
    <x v="1"/>
    <n v="4"/>
    <n v="3200"/>
    <n v="3840"/>
    <x v="289"/>
    <n v="11995"/>
    <x v="337"/>
    <n v="336537.59999999998"/>
    <n v="12800"/>
    <n v="-6.7111296373488951"/>
    <x v="2"/>
    <x v="2"/>
  </r>
  <r>
    <s v="ORD10163"/>
    <d v="2025-03-03T00:00:00"/>
    <x v="2"/>
    <x v="2"/>
    <x v="0"/>
    <x v="3"/>
    <n v="4"/>
    <n v="6500"/>
    <n v="7150"/>
    <x v="27"/>
    <n v="27456"/>
    <x v="338"/>
    <n v="114400"/>
    <n v="26000"/>
    <n v="5.3030303030303028"/>
    <x v="2"/>
    <x v="0"/>
  </r>
  <r>
    <s v="ORD10173"/>
    <d v="2025-03-03T00:00:00"/>
    <x v="19"/>
    <x v="19"/>
    <x v="0"/>
    <x v="3"/>
    <n v="5"/>
    <n v="350"/>
    <n v="455"/>
    <x v="290"/>
    <n v="1748.82"/>
    <x v="339"/>
    <n v="52620.75"/>
    <n v="1750"/>
    <n v="-6.7474068228862885E-2"/>
    <x v="2"/>
    <x v="2"/>
  </r>
  <r>
    <s v="ORD10860"/>
    <d v="2025-03-03T00:00:00"/>
    <x v="6"/>
    <x v="6"/>
    <x v="4"/>
    <x v="1"/>
    <n v="4"/>
    <n v="1800"/>
    <n v="2124"/>
    <x v="291"/>
    <n v="7353.72"/>
    <x v="340"/>
    <n v="114186.23999999999"/>
    <n v="7200"/>
    <n v="2.0903705879473247"/>
    <x v="2"/>
    <x v="0"/>
  </r>
  <r>
    <s v="ORD11042"/>
    <d v="2025-03-03T00:00:00"/>
    <x v="14"/>
    <x v="14"/>
    <x v="3"/>
    <x v="2"/>
    <n v="4"/>
    <n v="1200"/>
    <n v="1464"/>
    <x v="292"/>
    <n v="5199.28"/>
    <x v="341"/>
    <n v="65645.760000000009"/>
    <n v="4800"/>
    <n v="7.679524857287932"/>
    <x v="2"/>
    <x v="0"/>
  </r>
  <r>
    <s v="ORD11620"/>
    <d v="2025-03-03T00:00:00"/>
    <x v="17"/>
    <x v="17"/>
    <x v="0"/>
    <x v="1"/>
    <n v="7"/>
    <n v="8500"/>
    <n v="9520"/>
    <x v="293"/>
    <n v="58130.31"/>
    <x v="342"/>
    <n v="850992.79999999993"/>
    <n v="59500"/>
    <n v="-2.3562406599930399"/>
    <x v="2"/>
    <x v="2"/>
  </r>
  <r>
    <s v="ORD10160"/>
    <d v="2025-03-04T00:00:00"/>
    <x v="2"/>
    <x v="2"/>
    <x v="0"/>
    <x v="3"/>
    <n v="7"/>
    <n v="6500"/>
    <n v="7150"/>
    <x v="294"/>
    <n v="42207.48"/>
    <x v="343"/>
    <n v="784283.5"/>
    <n v="45500"/>
    <n v="-7.8007973942059552"/>
    <x v="2"/>
    <x v="2"/>
  </r>
  <r>
    <s v="ORD10701"/>
    <d v="2025-03-04T00:00:00"/>
    <x v="8"/>
    <x v="8"/>
    <x v="2"/>
    <x v="2"/>
    <n v="10"/>
    <n v="900"/>
    <n v="1170"/>
    <x v="143"/>
    <n v="10725.14"/>
    <x v="344"/>
    <n v="97461"/>
    <n v="9000"/>
    <n v="16.085011477705656"/>
    <x v="2"/>
    <x v="1"/>
  </r>
  <r>
    <s v="ORD10825"/>
    <d v="2025-03-04T00:00:00"/>
    <x v="3"/>
    <x v="3"/>
    <x v="2"/>
    <x v="2"/>
    <n v="8"/>
    <n v="4500"/>
    <n v="5220"/>
    <x v="295"/>
    <n v="34353.480000000003"/>
    <x v="345"/>
    <n v="740822.39999999991"/>
    <n v="36000"/>
    <n v="-4.7928768788489551"/>
    <x v="2"/>
    <x v="2"/>
  </r>
  <r>
    <s v="ORD11065"/>
    <d v="2025-03-04T00:00:00"/>
    <x v="5"/>
    <x v="5"/>
    <x v="3"/>
    <x v="0"/>
    <n v="8"/>
    <n v="2500"/>
    <n v="2875"/>
    <x v="296"/>
    <n v="21580.71"/>
    <x v="346"/>
    <n v="141910"/>
    <n v="20000"/>
    <n v="7.3246431651229278"/>
    <x v="2"/>
    <x v="0"/>
  </r>
  <r>
    <s v="ORD11236"/>
    <d v="2025-03-04T00:00:00"/>
    <x v="9"/>
    <x v="9"/>
    <x v="2"/>
    <x v="0"/>
    <n v="4"/>
    <n v="3000"/>
    <n v="3600"/>
    <x v="297"/>
    <n v="12470.88"/>
    <x v="347"/>
    <n v="192960"/>
    <n v="12000"/>
    <n v="3.7758361879835265"/>
    <x v="2"/>
    <x v="0"/>
  </r>
  <r>
    <s v="ORD11905"/>
    <d v="2025-03-04T00:00:00"/>
    <x v="7"/>
    <x v="7"/>
    <x v="5"/>
    <x v="3"/>
    <n v="3"/>
    <n v="300"/>
    <n v="405"/>
    <x v="298"/>
    <n v="1016.03"/>
    <x v="348"/>
    <n v="19901.699999999997"/>
    <n v="900"/>
    <n v="11.419938387646035"/>
    <x v="2"/>
    <x v="1"/>
  </r>
  <r>
    <s v="ORD10865"/>
    <d v="2025-03-05T00:00:00"/>
    <x v="11"/>
    <x v="11"/>
    <x v="0"/>
    <x v="3"/>
    <n v="1"/>
    <n v="900"/>
    <n v="1152"/>
    <x v="299"/>
    <n v="1144.46"/>
    <x v="349"/>
    <n v="748.80000000000007"/>
    <n v="900"/>
    <n v="21.360292190203239"/>
    <x v="2"/>
    <x v="1"/>
  </r>
  <r>
    <s v="ORD11090"/>
    <d v="2025-03-05T00:00:00"/>
    <x v="19"/>
    <x v="19"/>
    <x v="0"/>
    <x v="2"/>
    <n v="8"/>
    <n v="350"/>
    <n v="455"/>
    <x v="181"/>
    <n v="3264.29"/>
    <x v="350"/>
    <n v="37564.800000000003"/>
    <n v="2800"/>
    <n v="14.223307365460791"/>
    <x v="2"/>
    <x v="1"/>
  </r>
  <r>
    <s v="ORD11180"/>
    <d v="2025-03-05T00:00:00"/>
    <x v="13"/>
    <x v="13"/>
    <x v="6"/>
    <x v="1"/>
    <n v="3"/>
    <n v="900"/>
    <n v="1170"/>
    <x v="300"/>
    <n v="3305.16"/>
    <x v="351"/>
    <n v="20498.399999999998"/>
    <n v="2700"/>
    <n v="18.309552336346805"/>
    <x v="2"/>
    <x v="1"/>
  </r>
  <r>
    <s v="ORD10181"/>
    <d v="2025-03-06T00:00:00"/>
    <x v="17"/>
    <x v="17"/>
    <x v="0"/>
    <x v="0"/>
    <n v="4"/>
    <n v="8500"/>
    <n v="9520"/>
    <x v="301"/>
    <n v="36189.339999999997"/>
    <x v="352"/>
    <n v="188876.79999999999"/>
    <n v="34000"/>
    <n v="6.049682033438577"/>
    <x v="2"/>
    <x v="0"/>
  </r>
  <r>
    <s v="ORD10604"/>
    <d v="2025-03-06T00:00:00"/>
    <x v="16"/>
    <x v="16"/>
    <x v="0"/>
    <x v="2"/>
    <n v="6"/>
    <n v="1100"/>
    <n v="1298"/>
    <x v="302"/>
    <n v="7012.13"/>
    <x v="353"/>
    <n v="77568.48000000001"/>
    <n v="6600"/>
    <n v="5.877386756948316"/>
    <x v="2"/>
    <x v="0"/>
  </r>
  <r>
    <s v="ORD10878"/>
    <d v="2025-03-06T00:00:00"/>
    <x v="6"/>
    <x v="6"/>
    <x v="4"/>
    <x v="0"/>
    <n v="1"/>
    <n v="1800"/>
    <n v="2124"/>
    <x v="73"/>
    <n v="1714.29"/>
    <x v="354"/>
    <n v="40971.96"/>
    <n v="1800"/>
    <n v="-4.9997375006562486"/>
    <x v="2"/>
    <x v="2"/>
  </r>
  <r>
    <s v="ORD11274"/>
    <d v="2025-03-06T00:00:00"/>
    <x v="14"/>
    <x v="14"/>
    <x v="3"/>
    <x v="1"/>
    <n v="10"/>
    <n v="1200"/>
    <n v="1464"/>
    <x v="303"/>
    <n v="14556.62"/>
    <x v="355"/>
    <n v="8344.7999999999993"/>
    <n v="12000"/>
    <n v="17.563280486816307"/>
    <x v="2"/>
    <x v="1"/>
  </r>
  <r>
    <s v="ORD11395"/>
    <d v="2025-03-06T00:00:00"/>
    <x v="15"/>
    <x v="15"/>
    <x v="0"/>
    <x v="2"/>
    <n v="8"/>
    <n v="550"/>
    <n v="742.5"/>
    <x v="304"/>
    <n v="4293.03"/>
    <x v="356"/>
    <n v="164716.20000000001"/>
    <n v="4400"/>
    <n v="-2.4917133120430095"/>
    <x v="2"/>
    <x v="2"/>
  </r>
  <r>
    <s v="ORD11473"/>
    <d v="2025-03-06T00:00:00"/>
    <x v="18"/>
    <x v="18"/>
    <x v="1"/>
    <x v="1"/>
    <n v="10"/>
    <n v="80"/>
    <n v="116"/>
    <x v="305"/>
    <n v="1110.24"/>
    <x v="357"/>
    <n v="4976.3999999999996"/>
    <n v="800"/>
    <n v="27.943507710044674"/>
    <x v="2"/>
    <x v="1"/>
  </r>
  <r>
    <s v="ORD11912"/>
    <d v="2025-03-06T00:00:00"/>
    <x v="3"/>
    <x v="3"/>
    <x v="2"/>
    <x v="3"/>
    <n v="2"/>
    <n v="4500"/>
    <n v="5220"/>
    <x v="306"/>
    <n v="9108.92"/>
    <x v="358"/>
    <n v="133110"/>
    <n v="9000"/>
    <n v="1.1957509781620654"/>
    <x v="2"/>
    <x v="0"/>
  </r>
  <r>
    <s v="ORD10048"/>
    <d v="2025-03-07T00:00:00"/>
    <x v="4"/>
    <x v="4"/>
    <x v="3"/>
    <x v="1"/>
    <n v="4"/>
    <n v="180"/>
    <n v="243"/>
    <x v="307"/>
    <n v="897.41"/>
    <x v="359"/>
    <n v="7455.24"/>
    <n v="720"/>
    <n v="19.769113337270593"/>
    <x v="2"/>
    <x v="1"/>
  </r>
  <r>
    <s v="ORD10083"/>
    <d v="2025-03-07T00:00:00"/>
    <x v="5"/>
    <x v="5"/>
    <x v="3"/>
    <x v="3"/>
    <n v="6"/>
    <n v="2500"/>
    <n v="2875"/>
    <x v="308"/>
    <n v="14427.43"/>
    <x v="360"/>
    <n v="282210"/>
    <n v="15000"/>
    <n v="-3.9686208839689403"/>
    <x v="2"/>
    <x v="2"/>
  </r>
  <r>
    <s v="ORD10385"/>
    <d v="2025-03-07T00:00:00"/>
    <x v="3"/>
    <x v="3"/>
    <x v="2"/>
    <x v="2"/>
    <n v="10"/>
    <n v="4500"/>
    <n v="5220"/>
    <x v="309"/>
    <n v="41691.550000000003"/>
    <x v="361"/>
    <n v="1050786"/>
    <n v="45000"/>
    <n v="-7.9355408949775175"/>
    <x v="2"/>
    <x v="2"/>
  </r>
  <r>
    <s v="ORD10612"/>
    <d v="2025-03-07T00:00:00"/>
    <x v="10"/>
    <x v="10"/>
    <x v="4"/>
    <x v="0"/>
    <n v="2"/>
    <n v="3200"/>
    <n v="3840"/>
    <x v="310"/>
    <n v="6366.87"/>
    <x v="362"/>
    <n v="131328"/>
    <n v="6400"/>
    <n v="-0.52034987364277907"/>
    <x v="2"/>
    <x v="2"/>
  </r>
  <r>
    <s v="ORD10647"/>
    <d v="2025-03-07T00:00:00"/>
    <x v="14"/>
    <x v="14"/>
    <x v="3"/>
    <x v="2"/>
    <n v="2"/>
    <n v="1200"/>
    <n v="1464"/>
    <x v="311"/>
    <n v="2597.46"/>
    <x v="363"/>
    <n v="33057.119999999995"/>
    <n v="2400"/>
    <n v="7.6020419948719136"/>
    <x v="2"/>
    <x v="0"/>
  </r>
  <r>
    <s v="ORD10762"/>
    <d v="2025-03-07T00:00:00"/>
    <x v="0"/>
    <x v="0"/>
    <x v="0"/>
    <x v="1"/>
    <n v="3"/>
    <n v="500"/>
    <n v="610"/>
    <x v="312"/>
    <n v="1806.71"/>
    <x v="364"/>
    <n v="2324.1"/>
    <n v="1500"/>
    <n v="16.976161088387176"/>
    <x v="2"/>
    <x v="1"/>
  </r>
  <r>
    <s v="ORD11311"/>
    <d v="2025-03-07T00:00:00"/>
    <x v="6"/>
    <x v="6"/>
    <x v="4"/>
    <x v="1"/>
    <n v="4"/>
    <n v="1800"/>
    <n v="2124"/>
    <x v="313"/>
    <n v="7022.8"/>
    <x v="365"/>
    <n v="147320.63999999998"/>
    <n v="7200"/>
    <n v="-2.5232101156233977"/>
    <x v="2"/>
    <x v="2"/>
  </r>
  <r>
    <s v="ORD10077"/>
    <d v="2025-03-08T00:00:00"/>
    <x v="12"/>
    <x v="12"/>
    <x v="2"/>
    <x v="1"/>
    <n v="10"/>
    <n v="6500"/>
    <n v="8125"/>
    <x v="314"/>
    <n v="66390.67"/>
    <x v="366"/>
    <n v="1486062.5"/>
    <n v="65000"/>
    <n v="2.0946768574560251"/>
    <x v="2"/>
    <x v="0"/>
  </r>
  <r>
    <s v="ORD10774"/>
    <d v="2025-03-08T00:00:00"/>
    <x v="8"/>
    <x v="8"/>
    <x v="2"/>
    <x v="2"/>
    <n v="2"/>
    <n v="900"/>
    <n v="1170"/>
    <x v="315"/>
    <n v="1920.64"/>
    <x v="367"/>
    <n v="41932.800000000003"/>
    <n v="1800"/>
    <n v="6.2812395868043973"/>
    <x v="2"/>
    <x v="0"/>
  </r>
  <r>
    <s v="ORD10905"/>
    <d v="2025-03-08T00:00:00"/>
    <x v="11"/>
    <x v="11"/>
    <x v="0"/>
    <x v="0"/>
    <n v="4"/>
    <n v="900"/>
    <n v="1152"/>
    <x v="239"/>
    <n v="4074.69"/>
    <x v="368"/>
    <n v="53314.559999999998"/>
    <n v="3600"/>
    <n v="11.649720592241373"/>
    <x v="2"/>
    <x v="1"/>
  </r>
  <r>
    <s v="ORD11101"/>
    <d v="2025-03-08T00:00:00"/>
    <x v="16"/>
    <x v="16"/>
    <x v="0"/>
    <x v="1"/>
    <n v="2"/>
    <n v="1100"/>
    <n v="1298"/>
    <x v="316"/>
    <n v="2148.2600000000002"/>
    <x v="369"/>
    <n v="44781"/>
    <n v="2200"/>
    <n v="-2.4084608008341633"/>
    <x v="2"/>
    <x v="2"/>
  </r>
  <r>
    <s v="ORD11273"/>
    <d v="2025-03-08T00:00:00"/>
    <x v="10"/>
    <x v="10"/>
    <x v="4"/>
    <x v="2"/>
    <n v="9"/>
    <n v="3200"/>
    <n v="3840"/>
    <x v="317"/>
    <n v="29060.799999999999"/>
    <x v="370"/>
    <n v="549849.59999999998"/>
    <n v="28800"/>
    <n v="0.89742883884820801"/>
    <x v="2"/>
    <x v="0"/>
  </r>
  <r>
    <s v="ORD10108"/>
    <d v="2025-03-09T00:00:00"/>
    <x v="3"/>
    <x v="3"/>
    <x v="2"/>
    <x v="0"/>
    <n v="5"/>
    <n v="4500"/>
    <n v="5220"/>
    <x v="318"/>
    <n v="24181.57"/>
    <x v="371"/>
    <n v="191835"/>
    <n v="22500"/>
    <n v="6.9539322715605314"/>
    <x v="2"/>
    <x v="0"/>
  </r>
  <r>
    <s v="ORD10633"/>
    <d v="2025-03-09T00:00:00"/>
    <x v="6"/>
    <x v="6"/>
    <x v="4"/>
    <x v="3"/>
    <n v="9"/>
    <n v="1800"/>
    <n v="2124"/>
    <x v="319"/>
    <n v="15575.02"/>
    <x v="372"/>
    <n v="354028.32"/>
    <n v="16200"/>
    <n v="-4.012707527823399"/>
    <x v="2"/>
    <x v="2"/>
  </r>
  <r>
    <s v="ORD10848"/>
    <d v="2025-03-09T00:00:00"/>
    <x v="16"/>
    <x v="16"/>
    <x v="0"/>
    <x v="0"/>
    <n v="8"/>
    <n v="1100"/>
    <n v="1298"/>
    <x v="320"/>
    <n v="9501.4500000000007"/>
    <x v="373"/>
    <n v="88264"/>
    <n v="8800"/>
    <n v="7.3825573991338169"/>
    <x v="2"/>
    <x v="0"/>
  </r>
  <r>
    <s v="ORD11135"/>
    <d v="2025-03-09T00:00:00"/>
    <x v="18"/>
    <x v="18"/>
    <x v="1"/>
    <x v="1"/>
    <n v="8"/>
    <n v="80"/>
    <n v="116"/>
    <x v="144"/>
    <n v="852.09"/>
    <x v="374"/>
    <n v="7591.04"/>
    <n v="640"/>
    <n v="24.890563203417479"/>
    <x v="2"/>
    <x v="1"/>
  </r>
  <r>
    <s v="ORD11589"/>
    <d v="2025-03-09T00:00:00"/>
    <x v="7"/>
    <x v="7"/>
    <x v="5"/>
    <x v="3"/>
    <n v="1"/>
    <n v="300"/>
    <n v="405"/>
    <x v="321"/>
    <n v="368.73"/>
    <x v="375"/>
    <n v="3628.8"/>
    <n v="300"/>
    <n v="18.639655032137338"/>
    <x v="2"/>
    <x v="1"/>
  </r>
  <r>
    <s v="ORD11646"/>
    <d v="2025-03-09T00:00:00"/>
    <x v="19"/>
    <x v="19"/>
    <x v="0"/>
    <x v="0"/>
    <n v="9"/>
    <n v="350"/>
    <n v="455"/>
    <x v="207"/>
    <n v="3641.92"/>
    <x v="376"/>
    <n v="45290.700000000004"/>
    <n v="3150"/>
    <n v="13.507161057903524"/>
    <x v="2"/>
    <x v="1"/>
  </r>
  <r>
    <s v="ORD11762"/>
    <d v="2025-03-09T00:00:00"/>
    <x v="8"/>
    <x v="8"/>
    <x v="2"/>
    <x v="1"/>
    <n v="2"/>
    <n v="900"/>
    <n v="1170"/>
    <x v="322"/>
    <n v="2244.9699999999998"/>
    <x v="377"/>
    <n v="9500.4"/>
    <n v="1800"/>
    <n v="19.82075484304913"/>
    <x v="2"/>
    <x v="1"/>
  </r>
  <r>
    <s v="ORD10238"/>
    <d v="2025-03-10T00:00:00"/>
    <x v="13"/>
    <x v="13"/>
    <x v="6"/>
    <x v="1"/>
    <n v="6"/>
    <n v="900"/>
    <n v="1170"/>
    <x v="323"/>
    <n v="6368.33"/>
    <x v="378"/>
    <n v="65145.599999999999"/>
    <n v="5400"/>
    <n v="15.205399217691296"/>
    <x v="2"/>
    <x v="1"/>
  </r>
  <r>
    <s v="ORD10502"/>
    <d v="2025-03-10T00:00:00"/>
    <x v="7"/>
    <x v="7"/>
    <x v="5"/>
    <x v="0"/>
    <n v="9"/>
    <n v="300"/>
    <n v="405"/>
    <x v="324"/>
    <n v="3095.62"/>
    <x v="379"/>
    <n v="54930.15"/>
    <n v="2700"/>
    <n v="12.779992376325261"/>
    <x v="2"/>
    <x v="1"/>
  </r>
  <r>
    <s v="ORD10576"/>
    <d v="2025-03-10T00:00:00"/>
    <x v="8"/>
    <x v="8"/>
    <x v="2"/>
    <x v="2"/>
    <n v="10"/>
    <n v="900"/>
    <n v="1170"/>
    <x v="325"/>
    <n v="10771.93"/>
    <x v="380"/>
    <n v="92781"/>
    <n v="9000"/>
    <n v="16.449512761408588"/>
    <x v="2"/>
    <x v="1"/>
  </r>
  <r>
    <s v="ORD11136"/>
    <d v="2025-03-10T00:00:00"/>
    <x v="17"/>
    <x v="17"/>
    <x v="0"/>
    <x v="2"/>
    <n v="4"/>
    <n v="8500"/>
    <n v="9520"/>
    <x v="326"/>
    <n v="35066.019999999997"/>
    <x v="381"/>
    <n v="301212.79999999999"/>
    <n v="34000"/>
    <n v="3.0400370501129017"/>
    <x v="2"/>
    <x v="0"/>
  </r>
  <r>
    <s v="ORD11810"/>
    <d v="2025-03-10T00:00:00"/>
    <x v="19"/>
    <x v="19"/>
    <x v="0"/>
    <x v="1"/>
    <n v="5"/>
    <n v="350"/>
    <n v="455"/>
    <x v="327"/>
    <n v="2001.29"/>
    <x v="382"/>
    <n v="27368.25"/>
    <n v="1750"/>
    <n v="12.556401121276775"/>
    <x v="2"/>
    <x v="1"/>
  </r>
  <r>
    <s v="ORD11971"/>
    <d v="2025-03-10T00:00:00"/>
    <x v="15"/>
    <x v="15"/>
    <x v="0"/>
    <x v="3"/>
    <n v="3"/>
    <n v="550"/>
    <n v="742.5"/>
    <x v="9"/>
    <n v="2227.5"/>
    <x v="383"/>
    <n v="0"/>
    <n v="1650"/>
    <n v="25.925925925925924"/>
    <x v="2"/>
    <x v="1"/>
  </r>
  <r>
    <s v="ORD10401"/>
    <d v="2025-03-11T00:00:00"/>
    <x v="2"/>
    <x v="2"/>
    <x v="0"/>
    <x v="0"/>
    <n v="5"/>
    <n v="6500"/>
    <n v="7150"/>
    <x v="328"/>
    <n v="31738.09"/>
    <x v="384"/>
    <n v="401115"/>
    <n v="32500"/>
    <n v="-2.4006170503644042"/>
    <x v="2"/>
    <x v="2"/>
  </r>
  <r>
    <s v="ORD10510"/>
    <d v="2025-03-11T00:00:00"/>
    <x v="10"/>
    <x v="10"/>
    <x v="4"/>
    <x v="0"/>
    <n v="7"/>
    <n v="3200"/>
    <n v="3840"/>
    <x v="329"/>
    <n v="23076.97"/>
    <x v="385"/>
    <n v="380352"/>
    <n v="22400"/>
    <n v="2.9335307018209065"/>
    <x v="2"/>
    <x v="0"/>
  </r>
  <r>
    <s v="ORD10546"/>
    <d v="2025-03-11T00:00:00"/>
    <x v="11"/>
    <x v="11"/>
    <x v="0"/>
    <x v="2"/>
    <n v="4"/>
    <n v="900"/>
    <n v="1152"/>
    <x v="326"/>
    <n v="4243.41"/>
    <x v="386"/>
    <n v="36449.279999999999"/>
    <n v="3600"/>
    <n v="15.162569725763007"/>
    <x v="2"/>
    <x v="1"/>
  </r>
  <r>
    <s v="ORD10561"/>
    <d v="2025-03-11T00:00:00"/>
    <x v="5"/>
    <x v="5"/>
    <x v="3"/>
    <x v="1"/>
    <n v="7"/>
    <n v="2500"/>
    <n v="2875"/>
    <x v="330"/>
    <n v="18895.98"/>
    <x v="387"/>
    <n v="122963.75"/>
    <n v="17500"/>
    <n v="7.3877089200983486"/>
    <x v="2"/>
    <x v="0"/>
  </r>
  <r>
    <s v="ORD11197"/>
    <d v="2025-03-11T00:00:00"/>
    <x v="7"/>
    <x v="7"/>
    <x v="5"/>
    <x v="0"/>
    <n v="2"/>
    <n v="300"/>
    <n v="405"/>
    <x v="331"/>
    <n v="745.66"/>
    <x v="388"/>
    <n v="6431.4000000000005"/>
    <n v="600"/>
    <n v="19.534372233994045"/>
    <x v="2"/>
    <x v="1"/>
  </r>
  <r>
    <s v="ORD11206"/>
    <d v="2025-03-11T00:00:00"/>
    <x v="4"/>
    <x v="4"/>
    <x v="3"/>
    <x v="3"/>
    <n v="9"/>
    <n v="180"/>
    <n v="243"/>
    <x v="332"/>
    <n v="2059.0100000000002"/>
    <x v="389"/>
    <n v="12793.949999999999"/>
    <n v="1620"/>
    <n v="21.32141174642182"/>
    <x v="2"/>
    <x v="1"/>
  </r>
  <r>
    <s v="ORD11643"/>
    <d v="2025-03-11T00:00:00"/>
    <x v="0"/>
    <x v="0"/>
    <x v="0"/>
    <x v="2"/>
    <n v="10"/>
    <n v="500"/>
    <n v="610"/>
    <x v="333"/>
    <n v="5427.75"/>
    <x v="390"/>
    <n v="67222"/>
    <n v="5000"/>
    <n v="7.8807977522914658"/>
    <x v="2"/>
    <x v="0"/>
  </r>
  <r>
    <s v="ORD11898"/>
    <d v="2025-03-11T00:00:00"/>
    <x v="1"/>
    <x v="1"/>
    <x v="1"/>
    <x v="3"/>
    <n v="3"/>
    <n v="45"/>
    <n v="63"/>
    <x v="334"/>
    <n v="136.99"/>
    <x v="391"/>
    <n v="5201.28"/>
    <n v="135"/>
    <n v="1.4526607781589895"/>
    <x v="2"/>
    <x v="0"/>
  </r>
  <r>
    <s v="ORD10425"/>
    <d v="2025-03-12T00:00:00"/>
    <x v="8"/>
    <x v="8"/>
    <x v="2"/>
    <x v="3"/>
    <n v="3"/>
    <n v="900"/>
    <n v="1170"/>
    <x v="335"/>
    <n v="3406.14"/>
    <x v="392"/>
    <n v="10389.6"/>
    <n v="2700"/>
    <n v="20.731385086931247"/>
    <x v="2"/>
    <x v="1"/>
  </r>
  <r>
    <s v="ORD10371"/>
    <d v="2025-03-13T00:00:00"/>
    <x v="9"/>
    <x v="9"/>
    <x v="2"/>
    <x v="0"/>
    <n v="10"/>
    <n v="3000"/>
    <n v="3600"/>
    <x v="336"/>
    <n v="30049.72"/>
    <x v="393"/>
    <n v="595080"/>
    <n v="30000"/>
    <n v="0.16545911243099767"/>
    <x v="2"/>
    <x v="0"/>
  </r>
  <r>
    <s v="ORD10668"/>
    <d v="2025-03-13T00:00:00"/>
    <x v="3"/>
    <x v="3"/>
    <x v="2"/>
    <x v="1"/>
    <n v="4"/>
    <n v="4500"/>
    <n v="5220"/>
    <x v="337"/>
    <n v="15000.1"/>
    <x v="394"/>
    <n v="587980.80000000005"/>
    <n v="18000"/>
    <n v="-19.999200005333297"/>
    <x v="2"/>
    <x v="2"/>
  </r>
  <r>
    <s v="ORD10912"/>
    <d v="2025-03-13T00:00:00"/>
    <x v="3"/>
    <x v="3"/>
    <x v="2"/>
    <x v="1"/>
    <n v="7"/>
    <n v="4500"/>
    <n v="5220"/>
    <x v="338"/>
    <n v="29285.31"/>
    <x v="395"/>
    <n v="725319"/>
    <n v="31500"/>
    <n v="-7.5624604964058779"/>
    <x v="2"/>
    <x v="2"/>
  </r>
  <r>
    <s v="ORD10978"/>
    <d v="2025-03-13T00:00:00"/>
    <x v="8"/>
    <x v="8"/>
    <x v="2"/>
    <x v="3"/>
    <n v="10"/>
    <n v="900"/>
    <n v="1170"/>
    <x v="339"/>
    <n v="11305.08"/>
    <x v="396"/>
    <n v="39546"/>
    <n v="9000"/>
    <n v="20.38977167786517"/>
    <x v="2"/>
    <x v="1"/>
  </r>
  <r>
    <s v="ORD11300"/>
    <d v="2025-03-13T00:00:00"/>
    <x v="3"/>
    <x v="3"/>
    <x v="2"/>
    <x v="1"/>
    <n v="10"/>
    <n v="4500"/>
    <n v="5220"/>
    <x v="340"/>
    <n v="43206.53"/>
    <x v="397"/>
    <n v="899406"/>
    <n v="45000"/>
    <n v="-4.1509234830938757"/>
    <x v="2"/>
    <x v="2"/>
  </r>
  <r>
    <s v="ORD10081"/>
    <d v="2025-03-14T00:00:00"/>
    <x v="8"/>
    <x v="8"/>
    <x v="2"/>
    <x v="1"/>
    <n v="10"/>
    <n v="900"/>
    <n v="1170"/>
    <x v="341"/>
    <n v="9491"/>
    <x v="398"/>
    <n v="220896"/>
    <n v="9000"/>
    <n v="5.1733220946159522"/>
    <x v="2"/>
    <x v="0"/>
  </r>
  <r>
    <s v="ORD10826"/>
    <d v="2025-03-14T00:00:00"/>
    <x v="15"/>
    <x v="15"/>
    <x v="0"/>
    <x v="1"/>
    <n v="8"/>
    <n v="550"/>
    <n v="742.5"/>
    <x v="342"/>
    <n v="4226.51"/>
    <x v="399"/>
    <n v="171369"/>
    <n v="4400"/>
    <n v="-4.1048051465630033"/>
    <x v="2"/>
    <x v="2"/>
  </r>
  <r>
    <s v="ORD11053"/>
    <d v="2025-03-14T00:00:00"/>
    <x v="6"/>
    <x v="6"/>
    <x v="4"/>
    <x v="2"/>
    <n v="6"/>
    <n v="1800"/>
    <n v="2124"/>
    <x v="343"/>
    <n v="11049.38"/>
    <x v="400"/>
    <n v="169495.2"/>
    <n v="10800"/>
    <n v="2.2569592140011476"/>
    <x v="2"/>
    <x v="0"/>
  </r>
  <r>
    <s v="ORD11896"/>
    <d v="2025-03-14T00:00:00"/>
    <x v="12"/>
    <x v="12"/>
    <x v="2"/>
    <x v="1"/>
    <n v="9"/>
    <n v="6500"/>
    <n v="8125"/>
    <x v="27"/>
    <n v="70200"/>
    <x v="401"/>
    <n v="292500"/>
    <n v="58500"/>
    <n v="16.666666666666664"/>
    <x v="2"/>
    <x v="1"/>
  </r>
  <r>
    <s v="ORD10506"/>
    <d v="2025-03-15T00:00:00"/>
    <x v="4"/>
    <x v="4"/>
    <x v="3"/>
    <x v="1"/>
    <n v="10"/>
    <n v="180"/>
    <n v="243"/>
    <x v="344"/>
    <n v="2338.86"/>
    <x v="402"/>
    <n v="9112.5"/>
    <n v="1800"/>
    <n v="23.039429465637102"/>
    <x v="2"/>
    <x v="1"/>
  </r>
  <r>
    <s v="ORD10663"/>
    <d v="2025-03-15T00:00:00"/>
    <x v="19"/>
    <x v="19"/>
    <x v="0"/>
    <x v="3"/>
    <n v="6"/>
    <n v="350"/>
    <n v="455"/>
    <x v="345"/>
    <n v="2280.0300000000002"/>
    <x v="403"/>
    <n v="44990.400000000001"/>
    <n v="2100"/>
    <n v="7.895948737516612"/>
    <x v="2"/>
    <x v="0"/>
  </r>
  <r>
    <s v="ORD11348"/>
    <d v="2025-03-15T00:00:00"/>
    <x v="18"/>
    <x v="18"/>
    <x v="1"/>
    <x v="0"/>
    <n v="9"/>
    <n v="80"/>
    <n v="116"/>
    <x v="9"/>
    <n v="1044"/>
    <x v="404"/>
    <n v="0"/>
    <n v="720"/>
    <n v="31.03448275862069"/>
    <x v="2"/>
    <x v="1"/>
  </r>
  <r>
    <s v="ORD11489"/>
    <d v="2025-03-15T00:00:00"/>
    <x v="2"/>
    <x v="2"/>
    <x v="0"/>
    <x v="3"/>
    <n v="6"/>
    <n v="6500"/>
    <n v="7150"/>
    <x v="346"/>
    <n v="35915.370000000003"/>
    <x v="405"/>
    <n v="698412"/>
    <n v="39000"/>
    <n v="-8.588607050407667"/>
    <x v="2"/>
    <x v="2"/>
  </r>
  <r>
    <s v="ORD11693"/>
    <d v="2025-03-15T00:00:00"/>
    <x v="3"/>
    <x v="3"/>
    <x v="2"/>
    <x v="0"/>
    <n v="6"/>
    <n v="4500"/>
    <n v="5220"/>
    <x v="347"/>
    <n v="26872.79"/>
    <x v="406"/>
    <n v="444744"/>
    <n v="27000"/>
    <n v="-0.47337846200561978"/>
    <x v="2"/>
    <x v="2"/>
  </r>
  <r>
    <s v="ORD10398"/>
    <d v="2025-03-16T00:00:00"/>
    <x v="16"/>
    <x v="16"/>
    <x v="0"/>
    <x v="2"/>
    <n v="6"/>
    <n v="1100"/>
    <n v="1298"/>
    <x v="348"/>
    <n v="6940.51"/>
    <x v="407"/>
    <n v="84733.440000000002"/>
    <n v="6600"/>
    <n v="4.9061236133944046"/>
    <x v="2"/>
    <x v="0"/>
  </r>
  <r>
    <s v="ORD10481"/>
    <d v="2025-03-16T00:00:00"/>
    <x v="2"/>
    <x v="2"/>
    <x v="0"/>
    <x v="0"/>
    <n v="5"/>
    <n v="6500"/>
    <n v="7150"/>
    <x v="349"/>
    <n v="26165.53"/>
    <x v="408"/>
    <n v="958457.5"/>
    <n v="32500"/>
    <n v="-24.20921724115659"/>
    <x v="2"/>
    <x v="2"/>
  </r>
  <r>
    <s v="ORD10748"/>
    <d v="2025-03-16T00:00:00"/>
    <x v="14"/>
    <x v="14"/>
    <x v="3"/>
    <x v="2"/>
    <n v="9"/>
    <n v="1200"/>
    <n v="1464"/>
    <x v="350"/>
    <n v="12604.86"/>
    <x v="409"/>
    <n v="57052.08"/>
    <n v="10800"/>
    <n v="14.318762762934295"/>
    <x v="2"/>
    <x v="1"/>
  </r>
  <r>
    <s v="ORD11068"/>
    <d v="2025-03-16T00:00:00"/>
    <x v="8"/>
    <x v="8"/>
    <x v="2"/>
    <x v="2"/>
    <n v="6"/>
    <n v="900"/>
    <n v="1170"/>
    <x v="9"/>
    <n v="7020"/>
    <x v="410"/>
    <n v="0"/>
    <n v="5400"/>
    <n v="23.076923076923077"/>
    <x v="2"/>
    <x v="1"/>
  </r>
  <r>
    <s v="ORD11102"/>
    <d v="2025-03-16T00:00:00"/>
    <x v="16"/>
    <x v="16"/>
    <x v="0"/>
    <x v="3"/>
    <n v="10"/>
    <n v="1100"/>
    <n v="1298"/>
    <x v="351"/>
    <n v="12781.77"/>
    <x v="411"/>
    <n v="19859.400000000001"/>
    <n v="11000"/>
    <n v="13.939931637011149"/>
    <x v="2"/>
    <x v="1"/>
  </r>
  <r>
    <s v="ORD11211"/>
    <d v="2025-03-16T00:00:00"/>
    <x v="7"/>
    <x v="7"/>
    <x v="5"/>
    <x v="0"/>
    <n v="4"/>
    <n v="300"/>
    <n v="405"/>
    <x v="352"/>
    <n v="1421.13"/>
    <x v="412"/>
    <n v="19893.599999999999"/>
    <n v="1200"/>
    <n v="15.560152836123365"/>
    <x v="2"/>
    <x v="1"/>
  </r>
  <r>
    <s v="ORD11298"/>
    <d v="2025-03-16T00:00:00"/>
    <x v="15"/>
    <x v="15"/>
    <x v="0"/>
    <x v="1"/>
    <n v="8"/>
    <n v="550"/>
    <n v="742.5"/>
    <x v="353"/>
    <n v="4752.21"/>
    <x v="413"/>
    <n v="118800"/>
    <n v="4400"/>
    <n v="7.4114990709585644"/>
    <x v="2"/>
    <x v="0"/>
  </r>
  <r>
    <s v="ORD11372"/>
    <d v="2025-03-16T00:00:00"/>
    <x v="14"/>
    <x v="14"/>
    <x v="3"/>
    <x v="3"/>
    <n v="4"/>
    <n v="1200"/>
    <n v="1464"/>
    <x v="354"/>
    <n v="5190.7700000000004"/>
    <x v="414"/>
    <n v="66524.160000000003"/>
    <n v="4800"/>
    <n v="7.5281701944027555"/>
    <x v="2"/>
    <x v="0"/>
  </r>
  <r>
    <s v="ORD10448"/>
    <d v="2025-03-17T00:00:00"/>
    <x v="0"/>
    <x v="0"/>
    <x v="0"/>
    <x v="1"/>
    <n v="3"/>
    <n v="500"/>
    <n v="610"/>
    <x v="355"/>
    <n v="1724.07"/>
    <x v="415"/>
    <n v="10595.7"/>
    <n v="1500"/>
    <n v="12.996572064939357"/>
    <x v="2"/>
    <x v="1"/>
  </r>
  <r>
    <s v="ORD10619"/>
    <d v="2025-03-17T00:00:00"/>
    <x v="17"/>
    <x v="17"/>
    <x v="0"/>
    <x v="1"/>
    <n v="3"/>
    <n v="8500"/>
    <n v="9520"/>
    <x v="356"/>
    <n v="22743.93"/>
    <x v="416"/>
    <n v="581481.6"/>
    <n v="25500"/>
    <n v="-12.117826602526478"/>
    <x v="2"/>
    <x v="2"/>
  </r>
  <r>
    <s v="ORD10734"/>
    <d v="2025-03-17T00:00:00"/>
    <x v="3"/>
    <x v="3"/>
    <x v="2"/>
    <x v="2"/>
    <n v="7"/>
    <n v="4500"/>
    <n v="5220"/>
    <x v="357"/>
    <n v="34519.74"/>
    <x v="417"/>
    <n v="202066.2"/>
    <n v="31500"/>
    <n v="8.7478642654898326"/>
    <x v="2"/>
    <x v="0"/>
  </r>
  <r>
    <s v="ORD10883"/>
    <d v="2025-03-17T00:00:00"/>
    <x v="8"/>
    <x v="8"/>
    <x v="2"/>
    <x v="2"/>
    <n v="4"/>
    <n v="900"/>
    <n v="1170"/>
    <x v="147"/>
    <n v="4159.4799999999996"/>
    <x v="418"/>
    <n v="52041.599999999999"/>
    <n v="3600"/>
    <n v="13.450719801513653"/>
    <x v="2"/>
    <x v="1"/>
  </r>
  <r>
    <s v="ORD10904"/>
    <d v="2025-03-17T00:00:00"/>
    <x v="17"/>
    <x v="17"/>
    <x v="0"/>
    <x v="1"/>
    <n v="9"/>
    <n v="8500"/>
    <n v="9520"/>
    <x v="358"/>
    <n v="63780.06"/>
    <x v="419"/>
    <n v="2189980.7999999998"/>
    <n v="76500"/>
    <n v="-19.943443138811723"/>
    <x v="2"/>
    <x v="2"/>
  </r>
  <r>
    <s v="ORD11769"/>
    <d v="2025-03-17T00:00:00"/>
    <x v="13"/>
    <x v="13"/>
    <x v="6"/>
    <x v="1"/>
    <n v="6"/>
    <n v="900"/>
    <n v="1170"/>
    <x v="359"/>
    <n v="6774.77"/>
    <x v="420"/>
    <n v="24499.800000000003"/>
    <n v="5400"/>
    <n v="20.292497014658796"/>
    <x v="2"/>
    <x v="1"/>
  </r>
  <r>
    <s v="ORD11907"/>
    <d v="2025-03-17T00:00:00"/>
    <x v="1"/>
    <x v="1"/>
    <x v="1"/>
    <x v="3"/>
    <n v="9"/>
    <n v="45"/>
    <n v="63"/>
    <x v="360"/>
    <n v="561.29"/>
    <x v="421"/>
    <n v="572.66999999999996"/>
    <n v="405"/>
    <n v="27.844786117693172"/>
    <x v="2"/>
    <x v="1"/>
  </r>
  <r>
    <s v="ORD11129"/>
    <d v="2025-03-18T00:00:00"/>
    <x v="16"/>
    <x v="16"/>
    <x v="0"/>
    <x v="1"/>
    <n v="8"/>
    <n v="1100"/>
    <n v="1298"/>
    <x v="361"/>
    <n v="9422.5"/>
    <x v="422"/>
    <n v="96155.839999999997"/>
    <n v="8800"/>
    <n v="6.6065269302202179"/>
    <x v="2"/>
    <x v="0"/>
  </r>
  <r>
    <s v="ORD10278"/>
    <d v="2025-03-19T00:00:00"/>
    <x v="3"/>
    <x v="3"/>
    <x v="2"/>
    <x v="2"/>
    <n v="1"/>
    <n v="4500"/>
    <n v="5220"/>
    <x v="362"/>
    <n v="4267.97"/>
    <x v="423"/>
    <n v="95212.799999999988"/>
    <n v="4500"/>
    <n v="-5.436542431179225"/>
    <x v="2"/>
    <x v="2"/>
  </r>
  <r>
    <s v="ORD10479"/>
    <d v="2025-03-19T00:00:00"/>
    <x v="12"/>
    <x v="12"/>
    <x v="2"/>
    <x v="3"/>
    <n v="2"/>
    <n v="6500"/>
    <n v="8125"/>
    <x v="363"/>
    <n v="15285.47"/>
    <x v="424"/>
    <n v="96525"/>
    <n v="13000"/>
    <n v="14.951911848310845"/>
    <x v="2"/>
    <x v="1"/>
  </r>
  <r>
    <s v="ORD11623"/>
    <d v="2025-03-19T00:00:00"/>
    <x v="16"/>
    <x v="16"/>
    <x v="0"/>
    <x v="0"/>
    <n v="5"/>
    <n v="1100"/>
    <n v="1298"/>
    <x v="364"/>
    <n v="6232.97"/>
    <x v="425"/>
    <n v="25700.400000000001"/>
    <n v="5500"/>
    <n v="11.759562455779509"/>
    <x v="2"/>
    <x v="1"/>
  </r>
  <r>
    <s v="ORD11921"/>
    <d v="2025-03-19T00:00:00"/>
    <x v="5"/>
    <x v="5"/>
    <x v="3"/>
    <x v="3"/>
    <n v="9"/>
    <n v="2500"/>
    <n v="2875"/>
    <x v="365"/>
    <n v="25288.02"/>
    <x v="426"/>
    <n v="58736.25"/>
    <n v="22500"/>
    <n v="11.025062460406152"/>
    <x v="2"/>
    <x v="1"/>
  </r>
  <r>
    <s v="ORD10107"/>
    <d v="2025-03-20T00:00:00"/>
    <x v="16"/>
    <x v="16"/>
    <x v="0"/>
    <x v="0"/>
    <n v="9"/>
    <n v="1100"/>
    <n v="1298"/>
    <x v="200"/>
    <n v="9084.65"/>
    <x v="427"/>
    <n v="259690.86000000002"/>
    <n v="9900"/>
    <n v="-8.9750293076783372"/>
    <x v="2"/>
    <x v="2"/>
  </r>
  <r>
    <s v="ORD10177"/>
    <d v="2025-03-20T00:00:00"/>
    <x v="15"/>
    <x v="15"/>
    <x v="0"/>
    <x v="0"/>
    <n v="5"/>
    <n v="550"/>
    <n v="742.5"/>
    <x v="9"/>
    <n v="3712.5"/>
    <x v="428"/>
    <n v="0"/>
    <n v="2750"/>
    <n v="25.925925925925924"/>
    <x v="2"/>
    <x v="1"/>
  </r>
  <r>
    <s v="ORD10234"/>
    <d v="2025-03-20T00:00:00"/>
    <x v="11"/>
    <x v="11"/>
    <x v="0"/>
    <x v="0"/>
    <n v="2"/>
    <n v="900"/>
    <n v="1152"/>
    <x v="366"/>
    <n v="1736.63"/>
    <x v="429"/>
    <n v="56747.519999999997"/>
    <n v="1800"/>
    <n v="-3.6490213804897991"/>
    <x v="2"/>
    <x v="2"/>
  </r>
  <r>
    <s v="ORD10638"/>
    <d v="2025-03-20T00:00:00"/>
    <x v="0"/>
    <x v="0"/>
    <x v="0"/>
    <x v="2"/>
    <n v="10"/>
    <n v="500"/>
    <n v="610"/>
    <x v="62"/>
    <n v="5027.6899999999996"/>
    <x v="430"/>
    <n v="107237.99999999999"/>
    <n v="5000"/>
    <n v="0.55074994679465128"/>
    <x v="2"/>
    <x v="0"/>
  </r>
  <r>
    <s v="ORD11376"/>
    <d v="2025-03-20T00:00:00"/>
    <x v="10"/>
    <x v="10"/>
    <x v="4"/>
    <x v="0"/>
    <n v="1"/>
    <n v="3200"/>
    <n v="3840"/>
    <x v="367"/>
    <n v="2898.83"/>
    <x v="431"/>
    <n v="94118.400000000009"/>
    <n v="3200"/>
    <n v="-10.389363984780067"/>
    <x v="2"/>
    <x v="2"/>
  </r>
  <r>
    <s v="ORD11561"/>
    <d v="2025-03-20T00:00:00"/>
    <x v="15"/>
    <x v="15"/>
    <x v="0"/>
    <x v="1"/>
    <n v="6"/>
    <n v="550"/>
    <n v="742.5"/>
    <x v="368"/>
    <n v="3970.86"/>
    <x v="432"/>
    <n v="48425.85"/>
    <n v="3300"/>
    <n v="16.894576993396896"/>
    <x v="2"/>
    <x v="1"/>
  </r>
  <r>
    <s v="ORD11986"/>
    <d v="2025-03-20T00:00:00"/>
    <x v="8"/>
    <x v="8"/>
    <x v="2"/>
    <x v="3"/>
    <n v="2"/>
    <n v="900"/>
    <n v="1170"/>
    <x v="369"/>
    <n v="2226.7199999999998"/>
    <x v="433"/>
    <n v="11325.6"/>
    <n v="1800"/>
    <n v="19.163612847596468"/>
    <x v="2"/>
    <x v="1"/>
  </r>
  <r>
    <s v="ORD10144"/>
    <d v="2025-03-21T00:00:00"/>
    <x v="15"/>
    <x v="15"/>
    <x v="0"/>
    <x v="3"/>
    <n v="5"/>
    <n v="550"/>
    <n v="742.5"/>
    <x v="370"/>
    <n v="2841.99"/>
    <x v="434"/>
    <n v="87058.125"/>
    <n v="2750"/>
    <n v="3.2368164560747923"/>
    <x v="2"/>
    <x v="0"/>
  </r>
  <r>
    <s v="ORD11941"/>
    <d v="2025-03-21T00:00:00"/>
    <x v="3"/>
    <x v="3"/>
    <x v="2"/>
    <x v="2"/>
    <n v="7"/>
    <n v="4500"/>
    <n v="5220"/>
    <x v="371"/>
    <n v="29269.05"/>
    <x v="435"/>
    <n v="727146"/>
    <n v="31500"/>
    <n v="-7.6222152751797543"/>
    <x v="2"/>
    <x v="2"/>
  </r>
  <r>
    <s v="ORD10590"/>
    <d v="2025-03-22T00:00:00"/>
    <x v="10"/>
    <x v="10"/>
    <x v="4"/>
    <x v="1"/>
    <n v="8"/>
    <n v="3200"/>
    <n v="3840"/>
    <x v="372"/>
    <n v="27345.32"/>
    <x v="436"/>
    <n v="337612.79999999999"/>
    <n v="25600"/>
    <n v="6.3825181054747215"/>
    <x v="2"/>
    <x v="0"/>
  </r>
  <r>
    <s v="ORD11034"/>
    <d v="2025-03-22T00:00:00"/>
    <x v="14"/>
    <x v="14"/>
    <x v="3"/>
    <x v="2"/>
    <n v="5"/>
    <n v="1200"/>
    <n v="1464"/>
    <x v="373"/>
    <n v="6357.62"/>
    <x v="437"/>
    <n v="96258"/>
    <n v="6000"/>
    <n v="5.6250609504814699"/>
    <x v="2"/>
    <x v="0"/>
  </r>
  <r>
    <s v="ORD11683"/>
    <d v="2025-03-22T00:00:00"/>
    <x v="4"/>
    <x v="4"/>
    <x v="3"/>
    <x v="1"/>
    <n v="3"/>
    <n v="180"/>
    <n v="243"/>
    <x v="78"/>
    <n v="654.09"/>
    <x v="438"/>
    <n v="7494.12"/>
    <n v="540"/>
    <n v="17.442553777003162"/>
    <x v="2"/>
    <x v="1"/>
  </r>
  <r>
    <s v="ORD11882"/>
    <d v="2025-03-22T00:00:00"/>
    <x v="9"/>
    <x v="9"/>
    <x v="2"/>
    <x v="0"/>
    <n v="6"/>
    <n v="3000"/>
    <n v="3600"/>
    <x v="27"/>
    <n v="20736"/>
    <x v="439"/>
    <n v="86400"/>
    <n v="18000"/>
    <n v="13.194444444444445"/>
    <x v="2"/>
    <x v="1"/>
  </r>
  <r>
    <s v="ORD11893"/>
    <d v="2025-03-22T00:00:00"/>
    <x v="1"/>
    <x v="1"/>
    <x v="1"/>
    <x v="0"/>
    <n v="8"/>
    <n v="45"/>
    <n v="63"/>
    <x v="354"/>
    <n v="446.74"/>
    <x v="440"/>
    <n v="5725.44"/>
    <n v="360"/>
    <n v="19.416215248242825"/>
    <x v="2"/>
    <x v="1"/>
  </r>
  <r>
    <s v="ORD10071"/>
    <d v="2025-03-23T00:00:00"/>
    <x v="3"/>
    <x v="3"/>
    <x v="2"/>
    <x v="3"/>
    <n v="4"/>
    <n v="4500"/>
    <n v="5220"/>
    <x v="361"/>
    <n v="18947.060000000001"/>
    <x v="441"/>
    <n v="193348.8"/>
    <n v="18000"/>
    <n v="4.9984535859389254"/>
    <x v="2"/>
    <x v="0"/>
  </r>
  <r>
    <s v="ORD10203"/>
    <d v="2025-03-23T00:00:00"/>
    <x v="2"/>
    <x v="2"/>
    <x v="0"/>
    <x v="0"/>
    <n v="10"/>
    <n v="6500"/>
    <n v="7150"/>
    <x v="374"/>
    <n v="58954.45"/>
    <x v="442"/>
    <n v="1254825"/>
    <n v="65000"/>
    <n v="-10.254611823195706"/>
    <x v="2"/>
    <x v="2"/>
  </r>
  <r>
    <s v="ORD10439"/>
    <d v="2025-03-23T00:00:00"/>
    <x v="19"/>
    <x v="19"/>
    <x v="0"/>
    <x v="2"/>
    <n v="8"/>
    <n v="350"/>
    <n v="455"/>
    <x v="375"/>
    <n v="3167.57"/>
    <x v="443"/>
    <n v="47247.200000000004"/>
    <n v="2800"/>
    <n v="11.604163443901792"/>
    <x v="2"/>
    <x v="1"/>
  </r>
  <r>
    <s v="ORD10575"/>
    <d v="2025-03-23T00:00:00"/>
    <x v="9"/>
    <x v="9"/>
    <x v="2"/>
    <x v="0"/>
    <n v="7"/>
    <n v="3000"/>
    <n v="3600"/>
    <x v="376"/>
    <n v="23398.69"/>
    <x v="444"/>
    <n v="180180"/>
    <n v="21000"/>
    <n v="10.25138586818322"/>
    <x v="2"/>
    <x v="1"/>
  </r>
  <r>
    <s v="ORD11001"/>
    <d v="2025-03-23T00:00:00"/>
    <x v="12"/>
    <x v="12"/>
    <x v="2"/>
    <x v="0"/>
    <n v="7"/>
    <n v="6500"/>
    <n v="8125"/>
    <x v="377"/>
    <n v="44095.39"/>
    <x v="445"/>
    <n v="1277981.25"/>
    <n v="45500"/>
    <n v="-3.1853896745215313"/>
    <x v="2"/>
    <x v="2"/>
  </r>
  <r>
    <s v="ORD11219"/>
    <d v="2025-03-23T00:00:00"/>
    <x v="8"/>
    <x v="8"/>
    <x v="2"/>
    <x v="0"/>
    <n v="8"/>
    <n v="900"/>
    <n v="1170"/>
    <x v="324"/>
    <n v="7949.23"/>
    <x v="446"/>
    <n v="141055.20000000001"/>
    <n v="7200"/>
    <n v="9.4251896095596681"/>
    <x v="2"/>
    <x v="0"/>
  </r>
  <r>
    <s v="ORD11743"/>
    <d v="2025-03-23T00:00:00"/>
    <x v="14"/>
    <x v="14"/>
    <x v="3"/>
    <x v="2"/>
    <n v="10"/>
    <n v="1200"/>
    <n v="1464"/>
    <x v="378"/>
    <n v="13107.58"/>
    <x v="447"/>
    <n v="153280.80000000002"/>
    <n v="12000"/>
    <n v="8.4499198173881052"/>
    <x v="2"/>
    <x v="0"/>
  </r>
  <r>
    <s v="ORD10137"/>
    <d v="2025-03-24T00:00:00"/>
    <x v="17"/>
    <x v="17"/>
    <x v="0"/>
    <x v="3"/>
    <n v="1"/>
    <n v="8500"/>
    <n v="9520"/>
    <x v="379"/>
    <n v="7829.1"/>
    <x v="448"/>
    <n v="169075.20000000001"/>
    <n v="8500"/>
    <n v="-8.5693119260195925"/>
    <x v="2"/>
    <x v="2"/>
  </r>
  <r>
    <s v="ORD10817"/>
    <d v="2025-03-24T00:00:00"/>
    <x v="17"/>
    <x v="17"/>
    <x v="0"/>
    <x v="2"/>
    <n v="3"/>
    <n v="8500"/>
    <n v="9520"/>
    <x v="380"/>
    <n v="20739.8"/>
    <x v="449"/>
    <n v="781972.79999999993"/>
    <n v="25500"/>
    <n v="-22.952005323098586"/>
    <x v="2"/>
    <x v="2"/>
  </r>
  <r>
    <s v="ORD11307"/>
    <d v="2025-03-24T00:00:00"/>
    <x v="16"/>
    <x v="16"/>
    <x v="0"/>
    <x v="1"/>
    <n v="4"/>
    <n v="1100"/>
    <n v="1298"/>
    <x v="381"/>
    <n v="4459.0200000000004"/>
    <x v="450"/>
    <n v="73311.039999999994"/>
    <n v="4400"/>
    <n v="1.3236092235513632"/>
    <x v="2"/>
    <x v="0"/>
  </r>
  <r>
    <s v="ORD11404"/>
    <d v="2025-03-24T00:00:00"/>
    <x v="12"/>
    <x v="12"/>
    <x v="2"/>
    <x v="2"/>
    <n v="4"/>
    <n v="6500"/>
    <n v="8125"/>
    <x v="99"/>
    <n v="25743.17"/>
    <x v="451"/>
    <n v="675675"/>
    <n v="26000"/>
    <n v="-0.99766268101403199"/>
    <x v="2"/>
    <x v="2"/>
  </r>
  <r>
    <s v="ORD11955"/>
    <d v="2025-03-24T00:00:00"/>
    <x v="12"/>
    <x v="12"/>
    <x v="2"/>
    <x v="3"/>
    <n v="6"/>
    <n v="6500"/>
    <n v="8125"/>
    <x v="382"/>
    <n v="42733.65"/>
    <x v="452"/>
    <n v="601575"/>
    <n v="39000"/>
    <n v="8.7370257396688569"/>
    <x v="2"/>
    <x v="0"/>
  </r>
  <r>
    <s v="ORD10036"/>
    <d v="2025-03-25T00:00:00"/>
    <x v="6"/>
    <x v="6"/>
    <x v="4"/>
    <x v="2"/>
    <n v="3"/>
    <n v="1800"/>
    <n v="2124"/>
    <x v="107"/>
    <n v="5579.46"/>
    <x v="453"/>
    <n v="79267.679999999993"/>
    <n v="5400"/>
    <n v="3.2164403006742588"/>
    <x v="2"/>
    <x v="0"/>
  </r>
  <r>
    <s v="ORD10529"/>
    <d v="2025-03-25T00:00:00"/>
    <x v="0"/>
    <x v="0"/>
    <x v="0"/>
    <x v="0"/>
    <n v="10"/>
    <n v="500"/>
    <n v="610"/>
    <x v="9"/>
    <n v="6100"/>
    <x v="454"/>
    <n v="0"/>
    <n v="5000"/>
    <n v="18.032786885245901"/>
    <x v="2"/>
    <x v="1"/>
  </r>
  <r>
    <s v="ORD10553"/>
    <d v="2025-03-25T00:00:00"/>
    <x v="10"/>
    <x v="10"/>
    <x v="4"/>
    <x v="2"/>
    <n v="8"/>
    <n v="3200"/>
    <n v="3840"/>
    <x v="383"/>
    <n v="26553.32"/>
    <x v="455"/>
    <n v="416563.20000000001"/>
    <n v="25600"/>
    <n v="3.5902101884058193"/>
    <x v="2"/>
    <x v="0"/>
  </r>
  <r>
    <s v="ORD10809"/>
    <d v="2025-03-25T00:00:00"/>
    <x v="19"/>
    <x v="19"/>
    <x v="0"/>
    <x v="0"/>
    <n v="4"/>
    <n v="350"/>
    <n v="455"/>
    <x v="384"/>
    <n v="1641.22"/>
    <x v="456"/>
    <n v="17872.400000000001"/>
    <n v="1400"/>
    <n v="14.697603002644374"/>
    <x v="2"/>
    <x v="1"/>
  </r>
  <r>
    <s v="ORD11004"/>
    <d v="2025-03-25T00:00:00"/>
    <x v="4"/>
    <x v="4"/>
    <x v="3"/>
    <x v="0"/>
    <n v="3"/>
    <n v="180"/>
    <n v="243"/>
    <x v="385"/>
    <n v="688.65"/>
    <x v="457"/>
    <n v="4038.66"/>
    <n v="540"/>
    <n v="21.58571117403616"/>
    <x v="2"/>
    <x v="1"/>
  </r>
  <r>
    <s v="ORD11025"/>
    <d v="2025-03-25T00:00:00"/>
    <x v="15"/>
    <x v="15"/>
    <x v="0"/>
    <x v="1"/>
    <n v="7"/>
    <n v="550"/>
    <n v="742.5"/>
    <x v="229"/>
    <n v="4483.17"/>
    <x v="458"/>
    <n v="71413.649999999994"/>
    <n v="3850"/>
    <n v="14.123265457254575"/>
    <x v="2"/>
    <x v="1"/>
  </r>
  <r>
    <s v="ORD11606"/>
    <d v="2025-03-25T00:00:00"/>
    <x v="14"/>
    <x v="14"/>
    <x v="3"/>
    <x v="1"/>
    <n v="6"/>
    <n v="1200"/>
    <n v="1464"/>
    <x v="386"/>
    <n v="8398.4699999999993"/>
    <x v="459"/>
    <n v="38561.759999999995"/>
    <n v="7200"/>
    <n v="14.270099196639388"/>
    <x v="2"/>
    <x v="1"/>
  </r>
  <r>
    <s v="ORD11685"/>
    <d v="2025-03-25T00:00:00"/>
    <x v="11"/>
    <x v="11"/>
    <x v="0"/>
    <x v="2"/>
    <n v="5"/>
    <n v="900"/>
    <n v="1152"/>
    <x v="387"/>
    <n v="5162.5"/>
    <x v="460"/>
    <n v="59731.199999999997"/>
    <n v="4500"/>
    <n v="12.832929782082324"/>
    <x v="2"/>
    <x v="1"/>
  </r>
  <r>
    <s v="ORD11782"/>
    <d v="2025-03-25T00:00:00"/>
    <x v="15"/>
    <x v="15"/>
    <x v="0"/>
    <x v="3"/>
    <n v="4"/>
    <n v="550"/>
    <n v="742.5"/>
    <x v="388"/>
    <n v="2485.58"/>
    <x v="461"/>
    <n v="48440.7"/>
    <n v="2200"/>
    <n v="11.489471270287014"/>
    <x v="2"/>
    <x v="1"/>
  </r>
  <r>
    <s v="ORD11984"/>
    <d v="2025-03-25T00:00:00"/>
    <x v="16"/>
    <x v="16"/>
    <x v="0"/>
    <x v="1"/>
    <n v="2"/>
    <n v="1100"/>
    <n v="1298"/>
    <x v="389"/>
    <n v="2314.5700000000002"/>
    <x v="462"/>
    <n v="28140.639999999999"/>
    <n v="2200"/>
    <n v="4.9499475064482814"/>
    <x v="2"/>
    <x v="0"/>
  </r>
  <r>
    <s v="ORD10667"/>
    <d v="2025-03-26T00:00:00"/>
    <x v="14"/>
    <x v="14"/>
    <x v="3"/>
    <x v="2"/>
    <n v="6"/>
    <n v="1200"/>
    <n v="1464"/>
    <x v="390"/>
    <n v="8499.9"/>
    <x v="463"/>
    <n v="28372.32"/>
    <n v="7200"/>
    <n v="15.293121095542302"/>
    <x v="2"/>
    <x v="1"/>
  </r>
  <r>
    <s v="ORD11826"/>
    <d v="2025-03-26T00:00:00"/>
    <x v="4"/>
    <x v="4"/>
    <x v="3"/>
    <x v="3"/>
    <n v="9"/>
    <n v="180"/>
    <n v="243"/>
    <x v="9"/>
    <n v="2187"/>
    <x v="464"/>
    <n v="0"/>
    <n v="1620"/>
    <n v="25.925925925925924"/>
    <x v="2"/>
    <x v="1"/>
  </r>
  <r>
    <s v="ORD10170"/>
    <d v="2025-03-27T00:00:00"/>
    <x v="4"/>
    <x v="4"/>
    <x v="3"/>
    <x v="0"/>
    <n v="1"/>
    <n v="180"/>
    <n v="243"/>
    <x v="391"/>
    <n v="228.69"/>
    <x v="465"/>
    <n v="1431.27"/>
    <n v="180"/>
    <n v="21.290830381739472"/>
    <x v="2"/>
    <x v="1"/>
  </r>
  <r>
    <s v="ORD10334"/>
    <d v="2025-03-27T00:00:00"/>
    <x v="19"/>
    <x v="19"/>
    <x v="0"/>
    <x v="1"/>
    <n v="10"/>
    <n v="350"/>
    <n v="455"/>
    <x v="392"/>
    <n v="3738.35"/>
    <x v="466"/>
    <n v="81172"/>
    <n v="3500"/>
    <n v="6.3758075086602375"/>
    <x v="2"/>
    <x v="0"/>
  </r>
  <r>
    <s v="ORD10388"/>
    <d v="2025-03-27T00:00:00"/>
    <x v="2"/>
    <x v="2"/>
    <x v="0"/>
    <x v="2"/>
    <n v="2"/>
    <n v="6500"/>
    <n v="7150"/>
    <x v="393"/>
    <n v="12584.16"/>
    <x v="467"/>
    <n v="171600"/>
    <n v="13000"/>
    <n v="-3.3044716532529779"/>
    <x v="2"/>
    <x v="2"/>
  </r>
  <r>
    <s v="ORD10588"/>
    <d v="2025-03-27T00:00:00"/>
    <x v="15"/>
    <x v="15"/>
    <x v="0"/>
    <x v="2"/>
    <n v="9"/>
    <n v="550"/>
    <n v="742.5"/>
    <x v="394"/>
    <n v="6370.74"/>
    <x v="468"/>
    <n v="31207.274999999998"/>
    <n v="4950"/>
    <n v="22.301019975701411"/>
    <x v="2"/>
    <x v="1"/>
  </r>
  <r>
    <s v="ORD10598"/>
    <d v="2025-03-27T00:00:00"/>
    <x v="16"/>
    <x v="16"/>
    <x v="0"/>
    <x v="0"/>
    <n v="7"/>
    <n v="1100"/>
    <n v="1298"/>
    <x v="395"/>
    <n v="7800.85"/>
    <x v="469"/>
    <n v="128476.04000000001"/>
    <n v="7700"/>
    <n v="1.292807835043617"/>
    <x v="2"/>
    <x v="0"/>
  </r>
  <r>
    <s v="ORD10618"/>
    <d v="2025-03-27T00:00:00"/>
    <x v="9"/>
    <x v="9"/>
    <x v="2"/>
    <x v="1"/>
    <n v="8"/>
    <n v="3000"/>
    <n v="3600"/>
    <x v="396"/>
    <n v="25750.9"/>
    <x v="470"/>
    <n v="304992"/>
    <n v="24000"/>
    <n v="6.7993740024620495"/>
    <x v="2"/>
    <x v="0"/>
  </r>
  <r>
    <s v="ORD10854"/>
    <d v="2025-03-27T00:00:00"/>
    <x v="17"/>
    <x v="17"/>
    <x v="0"/>
    <x v="1"/>
    <n v="9"/>
    <n v="8500"/>
    <n v="9520"/>
    <x v="397"/>
    <n v="71763.360000000001"/>
    <x v="471"/>
    <n v="1391443.2"/>
    <n v="76500"/>
    <n v="-6.6003598493716025"/>
    <x v="2"/>
    <x v="2"/>
  </r>
  <r>
    <s v="ORD11621"/>
    <d v="2025-03-27T00:00:00"/>
    <x v="14"/>
    <x v="14"/>
    <x v="3"/>
    <x v="3"/>
    <n v="3"/>
    <n v="1200"/>
    <n v="1464"/>
    <x v="398"/>
    <n v="3815.65"/>
    <x v="472"/>
    <n v="57623.039999999994"/>
    <n v="3600"/>
    <n v="5.6517238216293428"/>
    <x v="2"/>
    <x v="0"/>
  </r>
  <r>
    <s v="ORD11690"/>
    <d v="2025-03-27T00:00:00"/>
    <x v="7"/>
    <x v="7"/>
    <x v="5"/>
    <x v="0"/>
    <n v="1"/>
    <n v="300"/>
    <n v="405"/>
    <x v="399"/>
    <n v="348.83"/>
    <x v="473"/>
    <n v="5617.3499999999995"/>
    <n v="300"/>
    <n v="13.99822262993435"/>
    <x v="2"/>
    <x v="1"/>
  </r>
  <r>
    <s v="ORD10239"/>
    <d v="2025-03-28T00:00:00"/>
    <x v="4"/>
    <x v="4"/>
    <x v="3"/>
    <x v="2"/>
    <n v="6"/>
    <n v="180"/>
    <n v="243"/>
    <x v="400"/>
    <n v="1421.32"/>
    <x v="474"/>
    <n v="3674.16"/>
    <n v="1080"/>
    <n v="24.014296569386204"/>
    <x v="2"/>
    <x v="1"/>
  </r>
  <r>
    <s v="ORD10244"/>
    <d v="2025-03-28T00:00:00"/>
    <x v="2"/>
    <x v="2"/>
    <x v="0"/>
    <x v="3"/>
    <n v="10"/>
    <n v="6500"/>
    <n v="7150"/>
    <x v="401"/>
    <n v="61853.07"/>
    <x v="475"/>
    <n v="964535"/>
    <n v="65000"/>
    <n v="-5.0877506969338784"/>
    <x v="2"/>
    <x v="2"/>
  </r>
  <r>
    <s v="ORD10578"/>
    <d v="2025-03-28T00:00:00"/>
    <x v="7"/>
    <x v="7"/>
    <x v="5"/>
    <x v="0"/>
    <n v="4"/>
    <n v="300"/>
    <n v="405"/>
    <x v="9"/>
    <n v="1620"/>
    <x v="476"/>
    <n v="0"/>
    <n v="1200"/>
    <n v="25.925925925925924"/>
    <x v="2"/>
    <x v="1"/>
  </r>
  <r>
    <s v="ORD10913"/>
    <d v="2025-03-28T00:00:00"/>
    <x v="15"/>
    <x v="15"/>
    <x v="0"/>
    <x v="2"/>
    <n v="5"/>
    <n v="550"/>
    <n v="742.5"/>
    <x v="402"/>
    <n v="3419.63"/>
    <x v="477"/>
    <n v="29291.625"/>
    <n v="2750"/>
    <n v="19.581943075712868"/>
    <x v="2"/>
    <x v="1"/>
  </r>
  <r>
    <s v="ORD11123"/>
    <d v="2025-03-28T00:00:00"/>
    <x v="18"/>
    <x v="18"/>
    <x v="1"/>
    <x v="0"/>
    <n v="10"/>
    <n v="80"/>
    <n v="116"/>
    <x v="403"/>
    <n v="1123.43"/>
    <x v="478"/>
    <n v="3654"/>
    <n v="800"/>
    <n v="28.789510694925362"/>
    <x v="2"/>
    <x v="1"/>
  </r>
  <r>
    <s v="ORD10348"/>
    <d v="2025-03-29T00:00:00"/>
    <x v="12"/>
    <x v="12"/>
    <x v="2"/>
    <x v="3"/>
    <n v="8"/>
    <n v="6500"/>
    <n v="8125"/>
    <x v="246"/>
    <n v="61771.1"/>
    <x v="479"/>
    <n v="323050"/>
    <n v="52000"/>
    <n v="15.818238626153654"/>
    <x v="2"/>
    <x v="1"/>
  </r>
  <r>
    <s v="ORD11386"/>
    <d v="2025-03-29T00:00:00"/>
    <x v="19"/>
    <x v="19"/>
    <x v="0"/>
    <x v="0"/>
    <n v="6"/>
    <n v="350"/>
    <n v="455"/>
    <x v="404"/>
    <n v="2265.3200000000002"/>
    <x v="480"/>
    <n v="46464.6"/>
    <n v="2100"/>
    <n v="7.2978652022672286"/>
    <x v="2"/>
    <x v="0"/>
  </r>
  <r>
    <s v="ORD11686"/>
    <d v="2025-03-29T00:00:00"/>
    <x v="16"/>
    <x v="16"/>
    <x v="0"/>
    <x v="3"/>
    <n v="10"/>
    <n v="1100"/>
    <n v="1298"/>
    <x v="405"/>
    <n v="12290.2"/>
    <x v="481"/>
    <n v="68923.799999999988"/>
    <n v="11000"/>
    <n v="10.497794991131144"/>
    <x v="2"/>
    <x v="1"/>
  </r>
  <r>
    <s v="ORD11883"/>
    <d v="2025-03-29T00:00:00"/>
    <x v="1"/>
    <x v="1"/>
    <x v="1"/>
    <x v="0"/>
    <n v="3"/>
    <n v="45"/>
    <n v="63"/>
    <x v="406"/>
    <n v="180.46"/>
    <x v="482"/>
    <n v="854.28"/>
    <n v="135"/>
    <n v="25.19117810041006"/>
    <x v="2"/>
    <x v="1"/>
  </r>
  <r>
    <s v="ORD10657"/>
    <d v="2025-03-30T00:00:00"/>
    <x v="6"/>
    <x v="6"/>
    <x v="4"/>
    <x v="0"/>
    <n v="4"/>
    <n v="1800"/>
    <n v="2124"/>
    <x v="14"/>
    <n v="7352.44"/>
    <x v="483"/>
    <n v="114356.16"/>
    <n v="7200"/>
    <n v="2.0733253178536653"/>
    <x v="2"/>
    <x v="0"/>
  </r>
  <r>
    <s v="ORD10839"/>
    <d v="2025-03-30T00:00:00"/>
    <x v="16"/>
    <x v="16"/>
    <x v="0"/>
    <x v="2"/>
    <n v="6"/>
    <n v="1100"/>
    <n v="1298"/>
    <x v="407"/>
    <n v="7399.89"/>
    <x v="484"/>
    <n v="38784.240000000005"/>
    <n v="6600"/>
    <n v="10.809485005858194"/>
    <x v="2"/>
    <x v="1"/>
  </r>
  <r>
    <s v="ORD11657"/>
    <d v="2025-03-30T00:00:00"/>
    <x v="10"/>
    <x v="10"/>
    <x v="4"/>
    <x v="2"/>
    <n v="8"/>
    <n v="3200"/>
    <n v="3840"/>
    <x v="408"/>
    <n v="24699.3"/>
    <x v="485"/>
    <n v="602112"/>
    <n v="25600"/>
    <n v="-3.6466620511512478"/>
    <x v="2"/>
    <x v="2"/>
  </r>
  <r>
    <s v="ORD11722"/>
    <d v="2025-03-30T00:00:00"/>
    <x v="17"/>
    <x v="17"/>
    <x v="0"/>
    <x v="1"/>
    <n v="5"/>
    <n v="8500"/>
    <n v="9520"/>
    <x v="83"/>
    <n v="40735.599999999999"/>
    <x v="486"/>
    <n v="686392"/>
    <n v="42500"/>
    <n v="-4.3313465371812372"/>
    <x v="2"/>
    <x v="2"/>
  </r>
  <r>
    <s v="ORD11943"/>
    <d v="2025-03-30T00:00:00"/>
    <x v="12"/>
    <x v="12"/>
    <x v="2"/>
    <x v="0"/>
    <n v="3"/>
    <n v="6500"/>
    <n v="8125"/>
    <x v="409"/>
    <n v="22358.95"/>
    <x v="487"/>
    <n v="201581.25"/>
    <n v="19500"/>
    <n v="12.78660223311023"/>
    <x v="2"/>
    <x v="1"/>
  </r>
  <r>
    <s v="ORD10390"/>
    <d v="2025-03-31T00:00:00"/>
    <x v="7"/>
    <x v="7"/>
    <x v="5"/>
    <x v="1"/>
    <n v="3"/>
    <n v="300"/>
    <n v="405"/>
    <x v="410"/>
    <n v="1159.76"/>
    <x v="488"/>
    <n v="5528.25"/>
    <n v="900"/>
    <n v="22.397737462923363"/>
    <x v="2"/>
    <x v="1"/>
  </r>
  <r>
    <s v="ORD10484"/>
    <d v="2025-03-31T00:00:00"/>
    <x v="9"/>
    <x v="9"/>
    <x v="2"/>
    <x v="2"/>
    <n v="5"/>
    <n v="3000"/>
    <n v="3600"/>
    <x v="411"/>
    <n v="16037.12"/>
    <x v="489"/>
    <n v="196200"/>
    <n v="15000"/>
    <n v="6.4669965679623269"/>
    <x v="2"/>
    <x v="0"/>
  </r>
  <r>
    <s v="ORD10511"/>
    <d v="2025-03-31T00:00:00"/>
    <x v="8"/>
    <x v="8"/>
    <x v="2"/>
    <x v="2"/>
    <n v="4"/>
    <n v="900"/>
    <n v="1170"/>
    <x v="412"/>
    <n v="4233.6400000000003"/>
    <x v="490"/>
    <n v="44647.199999999997"/>
    <n v="3600"/>
    <n v="14.966789807352537"/>
    <x v="2"/>
    <x v="1"/>
  </r>
  <r>
    <s v="ORD10943"/>
    <d v="2025-03-31T00:00:00"/>
    <x v="0"/>
    <x v="0"/>
    <x v="0"/>
    <x v="2"/>
    <n v="9"/>
    <n v="500"/>
    <n v="610"/>
    <x v="88"/>
    <n v="5192.0600000000004"/>
    <x v="491"/>
    <n v="29810.699999999997"/>
    <n v="4500"/>
    <n v="13.329198815113843"/>
    <x v="2"/>
    <x v="1"/>
  </r>
  <r>
    <s v="ORD10983"/>
    <d v="2025-03-31T00:00:00"/>
    <x v="16"/>
    <x v="16"/>
    <x v="0"/>
    <x v="1"/>
    <n v="2"/>
    <n v="1100"/>
    <n v="1298"/>
    <x v="413"/>
    <n v="2264.1"/>
    <x v="492"/>
    <n v="33176.879999999997"/>
    <n v="2200"/>
    <n v="2.8311470341416016"/>
    <x v="2"/>
    <x v="0"/>
  </r>
  <r>
    <s v="ORD11565"/>
    <d v="2025-03-31T00:00:00"/>
    <x v="15"/>
    <x v="15"/>
    <x v="0"/>
    <x v="0"/>
    <n v="2"/>
    <n v="550"/>
    <n v="742.5"/>
    <x v="414"/>
    <n v="1382.56"/>
    <x v="493"/>
    <n v="10246.5"/>
    <n v="1100"/>
    <n v="20.437449369285961"/>
    <x v="2"/>
    <x v="1"/>
  </r>
  <r>
    <s v="ORD11579"/>
    <d v="2025-03-31T00:00:00"/>
    <x v="8"/>
    <x v="8"/>
    <x v="2"/>
    <x v="2"/>
    <n v="6"/>
    <n v="900"/>
    <n v="1170"/>
    <x v="415"/>
    <n v="4921.99"/>
    <x v="494"/>
    <n v="209827.80000000002"/>
    <n v="5400"/>
    <n v="-9.7117222911871011"/>
    <x v="2"/>
    <x v="2"/>
  </r>
  <r>
    <s v="ORD11653"/>
    <d v="2025-03-31T00:00:00"/>
    <x v="5"/>
    <x v="5"/>
    <x v="3"/>
    <x v="2"/>
    <n v="9"/>
    <n v="2500"/>
    <n v="2875"/>
    <x v="416"/>
    <n v="23109.439999999999"/>
    <x v="495"/>
    <n v="276603.75"/>
    <n v="22500"/>
    <n v="2.6371906891729098"/>
    <x v="2"/>
    <x v="0"/>
  </r>
  <r>
    <s v="ORD10797"/>
    <d v="2025-04-01T00:00:00"/>
    <x v="16"/>
    <x v="16"/>
    <x v="0"/>
    <x v="1"/>
    <n v="2"/>
    <n v="1100"/>
    <n v="1298"/>
    <x v="417"/>
    <n v="2217.1999999999998"/>
    <x v="496"/>
    <n v="37875.64"/>
    <n v="2200"/>
    <n v="0.77575320223705579"/>
    <x v="3"/>
    <x v="0"/>
  </r>
  <r>
    <s v="ORD11181"/>
    <d v="2025-04-01T00:00:00"/>
    <x v="19"/>
    <x v="19"/>
    <x v="0"/>
    <x v="2"/>
    <n v="6"/>
    <n v="350"/>
    <n v="455"/>
    <x v="418"/>
    <n v="2499.4499999999998"/>
    <x v="497"/>
    <n v="23068.499999999996"/>
    <n v="2100"/>
    <n v="15.981515933505372"/>
    <x v="3"/>
    <x v="1"/>
  </r>
  <r>
    <s v="ORD11705"/>
    <d v="2025-04-01T00:00:00"/>
    <x v="2"/>
    <x v="2"/>
    <x v="0"/>
    <x v="0"/>
    <n v="10"/>
    <n v="6500"/>
    <n v="7150"/>
    <x v="419"/>
    <n v="52894.76"/>
    <x v="498"/>
    <n v="1860430"/>
    <n v="65000"/>
    <n v="-22.885518338678537"/>
    <x v="3"/>
    <x v="2"/>
  </r>
  <r>
    <s v="ORD11733"/>
    <d v="2025-04-01T00:00:00"/>
    <x v="17"/>
    <x v="17"/>
    <x v="0"/>
    <x v="2"/>
    <n v="1"/>
    <n v="8500"/>
    <n v="9520"/>
    <x v="420"/>
    <n v="8515.9"/>
    <x v="499"/>
    <n v="100436"/>
    <n v="8500"/>
    <n v="0.18670956681031955"/>
    <x v="3"/>
    <x v="0"/>
  </r>
  <r>
    <s v="ORD11742"/>
    <d v="2025-04-01T00:00:00"/>
    <x v="2"/>
    <x v="2"/>
    <x v="0"/>
    <x v="3"/>
    <n v="3"/>
    <n v="6500"/>
    <n v="7150"/>
    <x v="421"/>
    <n v="18646.240000000002"/>
    <x v="500"/>
    <n v="280351.5"/>
    <n v="19500"/>
    <n v="-4.5787247187636746"/>
    <x v="3"/>
    <x v="2"/>
  </r>
  <r>
    <s v="ORD10114"/>
    <d v="2025-04-02T00:00:00"/>
    <x v="12"/>
    <x v="12"/>
    <x v="2"/>
    <x v="2"/>
    <n v="1"/>
    <n v="6500"/>
    <n v="8125"/>
    <x v="422"/>
    <n v="7456.3"/>
    <x v="501"/>
    <n v="66868.75"/>
    <n v="6500"/>
    <n v="12.825395973874439"/>
    <x v="3"/>
    <x v="1"/>
  </r>
  <r>
    <s v="ORD10167"/>
    <d v="2025-04-02T00:00:00"/>
    <x v="11"/>
    <x v="11"/>
    <x v="0"/>
    <x v="0"/>
    <n v="6"/>
    <n v="900"/>
    <n v="1152"/>
    <x v="423"/>
    <n v="6374.96"/>
    <x v="502"/>
    <n v="53706.239999999998"/>
    <n v="5400"/>
    <n v="15.293586155834705"/>
    <x v="3"/>
    <x v="1"/>
  </r>
  <r>
    <s v="ORD10641"/>
    <d v="2025-04-02T00:00:00"/>
    <x v="8"/>
    <x v="8"/>
    <x v="2"/>
    <x v="0"/>
    <n v="1"/>
    <n v="900"/>
    <n v="1170"/>
    <x v="9"/>
    <n v="1170"/>
    <x v="239"/>
    <n v="0"/>
    <n v="900"/>
    <n v="23.076923076923077"/>
    <x v="3"/>
    <x v="1"/>
  </r>
  <r>
    <s v="ORD11155"/>
    <d v="2025-04-02T00:00:00"/>
    <x v="15"/>
    <x v="15"/>
    <x v="0"/>
    <x v="1"/>
    <n v="5"/>
    <n v="550"/>
    <n v="742.5"/>
    <x v="424"/>
    <n v="3206.36"/>
    <x v="503"/>
    <n v="50601.375"/>
    <n v="2750"/>
    <n v="14.232961988048753"/>
    <x v="3"/>
    <x v="1"/>
  </r>
  <r>
    <s v="ORD11220"/>
    <d v="2025-04-02T00:00:00"/>
    <x v="14"/>
    <x v="14"/>
    <x v="3"/>
    <x v="3"/>
    <n v="1"/>
    <n v="1200"/>
    <n v="1464"/>
    <x v="425"/>
    <n v="1407.97"/>
    <x v="504"/>
    <n v="5607.12"/>
    <n v="1200"/>
    <n v="14.770911312030796"/>
    <x v="3"/>
    <x v="1"/>
  </r>
  <r>
    <s v="ORD11519"/>
    <d v="2025-04-02T00:00:00"/>
    <x v="3"/>
    <x v="3"/>
    <x v="2"/>
    <x v="1"/>
    <n v="10"/>
    <n v="4500"/>
    <n v="5220"/>
    <x v="426"/>
    <n v="44264.98"/>
    <x v="505"/>
    <n v="793440"/>
    <n v="45000"/>
    <n v="-1.6605000160397676"/>
    <x v="3"/>
    <x v="2"/>
  </r>
  <r>
    <s v="ORD10891"/>
    <d v="2025-04-03T00:00:00"/>
    <x v="3"/>
    <x v="3"/>
    <x v="2"/>
    <x v="2"/>
    <n v="1"/>
    <n v="4500"/>
    <n v="5220"/>
    <x v="427"/>
    <n v="4315.7"/>
    <x v="506"/>
    <n v="90410.400000000009"/>
    <n v="4500"/>
    <n v="-4.2704543874690089"/>
    <x v="3"/>
    <x v="2"/>
  </r>
  <r>
    <s v="ORD10925"/>
    <d v="2025-04-03T00:00:00"/>
    <x v="1"/>
    <x v="1"/>
    <x v="1"/>
    <x v="0"/>
    <n v="6"/>
    <n v="45"/>
    <n v="63"/>
    <x v="428"/>
    <n v="336.13"/>
    <x v="507"/>
    <n v="4188.24"/>
    <n v="270"/>
    <n v="19.673935679647755"/>
    <x v="3"/>
    <x v="1"/>
  </r>
  <r>
    <s v="ORD11029"/>
    <d v="2025-04-03T00:00:00"/>
    <x v="4"/>
    <x v="4"/>
    <x v="3"/>
    <x v="2"/>
    <n v="10"/>
    <n v="180"/>
    <n v="243"/>
    <x v="429"/>
    <n v="2297.19"/>
    <x v="508"/>
    <n v="13292.099999999999"/>
    <n v="1800"/>
    <n v="21.643399109346635"/>
    <x v="3"/>
    <x v="1"/>
  </r>
  <r>
    <s v="ORD11630"/>
    <d v="2025-04-03T00:00:00"/>
    <x v="15"/>
    <x v="15"/>
    <x v="0"/>
    <x v="3"/>
    <n v="6"/>
    <n v="550"/>
    <n v="742.5"/>
    <x v="430"/>
    <n v="3636.16"/>
    <x v="509"/>
    <n v="81882.899999999994"/>
    <n v="3300"/>
    <n v="9.244917715392063"/>
    <x v="3"/>
    <x v="0"/>
  </r>
  <r>
    <s v="ORD11689"/>
    <d v="2025-04-03T00:00:00"/>
    <x v="8"/>
    <x v="8"/>
    <x v="2"/>
    <x v="1"/>
    <n v="9"/>
    <n v="900"/>
    <n v="1170"/>
    <x v="98"/>
    <n v="9081.73"/>
    <x v="510"/>
    <n v="144787.5"/>
    <n v="8100"/>
    <n v="10.809944801265839"/>
    <x v="3"/>
    <x v="1"/>
  </r>
  <r>
    <s v="ORD11723"/>
    <d v="2025-04-03T00:00:00"/>
    <x v="7"/>
    <x v="7"/>
    <x v="5"/>
    <x v="2"/>
    <n v="9"/>
    <n v="300"/>
    <n v="405"/>
    <x v="431"/>
    <n v="3606.88"/>
    <x v="511"/>
    <n v="3827.25"/>
    <n v="2700"/>
    <n v="25.143059929911722"/>
    <x v="3"/>
    <x v="1"/>
  </r>
  <r>
    <s v="ORD11426"/>
    <d v="2025-04-04T00:00:00"/>
    <x v="8"/>
    <x v="8"/>
    <x v="2"/>
    <x v="2"/>
    <n v="8"/>
    <n v="900"/>
    <n v="1170"/>
    <x v="432"/>
    <n v="7907.61"/>
    <x v="512"/>
    <n v="145267.19999999998"/>
    <n v="7200"/>
    <n v="8.9484686270567213"/>
    <x v="3"/>
    <x v="0"/>
  </r>
  <r>
    <s v="ORD11680"/>
    <d v="2025-04-04T00:00:00"/>
    <x v="19"/>
    <x v="19"/>
    <x v="0"/>
    <x v="0"/>
    <n v="9"/>
    <n v="350"/>
    <n v="455"/>
    <x v="151"/>
    <n v="3324.03"/>
    <x v="513"/>
    <n v="77108.849999999991"/>
    <n v="3150"/>
    <n v="5.235512314870804"/>
    <x v="3"/>
    <x v="0"/>
  </r>
  <r>
    <s v="ORD11728"/>
    <d v="2025-04-04T00:00:00"/>
    <x v="18"/>
    <x v="18"/>
    <x v="1"/>
    <x v="3"/>
    <n v="3"/>
    <n v="80"/>
    <n v="116"/>
    <x v="433"/>
    <n v="328.44"/>
    <x v="514"/>
    <n v="1955.76"/>
    <n v="240"/>
    <n v="26.927292656192915"/>
    <x v="3"/>
    <x v="1"/>
  </r>
  <r>
    <s v="ORD10096"/>
    <d v="2025-04-05T00:00:00"/>
    <x v="7"/>
    <x v="7"/>
    <x v="5"/>
    <x v="3"/>
    <n v="9"/>
    <n v="300"/>
    <n v="405"/>
    <x v="434"/>
    <n v="3280.06"/>
    <x v="515"/>
    <n v="36486.449999999997"/>
    <n v="2700"/>
    <n v="17.684432601842648"/>
    <x v="3"/>
    <x v="1"/>
  </r>
  <r>
    <s v="ORD10347"/>
    <d v="2025-04-05T00:00:00"/>
    <x v="16"/>
    <x v="16"/>
    <x v="0"/>
    <x v="1"/>
    <n v="2"/>
    <n v="1100"/>
    <n v="1298"/>
    <x v="435"/>
    <n v="2101.94"/>
    <x v="516"/>
    <n v="49401.880000000005"/>
    <n v="2200"/>
    <n v="-4.6652140403627129"/>
    <x v="3"/>
    <x v="2"/>
  </r>
  <r>
    <s v="ORD11945"/>
    <d v="2025-04-05T00:00:00"/>
    <x v="1"/>
    <x v="1"/>
    <x v="1"/>
    <x v="1"/>
    <n v="6"/>
    <n v="45"/>
    <n v="63"/>
    <x v="436"/>
    <n v="312.5"/>
    <x v="517"/>
    <n v="6550.74"/>
    <n v="270"/>
    <n v="13.600000000000001"/>
    <x v="3"/>
    <x v="1"/>
  </r>
  <r>
    <s v="ORD10113"/>
    <d v="2025-04-06T00:00:00"/>
    <x v="6"/>
    <x v="6"/>
    <x v="4"/>
    <x v="0"/>
    <n v="10"/>
    <n v="1800"/>
    <n v="2124"/>
    <x v="437"/>
    <n v="19276.39"/>
    <x v="518"/>
    <n v="196257.6"/>
    <n v="18000"/>
    <n v="6.6215199007698029"/>
    <x v="3"/>
    <x v="0"/>
  </r>
  <r>
    <s v="ORD11381"/>
    <d v="2025-04-06T00:00:00"/>
    <x v="8"/>
    <x v="8"/>
    <x v="2"/>
    <x v="2"/>
    <n v="4"/>
    <n v="900"/>
    <n v="1170"/>
    <x v="438"/>
    <n v="4149.62"/>
    <x v="519"/>
    <n v="53024.4"/>
    <n v="3600"/>
    <n v="13.245068223114407"/>
    <x v="3"/>
    <x v="1"/>
  </r>
  <r>
    <s v="ORD11570"/>
    <d v="2025-04-06T00:00:00"/>
    <x v="17"/>
    <x v="17"/>
    <x v="0"/>
    <x v="2"/>
    <n v="10"/>
    <n v="8500"/>
    <n v="9520"/>
    <x v="268"/>
    <n v="84983.7"/>
    <x v="520"/>
    <n v="1021496"/>
    <n v="85000"/>
    <n v="-1.918014866380259E-2"/>
    <x v="3"/>
    <x v="2"/>
  </r>
  <r>
    <s v="ORD11887"/>
    <d v="2025-04-06T00:00:00"/>
    <x v="4"/>
    <x v="4"/>
    <x v="3"/>
    <x v="1"/>
    <n v="6"/>
    <n v="180"/>
    <n v="243"/>
    <x v="372"/>
    <n v="1297.78"/>
    <x v="521"/>
    <n v="16023.42"/>
    <n v="1080"/>
    <n v="16.78096441615682"/>
    <x v="3"/>
    <x v="1"/>
  </r>
  <r>
    <s v="ORD10146"/>
    <d v="2025-04-07T00:00:00"/>
    <x v="10"/>
    <x v="10"/>
    <x v="4"/>
    <x v="2"/>
    <n v="10"/>
    <n v="3200"/>
    <n v="3840"/>
    <x v="439"/>
    <n v="31164.65"/>
    <x v="522"/>
    <n v="723456"/>
    <n v="32000"/>
    <n v="-2.6804408199674952"/>
    <x v="3"/>
    <x v="2"/>
  </r>
  <r>
    <s v="ORD10221"/>
    <d v="2025-04-07T00:00:00"/>
    <x v="4"/>
    <x v="4"/>
    <x v="3"/>
    <x v="1"/>
    <n v="7"/>
    <n v="180"/>
    <n v="243"/>
    <x v="440"/>
    <n v="1539.99"/>
    <x v="523"/>
    <n v="16108.470000000001"/>
    <n v="1260"/>
    <n v="18.181286891473324"/>
    <x v="3"/>
    <x v="1"/>
  </r>
  <r>
    <s v="ORD10651"/>
    <d v="2025-04-07T00:00:00"/>
    <x v="16"/>
    <x v="16"/>
    <x v="0"/>
    <x v="3"/>
    <n v="7"/>
    <n v="1100"/>
    <n v="1298"/>
    <x v="49"/>
    <n v="8207.73"/>
    <x v="524"/>
    <n v="87861.62"/>
    <n v="7700"/>
    <n v="6.185997833749405"/>
    <x v="3"/>
    <x v="0"/>
  </r>
  <r>
    <s v="ORD11967"/>
    <d v="2025-04-07T00:00:00"/>
    <x v="6"/>
    <x v="6"/>
    <x v="4"/>
    <x v="1"/>
    <n v="4"/>
    <n v="1800"/>
    <n v="2124"/>
    <x v="441"/>
    <n v="7760.65"/>
    <x v="525"/>
    <n v="73575.360000000001"/>
    <n v="7200"/>
    <n v="7.2242660086461825"/>
    <x v="3"/>
    <x v="0"/>
  </r>
  <r>
    <s v="ORD10601"/>
    <d v="2025-04-08T00:00:00"/>
    <x v="1"/>
    <x v="1"/>
    <x v="1"/>
    <x v="3"/>
    <n v="4"/>
    <n v="45"/>
    <n v="63"/>
    <x v="172"/>
    <n v="231.21"/>
    <x v="526"/>
    <n v="2079"/>
    <n v="180"/>
    <n v="22.148695990657842"/>
    <x v="3"/>
    <x v="1"/>
  </r>
  <r>
    <s v="ORD10603"/>
    <d v="2025-04-08T00:00:00"/>
    <x v="10"/>
    <x v="10"/>
    <x v="4"/>
    <x v="3"/>
    <n v="10"/>
    <n v="3200"/>
    <n v="3840"/>
    <x v="388"/>
    <n v="32136.43"/>
    <x v="527"/>
    <n v="626304"/>
    <n v="32000"/>
    <n v="0.42453377677607629"/>
    <x v="3"/>
    <x v="0"/>
  </r>
  <r>
    <s v="ORD10614"/>
    <d v="2025-04-08T00:00:00"/>
    <x v="19"/>
    <x v="19"/>
    <x v="0"/>
    <x v="3"/>
    <n v="5"/>
    <n v="350"/>
    <n v="455"/>
    <x v="442"/>
    <n v="2061.71"/>
    <x v="528"/>
    <n v="21339.5"/>
    <n v="1750"/>
    <n v="15.119003157573083"/>
    <x v="3"/>
    <x v="1"/>
  </r>
  <r>
    <s v="ORD11558"/>
    <d v="2025-04-08T00:00:00"/>
    <x v="14"/>
    <x v="14"/>
    <x v="3"/>
    <x v="2"/>
    <n v="4"/>
    <n v="1200"/>
    <n v="1464"/>
    <x v="9"/>
    <n v="5856"/>
    <x v="529"/>
    <n v="0"/>
    <n v="4800"/>
    <n v="18.032786885245901"/>
    <x v="3"/>
    <x v="1"/>
  </r>
  <r>
    <s v="ORD10138"/>
    <d v="2025-04-09T00:00:00"/>
    <x v="7"/>
    <x v="7"/>
    <x v="5"/>
    <x v="3"/>
    <n v="1"/>
    <n v="300"/>
    <n v="405"/>
    <x v="443"/>
    <n v="338.29"/>
    <x v="530"/>
    <n v="6670.3499999999995"/>
    <n v="300"/>
    <n v="11.318691063880101"/>
    <x v="3"/>
    <x v="1"/>
  </r>
  <r>
    <s v="ORD10624"/>
    <d v="2025-04-09T00:00:00"/>
    <x v="11"/>
    <x v="11"/>
    <x v="0"/>
    <x v="2"/>
    <n v="10"/>
    <n v="900"/>
    <n v="1152"/>
    <x v="9"/>
    <n v="11520"/>
    <x v="531"/>
    <n v="0"/>
    <n v="9000"/>
    <n v="21.875"/>
    <x v="3"/>
    <x v="1"/>
  </r>
  <r>
    <s v="ORD11052"/>
    <d v="2025-04-09T00:00:00"/>
    <x v="5"/>
    <x v="5"/>
    <x v="3"/>
    <x v="0"/>
    <n v="4"/>
    <n v="2500"/>
    <n v="2875"/>
    <x v="444"/>
    <n v="10204.48"/>
    <x v="532"/>
    <n v="129605"/>
    <n v="10000"/>
    <n v="2.0038257706419143"/>
    <x v="3"/>
    <x v="0"/>
  </r>
  <r>
    <s v="ORD11162"/>
    <d v="2025-04-09T00:00:00"/>
    <x v="0"/>
    <x v="0"/>
    <x v="0"/>
    <x v="0"/>
    <n v="2"/>
    <n v="500"/>
    <n v="610"/>
    <x v="445"/>
    <n v="1165.1300000000001"/>
    <x v="533"/>
    <n v="5490"/>
    <n v="1000"/>
    <n v="14.172667427669014"/>
    <x v="3"/>
    <x v="1"/>
  </r>
  <r>
    <s v="ORD11730"/>
    <d v="2025-04-09T00:00:00"/>
    <x v="2"/>
    <x v="2"/>
    <x v="0"/>
    <x v="1"/>
    <n v="7"/>
    <n v="6500"/>
    <n v="7150"/>
    <x v="446"/>
    <n v="39044.910000000003"/>
    <x v="534"/>
    <n v="1100599.5"/>
    <n v="45500"/>
    <n v="-16.53247503964025"/>
    <x v="3"/>
    <x v="2"/>
  </r>
  <r>
    <s v="ORD11768"/>
    <d v="2025-04-09T00:00:00"/>
    <x v="15"/>
    <x v="15"/>
    <x v="0"/>
    <x v="3"/>
    <n v="9"/>
    <n v="550"/>
    <n v="742.5"/>
    <x v="447"/>
    <n v="5474.33"/>
    <x v="535"/>
    <n v="120819.59999999999"/>
    <n v="4950"/>
    <n v="9.5779757522838427"/>
    <x v="3"/>
    <x v="0"/>
  </r>
  <r>
    <s v="ORD10519"/>
    <d v="2025-04-10T00:00:00"/>
    <x v="5"/>
    <x v="5"/>
    <x v="3"/>
    <x v="0"/>
    <n v="4"/>
    <n v="2500"/>
    <n v="2875"/>
    <x v="448"/>
    <n v="9904.07"/>
    <x v="536"/>
    <n v="159620"/>
    <n v="10000"/>
    <n v="-0.9685917001798251"/>
    <x v="3"/>
    <x v="2"/>
  </r>
  <r>
    <s v="ORD10802"/>
    <d v="2025-04-10T00:00:00"/>
    <x v="13"/>
    <x v="13"/>
    <x v="6"/>
    <x v="3"/>
    <n v="4"/>
    <n v="900"/>
    <n v="1170"/>
    <x v="203"/>
    <n v="4419.51"/>
    <x v="537"/>
    <n v="26067.600000000002"/>
    <n v="3600"/>
    <n v="18.54300589884399"/>
    <x v="3"/>
    <x v="1"/>
  </r>
  <r>
    <s v="ORD11073"/>
    <d v="2025-04-10T00:00:00"/>
    <x v="13"/>
    <x v="13"/>
    <x v="6"/>
    <x v="3"/>
    <n v="10"/>
    <n v="900"/>
    <n v="1170"/>
    <x v="9"/>
    <n v="11700"/>
    <x v="538"/>
    <n v="0"/>
    <n v="9000"/>
    <n v="23.076923076923077"/>
    <x v="3"/>
    <x v="1"/>
  </r>
  <r>
    <s v="ORD11400"/>
    <d v="2025-04-10T00:00:00"/>
    <x v="10"/>
    <x v="10"/>
    <x v="4"/>
    <x v="2"/>
    <n v="3"/>
    <n v="3200"/>
    <n v="3840"/>
    <x v="449"/>
    <n v="10773.21"/>
    <x v="539"/>
    <n v="74649.600000000006"/>
    <n v="9600"/>
    <n v="10.890068976655984"/>
    <x v="3"/>
    <x v="1"/>
  </r>
  <r>
    <s v="ORD11449"/>
    <d v="2025-04-10T00:00:00"/>
    <x v="14"/>
    <x v="14"/>
    <x v="3"/>
    <x v="0"/>
    <n v="6"/>
    <n v="1200"/>
    <n v="1464"/>
    <x v="83"/>
    <n v="7517.17"/>
    <x v="540"/>
    <n v="126665.28"/>
    <n v="7200"/>
    <n v="4.2192740087027429"/>
    <x v="3"/>
    <x v="0"/>
  </r>
  <r>
    <s v="ORD11456"/>
    <d v="2025-04-10T00:00:00"/>
    <x v="2"/>
    <x v="2"/>
    <x v="0"/>
    <x v="3"/>
    <n v="9"/>
    <n v="6500"/>
    <n v="7150"/>
    <x v="450"/>
    <n v="52927.26"/>
    <x v="541"/>
    <n v="1142212.5"/>
    <n v="58500"/>
    <n v="-10.529054404101023"/>
    <x v="3"/>
    <x v="2"/>
  </r>
  <r>
    <s v="ORD11915"/>
    <d v="2025-04-10T00:00:00"/>
    <x v="8"/>
    <x v="8"/>
    <x v="2"/>
    <x v="2"/>
    <n v="10"/>
    <n v="900"/>
    <n v="1170"/>
    <x v="451"/>
    <n v="11255.9"/>
    <x v="542"/>
    <n v="44460"/>
    <n v="9000"/>
    <n v="20.041933563731025"/>
    <x v="3"/>
    <x v="1"/>
  </r>
  <r>
    <s v="ORD10064"/>
    <d v="2025-04-11T00:00:00"/>
    <x v="3"/>
    <x v="3"/>
    <x v="2"/>
    <x v="2"/>
    <n v="9"/>
    <n v="4500"/>
    <n v="5220"/>
    <x v="393"/>
    <n v="41343.75"/>
    <x v="543"/>
    <n v="563760"/>
    <n v="40500"/>
    <n v="2.0408163265306123"/>
    <x v="3"/>
    <x v="0"/>
  </r>
  <r>
    <s v="ORD10152"/>
    <d v="2025-04-11T00:00:00"/>
    <x v="18"/>
    <x v="18"/>
    <x v="1"/>
    <x v="1"/>
    <n v="5"/>
    <n v="80"/>
    <n v="116"/>
    <x v="9"/>
    <n v="580"/>
    <x v="544"/>
    <n v="0"/>
    <n v="400"/>
    <n v="31.03448275862069"/>
    <x v="3"/>
    <x v="1"/>
  </r>
  <r>
    <s v="ORD10240"/>
    <d v="2025-04-11T00:00:00"/>
    <x v="8"/>
    <x v="8"/>
    <x v="2"/>
    <x v="2"/>
    <n v="1"/>
    <n v="900"/>
    <n v="1170"/>
    <x v="9"/>
    <n v="1170"/>
    <x v="239"/>
    <n v="0"/>
    <n v="900"/>
    <n v="23.076923076923077"/>
    <x v="3"/>
    <x v="1"/>
  </r>
  <r>
    <s v="ORD10404"/>
    <d v="2025-04-11T00:00:00"/>
    <x v="15"/>
    <x v="15"/>
    <x v="0"/>
    <x v="3"/>
    <n v="7"/>
    <n v="550"/>
    <n v="742.5"/>
    <x v="154"/>
    <n v="4535.32"/>
    <x v="545"/>
    <n v="66216.149999999994"/>
    <n v="3850"/>
    <n v="15.110730885582496"/>
    <x v="3"/>
    <x v="1"/>
  </r>
  <r>
    <s v="ORD10688"/>
    <d v="2025-04-11T00:00:00"/>
    <x v="19"/>
    <x v="19"/>
    <x v="0"/>
    <x v="0"/>
    <n v="10"/>
    <n v="350"/>
    <n v="455"/>
    <x v="452"/>
    <n v="4152.99"/>
    <x v="546"/>
    <n v="39721.5"/>
    <n v="3500"/>
    <n v="15.723370390971326"/>
    <x v="3"/>
    <x v="1"/>
  </r>
  <r>
    <s v="ORD10691"/>
    <d v="2025-04-11T00:00:00"/>
    <x v="13"/>
    <x v="13"/>
    <x v="6"/>
    <x v="3"/>
    <n v="5"/>
    <n v="900"/>
    <n v="1170"/>
    <x v="10"/>
    <n v="4857.26"/>
    <x v="547"/>
    <n v="99274.5"/>
    <n v="4500"/>
    <n v="7.3551755516484603"/>
    <x v="3"/>
    <x v="0"/>
  </r>
  <r>
    <s v="ORD11177"/>
    <d v="2025-04-11T00:00:00"/>
    <x v="13"/>
    <x v="13"/>
    <x v="6"/>
    <x v="1"/>
    <n v="9"/>
    <n v="900"/>
    <n v="1170"/>
    <x v="453"/>
    <n v="10212.36"/>
    <x v="548"/>
    <n v="31800.6"/>
    <n v="8100"/>
    <n v="20.684347202801312"/>
    <x v="3"/>
    <x v="1"/>
  </r>
  <r>
    <s v="ORD11420"/>
    <d v="2025-04-11T00:00:00"/>
    <x v="19"/>
    <x v="19"/>
    <x v="0"/>
    <x v="1"/>
    <n v="1"/>
    <n v="350"/>
    <n v="455"/>
    <x v="9"/>
    <n v="455"/>
    <x v="549"/>
    <n v="0"/>
    <n v="350"/>
    <n v="23.076923076923077"/>
    <x v="3"/>
    <x v="1"/>
  </r>
  <r>
    <s v="ORD11434"/>
    <d v="2025-04-11T00:00:00"/>
    <x v="1"/>
    <x v="1"/>
    <x v="1"/>
    <x v="1"/>
    <n v="5"/>
    <n v="45"/>
    <n v="63"/>
    <x v="421"/>
    <n v="273.83999999999997"/>
    <x v="550"/>
    <n v="4117.05"/>
    <n v="225"/>
    <n v="17.835232252410169"/>
    <x v="3"/>
    <x v="1"/>
  </r>
  <r>
    <s v="ORD11695"/>
    <d v="2025-04-11T00:00:00"/>
    <x v="1"/>
    <x v="1"/>
    <x v="1"/>
    <x v="0"/>
    <n v="8"/>
    <n v="45"/>
    <n v="63"/>
    <x v="454"/>
    <n v="426.71"/>
    <x v="551"/>
    <n v="7731.36"/>
    <n v="360"/>
    <n v="15.633568465702702"/>
    <x v="3"/>
    <x v="1"/>
  </r>
  <r>
    <s v="ORD11707"/>
    <d v="2025-04-11T00:00:00"/>
    <x v="13"/>
    <x v="13"/>
    <x v="6"/>
    <x v="2"/>
    <n v="2"/>
    <n v="900"/>
    <n v="1170"/>
    <x v="455"/>
    <n v="1947.94"/>
    <x v="552"/>
    <n v="39195"/>
    <n v="1800"/>
    <n v="7.5946897748390603"/>
    <x v="3"/>
    <x v="0"/>
  </r>
  <r>
    <s v="ORD10708"/>
    <d v="2025-04-12T00:00:00"/>
    <x v="16"/>
    <x v="16"/>
    <x v="0"/>
    <x v="0"/>
    <n v="4"/>
    <n v="1100"/>
    <n v="1298"/>
    <x v="456"/>
    <n v="5178.8100000000004"/>
    <x v="553"/>
    <n v="1298"/>
    <n v="4400"/>
    <n v="15.038396851786413"/>
    <x v="3"/>
    <x v="1"/>
  </r>
  <r>
    <s v="ORD10814"/>
    <d v="2025-04-12T00:00:00"/>
    <x v="10"/>
    <x v="10"/>
    <x v="4"/>
    <x v="2"/>
    <n v="7"/>
    <n v="3200"/>
    <n v="3840"/>
    <x v="457"/>
    <n v="22608.38"/>
    <x v="554"/>
    <n v="427123.20000000001"/>
    <n v="22400"/>
    <n v="0.92169363749193878"/>
    <x v="3"/>
    <x v="0"/>
  </r>
  <r>
    <s v="ORD11210"/>
    <d v="2025-04-12T00:00:00"/>
    <x v="3"/>
    <x v="3"/>
    <x v="2"/>
    <x v="3"/>
    <n v="2"/>
    <n v="4500"/>
    <n v="5220"/>
    <x v="306"/>
    <n v="9108.7099999999991"/>
    <x v="555"/>
    <n v="133110"/>
    <n v="9000"/>
    <n v="1.19347306040043"/>
    <x v="3"/>
    <x v="0"/>
  </r>
  <r>
    <s v="ORD11493"/>
    <d v="2025-04-12T00:00:00"/>
    <x v="11"/>
    <x v="11"/>
    <x v="0"/>
    <x v="3"/>
    <n v="5"/>
    <n v="900"/>
    <n v="1152"/>
    <x v="458"/>
    <n v="5099.5200000000004"/>
    <x v="556"/>
    <n v="66067.199999999997"/>
    <n v="4500"/>
    <n v="11.756400602409638"/>
    <x v="3"/>
    <x v="1"/>
  </r>
  <r>
    <s v="ORD11501"/>
    <d v="2025-04-12T00:00:00"/>
    <x v="14"/>
    <x v="14"/>
    <x v="3"/>
    <x v="3"/>
    <n v="1"/>
    <n v="1200"/>
    <n v="1464"/>
    <x v="151"/>
    <n v="1188.33"/>
    <x v="557"/>
    <n v="27567.119999999999"/>
    <n v="1200"/>
    <n v="-0.98205044053419521"/>
    <x v="3"/>
    <x v="2"/>
  </r>
  <r>
    <s v="ORD11595"/>
    <d v="2025-04-12T00:00:00"/>
    <x v="12"/>
    <x v="12"/>
    <x v="2"/>
    <x v="0"/>
    <n v="5"/>
    <n v="6500"/>
    <n v="8125"/>
    <x v="19"/>
    <n v="31834.54"/>
    <x v="558"/>
    <n v="879125"/>
    <n v="32500"/>
    <n v="-2.0903710246794835"/>
    <x v="3"/>
    <x v="2"/>
  </r>
  <r>
    <s v="ORD11875"/>
    <d v="2025-04-12T00:00:00"/>
    <x v="0"/>
    <x v="0"/>
    <x v="0"/>
    <x v="1"/>
    <n v="1"/>
    <n v="500"/>
    <n v="610"/>
    <x v="459"/>
    <n v="553.88"/>
    <x v="559"/>
    <n v="5612"/>
    <n v="500"/>
    <n v="9.727738860402976"/>
    <x v="3"/>
    <x v="0"/>
  </r>
  <r>
    <s v="ORD10149"/>
    <d v="2025-04-13T00:00:00"/>
    <x v="12"/>
    <x v="12"/>
    <x v="2"/>
    <x v="3"/>
    <n v="8"/>
    <n v="6500"/>
    <n v="8125"/>
    <x v="460"/>
    <n v="59942.51"/>
    <x v="560"/>
    <n v="505700"/>
    <n v="52000"/>
    <n v="13.25021257868581"/>
    <x v="3"/>
    <x v="1"/>
  </r>
  <r>
    <s v="ORD10984"/>
    <d v="2025-04-13T00:00:00"/>
    <x v="6"/>
    <x v="6"/>
    <x v="4"/>
    <x v="2"/>
    <n v="4"/>
    <n v="1800"/>
    <n v="2124"/>
    <x v="461"/>
    <n v="6701.95"/>
    <x v="561"/>
    <n v="179435.52000000002"/>
    <n v="7200"/>
    <n v="-7.4314192138109068"/>
    <x v="3"/>
    <x v="2"/>
  </r>
  <r>
    <s v="ORD11790"/>
    <d v="2025-04-13T00:00:00"/>
    <x v="19"/>
    <x v="19"/>
    <x v="0"/>
    <x v="2"/>
    <n v="9"/>
    <n v="350"/>
    <n v="455"/>
    <x v="462"/>
    <n v="3865.13"/>
    <x v="562"/>
    <n v="22972.95"/>
    <n v="3150"/>
    <n v="18.502094366813019"/>
    <x v="3"/>
    <x v="1"/>
  </r>
  <r>
    <s v="ORD11825"/>
    <d v="2025-04-13T00:00:00"/>
    <x v="15"/>
    <x v="15"/>
    <x v="0"/>
    <x v="1"/>
    <n v="9"/>
    <n v="550"/>
    <n v="742.5"/>
    <x v="460"/>
    <n v="6162.66"/>
    <x v="563"/>
    <n v="51989.85"/>
    <n v="4950"/>
    <n v="19.677541840698662"/>
    <x v="3"/>
    <x v="1"/>
  </r>
  <r>
    <s v="ORD10026"/>
    <d v="2025-04-14T00:00:00"/>
    <x v="7"/>
    <x v="7"/>
    <x v="5"/>
    <x v="1"/>
    <n v="10"/>
    <n v="300"/>
    <n v="405"/>
    <x v="463"/>
    <n v="3804.18"/>
    <x v="564"/>
    <n v="24583.5"/>
    <n v="3000"/>
    <n v="21.139378262858223"/>
    <x v="3"/>
    <x v="1"/>
  </r>
  <r>
    <s v="ORD10376"/>
    <d v="2025-04-14T00:00:00"/>
    <x v="12"/>
    <x v="12"/>
    <x v="2"/>
    <x v="1"/>
    <n v="6"/>
    <n v="6500"/>
    <n v="8125"/>
    <x v="464"/>
    <n v="39249.72"/>
    <x v="565"/>
    <n v="950137.49999999988"/>
    <n v="39000"/>
    <n v="0.63623383810126544"/>
    <x v="3"/>
    <x v="0"/>
  </r>
  <r>
    <s v="ORD10672"/>
    <d v="2025-04-14T00:00:00"/>
    <x v="17"/>
    <x v="17"/>
    <x v="0"/>
    <x v="0"/>
    <n v="6"/>
    <n v="8500"/>
    <n v="9520"/>
    <x v="465"/>
    <n v="45599.96"/>
    <x v="566"/>
    <n v="1152110.4000000001"/>
    <n v="51000"/>
    <n v="-11.842203370353834"/>
    <x v="3"/>
    <x v="2"/>
  </r>
  <r>
    <s v="ORD11165"/>
    <d v="2025-04-14T00:00:00"/>
    <x v="8"/>
    <x v="8"/>
    <x v="2"/>
    <x v="3"/>
    <n v="5"/>
    <n v="900"/>
    <n v="1170"/>
    <x v="466"/>
    <n v="5843.15"/>
    <x v="567"/>
    <n v="702"/>
    <n v="4500"/>
    <n v="22.986745163139748"/>
    <x v="3"/>
    <x v="1"/>
  </r>
  <r>
    <s v="ORD11292"/>
    <d v="2025-04-14T00:00:00"/>
    <x v="6"/>
    <x v="6"/>
    <x v="4"/>
    <x v="2"/>
    <n v="7"/>
    <n v="1800"/>
    <n v="2124"/>
    <x v="467"/>
    <n v="13829.28"/>
    <x v="568"/>
    <n v="103927.32"/>
    <n v="12600"/>
    <n v="8.8889660199229468"/>
    <x v="3"/>
    <x v="0"/>
  </r>
  <r>
    <s v="ORD11518"/>
    <d v="2025-04-14T00:00:00"/>
    <x v="6"/>
    <x v="6"/>
    <x v="4"/>
    <x v="1"/>
    <n v="7"/>
    <n v="1800"/>
    <n v="2124"/>
    <x v="256"/>
    <n v="13381.14"/>
    <x v="569"/>
    <n v="148680"/>
    <n v="12600"/>
    <n v="5.8376192162999567"/>
    <x v="3"/>
    <x v="0"/>
  </r>
  <r>
    <s v="ORD11555"/>
    <d v="2025-04-14T00:00:00"/>
    <x v="15"/>
    <x v="15"/>
    <x v="0"/>
    <x v="1"/>
    <n v="1"/>
    <n v="550"/>
    <n v="742.5"/>
    <x v="9"/>
    <n v="742.5"/>
    <x v="570"/>
    <n v="0"/>
    <n v="550"/>
    <n v="25.925925925925924"/>
    <x v="3"/>
    <x v="1"/>
  </r>
  <r>
    <s v="ORD11566"/>
    <d v="2025-04-14T00:00:00"/>
    <x v="10"/>
    <x v="10"/>
    <x v="4"/>
    <x v="0"/>
    <n v="6"/>
    <n v="3200"/>
    <n v="3840"/>
    <x v="468"/>
    <n v="17846.060000000001"/>
    <x v="571"/>
    <n v="519321.59999999998"/>
    <n v="19200"/>
    <n v="-7.5867726545803382"/>
    <x v="3"/>
    <x v="2"/>
  </r>
  <r>
    <s v="ORD11885"/>
    <d v="2025-04-14T00:00:00"/>
    <x v="14"/>
    <x v="14"/>
    <x v="3"/>
    <x v="2"/>
    <n v="3"/>
    <n v="1200"/>
    <n v="1464"/>
    <x v="469"/>
    <n v="4289.7700000000004"/>
    <x v="572"/>
    <n v="10233.36"/>
    <n v="3600"/>
    <n v="16.079416845192167"/>
    <x v="3"/>
    <x v="1"/>
  </r>
  <r>
    <s v="ORD10212"/>
    <d v="2025-04-15T00:00:00"/>
    <x v="15"/>
    <x v="15"/>
    <x v="0"/>
    <x v="1"/>
    <n v="3"/>
    <n v="550"/>
    <n v="742.5"/>
    <x v="9"/>
    <n v="2227.5"/>
    <x v="383"/>
    <n v="0"/>
    <n v="1650"/>
    <n v="25.925925925925924"/>
    <x v="3"/>
    <x v="1"/>
  </r>
  <r>
    <s v="ORD10279"/>
    <d v="2025-04-15T00:00:00"/>
    <x v="15"/>
    <x v="15"/>
    <x v="0"/>
    <x v="1"/>
    <n v="7"/>
    <n v="550"/>
    <n v="742.5"/>
    <x v="237"/>
    <n v="4651.96"/>
    <x v="573"/>
    <n v="54573.75"/>
    <n v="3850"/>
    <n v="17.239185203656092"/>
    <x v="3"/>
    <x v="1"/>
  </r>
  <r>
    <s v="ORD11013"/>
    <d v="2025-04-15T00:00:00"/>
    <x v="13"/>
    <x v="13"/>
    <x v="6"/>
    <x v="0"/>
    <n v="2"/>
    <n v="900"/>
    <n v="1170"/>
    <x v="75"/>
    <n v="2217.23"/>
    <x v="574"/>
    <n v="12285"/>
    <n v="1800"/>
    <n v="18.817623791848387"/>
    <x v="3"/>
    <x v="1"/>
  </r>
  <r>
    <s v="ORD11756"/>
    <d v="2025-04-15T00:00:00"/>
    <x v="9"/>
    <x v="9"/>
    <x v="2"/>
    <x v="3"/>
    <n v="4"/>
    <n v="3000"/>
    <n v="3600"/>
    <x v="470"/>
    <n v="12589.85"/>
    <x v="575"/>
    <n v="181008"/>
    <n v="12000"/>
    <n v="4.6851233334789537"/>
    <x v="3"/>
    <x v="0"/>
  </r>
  <r>
    <s v="ORD10012"/>
    <d v="2025-04-16T00:00:00"/>
    <x v="11"/>
    <x v="11"/>
    <x v="0"/>
    <x v="1"/>
    <n v="9"/>
    <n v="900"/>
    <n v="1152"/>
    <x v="471"/>
    <n v="9584.48"/>
    <x v="576"/>
    <n v="78382.080000000002"/>
    <n v="8100"/>
    <n v="15.488372869472315"/>
    <x v="3"/>
    <x v="1"/>
  </r>
  <r>
    <s v="ORD10534"/>
    <d v="2025-04-16T00:00:00"/>
    <x v="1"/>
    <x v="1"/>
    <x v="1"/>
    <x v="3"/>
    <n v="2"/>
    <n v="45"/>
    <n v="63"/>
    <x v="472"/>
    <n v="111.91"/>
    <x v="577"/>
    <n v="1408.68"/>
    <n v="90"/>
    <n v="19.578232508265572"/>
    <x v="3"/>
    <x v="1"/>
  </r>
  <r>
    <s v="ORD10543"/>
    <d v="2025-04-16T00:00:00"/>
    <x v="18"/>
    <x v="18"/>
    <x v="1"/>
    <x v="2"/>
    <n v="8"/>
    <n v="80"/>
    <n v="116"/>
    <x v="473"/>
    <n v="806.13"/>
    <x v="578"/>
    <n v="12184.640000000001"/>
    <n v="640"/>
    <n v="20.608338605435847"/>
    <x v="3"/>
    <x v="1"/>
  </r>
  <r>
    <s v="ORD10949"/>
    <d v="2025-04-16T00:00:00"/>
    <x v="1"/>
    <x v="1"/>
    <x v="1"/>
    <x v="3"/>
    <n v="6"/>
    <n v="45"/>
    <n v="63"/>
    <x v="9"/>
    <n v="378"/>
    <x v="579"/>
    <n v="0"/>
    <n v="270"/>
    <n v="28.571428571428569"/>
    <x v="3"/>
    <x v="1"/>
  </r>
  <r>
    <s v="ORD10490"/>
    <d v="2025-04-17T00:00:00"/>
    <x v="9"/>
    <x v="9"/>
    <x v="2"/>
    <x v="1"/>
    <n v="4"/>
    <n v="3000"/>
    <n v="3600"/>
    <x v="474"/>
    <n v="12717.53"/>
    <x v="580"/>
    <n v="168192"/>
    <n v="12000"/>
    <n v="5.6420547071640481"/>
    <x v="3"/>
    <x v="0"/>
  </r>
  <r>
    <s v="ORD10552"/>
    <d v="2025-04-17T00:00:00"/>
    <x v="7"/>
    <x v="7"/>
    <x v="5"/>
    <x v="1"/>
    <n v="7"/>
    <n v="300"/>
    <n v="405"/>
    <x v="475"/>
    <n v="2482.9899999999998"/>
    <x v="581"/>
    <n v="35210.699999999997"/>
    <n v="2100"/>
    <n v="15.424548628870838"/>
    <x v="3"/>
    <x v="1"/>
  </r>
  <r>
    <s v="ORD10690"/>
    <d v="2025-04-17T00:00:00"/>
    <x v="13"/>
    <x v="13"/>
    <x v="6"/>
    <x v="3"/>
    <n v="1"/>
    <n v="900"/>
    <n v="1170"/>
    <x v="476"/>
    <n v="946.07"/>
    <x v="582"/>
    <n v="22393.8"/>
    <n v="900"/>
    <n v="4.8696185271702932"/>
    <x v="3"/>
    <x v="0"/>
  </r>
  <r>
    <s v="ORD11050"/>
    <d v="2025-04-17T00:00:00"/>
    <x v="1"/>
    <x v="1"/>
    <x v="1"/>
    <x v="2"/>
    <n v="5"/>
    <n v="45"/>
    <n v="63"/>
    <x v="477"/>
    <n v="306.44"/>
    <x v="583"/>
    <n v="856.80000000000007"/>
    <n v="225"/>
    <n v="26.576164991515466"/>
    <x v="3"/>
    <x v="1"/>
  </r>
  <r>
    <s v="ORD11396"/>
    <d v="2025-04-17T00:00:00"/>
    <x v="9"/>
    <x v="9"/>
    <x v="2"/>
    <x v="2"/>
    <n v="4"/>
    <n v="3000"/>
    <n v="3600"/>
    <x v="478"/>
    <n v="12405.06"/>
    <x v="584"/>
    <n v="199440"/>
    <n v="12000"/>
    <n v="3.2652804581356318"/>
    <x v="3"/>
    <x v="0"/>
  </r>
  <r>
    <s v="ORD11670"/>
    <d v="2025-04-17T00:00:00"/>
    <x v="19"/>
    <x v="19"/>
    <x v="0"/>
    <x v="1"/>
    <n v="9"/>
    <n v="350"/>
    <n v="455"/>
    <x v="479"/>
    <n v="3436.99"/>
    <x v="585"/>
    <n v="65806.649999999994"/>
    <n v="3150"/>
    <n v="8.3500388421263967"/>
    <x v="3"/>
    <x v="0"/>
  </r>
  <r>
    <s v="ORD10362"/>
    <d v="2025-04-18T00:00:00"/>
    <x v="4"/>
    <x v="4"/>
    <x v="3"/>
    <x v="3"/>
    <n v="3"/>
    <n v="180"/>
    <n v="243"/>
    <x v="480"/>
    <n v="698.17"/>
    <x v="586"/>
    <n v="3083.6700000000005"/>
    <n v="540"/>
    <n v="22.654940773737057"/>
    <x v="3"/>
    <x v="1"/>
  </r>
  <r>
    <s v="ORD10754"/>
    <d v="2025-04-18T00:00:00"/>
    <x v="1"/>
    <x v="1"/>
    <x v="1"/>
    <x v="2"/>
    <n v="1"/>
    <n v="45"/>
    <n v="63"/>
    <x v="481"/>
    <n v="50.95"/>
    <x v="587"/>
    <n v="1204.5600000000002"/>
    <n v="45"/>
    <n v="11.678115799803729"/>
    <x v="3"/>
    <x v="1"/>
  </r>
  <r>
    <s v="ORD10975"/>
    <d v="2025-04-18T00:00:00"/>
    <x v="18"/>
    <x v="18"/>
    <x v="1"/>
    <x v="2"/>
    <n v="2"/>
    <n v="80"/>
    <n v="116"/>
    <x v="482"/>
    <n v="201.2"/>
    <x v="588"/>
    <n v="3080.96"/>
    <n v="160"/>
    <n v="20.477137176938374"/>
    <x v="3"/>
    <x v="1"/>
  </r>
  <r>
    <s v="ORD11202"/>
    <d v="2025-04-18T00:00:00"/>
    <x v="7"/>
    <x v="7"/>
    <x v="5"/>
    <x v="2"/>
    <n v="4"/>
    <n v="300"/>
    <n v="405"/>
    <x v="483"/>
    <n v="1501.37"/>
    <x v="589"/>
    <n v="11858.4"/>
    <n v="1200"/>
    <n v="20.072999993339419"/>
    <x v="3"/>
    <x v="1"/>
  </r>
  <r>
    <s v="ORD11633"/>
    <d v="2025-04-18T00:00:00"/>
    <x v="4"/>
    <x v="4"/>
    <x v="3"/>
    <x v="2"/>
    <n v="5"/>
    <n v="180"/>
    <n v="243"/>
    <x v="183"/>
    <n v="1108.1099999999999"/>
    <x v="590"/>
    <n v="10692"/>
    <n v="900"/>
    <n v="18.780626472101147"/>
    <x v="3"/>
    <x v="1"/>
  </r>
  <r>
    <s v="ORD11664"/>
    <d v="2025-04-18T00:00:00"/>
    <x v="0"/>
    <x v="0"/>
    <x v="0"/>
    <x v="1"/>
    <n v="10"/>
    <n v="500"/>
    <n v="610"/>
    <x v="9"/>
    <n v="6100"/>
    <x v="454"/>
    <n v="0"/>
    <n v="5000"/>
    <n v="18.032786885245901"/>
    <x v="3"/>
    <x v="1"/>
  </r>
  <r>
    <s v="ORD10246"/>
    <d v="2025-04-19T00:00:00"/>
    <x v="9"/>
    <x v="9"/>
    <x v="2"/>
    <x v="2"/>
    <n v="3"/>
    <n v="3000"/>
    <n v="3600"/>
    <x v="484"/>
    <n v="8460.68"/>
    <x v="591"/>
    <n v="233928"/>
    <n v="9000"/>
    <n v="-6.3744285329311587"/>
    <x v="3"/>
    <x v="2"/>
  </r>
  <r>
    <s v="ORD10447"/>
    <d v="2025-04-19T00:00:00"/>
    <x v="0"/>
    <x v="0"/>
    <x v="0"/>
    <x v="2"/>
    <n v="1"/>
    <n v="500"/>
    <n v="610"/>
    <x v="180"/>
    <n v="501.84"/>
    <x v="592"/>
    <n v="10815.300000000001"/>
    <n v="500"/>
    <n v="0.36665072533078275"/>
    <x v="3"/>
    <x v="0"/>
  </r>
  <r>
    <s v="ORD10702"/>
    <d v="2025-04-19T00:00:00"/>
    <x v="0"/>
    <x v="0"/>
    <x v="0"/>
    <x v="0"/>
    <n v="2"/>
    <n v="500"/>
    <n v="610"/>
    <x v="485"/>
    <n v="1203.98"/>
    <x v="593"/>
    <n v="1598.2"/>
    <n v="1000"/>
    <n v="16.942141896044784"/>
    <x v="3"/>
    <x v="1"/>
  </r>
  <r>
    <s v="ORD10926"/>
    <d v="2025-04-19T00:00:00"/>
    <x v="15"/>
    <x v="15"/>
    <x v="0"/>
    <x v="1"/>
    <n v="10"/>
    <n v="550"/>
    <n v="742.5"/>
    <x v="424"/>
    <n v="6412.73"/>
    <x v="594"/>
    <n v="101202.75"/>
    <n v="5500"/>
    <n v="14.233095733018544"/>
    <x v="3"/>
    <x v="1"/>
  </r>
  <r>
    <s v="ORD10979"/>
    <d v="2025-04-19T00:00:00"/>
    <x v="18"/>
    <x v="18"/>
    <x v="1"/>
    <x v="3"/>
    <n v="4"/>
    <n v="80"/>
    <n v="116"/>
    <x v="486"/>
    <n v="419.83"/>
    <x v="595"/>
    <n v="4417.28"/>
    <n v="320"/>
    <n v="23.77867231974847"/>
    <x v="3"/>
    <x v="1"/>
  </r>
  <r>
    <s v="ORD11132"/>
    <d v="2025-04-19T00:00:00"/>
    <x v="14"/>
    <x v="14"/>
    <x v="3"/>
    <x v="1"/>
    <n v="8"/>
    <n v="1200"/>
    <n v="1464"/>
    <x v="487"/>
    <n v="10888.28"/>
    <x v="596"/>
    <n v="82335.360000000001"/>
    <n v="9600"/>
    <n v="11.831804472331717"/>
    <x v="3"/>
    <x v="1"/>
  </r>
  <r>
    <s v="ORD11146"/>
    <d v="2025-04-19T00:00:00"/>
    <x v="7"/>
    <x v="7"/>
    <x v="5"/>
    <x v="2"/>
    <n v="7"/>
    <n v="300"/>
    <n v="405"/>
    <x v="488"/>
    <n v="2502.0100000000002"/>
    <x v="597"/>
    <n v="33311.25"/>
    <n v="2100"/>
    <n v="16.067481744677277"/>
    <x v="3"/>
    <x v="1"/>
  </r>
  <r>
    <s v="ORD11457"/>
    <d v="2025-04-19T00:00:00"/>
    <x v="7"/>
    <x v="7"/>
    <x v="5"/>
    <x v="0"/>
    <n v="6"/>
    <n v="300"/>
    <n v="405"/>
    <x v="489"/>
    <n v="2244.7399999999998"/>
    <x v="598"/>
    <n v="18516.599999999999"/>
    <n v="1800"/>
    <n v="19.812539536872869"/>
    <x v="3"/>
    <x v="1"/>
  </r>
  <r>
    <s v="ORD11771"/>
    <d v="2025-04-19T00:00:00"/>
    <x v="14"/>
    <x v="14"/>
    <x v="3"/>
    <x v="3"/>
    <n v="2"/>
    <n v="1200"/>
    <n v="1464"/>
    <x v="490"/>
    <n v="2573.9299999999998"/>
    <x v="599"/>
    <n v="35399.519999999997"/>
    <n v="2400"/>
    <n v="6.7573710240760239"/>
    <x v="3"/>
    <x v="0"/>
  </r>
  <r>
    <s v="ORD11785"/>
    <d v="2025-04-19T00:00:00"/>
    <x v="9"/>
    <x v="9"/>
    <x v="2"/>
    <x v="3"/>
    <n v="1"/>
    <n v="3000"/>
    <n v="3600"/>
    <x v="491"/>
    <n v="3115.79"/>
    <x v="600"/>
    <n v="48420"/>
    <n v="3000"/>
    <n v="3.7162324803661355"/>
    <x v="3"/>
    <x v="0"/>
  </r>
  <r>
    <s v="ORD11909"/>
    <d v="2025-04-19T00:00:00"/>
    <x v="10"/>
    <x v="10"/>
    <x v="4"/>
    <x v="0"/>
    <n v="8"/>
    <n v="3200"/>
    <n v="3840"/>
    <x v="85"/>
    <n v="27691.26"/>
    <x v="601"/>
    <n v="302899.19999999995"/>
    <n v="25600"/>
    <n v="7.5520579417476865"/>
    <x v="3"/>
    <x v="0"/>
  </r>
  <r>
    <s v="ORD10099"/>
    <d v="2025-04-20T00:00:00"/>
    <x v="9"/>
    <x v="9"/>
    <x v="2"/>
    <x v="2"/>
    <n v="4"/>
    <n v="3000"/>
    <n v="3600"/>
    <x v="492"/>
    <n v="12725.29"/>
    <x v="602"/>
    <n v="167472"/>
    <n v="12000"/>
    <n v="5.6995950583444452"/>
    <x v="3"/>
    <x v="0"/>
  </r>
  <r>
    <s v="ORD10818"/>
    <d v="2025-04-20T00:00:00"/>
    <x v="0"/>
    <x v="0"/>
    <x v="0"/>
    <x v="3"/>
    <n v="8"/>
    <n v="500"/>
    <n v="610"/>
    <x v="493"/>
    <n v="4229.8999999999996"/>
    <x v="603"/>
    <n v="65001.599999999999"/>
    <n v="4000"/>
    <n v="5.4351166694248096"/>
    <x v="3"/>
    <x v="0"/>
  </r>
  <r>
    <s v="ORD10853"/>
    <d v="2025-04-20T00:00:00"/>
    <x v="3"/>
    <x v="3"/>
    <x v="2"/>
    <x v="1"/>
    <n v="3"/>
    <n v="4500"/>
    <n v="5220"/>
    <x v="494"/>
    <n v="13155.74"/>
    <x v="604"/>
    <n v="250403.4"/>
    <n v="13500"/>
    <n v="-2.6168045279094905"/>
    <x v="3"/>
    <x v="2"/>
  </r>
  <r>
    <s v="ORD10267"/>
    <d v="2025-04-21T00:00:00"/>
    <x v="9"/>
    <x v="9"/>
    <x v="2"/>
    <x v="2"/>
    <n v="2"/>
    <n v="3000"/>
    <n v="3600"/>
    <x v="495"/>
    <n v="6409.75"/>
    <x v="605"/>
    <n v="79056"/>
    <n v="6000"/>
    <n v="6.3926050157962475"/>
    <x v="3"/>
    <x v="0"/>
  </r>
  <r>
    <s v="ORD10366"/>
    <d v="2025-04-21T00:00:00"/>
    <x v="7"/>
    <x v="7"/>
    <x v="5"/>
    <x v="0"/>
    <n v="10"/>
    <n v="300"/>
    <n v="405"/>
    <x v="496"/>
    <n v="4004.79"/>
    <x v="606"/>
    <n v="4536"/>
    <n v="3000"/>
    <n v="25.089705078168894"/>
    <x v="3"/>
    <x v="1"/>
  </r>
  <r>
    <s v="ORD10407"/>
    <d v="2025-04-21T00:00:00"/>
    <x v="0"/>
    <x v="0"/>
    <x v="0"/>
    <x v="1"/>
    <n v="7"/>
    <n v="500"/>
    <n v="610"/>
    <x v="9"/>
    <n v="4270"/>
    <x v="278"/>
    <n v="0"/>
    <n v="3500"/>
    <n v="18.032786885245901"/>
    <x v="3"/>
    <x v="1"/>
  </r>
  <r>
    <s v="ORD11158"/>
    <d v="2025-04-21T00:00:00"/>
    <x v="5"/>
    <x v="5"/>
    <x v="3"/>
    <x v="0"/>
    <n v="4"/>
    <n v="2500"/>
    <n v="2875"/>
    <x v="497"/>
    <n v="10988.76"/>
    <x v="607"/>
    <n v="51175"/>
    <n v="10000"/>
    <n v="8.9979215125273466"/>
    <x v="3"/>
    <x v="0"/>
  </r>
  <r>
    <s v="ORD11321"/>
    <d v="2025-04-21T00:00:00"/>
    <x v="10"/>
    <x v="10"/>
    <x v="4"/>
    <x v="0"/>
    <n v="3"/>
    <n v="3200"/>
    <n v="3840"/>
    <x v="498"/>
    <n v="9741.83"/>
    <x v="608"/>
    <n v="177868.79999999999"/>
    <n v="9600"/>
    <n v="1.4558866249975622"/>
    <x v="3"/>
    <x v="0"/>
  </r>
  <r>
    <s v="ORD11500"/>
    <d v="2025-04-21T00:00:00"/>
    <x v="7"/>
    <x v="7"/>
    <x v="5"/>
    <x v="3"/>
    <n v="4"/>
    <n v="300"/>
    <n v="405"/>
    <x v="396"/>
    <n v="1448.45"/>
    <x v="609"/>
    <n v="17155.8"/>
    <n v="1200"/>
    <n v="17.152818530152921"/>
    <x v="3"/>
    <x v="1"/>
  </r>
  <r>
    <s v="ORD11544"/>
    <d v="2025-04-21T00:00:00"/>
    <x v="18"/>
    <x v="18"/>
    <x v="1"/>
    <x v="3"/>
    <n v="9"/>
    <n v="80"/>
    <n v="116"/>
    <x v="9"/>
    <n v="1044"/>
    <x v="404"/>
    <n v="0"/>
    <n v="720"/>
    <n v="31.03448275862069"/>
    <x v="3"/>
    <x v="1"/>
  </r>
  <r>
    <s v="ORD11871"/>
    <d v="2025-04-21T00:00:00"/>
    <x v="10"/>
    <x v="10"/>
    <x v="4"/>
    <x v="0"/>
    <n v="9"/>
    <n v="3200"/>
    <n v="3840"/>
    <x v="499"/>
    <n v="30468.81"/>
    <x v="610"/>
    <n v="409190.40000000002"/>
    <n v="28800"/>
    <n v="5.4771092143080082"/>
    <x v="3"/>
    <x v="0"/>
  </r>
  <r>
    <s v="ORD10201"/>
    <d v="2025-04-22T00:00:00"/>
    <x v="11"/>
    <x v="11"/>
    <x v="0"/>
    <x v="0"/>
    <n v="10"/>
    <n v="900"/>
    <n v="1152"/>
    <x v="500"/>
    <n v="9463.15"/>
    <x v="611"/>
    <n v="205632.00000000003"/>
    <n v="9000"/>
    <n v="4.8942476870809406"/>
    <x v="3"/>
    <x v="0"/>
  </r>
  <r>
    <s v="ORD10386"/>
    <d v="2025-04-22T00:00:00"/>
    <x v="4"/>
    <x v="4"/>
    <x v="3"/>
    <x v="2"/>
    <n v="1"/>
    <n v="180"/>
    <n v="243"/>
    <x v="501"/>
    <n v="226.64"/>
    <x v="612"/>
    <n v="1635.39"/>
    <n v="180"/>
    <n v="20.578891634309919"/>
    <x v="3"/>
    <x v="1"/>
  </r>
  <r>
    <s v="ORD10610"/>
    <d v="2025-04-22T00:00:00"/>
    <x v="13"/>
    <x v="13"/>
    <x v="6"/>
    <x v="0"/>
    <n v="7"/>
    <n v="900"/>
    <n v="1170"/>
    <x v="502"/>
    <n v="7799.13"/>
    <x v="613"/>
    <n v="39066.299999999996"/>
    <n v="6300"/>
    <n v="19.221759350081356"/>
    <x v="3"/>
    <x v="1"/>
  </r>
  <r>
    <s v="ORD11407"/>
    <d v="2025-04-22T00:00:00"/>
    <x v="10"/>
    <x v="10"/>
    <x v="4"/>
    <x v="1"/>
    <n v="7"/>
    <n v="3200"/>
    <n v="3840"/>
    <x v="503"/>
    <n v="20472.830000000002"/>
    <x v="614"/>
    <n v="640819.19999999995"/>
    <n v="22400"/>
    <n v="-9.413305341762717"/>
    <x v="3"/>
    <x v="2"/>
  </r>
  <r>
    <s v="ORD11789"/>
    <d v="2025-04-22T00:00:00"/>
    <x v="18"/>
    <x v="18"/>
    <x v="1"/>
    <x v="2"/>
    <n v="2"/>
    <n v="80"/>
    <n v="116"/>
    <x v="504"/>
    <n v="186.48"/>
    <x v="615"/>
    <n v="4551.84"/>
    <n v="160"/>
    <n v="14.199914199914202"/>
    <x v="3"/>
    <x v="1"/>
  </r>
  <r>
    <s v="ORD11844"/>
    <d v="2025-04-22T00:00:00"/>
    <x v="17"/>
    <x v="17"/>
    <x v="0"/>
    <x v="0"/>
    <n v="3"/>
    <n v="8500"/>
    <n v="9520"/>
    <x v="505"/>
    <n v="25477.67"/>
    <x v="616"/>
    <n v="308162.39999999997"/>
    <n v="25500"/>
    <n v="-8.7645377304910538E-2"/>
    <x v="3"/>
    <x v="2"/>
  </r>
  <r>
    <s v="ORD10211"/>
    <d v="2025-04-23T00:00:00"/>
    <x v="8"/>
    <x v="8"/>
    <x v="2"/>
    <x v="0"/>
    <n v="3"/>
    <n v="900"/>
    <n v="1170"/>
    <x v="506"/>
    <n v="2828.9"/>
    <x v="617"/>
    <n v="68094"/>
    <n v="2700"/>
    <n v="4.5565414118561982"/>
    <x v="3"/>
    <x v="0"/>
  </r>
  <r>
    <s v="ORD10313"/>
    <d v="2025-04-23T00:00:00"/>
    <x v="18"/>
    <x v="18"/>
    <x v="1"/>
    <x v="1"/>
    <n v="9"/>
    <n v="80"/>
    <n v="116"/>
    <x v="507"/>
    <n v="883.66"/>
    <x v="618"/>
    <n v="16035.84"/>
    <n v="720"/>
    <n v="18.520698006020414"/>
    <x v="3"/>
    <x v="1"/>
  </r>
  <r>
    <s v="ORD10459"/>
    <d v="2025-04-23T00:00:00"/>
    <x v="12"/>
    <x v="12"/>
    <x v="2"/>
    <x v="2"/>
    <n v="1"/>
    <n v="6500"/>
    <n v="8125"/>
    <x v="27"/>
    <n v="7800"/>
    <x v="619"/>
    <n v="32500"/>
    <n v="6500"/>
    <n v="16.666666666666664"/>
    <x v="3"/>
    <x v="1"/>
  </r>
  <r>
    <s v="ORD10464"/>
    <d v="2025-04-23T00:00:00"/>
    <x v="11"/>
    <x v="11"/>
    <x v="0"/>
    <x v="1"/>
    <n v="3"/>
    <n v="900"/>
    <n v="1152"/>
    <x v="442"/>
    <n v="3131.97"/>
    <x v="620"/>
    <n v="32417.280000000002"/>
    <n v="2700"/>
    <n v="13.792277703809425"/>
    <x v="3"/>
    <x v="1"/>
  </r>
  <r>
    <s v="ORD10491"/>
    <d v="2025-04-23T00:00:00"/>
    <x v="12"/>
    <x v="12"/>
    <x v="2"/>
    <x v="1"/>
    <n v="6"/>
    <n v="6500"/>
    <n v="8125"/>
    <x v="508"/>
    <n v="37359.74"/>
    <x v="621"/>
    <n v="1138800"/>
    <n v="39000"/>
    <n v="-4.3904481133969355"/>
    <x v="3"/>
    <x v="2"/>
  </r>
  <r>
    <s v="ORD11005"/>
    <d v="2025-04-23T00:00:00"/>
    <x v="13"/>
    <x v="13"/>
    <x v="6"/>
    <x v="3"/>
    <n v="4"/>
    <n v="900"/>
    <n v="1170"/>
    <x v="509"/>
    <n v="4392.16"/>
    <x v="622"/>
    <n v="28782"/>
    <n v="3600"/>
    <n v="18.035772831590833"/>
    <x v="3"/>
    <x v="1"/>
  </r>
  <r>
    <s v="ORD11097"/>
    <d v="2025-04-23T00:00:00"/>
    <x v="19"/>
    <x v="19"/>
    <x v="0"/>
    <x v="0"/>
    <n v="9"/>
    <n v="350"/>
    <n v="455"/>
    <x v="510"/>
    <n v="3474.92"/>
    <x v="623"/>
    <n v="61998.3"/>
    <n v="3150"/>
    <n v="9.3504310890610434"/>
    <x v="3"/>
    <x v="0"/>
  </r>
  <r>
    <s v="ORD11269"/>
    <d v="2025-04-23T00:00:00"/>
    <x v="11"/>
    <x v="11"/>
    <x v="0"/>
    <x v="0"/>
    <n v="10"/>
    <n v="900"/>
    <n v="1152"/>
    <x v="511"/>
    <n v="8946.32"/>
    <x v="624"/>
    <n v="257356.79999999999"/>
    <n v="9000"/>
    <n v="-0.60002324978315102"/>
    <x v="3"/>
    <x v="2"/>
  </r>
  <r>
    <s v="ORD11731"/>
    <d v="2025-04-23T00:00:00"/>
    <x v="15"/>
    <x v="15"/>
    <x v="0"/>
    <x v="0"/>
    <n v="2"/>
    <n v="550"/>
    <n v="742.5"/>
    <x v="512"/>
    <n v="1423.27"/>
    <x v="625"/>
    <n v="6177.6"/>
    <n v="1100"/>
    <n v="22.713188643054373"/>
    <x v="3"/>
    <x v="1"/>
  </r>
  <r>
    <s v="ORD11960"/>
    <d v="2025-04-23T00:00:00"/>
    <x v="6"/>
    <x v="6"/>
    <x v="4"/>
    <x v="0"/>
    <n v="7"/>
    <n v="1800"/>
    <n v="2124"/>
    <x v="513"/>
    <n v="13967.39"/>
    <x v="626"/>
    <n v="90100.079999999987"/>
    <n v="12600"/>
    <n v="9.7898748441906474"/>
    <x v="3"/>
    <x v="0"/>
  </r>
  <r>
    <s v="ORD10046"/>
    <d v="2025-04-24T00:00:00"/>
    <x v="11"/>
    <x v="11"/>
    <x v="0"/>
    <x v="0"/>
    <n v="6"/>
    <n v="900"/>
    <n v="1152"/>
    <x v="458"/>
    <n v="6119.49"/>
    <x v="627"/>
    <n v="79280.639999999999"/>
    <n v="5400"/>
    <n v="11.757352328380307"/>
    <x v="3"/>
    <x v="1"/>
  </r>
  <r>
    <s v="ORD10307"/>
    <d v="2025-04-24T00:00:00"/>
    <x v="19"/>
    <x v="19"/>
    <x v="0"/>
    <x v="2"/>
    <n v="6"/>
    <n v="350"/>
    <n v="455"/>
    <x v="514"/>
    <n v="2375.0300000000002"/>
    <x v="628"/>
    <n v="35490"/>
    <n v="2100"/>
    <n v="11.580064251819975"/>
    <x v="3"/>
    <x v="1"/>
  </r>
  <r>
    <s v="ORD10682"/>
    <d v="2025-04-24T00:00:00"/>
    <x v="1"/>
    <x v="1"/>
    <x v="1"/>
    <x v="2"/>
    <n v="8"/>
    <n v="45"/>
    <n v="63"/>
    <x v="515"/>
    <n v="360.76"/>
    <x v="629"/>
    <n v="14323.68"/>
    <n v="360"/>
    <n v="0.21066637099456703"/>
    <x v="3"/>
    <x v="0"/>
  </r>
  <r>
    <s v="ORD11244"/>
    <d v="2025-04-24T00:00:00"/>
    <x v="1"/>
    <x v="1"/>
    <x v="1"/>
    <x v="2"/>
    <n v="1"/>
    <n v="45"/>
    <n v="63"/>
    <x v="481"/>
    <n v="50.95"/>
    <x v="587"/>
    <n v="1204.5600000000002"/>
    <n v="45"/>
    <n v="11.678115799803729"/>
    <x v="3"/>
    <x v="1"/>
  </r>
  <r>
    <s v="ORD11745"/>
    <d v="2025-04-24T00:00:00"/>
    <x v="19"/>
    <x v="19"/>
    <x v="0"/>
    <x v="2"/>
    <n v="2"/>
    <n v="350"/>
    <n v="455"/>
    <x v="516"/>
    <n v="822.93"/>
    <x v="630"/>
    <n v="8708.7000000000007"/>
    <n v="700"/>
    <n v="14.93808707909543"/>
    <x v="3"/>
    <x v="1"/>
  </r>
  <r>
    <s v="ORD11953"/>
    <d v="2025-04-24T00:00:00"/>
    <x v="11"/>
    <x v="11"/>
    <x v="0"/>
    <x v="3"/>
    <n v="3"/>
    <n v="900"/>
    <n v="1152"/>
    <x v="517"/>
    <n v="3333.99"/>
    <x v="631"/>
    <n v="12199.679999999998"/>
    <n v="2700"/>
    <n v="19.015953857090153"/>
    <x v="3"/>
    <x v="1"/>
  </r>
  <r>
    <s v="ORD10025"/>
    <d v="2025-04-25T00:00:00"/>
    <x v="5"/>
    <x v="5"/>
    <x v="3"/>
    <x v="0"/>
    <n v="6"/>
    <n v="2500"/>
    <n v="2875"/>
    <x v="518"/>
    <n v="14525.67"/>
    <x v="632"/>
    <n v="272377.5"/>
    <n v="15000"/>
    <n v="-3.2654603884020492"/>
    <x v="3"/>
    <x v="2"/>
  </r>
  <r>
    <s v="ORD10792"/>
    <d v="2025-04-25T00:00:00"/>
    <x v="13"/>
    <x v="13"/>
    <x v="6"/>
    <x v="1"/>
    <n v="1"/>
    <n v="900"/>
    <n v="1170"/>
    <x v="519"/>
    <n v="969.06"/>
    <x v="633"/>
    <n v="20088.900000000001"/>
    <n v="900"/>
    <n v="7.126493715559409"/>
    <x v="3"/>
    <x v="0"/>
  </r>
  <r>
    <s v="ORD10002"/>
    <d v="2025-04-26T00:00:00"/>
    <x v="2"/>
    <x v="2"/>
    <x v="0"/>
    <x v="3"/>
    <n v="1"/>
    <n v="6500"/>
    <n v="7150"/>
    <x v="40"/>
    <n v="6779.35"/>
    <x v="634"/>
    <n v="37037"/>
    <n v="6500"/>
    <n v="4.120601532595308"/>
    <x v="3"/>
    <x v="0"/>
  </r>
  <r>
    <s v="ORD10161"/>
    <d v="2025-04-26T00:00:00"/>
    <x v="4"/>
    <x v="4"/>
    <x v="3"/>
    <x v="2"/>
    <n v="6"/>
    <n v="180"/>
    <n v="243"/>
    <x v="520"/>
    <n v="1397.86"/>
    <x v="635"/>
    <n v="6006.96"/>
    <n v="1080"/>
    <n v="22.739043967207017"/>
    <x v="3"/>
    <x v="1"/>
  </r>
  <r>
    <s v="ORD10463"/>
    <d v="2025-04-26T00:00:00"/>
    <x v="10"/>
    <x v="10"/>
    <x v="4"/>
    <x v="3"/>
    <n v="3"/>
    <n v="3200"/>
    <n v="3840"/>
    <x v="95"/>
    <n v="9348.0400000000009"/>
    <x v="636"/>
    <n v="217152.00000000003"/>
    <n v="9600"/>
    <n v="-2.6953243674609864"/>
    <x v="3"/>
    <x v="2"/>
  </r>
  <r>
    <s v="ORD10640"/>
    <d v="2025-04-26T00:00:00"/>
    <x v="4"/>
    <x v="4"/>
    <x v="3"/>
    <x v="1"/>
    <n v="7"/>
    <n v="180"/>
    <n v="243"/>
    <x v="521"/>
    <n v="1233.3599999999999"/>
    <x v="637"/>
    <n v="46760.49"/>
    <n v="1260"/>
    <n v="-2.1599532983070642"/>
    <x v="3"/>
    <x v="2"/>
  </r>
  <r>
    <s v="ORD11093"/>
    <d v="2025-04-26T00:00:00"/>
    <x v="16"/>
    <x v="16"/>
    <x v="0"/>
    <x v="2"/>
    <n v="10"/>
    <n v="1100"/>
    <n v="1298"/>
    <x v="391"/>
    <n v="12215.37"/>
    <x v="638"/>
    <n v="76452.2"/>
    <n v="11000"/>
    <n v="9.9495144232225456"/>
    <x v="3"/>
    <x v="0"/>
  </r>
  <r>
    <s v="ORD11229"/>
    <d v="2025-04-26T00:00:00"/>
    <x v="4"/>
    <x v="4"/>
    <x v="3"/>
    <x v="1"/>
    <n v="1"/>
    <n v="180"/>
    <n v="243"/>
    <x v="522"/>
    <n v="223.17"/>
    <x v="639"/>
    <n v="1982.88"/>
    <n v="180"/>
    <n v="19.343997849173277"/>
    <x v="3"/>
    <x v="1"/>
  </r>
  <r>
    <s v="ORD11739"/>
    <d v="2025-04-26T00:00:00"/>
    <x v="6"/>
    <x v="6"/>
    <x v="4"/>
    <x v="2"/>
    <n v="8"/>
    <n v="1800"/>
    <n v="2124"/>
    <x v="394"/>
    <n v="16198.1"/>
    <x v="640"/>
    <n v="79352.639999999999"/>
    <n v="14400"/>
    <n v="11.100684648199479"/>
    <x v="3"/>
    <x v="1"/>
  </r>
  <r>
    <s v="ORD11750"/>
    <d v="2025-04-26T00:00:00"/>
    <x v="14"/>
    <x v="14"/>
    <x v="3"/>
    <x v="3"/>
    <n v="9"/>
    <n v="1200"/>
    <n v="1464"/>
    <x v="523"/>
    <n v="11938.01"/>
    <x v="641"/>
    <n v="123854.40000000001"/>
    <n v="10800"/>
    <n v="9.5326608036012708"/>
    <x v="3"/>
    <x v="0"/>
  </r>
  <r>
    <s v="ORD11784"/>
    <d v="2025-04-26T00:00:00"/>
    <x v="5"/>
    <x v="5"/>
    <x v="3"/>
    <x v="3"/>
    <n v="3"/>
    <n v="2500"/>
    <n v="2875"/>
    <x v="524"/>
    <n v="7737.16"/>
    <x v="642"/>
    <n v="88751.249999999985"/>
    <n v="7500"/>
    <n v="3.0652073887576319"/>
    <x v="3"/>
    <x v="0"/>
  </r>
  <r>
    <s v="ORD11807"/>
    <d v="2025-04-26T00:00:00"/>
    <x v="17"/>
    <x v="17"/>
    <x v="0"/>
    <x v="1"/>
    <n v="2"/>
    <n v="8500"/>
    <n v="9520"/>
    <x v="525"/>
    <n v="16664.169999999998"/>
    <x v="643"/>
    <n v="237619.20000000001"/>
    <n v="17000"/>
    <n v="-2.0152818892270061"/>
    <x v="3"/>
    <x v="2"/>
  </r>
  <r>
    <s v="ORD10105"/>
    <d v="2025-04-27T00:00:00"/>
    <x v="15"/>
    <x v="15"/>
    <x v="0"/>
    <x v="3"/>
    <n v="4"/>
    <n v="550"/>
    <n v="742.5"/>
    <x v="526"/>
    <n v="2573.64"/>
    <x v="644"/>
    <n v="39649.5"/>
    <n v="2200"/>
    <n v="14.5179589997047"/>
    <x v="3"/>
    <x v="1"/>
  </r>
  <r>
    <s v="ORD10196"/>
    <d v="2025-04-27T00:00:00"/>
    <x v="9"/>
    <x v="9"/>
    <x v="2"/>
    <x v="1"/>
    <n v="9"/>
    <n v="3000"/>
    <n v="3600"/>
    <x v="527"/>
    <n v="26815.13"/>
    <x v="645"/>
    <n v="558576"/>
    <n v="27000"/>
    <n v="-0.68942421685071076"/>
    <x v="3"/>
    <x v="2"/>
  </r>
  <r>
    <s v="ORD10451"/>
    <d v="2025-04-27T00:00:00"/>
    <x v="18"/>
    <x v="18"/>
    <x v="1"/>
    <x v="1"/>
    <n v="3"/>
    <n v="80"/>
    <n v="116"/>
    <x v="9"/>
    <n v="348"/>
    <x v="579"/>
    <n v="0"/>
    <n v="240"/>
    <n v="31.03448275862069"/>
    <x v="3"/>
    <x v="1"/>
  </r>
  <r>
    <s v="ORD10585"/>
    <d v="2025-04-27T00:00:00"/>
    <x v="0"/>
    <x v="0"/>
    <x v="0"/>
    <x v="2"/>
    <n v="4"/>
    <n v="500"/>
    <n v="610"/>
    <x v="528"/>
    <n v="2278.71"/>
    <x v="646"/>
    <n v="16128.400000000001"/>
    <n v="2000"/>
    <n v="12.231043002400479"/>
    <x v="3"/>
    <x v="1"/>
  </r>
  <r>
    <s v="ORD10783"/>
    <d v="2025-04-27T00:00:00"/>
    <x v="19"/>
    <x v="19"/>
    <x v="0"/>
    <x v="0"/>
    <n v="3"/>
    <n v="350"/>
    <n v="455"/>
    <x v="9"/>
    <n v="1365"/>
    <x v="647"/>
    <n v="0"/>
    <n v="1050"/>
    <n v="23.076923076923077"/>
    <x v="3"/>
    <x v="1"/>
  </r>
  <r>
    <s v="ORD11027"/>
    <d v="2025-04-27T00:00:00"/>
    <x v="5"/>
    <x v="5"/>
    <x v="3"/>
    <x v="0"/>
    <n v="9"/>
    <n v="2500"/>
    <n v="2875"/>
    <x v="529"/>
    <n v="22674.71"/>
    <x v="648"/>
    <n v="320073.75"/>
    <n v="22500"/>
    <n v="0.77050599544602782"/>
    <x v="3"/>
    <x v="0"/>
  </r>
  <r>
    <s v="ORD11182"/>
    <d v="2025-04-27T00:00:00"/>
    <x v="18"/>
    <x v="18"/>
    <x v="1"/>
    <x v="2"/>
    <n v="6"/>
    <n v="80"/>
    <n v="116"/>
    <x v="530"/>
    <n v="644.65"/>
    <x v="649"/>
    <n v="5136.4799999999996"/>
    <n v="480"/>
    <n v="25.540991235554177"/>
    <x v="3"/>
    <x v="1"/>
  </r>
  <r>
    <s v="ORD11727"/>
    <d v="2025-04-27T00:00:00"/>
    <x v="19"/>
    <x v="19"/>
    <x v="0"/>
    <x v="2"/>
    <n v="7"/>
    <n v="350"/>
    <n v="455"/>
    <x v="531"/>
    <n v="3023.48"/>
    <x v="650"/>
    <n v="16147.95"/>
    <n v="2450"/>
    <n v="18.967547329567257"/>
    <x v="3"/>
    <x v="1"/>
  </r>
  <r>
    <s v="ORD10027"/>
    <d v="2025-04-28T00:00:00"/>
    <x v="2"/>
    <x v="2"/>
    <x v="0"/>
    <x v="3"/>
    <n v="7"/>
    <n v="6500"/>
    <n v="7150"/>
    <x v="532"/>
    <n v="40137.26"/>
    <x v="651"/>
    <n v="991490.49999999988"/>
    <n v="45500"/>
    <n v="-13.361001722588936"/>
    <x v="3"/>
    <x v="2"/>
  </r>
  <r>
    <s v="ORD10357"/>
    <d v="2025-04-28T00:00:00"/>
    <x v="9"/>
    <x v="9"/>
    <x v="2"/>
    <x v="1"/>
    <n v="10"/>
    <n v="3000"/>
    <n v="3600"/>
    <x v="533"/>
    <n v="27936.9"/>
    <x v="652"/>
    <n v="806400"/>
    <n v="30000"/>
    <n v="-7.384856587524026"/>
    <x v="3"/>
    <x v="2"/>
  </r>
  <r>
    <s v="ORD10469"/>
    <d v="2025-04-28T00:00:00"/>
    <x v="9"/>
    <x v="9"/>
    <x v="2"/>
    <x v="3"/>
    <n v="9"/>
    <n v="3000"/>
    <n v="3600"/>
    <x v="534"/>
    <n v="30020.560000000001"/>
    <x v="653"/>
    <n v="237816"/>
    <n v="27000"/>
    <n v="10.06163775759013"/>
    <x v="3"/>
    <x v="1"/>
  </r>
  <r>
    <s v="ORD10494"/>
    <d v="2025-04-28T00:00:00"/>
    <x v="12"/>
    <x v="12"/>
    <x v="2"/>
    <x v="0"/>
    <n v="7"/>
    <n v="6500"/>
    <n v="8125"/>
    <x v="535"/>
    <n v="48668.800000000003"/>
    <x v="654"/>
    <n v="820706.25"/>
    <n v="45500"/>
    <n v="6.5109474653165886"/>
    <x v="3"/>
    <x v="0"/>
  </r>
  <r>
    <s v="ORD11020"/>
    <d v="2025-04-28T00:00:00"/>
    <x v="4"/>
    <x v="4"/>
    <x v="3"/>
    <x v="1"/>
    <n v="2"/>
    <n v="180"/>
    <n v="243"/>
    <x v="536"/>
    <n v="456.25"/>
    <x v="655"/>
    <n v="2974.32"/>
    <n v="360"/>
    <n v="21.095890410958905"/>
    <x v="3"/>
    <x v="1"/>
  </r>
  <r>
    <s v="ORD11072"/>
    <d v="2025-04-28T00:00:00"/>
    <x v="6"/>
    <x v="6"/>
    <x v="4"/>
    <x v="0"/>
    <n v="7"/>
    <n v="1800"/>
    <n v="2124"/>
    <x v="537"/>
    <n v="11635.78"/>
    <x v="656"/>
    <n v="323230.31999999995"/>
    <n v="12600"/>
    <n v="-8.2866812538566386"/>
    <x v="3"/>
    <x v="2"/>
  </r>
  <r>
    <s v="ORD11328"/>
    <d v="2025-04-28T00:00:00"/>
    <x v="11"/>
    <x v="11"/>
    <x v="0"/>
    <x v="0"/>
    <n v="9"/>
    <n v="900"/>
    <n v="1152"/>
    <x v="538"/>
    <n v="8142.37"/>
    <x v="657"/>
    <n v="222600.95999999999"/>
    <n v="8100"/>
    <n v="0.52036446390915669"/>
    <x v="3"/>
    <x v="0"/>
  </r>
  <r>
    <s v="ORD11482"/>
    <d v="2025-04-28T00:00:00"/>
    <x v="13"/>
    <x v="13"/>
    <x v="6"/>
    <x v="2"/>
    <n v="1"/>
    <n v="900"/>
    <n v="1170"/>
    <x v="539"/>
    <n v="917.2"/>
    <x v="496"/>
    <n v="25283.7"/>
    <n v="900"/>
    <n v="1.8752725686873091"/>
    <x v="3"/>
    <x v="0"/>
  </r>
  <r>
    <s v="ORD11972"/>
    <d v="2025-04-28T00:00:00"/>
    <x v="0"/>
    <x v="0"/>
    <x v="0"/>
    <x v="2"/>
    <n v="5"/>
    <n v="500"/>
    <n v="610"/>
    <x v="390"/>
    <n v="2951.55"/>
    <x v="658"/>
    <n v="9851.5"/>
    <n v="2500"/>
    <n v="15.298741339296301"/>
    <x v="3"/>
    <x v="1"/>
  </r>
  <r>
    <s v="ORD10282"/>
    <d v="2025-04-29T00:00:00"/>
    <x v="5"/>
    <x v="5"/>
    <x v="3"/>
    <x v="1"/>
    <n v="1"/>
    <n v="2500"/>
    <n v="2875"/>
    <x v="540"/>
    <n v="2478.13"/>
    <x v="659"/>
    <n v="39675"/>
    <n v="2500"/>
    <n v="-0.88252028747482991"/>
    <x v="3"/>
    <x v="2"/>
  </r>
  <r>
    <s v="ORD10317"/>
    <d v="2025-04-29T00:00:00"/>
    <x v="1"/>
    <x v="1"/>
    <x v="1"/>
    <x v="2"/>
    <n v="8"/>
    <n v="45"/>
    <n v="63"/>
    <x v="220"/>
    <n v="448.72"/>
    <x v="660"/>
    <n v="5528.88"/>
    <n v="360"/>
    <n v="19.771795328935639"/>
    <x v="3"/>
    <x v="1"/>
  </r>
  <r>
    <s v="ORD10424"/>
    <d v="2025-04-29T00:00:00"/>
    <x v="15"/>
    <x v="15"/>
    <x v="0"/>
    <x v="2"/>
    <n v="5"/>
    <n v="550"/>
    <n v="742.5"/>
    <x v="541"/>
    <n v="3486.92"/>
    <x v="661"/>
    <n v="22572"/>
    <n v="2750"/>
    <n v="21.133837312011742"/>
    <x v="3"/>
    <x v="1"/>
  </r>
  <r>
    <s v="ORD11366"/>
    <d v="2025-04-29T00:00:00"/>
    <x v="19"/>
    <x v="19"/>
    <x v="0"/>
    <x v="2"/>
    <n v="1"/>
    <n v="350"/>
    <n v="455"/>
    <x v="542"/>
    <n v="388.71"/>
    <x v="662"/>
    <n v="6629.35"/>
    <n v="350"/>
    <n v="9.9585809472357294"/>
    <x v="3"/>
    <x v="0"/>
  </r>
  <r>
    <s v="ORD11514"/>
    <d v="2025-04-29T00:00:00"/>
    <x v="11"/>
    <x v="11"/>
    <x v="0"/>
    <x v="1"/>
    <n v="3"/>
    <n v="900"/>
    <n v="1152"/>
    <x v="9"/>
    <n v="3456"/>
    <x v="663"/>
    <n v="0"/>
    <n v="2700"/>
    <n v="21.875"/>
    <x v="3"/>
    <x v="1"/>
  </r>
  <r>
    <s v="ORD11567"/>
    <d v="2025-04-29T00:00:00"/>
    <x v="2"/>
    <x v="2"/>
    <x v="0"/>
    <x v="0"/>
    <n v="5"/>
    <n v="6500"/>
    <n v="7150"/>
    <x v="543"/>
    <n v="32358.66"/>
    <x v="664"/>
    <n v="339267.5"/>
    <n v="32500"/>
    <n v="-0.4367918819876967"/>
    <x v="3"/>
    <x v="2"/>
  </r>
  <r>
    <s v="ORD10215"/>
    <d v="2025-04-30T00:00:00"/>
    <x v="1"/>
    <x v="1"/>
    <x v="1"/>
    <x v="3"/>
    <n v="9"/>
    <n v="45"/>
    <n v="63"/>
    <x v="544"/>
    <n v="426.85"/>
    <x v="665"/>
    <n v="14016.24"/>
    <n v="405"/>
    <n v="5.1188942251376366"/>
    <x v="3"/>
    <x v="0"/>
  </r>
  <r>
    <s v="ORD10540"/>
    <d v="2025-04-30T00:00:00"/>
    <x v="14"/>
    <x v="14"/>
    <x v="3"/>
    <x v="0"/>
    <n v="6"/>
    <n v="1200"/>
    <n v="1464"/>
    <x v="545"/>
    <n v="7690.67"/>
    <x v="666"/>
    <n v="109360.79999999999"/>
    <n v="7200"/>
    <n v="6.3800683165445928"/>
    <x v="3"/>
    <x v="0"/>
  </r>
  <r>
    <s v="ORD10831"/>
    <d v="2025-04-30T00:00:00"/>
    <x v="0"/>
    <x v="0"/>
    <x v="0"/>
    <x v="3"/>
    <n v="8"/>
    <n v="500"/>
    <n v="610"/>
    <x v="546"/>
    <n v="4145.12"/>
    <x v="667"/>
    <n v="73492.800000000003"/>
    <n v="4000"/>
    <n v="3.5009842899602428"/>
    <x v="3"/>
    <x v="0"/>
  </r>
  <r>
    <s v="ORD10855"/>
    <d v="2025-04-30T00:00:00"/>
    <x v="11"/>
    <x v="11"/>
    <x v="0"/>
    <x v="3"/>
    <n v="5"/>
    <n v="900"/>
    <n v="1152"/>
    <x v="547"/>
    <n v="5430.64"/>
    <x v="668"/>
    <n v="32947.199999999997"/>
    <n v="4500"/>
    <n v="17.136838383689582"/>
    <x v="3"/>
    <x v="1"/>
  </r>
  <r>
    <s v="ORD11325"/>
    <d v="2025-04-30T00:00:00"/>
    <x v="19"/>
    <x v="19"/>
    <x v="0"/>
    <x v="2"/>
    <n v="7"/>
    <n v="350"/>
    <n v="455"/>
    <x v="548"/>
    <n v="2801.61"/>
    <x v="669"/>
    <n v="38347.399999999994"/>
    <n v="2450"/>
    <n v="12.55028358693751"/>
    <x v="3"/>
    <x v="1"/>
  </r>
  <r>
    <s v="ORD11414"/>
    <d v="2025-04-30T00:00:00"/>
    <x v="0"/>
    <x v="0"/>
    <x v="0"/>
    <x v="2"/>
    <n v="3"/>
    <n v="500"/>
    <n v="610"/>
    <x v="549"/>
    <n v="1613.46"/>
    <x v="670"/>
    <n v="21648.9"/>
    <n v="1500"/>
    <n v="7.0320925216615215"/>
    <x v="3"/>
    <x v="0"/>
  </r>
  <r>
    <s v="ORD10014"/>
    <d v="2025-05-01T00:00:00"/>
    <x v="7"/>
    <x v="7"/>
    <x v="5"/>
    <x v="1"/>
    <n v="1"/>
    <n v="300"/>
    <n v="405"/>
    <x v="550"/>
    <n v="353.07"/>
    <x v="671"/>
    <n v="5192.1000000000004"/>
    <n v="300"/>
    <n v="15.031013680006797"/>
    <x v="4"/>
    <x v="1"/>
  </r>
  <r>
    <s v="ORD10033"/>
    <d v="2025-05-01T00:00:00"/>
    <x v="12"/>
    <x v="12"/>
    <x v="2"/>
    <x v="3"/>
    <n v="4"/>
    <n v="6500"/>
    <n v="8125"/>
    <x v="551"/>
    <n v="30372.55"/>
    <x v="672"/>
    <n v="212875"/>
    <n v="26000"/>
    <n v="14.396387527553664"/>
    <x v="4"/>
    <x v="1"/>
  </r>
  <r>
    <s v="ORD10396"/>
    <d v="2025-05-01T00:00:00"/>
    <x v="16"/>
    <x v="16"/>
    <x v="0"/>
    <x v="0"/>
    <n v="9"/>
    <n v="1100"/>
    <n v="1298"/>
    <x v="220"/>
    <n v="10400.42"/>
    <x v="673"/>
    <n v="128151.54000000001"/>
    <n v="9900"/>
    <n v="4.8115364571815373"/>
    <x v="4"/>
    <x v="0"/>
  </r>
  <r>
    <s v="ORD10829"/>
    <d v="2025-05-01T00:00:00"/>
    <x v="16"/>
    <x v="16"/>
    <x v="0"/>
    <x v="1"/>
    <n v="6"/>
    <n v="1100"/>
    <n v="1298"/>
    <x v="552"/>
    <n v="7763.42"/>
    <x v="674"/>
    <n v="2492.16"/>
    <n v="6600"/>
    <n v="14.985921153306148"/>
    <x v="4"/>
    <x v="1"/>
  </r>
  <r>
    <s v="ORD11394"/>
    <d v="2025-05-01T00:00:00"/>
    <x v="8"/>
    <x v="8"/>
    <x v="2"/>
    <x v="1"/>
    <n v="3"/>
    <n v="900"/>
    <n v="1170"/>
    <x v="348"/>
    <n v="3128.04"/>
    <x v="675"/>
    <n v="38188.800000000003"/>
    <n v="2700"/>
    <n v="13.683968235700311"/>
    <x v="4"/>
    <x v="1"/>
  </r>
  <r>
    <s v="ORD10314"/>
    <d v="2025-05-02T00:00:00"/>
    <x v="13"/>
    <x v="13"/>
    <x v="6"/>
    <x v="1"/>
    <n v="3"/>
    <n v="900"/>
    <n v="1170"/>
    <x v="553"/>
    <n v="3033.39"/>
    <x v="676"/>
    <n v="47665.8"/>
    <n v="2700"/>
    <n v="10.99067380059933"/>
    <x v="4"/>
    <x v="1"/>
  </r>
  <r>
    <s v="ORD11054"/>
    <d v="2025-05-02T00:00:00"/>
    <x v="19"/>
    <x v="19"/>
    <x v="0"/>
    <x v="3"/>
    <n v="8"/>
    <n v="350"/>
    <n v="455"/>
    <x v="554"/>
    <n v="3481.06"/>
    <x v="677"/>
    <n v="15906.800000000001"/>
    <n v="2800"/>
    <n v="19.56473028330451"/>
    <x v="4"/>
    <x v="1"/>
  </r>
  <r>
    <s v="ORD11116"/>
    <d v="2025-05-02T00:00:00"/>
    <x v="4"/>
    <x v="4"/>
    <x v="3"/>
    <x v="0"/>
    <n v="3"/>
    <n v="180"/>
    <n v="243"/>
    <x v="555"/>
    <n v="534.70000000000005"/>
    <x v="678"/>
    <n v="19427.849999999999"/>
    <n v="540"/>
    <n v="-0.99121002431269856"/>
    <x v="4"/>
    <x v="2"/>
  </r>
  <r>
    <s v="ORD11616"/>
    <d v="2025-05-02T00:00:00"/>
    <x v="8"/>
    <x v="8"/>
    <x v="2"/>
    <x v="1"/>
    <n v="3"/>
    <n v="900"/>
    <n v="1170"/>
    <x v="556"/>
    <n v="3120.45"/>
    <x v="679"/>
    <n v="38961"/>
    <n v="2700"/>
    <n v="13.474018170456183"/>
    <x v="4"/>
    <x v="1"/>
  </r>
  <r>
    <s v="ORD11308"/>
    <d v="2025-05-03T00:00:00"/>
    <x v="13"/>
    <x v="13"/>
    <x v="6"/>
    <x v="3"/>
    <n v="8"/>
    <n v="900"/>
    <n v="1170"/>
    <x v="486"/>
    <n v="8468.4699999999993"/>
    <x v="680"/>
    <n v="89107.199999999997"/>
    <n v="7200"/>
    <n v="14.978738780440862"/>
    <x v="4"/>
    <x v="1"/>
  </r>
  <r>
    <s v="ORD11873"/>
    <d v="2025-05-03T00:00:00"/>
    <x v="19"/>
    <x v="19"/>
    <x v="0"/>
    <x v="2"/>
    <n v="4"/>
    <n v="350"/>
    <n v="455"/>
    <x v="74"/>
    <n v="1673.55"/>
    <x v="681"/>
    <n v="14651.000000000002"/>
    <n v="1400"/>
    <n v="16.345493113441485"/>
    <x v="4"/>
    <x v="1"/>
  </r>
  <r>
    <s v="ORD10157"/>
    <d v="2025-05-04T00:00:00"/>
    <x v="7"/>
    <x v="7"/>
    <x v="5"/>
    <x v="1"/>
    <n v="9"/>
    <n v="300"/>
    <n v="405"/>
    <x v="557"/>
    <n v="3464.57"/>
    <x v="682"/>
    <n v="18042.75"/>
    <n v="2700"/>
    <n v="22.068250894050344"/>
    <x v="4"/>
    <x v="1"/>
  </r>
  <r>
    <s v="ORD10306"/>
    <d v="2025-05-04T00:00:00"/>
    <x v="3"/>
    <x v="3"/>
    <x v="2"/>
    <x v="1"/>
    <n v="3"/>
    <n v="4500"/>
    <n v="5220"/>
    <x v="27"/>
    <n v="15033.6"/>
    <x v="683"/>
    <n v="62640"/>
    <n v="13500"/>
    <n v="10.201149425287355"/>
    <x v="4"/>
    <x v="1"/>
  </r>
  <r>
    <s v="ORD10480"/>
    <d v="2025-05-04T00:00:00"/>
    <x v="6"/>
    <x v="6"/>
    <x v="4"/>
    <x v="0"/>
    <n v="7"/>
    <n v="1800"/>
    <n v="2124"/>
    <x v="558"/>
    <n v="12361.09"/>
    <x v="684"/>
    <n v="250674.47999999998"/>
    <n v="12600"/>
    <n v="-1.9327583570704525"/>
    <x v="4"/>
    <x v="2"/>
  </r>
  <r>
    <s v="ORD10768"/>
    <d v="2025-05-04T00:00:00"/>
    <x v="3"/>
    <x v="3"/>
    <x v="2"/>
    <x v="3"/>
    <n v="5"/>
    <n v="4500"/>
    <n v="5220"/>
    <x v="559"/>
    <n v="22844.29"/>
    <x v="685"/>
    <n v="325467"/>
    <n v="22500"/>
    <n v="1.5071162202896216"/>
    <x v="4"/>
    <x v="0"/>
  </r>
  <r>
    <s v="ORD10828"/>
    <d v="2025-05-04T00:00:00"/>
    <x v="17"/>
    <x v="17"/>
    <x v="0"/>
    <x v="3"/>
    <n v="4"/>
    <n v="8500"/>
    <n v="9520"/>
    <x v="560"/>
    <n v="32660.53"/>
    <x v="686"/>
    <n v="541878.4"/>
    <n v="34000"/>
    <n v="-4.1011888049581566"/>
    <x v="4"/>
    <x v="2"/>
  </r>
  <r>
    <s v="ORD11120"/>
    <d v="2025-05-04T00:00:00"/>
    <x v="19"/>
    <x v="19"/>
    <x v="0"/>
    <x v="0"/>
    <n v="10"/>
    <n v="350"/>
    <n v="455"/>
    <x v="561"/>
    <n v="4239.12"/>
    <x v="687"/>
    <n v="31076.5"/>
    <n v="3500"/>
    <n v="17.435694200683159"/>
    <x v="4"/>
    <x v="1"/>
  </r>
  <r>
    <s v="ORD11562"/>
    <d v="2025-05-04T00:00:00"/>
    <x v="15"/>
    <x v="15"/>
    <x v="0"/>
    <x v="0"/>
    <n v="2"/>
    <n v="550"/>
    <n v="742.5"/>
    <x v="562"/>
    <n v="1360.89"/>
    <x v="688"/>
    <n v="12414.599999999999"/>
    <n v="1100"/>
    <n v="19.170542806545715"/>
    <x v="4"/>
    <x v="1"/>
  </r>
  <r>
    <s v="ORD11959"/>
    <d v="2025-05-04T00:00:00"/>
    <x v="12"/>
    <x v="12"/>
    <x v="2"/>
    <x v="0"/>
    <n v="6"/>
    <n v="6500"/>
    <n v="8125"/>
    <x v="563"/>
    <n v="34934.04"/>
    <x v="689"/>
    <n v="1381575"/>
    <n v="39000"/>
    <n v="-11.63896302861049"/>
    <x v="4"/>
    <x v="2"/>
  </r>
  <r>
    <s v="ORD10616"/>
    <d v="2025-05-05T00:00:00"/>
    <x v="11"/>
    <x v="11"/>
    <x v="0"/>
    <x v="2"/>
    <n v="10"/>
    <n v="900"/>
    <n v="1152"/>
    <x v="79"/>
    <n v="10651.46"/>
    <x v="690"/>
    <n v="86860.800000000003"/>
    <n v="9000"/>
    <n v="15.504541161493353"/>
    <x v="4"/>
    <x v="1"/>
  </r>
  <r>
    <s v="ORD10852"/>
    <d v="2025-05-05T00:00:00"/>
    <x v="13"/>
    <x v="13"/>
    <x v="6"/>
    <x v="0"/>
    <n v="1"/>
    <n v="900"/>
    <n v="1170"/>
    <x v="28"/>
    <n v="1113.17"/>
    <x v="691"/>
    <n v="5686.2000000000007"/>
    <n v="900"/>
    <n v="19.149815392078477"/>
    <x v="4"/>
    <x v="1"/>
  </r>
  <r>
    <s v="ORD11113"/>
    <d v="2025-05-05T00:00:00"/>
    <x v="4"/>
    <x v="4"/>
    <x v="3"/>
    <x v="3"/>
    <n v="2"/>
    <n v="180"/>
    <n v="243"/>
    <x v="564"/>
    <n v="403.34"/>
    <x v="692"/>
    <n v="8266.86"/>
    <n v="360"/>
    <n v="10.745276937571282"/>
    <x v="4"/>
    <x v="1"/>
  </r>
  <r>
    <s v="ORD11117"/>
    <d v="2025-05-05T00:00:00"/>
    <x v="6"/>
    <x v="6"/>
    <x v="4"/>
    <x v="1"/>
    <n v="2"/>
    <n v="1800"/>
    <n v="2124"/>
    <x v="565"/>
    <n v="3488.45"/>
    <x v="693"/>
    <n v="75954.239999999991"/>
    <n v="3600"/>
    <n v="-3.1976952514727173"/>
    <x v="4"/>
    <x v="2"/>
  </r>
  <r>
    <s v="ORD11157"/>
    <d v="2025-05-05T00:00:00"/>
    <x v="0"/>
    <x v="0"/>
    <x v="0"/>
    <x v="3"/>
    <n v="4"/>
    <n v="500"/>
    <n v="610"/>
    <x v="566"/>
    <n v="2102.7199999999998"/>
    <x v="694"/>
    <n v="33720.800000000003"/>
    <n v="2000"/>
    <n v="4.8851012022523213"/>
    <x v="4"/>
    <x v="0"/>
  </r>
  <r>
    <s v="ORD11667"/>
    <d v="2025-05-05T00:00:00"/>
    <x v="7"/>
    <x v="7"/>
    <x v="5"/>
    <x v="1"/>
    <n v="8"/>
    <n v="300"/>
    <n v="405"/>
    <x v="9"/>
    <n v="3240"/>
    <x v="695"/>
    <n v="0"/>
    <n v="2400"/>
    <n v="25.925925925925924"/>
    <x v="4"/>
    <x v="1"/>
  </r>
  <r>
    <s v="ORD10324"/>
    <d v="2025-05-06T00:00:00"/>
    <x v="2"/>
    <x v="2"/>
    <x v="0"/>
    <x v="2"/>
    <n v="9"/>
    <n v="6500"/>
    <n v="7150"/>
    <x v="567"/>
    <n v="59090.37"/>
    <x v="696"/>
    <n v="525739.5"/>
    <n v="58500"/>
    <n v="0.99909680714471738"/>
    <x v="4"/>
    <x v="0"/>
  </r>
  <r>
    <s v="ORD10513"/>
    <d v="2025-05-06T00:00:00"/>
    <x v="18"/>
    <x v="18"/>
    <x v="1"/>
    <x v="1"/>
    <n v="8"/>
    <n v="80"/>
    <n v="116"/>
    <x v="568"/>
    <n v="772.01"/>
    <x v="697"/>
    <n v="15599.679999999998"/>
    <n v="640"/>
    <n v="17.099519436276729"/>
    <x v="4"/>
    <x v="1"/>
  </r>
  <r>
    <s v="ORD11087"/>
    <d v="2025-05-06T00:00:00"/>
    <x v="5"/>
    <x v="5"/>
    <x v="3"/>
    <x v="2"/>
    <n v="7"/>
    <n v="2500"/>
    <n v="2875"/>
    <x v="569"/>
    <n v="17218.080000000002"/>
    <x v="698"/>
    <n v="290605"/>
    <n v="17500"/>
    <n v="-1.6373486474682424"/>
    <x v="4"/>
    <x v="2"/>
  </r>
  <r>
    <s v="ORD11131"/>
    <d v="2025-05-06T00:00:00"/>
    <x v="17"/>
    <x v="17"/>
    <x v="0"/>
    <x v="2"/>
    <n v="7"/>
    <n v="8500"/>
    <n v="9520"/>
    <x v="27"/>
    <n v="63974.400000000001"/>
    <x v="699"/>
    <n v="266560"/>
    <n v="59500"/>
    <n v="6.9940476190476177"/>
    <x v="4"/>
    <x v="0"/>
  </r>
  <r>
    <s v="ORD11253"/>
    <d v="2025-05-06T00:00:00"/>
    <x v="16"/>
    <x v="16"/>
    <x v="0"/>
    <x v="2"/>
    <n v="10"/>
    <n v="1100"/>
    <n v="1298"/>
    <x v="570"/>
    <n v="12456.62"/>
    <x v="700"/>
    <n v="52309.4"/>
    <n v="11000"/>
    <n v="11.693541265608165"/>
    <x v="4"/>
    <x v="1"/>
  </r>
  <r>
    <s v="ORD11537"/>
    <d v="2025-05-06T00:00:00"/>
    <x v="6"/>
    <x v="6"/>
    <x v="4"/>
    <x v="3"/>
    <n v="8"/>
    <n v="1800"/>
    <n v="2124"/>
    <x v="571"/>
    <n v="13073.76"/>
    <x v="701"/>
    <n v="391835.51999999996"/>
    <n v="14400"/>
    <n v="-10.144289018614385"/>
    <x v="4"/>
    <x v="2"/>
  </r>
  <r>
    <s v="ORD11891"/>
    <d v="2025-05-06T00:00:00"/>
    <x v="12"/>
    <x v="12"/>
    <x v="2"/>
    <x v="2"/>
    <n v="6"/>
    <n v="6500"/>
    <n v="8125"/>
    <x v="572"/>
    <n v="39726.660000000003"/>
    <x v="702"/>
    <n v="902362.50000000012"/>
    <n v="39000"/>
    <n v="1.8291494930608312"/>
    <x v="4"/>
    <x v="0"/>
  </r>
  <r>
    <s v="ORD11962"/>
    <d v="2025-05-06T00:00:00"/>
    <x v="0"/>
    <x v="0"/>
    <x v="0"/>
    <x v="0"/>
    <n v="9"/>
    <n v="500"/>
    <n v="610"/>
    <x v="118"/>
    <n v="4817.45"/>
    <x v="703"/>
    <n v="67252.5"/>
    <n v="4500"/>
    <n v="6.5895857767075947"/>
    <x v="4"/>
    <x v="0"/>
  </r>
  <r>
    <s v="ORD10562"/>
    <d v="2025-05-07T00:00:00"/>
    <x v="2"/>
    <x v="2"/>
    <x v="0"/>
    <x v="3"/>
    <n v="9"/>
    <n v="6500"/>
    <n v="7150"/>
    <x v="147"/>
    <n v="57196.43"/>
    <x v="704"/>
    <n v="715572"/>
    <n v="58500"/>
    <n v="-2.279110776669103"/>
    <x v="4"/>
    <x v="2"/>
  </r>
  <r>
    <s v="ORD10856"/>
    <d v="2025-05-07T00:00:00"/>
    <x v="4"/>
    <x v="4"/>
    <x v="3"/>
    <x v="3"/>
    <n v="10"/>
    <n v="180"/>
    <n v="243"/>
    <x v="9"/>
    <n v="2430"/>
    <x v="705"/>
    <n v="0"/>
    <n v="1800"/>
    <n v="25.925925925925924"/>
    <x v="4"/>
    <x v="1"/>
  </r>
  <r>
    <s v="ORD10970"/>
    <d v="2025-05-07T00:00:00"/>
    <x v="16"/>
    <x v="16"/>
    <x v="0"/>
    <x v="0"/>
    <n v="6"/>
    <n v="1100"/>
    <n v="1298"/>
    <x v="573"/>
    <n v="7519.85"/>
    <x v="706"/>
    <n v="26790.720000000001"/>
    <n v="6600"/>
    <n v="12.232291867523953"/>
    <x v="4"/>
    <x v="1"/>
  </r>
  <r>
    <s v="ORD11000"/>
    <d v="2025-05-07T00:00:00"/>
    <x v="19"/>
    <x v="19"/>
    <x v="0"/>
    <x v="2"/>
    <n v="1"/>
    <n v="350"/>
    <n v="455"/>
    <x v="574"/>
    <n v="445.76"/>
    <x v="707"/>
    <n v="923.64999999999986"/>
    <n v="350"/>
    <n v="21.48241206030151"/>
    <x v="4"/>
    <x v="1"/>
  </r>
  <r>
    <s v="ORD11044"/>
    <d v="2025-05-07T00:00:00"/>
    <x v="5"/>
    <x v="5"/>
    <x v="3"/>
    <x v="1"/>
    <n v="6"/>
    <n v="2500"/>
    <n v="2875"/>
    <x v="575"/>
    <n v="16531.45"/>
    <x v="708"/>
    <n v="71932.5"/>
    <n v="15000"/>
    <n v="9.2638576773362296"/>
    <x v="4"/>
    <x v="0"/>
  </r>
  <r>
    <s v="ORD11286"/>
    <d v="2025-05-07T00:00:00"/>
    <x v="2"/>
    <x v="2"/>
    <x v="0"/>
    <x v="0"/>
    <n v="6"/>
    <n v="6500"/>
    <n v="7150"/>
    <x v="576"/>
    <n v="35742.54"/>
    <x v="709"/>
    <n v="715572"/>
    <n v="39000"/>
    <n v="-9.1136779870708686"/>
    <x v="4"/>
    <x v="2"/>
  </r>
  <r>
    <s v="ORD11371"/>
    <d v="2025-05-07T00:00:00"/>
    <x v="9"/>
    <x v="9"/>
    <x v="2"/>
    <x v="3"/>
    <n v="2"/>
    <n v="3000"/>
    <n v="3600"/>
    <x v="460"/>
    <n v="6640.18"/>
    <x v="710"/>
    <n v="56016"/>
    <n v="6000"/>
    <n v="9.6410037077308139"/>
    <x v="4"/>
    <x v="0"/>
  </r>
  <r>
    <s v="ORD10112"/>
    <d v="2025-05-08T00:00:00"/>
    <x v="16"/>
    <x v="16"/>
    <x v="0"/>
    <x v="0"/>
    <n v="3"/>
    <n v="1100"/>
    <n v="1298"/>
    <x v="187"/>
    <n v="3323.5"/>
    <x v="711"/>
    <n v="57047.1"/>
    <n v="3300"/>
    <n v="0.70708590341507449"/>
    <x v="4"/>
    <x v="0"/>
  </r>
  <r>
    <s v="ORD10364"/>
    <d v="2025-05-08T00:00:00"/>
    <x v="16"/>
    <x v="16"/>
    <x v="0"/>
    <x v="1"/>
    <n v="9"/>
    <n v="1100"/>
    <n v="1298"/>
    <x v="577"/>
    <n v="10676.27"/>
    <x v="712"/>
    <n v="100582.01999999999"/>
    <n v="9900"/>
    <n v="7.2709850912350467"/>
    <x v="4"/>
    <x v="0"/>
  </r>
  <r>
    <s v="ORD10712"/>
    <d v="2025-05-08T00:00:00"/>
    <x v="15"/>
    <x v="15"/>
    <x v="0"/>
    <x v="2"/>
    <n v="8"/>
    <n v="550"/>
    <n v="742.5"/>
    <x v="313"/>
    <n v="4909.8100000000004"/>
    <x v="713"/>
    <n v="102999.6"/>
    <n v="4400"/>
    <n v="10.383497528417596"/>
    <x v="4"/>
    <x v="1"/>
  </r>
  <r>
    <s v="ORD10772"/>
    <d v="2025-05-08T00:00:00"/>
    <x v="3"/>
    <x v="3"/>
    <x v="2"/>
    <x v="3"/>
    <n v="6"/>
    <n v="4500"/>
    <n v="5220"/>
    <x v="237"/>
    <n v="28031.51"/>
    <x v="714"/>
    <n v="328860"/>
    <n v="27000"/>
    <n v="3.6798231704249971"/>
    <x v="4"/>
    <x v="0"/>
  </r>
  <r>
    <s v="ORD11284"/>
    <d v="2025-05-08T00:00:00"/>
    <x v="1"/>
    <x v="1"/>
    <x v="1"/>
    <x v="3"/>
    <n v="4"/>
    <n v="45"/>
    <n v="63"/>
    <x v="206"/>
    <n v="206.99"/>
    <x v="715"/>
    <n v="4500.72"/>
    <n v="180"/>
    <n v="13.039277259771001"/>
    <x v="4"/>
    <x v="1"/>
  </r>
  <r>
    <s v="ORD11918"/>
    <d v="2025-05-08T00:00:00"/>
    <x v="16"/>
    <x v="16"/>
    <x v="0"/>
    <x v="1"/>
    <n v="10"/>
    <n v="1100"/>
    <n v="1298"/>
    <x v="578"/>
    <n v="12281.11"/>
    <x v="716"/>
    <n v="69832.399999999994"/>
    <n v="11000"/>
    <n v="10.431548939794528"/>
    <x v="4"/>
    <x v="1"/>
  </r>
  <r>
    <s v="ORD11990"/>
    <d v="2025-05-08T00:00:00"/>
    <x v="11"/>
    <x v="11"/>
    <x v="0"/>
    <x v="3"/>
    <n v="3"/>
    <n v="900"/>
    <n v="1152"/>
    <x v="579"/>
    <n v="2782.76"/>
    <x v="717"/>
    <n v="67322.880000000005"/>
    <n v="2700"/>
    <n v="2.9740257873478129"/>
    <x v="4"/>
    <x v="0"/>
  </r>
  <r>
    <s v="ORD10216"/>
    <d v="2025-05-09T00:00:00"/>
    <x v="11"/>
    <x v="11"/>
    <x v="0"/>
    <x v="2"/>
    <n v="6"/>
    <n v="900"/>
    <n v="1152"/>
    <x v="580"/>
    <n v="6344.76"/>
    <x v="718"/>
    <n v="56747.520000000004"/>
    <n v="5400"/>
    <n v="14.8903977455412"/>
    <x v="4"/>
    <x v="1"/>
  </r>
  <r>
    <s v="ORD10372"/>
    <d v="2025-05-09T00:00:00"/>
    <x v="8"/>
    <x v="8"/>
    <x v="2"/>
    <x v="2"/>
    <n v="4"/>
    <n v="900"/>
    <n v="1170"/>
    <x v="239"/>
    <n v="4138.66"/>
    <x v="719"/>
    <n v="54147.6"/>
    <n v="3600"/>
    <n v="13.015323800457152"/>
    <x v="4"/>
    <x v="1"/>
  </r>
  <r>
    <s v="ORD10516"/>
    <d v="2025-05-09T00:00:00"/>
    <x v="16"/>
    <x v="16"/>
    <x v="0"/>
    <x v="3"/>
    <n v="2"/>
    <n v="1100"/>
    <n v="1298"/>
    <x v="9"/>
    <n v="2596"/>
    <x v="720"/>
    <n v="0"/>
    <n v="2200"/>
    <n v="15.254237288135593"/>
    <x v="4"/>
    <x v="1"/>
  </r>
  <r>
    <s v="ORD10686"/>
    <d v="2025-05-09T00:00:00"/>
    <x v="19"/>
    <x v="19"/>
    <x v="0"/>
    <x v="1"/>
    <n v="6"/>
    <n v="350"/>
    <n v="455"/>
    <x v="581"/>
    <n v="2502.1799999999998"/>
    <x v="721"/>
    <n v="22768.2"/>
    <n v="2100"/>
    <n v="16.073184183392083"/>
    <x v="4"/>
    <x v="1"/>
  </r>
  <r>
    <s v="ORD10700"/>
    <d v="2025-05-09T00:00:00"/>
    <x v="0"/>
    <x v="0"/>
    <x v="0"/>
    <x v="1"/>
    <n v="4"/>
    <n v="500"/>
    <n v="610"/>
    <x v="275"/>
    <n v="2150.1799999999998"/>
    <x v="722"/>
    <n v="28987.200000000001"/>
    <n v="2000"/>
    <n v="6.9845315275930391"/>
    <x v="4"/>
    <x v="0"/>
  </r>
  <r>
    <s v="ORD11720"/>
    <d v="2025-05-09T00:00:00"/>
    <x v="3"/>
    <x v="3"/>
    <x v="2"/>
    <x v="2"/>
    <n v="10"/>
    <n v="4500"/>
    <n v="5220"/>
    <x v="582"/>
    <n v="44049.77"/>
    <x v="723"/>
    <n v="814842"/>
    <n v="45000"/>
    <n v="-2.157173578885883"/>
    <x v="4"/>
    <x v="2"/>
  </r>
  <r>
    <s v="ORD10085"/>
    <d v="2025-05-10T00:00:00"/>
    <x v="8"/>
    <x v="8"/>
    <x v="2"/>
    <x v="1"/>
    <n v="3"/>
    <n v="900"/>
    <n v="1170"/>
    <x v="492"/>
    <n v="3101.73"/>
    <x v="724"/>
    <n v="40821.300000000003"/>
    <n v="2700"/>
    <n v="12.951804315656101"/>
    <x v="4"/>
    <x v="1"/>
  </r>
  <r>
    <s v="ORD10125"/>
    <d v="2025-05-10T00:00:00"/>
    <x v="16"/>
    <x v="16"/>
    <x v="0"/>
    <x v="0"/>
    <n v="6"/>
    <n v="1100"/>
    <n v="1298"/>
    <x v="583"/>
    <n v="6669.05"/>
    <x v="725"/>
    <n v="111913.56"/>
    <n v="6600"/>
    <n v="1.0353798517030162"/>
    <x v="4"/>
    <x v="0"/>
  </r>
  <r>
    <s v="ORD10132"/>
    <d v="2025-05-10T00:00:00"/>
    <x v="12"/>
    <x v="12"/>
    <x v="2"/>
    <x v="0"/>
    <n v="1"/>
    <n v="6500"/>
    <n v="8125"/>
    <x v="584"/>
    <n v="6478.74"/>
    <x v="726"/>
    <n v="164612.5"/>
    <n v="6500"/>
    <n v="-0.32815022674161953"/>
    <x v="4"/>
    <x v="2"/>
  </r>
  <r>
    <s v="ORD10217"/>
    <d v="2025-05-10T00:00:00"/>
    <x v="12"/>
    <x v="12"/>
    <x v="2"/>
    <x v="0"/>
    <n v="5"/>
    <n v="6500"/>
    <n v="8125"/>
    <x v="585"/>
    <n v="35906.980000000003"/>
    <x v="727"/>
    <n v="471656.25"/>
    <n v="32500"/>
    <n v="9.4883501759267972"/>
    <x v="4"/>
    <x v="0"/>
  </r>
  <r>
    <s v="ORD10577"/>
    <d v="2025-05-11T00:00:00"/>
    <x v="17"/>
    <x v="17"/>
    <x v="0"/>
    <x v="3"/>
    <n v="2"/>
    <n v="8500"/>
    <n v="9520"/>
    <x v="379"/>
    <n v="15658.47"/>
    <x v="728"/>
    <n v="338150.40000000002"/>
    <n v="17000"/>
    <n v="-8.5674398584280578"/>
    <x v="4"/>
    <x v="2"/>
  </r>
  <r>
    <s v="ORD10716"/>
    <d v="2025-05-11T00:00:00"/>
    <x v="6"/>
    <x v="6"/>
    <x v="4"/>
    <x v="1"/>
    <n v="7"/>
    <n v="1800"/>
    <n v="2124"/>
    <x v="586"/>
    <n v="11945.43"/>
    <x v="729"/>
    <n v="292304.88"/>
    <n v="12600"/>
    <n v="-5.4796687938399877"/>
    <x v="4"/>
    <x v="2"/>
  </r>
  <r>
    <s v="ORD10733"/>
    <d v="2025-05-11T00:00:00"/>
    <x v="3"/>
    <x v="3"/>
    <x v="2"/>
    <x v="2"/>
    <n v="5"/>
    <n v="4500"/>
    <n v="5220"/>
    <x v="587"/>
    <n v="20094.34"/>
    <x v="730"/>
    <n v="600561"/>
    <n v="22500"/>
    <n v="-11.971828883158143"/>
    <x v="4"/>
    <x v="2"/>
  </r>
  <r>
    <s v="ORD10406"/>
    <d v="2025-05-12T00:00:00"/>
    <x v="10"/>
    <x v="10"/>
    <x v="4"/>
    <x v="0"/>
    <n v="10"/>
    <n v="3200"/>
    <n v="3840"/>
    <x v="588"/>
    <n v="30351.22"/>
    <x v="731"/>
    <n v="804864"/>
    <n v="32000"/>
    <n v="-5.4323351746651367"/>
    <x v="4"/>
    <x v="2"/>
  </r>
  <r>
    <s v="ORD10408"/>
    <d v="2025-05-12T00:00:00"/>
    <x v="9"/>
    <x v="9"/>
    <x v="2"/>
    <x v="0"/>
    <n v="5"/>
    <n v="3000"/>
    <n v="3600"/>
    <x v="589"/>
    <n v="15301.78"/>
    <x v="732"/>
    <n v="269820"/>
    <n v="15000"/>
    <n v="1.9721888564598364"/>
    <x v="4"/>
    <x v="0"/>
  </r>
  <r>
    <s v="ORD10899"/>
    <d v="2025-05-12T00:00:00"/>
    <x v="8"/>
    <x v="8"/>
    <x v="2"/>
    <x v="2"/>
    <n v="7"/>
    <n v="900"/>
    <n v="1170"/>
    <x v="115"/>
    <n v="7467.35"/>
    <x v="733"/>
    <n v="72235.8"/>
    <n v="6300"/>
    <n v="15.63272111257675"/>
    <x v="4"/>
    <x v="1"/>
  </r>
  <r>
    <s v="ORD11554"/>
    <d v="2025-05-12T00:00:00"/>
    <x v="2"/>
    <x v="2"/>
    <x v="0"/>
    <x v="3"/>
    <n v="7"/>
    <n v="6500"/>
    <n v="7150"/>
    <x v="499"/>
    <n v="44123.72"/>
    <x v="734"/>
    <n v="592592"/>
    <n v="45500"/>
    <n v="-3.119138640169052"/>
    <x v="4"/>
    <x v="2"/>
  </r>
  <r>
    <s v="ORD11779"/>
    <d v="2025-05-12T00:00:00"/>
    <x v="8"/>
    <x v="8"/>
    <x v="2"/>
    <x v="0"/>
    <n v="3"/>
    <n v="900"/>
    <n v="1170"/>
    <x v="259"/>
    <n v="2917.75"/>
    <x v="735"/>
    <n v="59213.700000000004"/>
    <n v="2700"/>
    <n v="7.4629423357038815"/>
    <x v="4"/>
    <x v="0"/>
  </r>
  <r>
    <s v="ORD10171"/>
    <d v="2025-05-13T00:00:00"/>
    <x v="4"/>
    <x v="4"/>
    <x v="3"/>
    <x v="0"/>
    <n v="6"/>
    <n v="180"/>
    <n v="243"/>
    <x v="410"/>
    <n v="1391.7"/>
    <x v="736"/>
    <n v="6633.9"/>
    <n v="1080"/>
    <n v="22.397068333692605"/>
    <x v="4"/>
    <x v="1"/>
  </r>
  <r>
    <s v="ORD10249"/>
    <d v="2025-05-13T00:00:00"/>
    <x v="6"/>
    <x v="6"/>
    <x v="4"/>
    <x v="1"/>
    <n v="9"/>
    <n v="1800"/>
    <n v="2124"/>
    <x v="590"/>
    <n v="17297.14"/>
    <x v="737"/>
    <n v="181793.16"/>
    <n v="16200"/>
    <n v="6.3428983057314685"/>
    <x v="4"/>
    <x v="0"/>
  </r>
  <r>
    <s v="ORD10721"/>
    <d v="2025-05-13T00:00:00"/>
    <x v="18"/>
    <x v="18"/>
    <x v="1"/>
    <x v="3"/>
    <n v="5"/>
    <n v="80"/>
    <n v="116"/>
    <x v="591"/>
    <n v="526.70000000000005"/>
    <x v="54"/>
    <n v="5330.2"/>
    <n v="400"/>
    <n v="24.055439529143722"/>
    <x v="4"/>
    <x v="1"/>
  </r>
  <r>
    <s v="ORD11568"/>
    <d v="2025-05-13T00:00:00"/>
    <x v="12"/>
    <x v="12"/>
    <x v="2"/>
    <x v="0"/>
    <n v="10"/>
    <n v="6500"/>
    <n v="8125"/>
    <x v="592"/>
    <n v="64287.06"/>
    <x v="738"/>
    <n v="1696500"/>
    <n v="65000"/>
    <n v="-1.1089945628249296"/>
    <x v="4"/>
    <x v="2"/>
  </r>
  <r>
    <s v="ORD11778"/>
    <d v="2025-05-13T00:00:00"/>
    <x v="7"/>
    <x v="7"/>
    <x v="5"/>
    <x v="3"/>
    <n v="8"/>
    <n v="300"/>
    <n v="405"/>
    <x v="593"/>
    <n v="2565.13"/>
    <x v="533"/>
    <n v="67489.2"/>
    <n v="2400"/>
    <n v="6.4374904975576284"/>
    <x v="4"/>
    <x v="0"/>
  </r>
  <r>
    <s v="ORD10076"/>
    <d v="2025-05-14T00:00:00"/>
    <x v="15"/>
    <x v="15"/>
    <x v="0"/>
    <x v="3"/>
    <n v="9"/>
    <n v="550"/>
    <n v="742.5"/>
    <x v="594"/>
    <n v="6037.45"/>
    <x v="739"/>
    <n v="64486.125"/>
    <n v="4950"/>
    <n v="18.011743368475102"/>
    <x v="4"/>
    <x v="1"/>
  </r>
  <r>
    <s v="ORD10725"/>
    <d v="2025-05-14T00:00:00"/>
    <x v="9"/>
    <x v="9"/>
    <x v="2"/>
    <x v="2"/>
    <n v="2"/>
    <n v="3000"/>
    <n v="3600"/>
    <x v="122"/>
    <n v="6293.1"/>
    <x v="740"/>
    <n v="90720"/>
    <n v="6000"/>
    <n v="4.6574820040997285"/>
    <x v="4"/>
    <x v="0"/>
  </r>
  <r>
    <s v="ORD10794"/>
    <d v="2025-05-14T00:00:00"/>
    <x v="11"/>
    <x v="11"/>
    <x v="0"/>
    <x v="1"/>
    <n v="3"/>
    <n v="900"/>
    <n v="1152"/>
    <x v="595"/>
    <n v="3111.36"/>
    <x v="741"/>
    <n v="34456.32"/>
    <n v="2700"/>
    <n v="13.221228016044432"/>
    <x v="4"/>
    <x v="1"/>
  </r>
  <r>
    <s v="ORD11124"/>
    <d v="2025-05-14T00:00:00"/>
    <x v="13"/>
    <x v="13"/>
    <x v="6"/>
    <x v="2"/>
    <n v="4"/>
    <n v="900"/>
    <n v="1170"/>
    <x v="596"/>
    <n v="4512.7700000000004"/>
    <x v="742"/>
    <n v="16707.599999999999"/>
    <n v="3600"/>
    <n v="20.226379806637606"/>
    <x v="4"/>
    <x v="1"/>
  </r>
  <r>
    <s v="ORD11529"/>
    <d v="2025-05-14T00:00:00"/>
    <x v="19"/>
    <x v="19"/>
    <x v="0"/>
    <x v="3"/>
    <n v="7"/>
    <n v="350"/>
    <n v="455"/>
    <x v="597"/>
    <n v="2812.49"/>
    <x v="743"/>
    <n v="37264.5"/>
    <n v="2450"/>
    <n v="12.888579159392568"/>
    <x v="4"/>
    <x v="1"/>
  </r>
  <r>
    <s v="ORD10328"/>
    <d v="2025-05-15T00:00:00"/>
    <x v="9"/>
    <x v="9"/>
    <x v="2"/>
    <x v="3"/>
    <n v="9"/>
    <n v="3000"/>
    <n v="3600"/>
    <x v="598"/>
    <n v="26064.1"/>
    <x v="744"/>
    <n v="633744"/>
    <n v="27000"/>
    <n v="-3.5907627733165541"/>
    <x v="4"/>
    <x v="2"/>
  </r>
  <r>
    <s v="ORD11272"/>
    <d v="2025-05-15T00:00:00"/>
    <x v="10"/>
    <x v="10"/>
    <x v="4"/>
    <x v="2"/>
    <n v="8"/>
    <n v="3200"/>
    <n v="3840"/>
    <x v="301"/>
    <n v="29196.73"/>
    <x v="745"/>
    <n v="152371.20000000001"/>
    <n v="25600"/>
    <n v="12.318948046579189"/>
    <x v="4"/>
    <x v="1"/>
  </r>
  <r>
    <s v="ORD11542"/>
    <d v="2025-05-15T00:00:00"/>
    <x v="15"/>
    <x v="15"/>
    <x v="0"/>
    <x v="1"/>
    <n v="2"/>
    <n v="550"/>
    <n v="742.5"/>
    <x v="599"/>
    <n v="1428.74"/>
    <x v="746"/>
    <n v="5628.15"/>
    <n v="1100"/>
    <n v="23.009084927978499"/>
    <x v="4"/>
    <x v="1"/>
  </r>
  <r>
    <s v="ORD10018"/>
    <d v="2025-05-16T00:00:00"/>
    <x v="7"/>
    <x v="7"/>
    <x v="5"/>
    <x v="2"/>
    <n v="2"/>
    <n v="300"/>
    <n v="405"/>
    <x v="71"/>
    <n v="666.76"/>
    <x v="747"/>
    <n v="14320.8"/>
    <n v="600"/>
    <n v="10.012598236246927"/>
    <x v="4"/>
    <x v="1"/>
  </r>
  <r>
    <s v="ORD10271"/>
    <d v="2025-05-16T00:00:00"/>
    <x v="17"/>
    <x v="17"/>
    <x v="0"/>
    <x v="3"/>
    <n v="1"/>
    <n v="8500"/>
    <n v="9520"/>
    <x v="374"/>
    <n v="7849.03"/>
    <x v="748"/>
    <n v="167076"/>
    <n v="8500"/>
    <n v="-8.2936362837191364"/>
    <x v="4"/>
    <x v="2"/>
  </r>
  <r>
    <s v="ORD10367"/>
    <d v="2025-05-16T00:00:00"/>
    <x v="15"/>
    <x v="15"/>
    <x v="0"/>
    <x v="2"/>
    <n v="1"/>
    <n v="550"/>
    <n v="742.5"/>
    <x v="91"/>
    <n v="723.53"/>
    <x v="749"/>
    <n v="1893.3749999999998"/>
    <n v="550"/>
    <n v="23.983801639185661"/>
    <x v="4"/>
    <x v="1"/>
  </r>
  <r>
    <s v="ORD10923"/>
    <d v="2025-05-16T00:00:00"/>
    <x v="1"/>
    <x v="1"/>
    <x v="1"/>
    <x v="3"/>
    <n v="10"/>
    <n v="45"/>
    <n v="63"/>
    <x v="600"/>
    <n v="621.07000000000005"/>
    <x v="750"/>
    <n v="894.59999999999991"/>
    <n v="450"/>
    <n v="27.544399182056772"/>
    <x v="4"/>
    <x v="1"/>
  </r>
  <r>
    <s v="ORD10940"/>
    <d v="2025-05-16T00:00:00"/>
    <x v="19"/>
    <x v="19"/>
    <x v="0"/>
    <x v="1"/>
    <n v="5"/>
    <n v="350"/>
    <n v="455"/>
    <x v="323"/>
    <n v="2063.87"/>
    <x v="751"/>
    <n v="21112"/>
    <n v="1750"/>
    <n v="15.207837702956098"/>
    <x v="4"/>
    <x v="1"/>
  </r>
  <r>
    <s v="ORD11282"/>
    <d v="2025-05-16T00:00:00"/>
    <x v="7"/>
    <x v="7"/>
    <x v="5"/>
    <x v="2"/>
    <n v="1"/>
    <n v="300"/>
    <n v="405"/>
    <x v="9"/>
    <n v="405"/>
    <x v="549"/>
    <n v="0"/>
    <n v="300"/>
    <n v="25.925925925925924"/>
    <x v="4"/>
    <x v="1"/>
  </r>
  <r>
    <s v="ORD10483"/>
    <d v="2025-05-17T00:00:00"/>
    <x v="3"/>
    <x v="3"/>
    <x v="2"/>
    <x v="3"/>
    <n v="3"/>
    <n v="4500"/>
    <n v="5220"/>
    <x v="446"/>
    <n v="12216.15"/>
    <x v="752"/>
    <n v="344363.39999999997"/>
    <n v="13500"/>
    <n v="-10.509448557851696"/>
    <x v="4"/>
    <x v="2"/>
  </r>
  <r>
    <s v="ORD10696"/>
    <d v="2025-05-17T00:00:00"/>
    <x v="9"/>
    <x v="9"/>
    <x v="2"/>
    <x v="1"/>
    <n v="10"/>
    <n v="3000"/>
    <n v="3600"/>
    <x v="601"/>
    <n v="31999.21"/>
    <x v="753"/>
    <n v="399960"/>
    <n v="30000"/>
    <n v="6.2476854897355283"/>
    <x v="4"/>
    <x v="0"/>
  </r>
  <r>
    <s v="ORD11398"/>
    <d v="2025-05-17T00:00:00"/>
    <x v="10"/>
    <x v="10"/>
    <x v="4"/>
    <x v="3"/>
    <n v="10"/>
    <n v="3200"/>
    <n v="3840"/>
    <x v="118"/>
    <n v="33696.57"/>
    <x v="754"/>
    <n v="470400"/>
    <n v="32000"/>
    <n v="5.0348447928082889"/>
    <x v="4"/>
    <x v="0"/>
  </r>
  <r>
    <s v="ORD11452"/>
    <d v="2025-05-17T00:00:00"/>
    <x v="3"/>
    <x v="3"/>
    <x v="2"/>
    <x v="3"/>
    <n v="7"/>
    <n v="4500"/>
    <n v="5220"/>
    <x v="602"/>
    <n v="29112.95"/>
    <x v="755"/>
    <n v="742858.2"/>
    <n v="31500"/>
    <n v="-8.1992721452137278"/>
    <x v="4"/>
    <x v="2"/>
  </r>
  <r>
    <s v="ORD11692"/>
    <d v="2025-05-17T00:00:00"/>
    <x v="10"/>
    <x v="10"/>
    <x v="4"/>
    <x v="2"/>
    <n v="7"/>
    <n v="3200"/>
    <n v="3840"/>
    <x v="603"/>
    <n v="21667.77"/>
    <x v="756"/>
    <n v="521203.20000000001"/>
    <n v="22400"/>
    <n v="-3.3793509899726648"/>
    <x v="4"/>
    <x v="2"/>
  </r>
  <r>
    <s v="ORD10179"/>
    <d v="2025-05-18T00:00:00"/>
    <x v="19"/>
    <x v="19"/>
    <x v="0"/>
    <x v="1"/>
    <n v="7"/>
    <n v="350"/>
    <n v="455"/>
    <x v="604"/>
    <n v="3073.3"/>
    <x v="757"/>
    <n v="11179.349999999999"/>
    <n v="2450"/>
    <n v="20.281131031789933"/>
    <x v="4"/>
    <x v="1"/>
  </r>
  <r>
    <s v="ORD10265"/>
    <d v="2025-05-18T00:00:00"/>
    <x v="4"/>
    <x v="4"/>
    <x v="3"/>
    <x v="2"/>
    <n v="10"/>
    <n v="180"/>
    <n v="243"/>
    <x v="605"/>
    <n v="2244.31"/>
    <x v="758"/>
    <n v="18565.2"/>
    <n v="1800"/>
    <n v="19.797175969451636"/>
    <x v="4"/>
    <x v="1"/>
  </r>
  <r>
    <s v="ORD10487"/>
    <d v="2025-05-18T00:00:00"/>
    <x v="7"/>
    <x v="7"/>
    <x v="5"/>
    <x v="1"/>
    <n v="6"/>
    <n v="300"/>
    <n v="405"/>
    <x v="606"/>
    <n v="2252.85"/>
    <x v="759"/>
    <n v="17714.7"/>
    <n v="1800"/>
    <n v="20.101205140155802"/>
    <x v="4"/>
    <x v="1"/>
  </r>
  <r>
    <s v="ORD10623"/>
    <d v="2025-05-18T00:00:00"/>
    <x v="17"/>
    <x v="17"/>
    <x v="0"/>
    <x v="3"/>
    <n v="7"/>
    <n v="8500"/>
    <n v="9520"/>
    <x v="27"/>
    <n v="63974.400000000001"/>
    <x v="699"/>
    <n v="266560"/>
    <n v="59500"/>
    <n v="6.9940476190476177"/>
    <x v="4"/>
    <x v="0"/>
  </r>
  <r>
    <s v="ORD11484"/>
    <d v="2025-05-18T00:00:00"/>
    <x v="4"/>
    <x v="4"/>
    <x v="3"/>
    <x v="3"/>
    <n v="10"/>
    <n v="180"/>
    <n v="243"/>
    <x v="80"/>
    <n v="2089.2399999999998"/>
    <x v="760"/>
    <n v="34068.6"/>
    <n v="1800"/>
    <n v="13.844268729298696"/>
    <x v="4"/>
    <x v="1"/>
  </r>
  <r>
    <s v="ORD11498"/>
    <d v="2025-05-18T00:00:00"/>
    <x v="11"/>
    <x v="11"/>
    <x v="0"/>
    <x v="2"/>
    <n v="6"/>
    <n v="900"/>
    <n v="1152"/>
    <x v="78"/>
    <n v="6201.52"/>
    <x v="761"/>
    <n v="71055.360000000001"/>
    <n v="5400"/>
    <n v="12.924573330409316"/>
    <x v="4"/>
    <x v="1"/>
  </r>
  <r>
    <s v="ORD11823"/>
    <d v="2025-05-18T00:00:00"/>
    <x v="3"/>
    <x v="3"/>
    <x v="2"/>
    <x v="1"/>
    <n v="4"/>
    <n v="4500"/>
    <n v="5220"/>
    <x v="607"/>
    <n v="19245.48"/>
    <x v="762"/>
    <n v="163490.4"/>
    <n v="18000"/>
    <n v="6.4715455265340225"/>
    <x v="4"/>
    <x v="0"/>
  </r>
  <r>
    <s v="ORD10255"/>
    <d v="2025-05-19T00:00:00"/>
    <x v="0"/>
    <x v="0"/>
    <x v="0"/>
    <x v="2"/>
    <n v="6"/>
    <n v="500"/>
    <n v="610"/>
    <x v="608"/>
    <n v="2752.82"/>
    <x v="763"/>
    <n v="90731.4"/>
    <n v="3000"/>
    <n v="-8.9791559201110136"/>
    <x v="4"/>
    <x v="2"/>
  </r>
  <r>
    <s v="ORD10755"/>
    <d v="2025-05-19T00:00:00"/>
    <x v="12"/>
    <x v="12"/>
    <x v="2"/>
    <x v="1"/>
    <n v="9"/>
    <n v="6500"/>
    <n v="8125"/>
    <x v="609"/>
    <n v="50016.72"/>
    <x v="764"/>
    <n v="2310750"/>
    <n v="58500"/>
    <n v="-16.960888278959516"/>
    <x v="4"/>
    <x v="2"/>
  </r>
  <r>
    <s v="ORD11152"/>
    <d v="2025-05-19T00:00:00"/>
    <x v="6"/>
    <x v="6"/>
    <x v="4"/>
    <x v="3"/>
    <n v="3"/>
    <n v="1800"/>
    <n v="2124"/>
    <x v="610"/>
    <n v="4430.3500000000004"/>
    <x v="765"/>
    <n v="194154.84"/>
    <n v="5400"/>
    <n v="-21.886532666719333"/>
    <x v="4"/>
    <x v="2"/>
  </r>
  <r>
    <s v="ORD11160"/>
    <d v="2025-05-19T00:00:00"/>
    <x v="8"/>
    <x v="8"/>
    <x v="2"/>
    <x v="1"/>
    <n v="6"/>
    <n v="900"/>
    <n v="1170"/>
    <x v="611"/>
    <n v="6288.47"/>
    <x v="766"/>
    <n v="73148.399999999994"/>
    <n v="5400"/>
    <n v="14.12855591264648"/>
    <x v="4"/>
    <x v="1"/>
  </r>
  <r>
    <s v="ORD11393"/>
    <d v="2025-05-19T00:00:00"/>
    <x v="9"/>
    <x v="9"/>
    <x v="2"/>
    <x v="2"/>
    <n v="6"/>
    <n v="3000"/>
    <n v="3600"/>
    <x v="612"/>
    <n v="19401.7"/>
    <x v="767"/>
    <n v="219888"/>
    <n v="18000"/>
    <n v="7.224624646293881"/>
    <x v="4"/>
    <x v="0"/>
  </r>
  <r>
    <s v="ORD11655"/>
    <d v="2025-05-19T00:00:00"/>
    <x v="7"/>
    <x v="7"/>
    <x v="5"/>
    <x v="0"/>
    <n v="8"/>
    <n v="300"/>
    <n v="405"/>
    <x v="613"/>
    <n v="2632.61"/>
    <x v="768"/>
    <n v="60750"/>
    <n v="2400"/>
    <n v="8.8357181656227102"/>
    <x v="4"/>
    <x v="0"/>
  </r>
  <r>
    <s v="ORD11765"/>
    <d v="2025-05-19T00:00:00"/>
    <x v="3"/>
    <x v="3"/>
    <x v="2"/>
    <x v="3"/>
    <n v="2"/>
    <n v="4500"/>
    <n v="5220"/>
    <x v="48"/>
    <n v="9881.2099999999991"/>
    <x v="769"/>
    <n v="55853.999999999993"/>
    <n v="9000"/>
    <n v="8.9180373658691607"/>
    <x v="4"/>
    <x v="0"/>
  </r>
  <r>
    <s v="ORD11865"/>
    <d v="2025-05-19T00:00:00"/>
    <x v="3"/>
    <x v="3"/>
    <x v="2"/>
    <x v="3"/>
    <n v="5"/>
    <n v="4500"/>
    <n v="5220"/>
    <x v="614"/>
    <n v="20563.64"/>
    <x v="770"/>
    <n v="553581"/>
    <n v="22500"/>
    <n v="-9.4164262747256817"/>
    <x v="4"/>
    <x v="2"/>
  </r>
  <r>
    <s v="ORD10288"/>
    <d v="2025-05-20T00:00:00"/>
    <x v="6"/>
    <x v="6"/>
    <x v="4"/>
    <x v="3"/>
    <n v="5"/>
    <n v="1800"/>
    <n v="2124"/>
    <x v="615"/>
    <n v="8909.42"/>
    <x v="771"/>
    <n v="171088.19999999998"/>
    <n v="9000"/>
    <n v="-1.0166767309207558"/>
    <x v="4"/>
    <x v="2"/>
  </r>
  <r>
    <s v="ORD11188"/>
    <d v="2025-05-20T00:00:00"/>
    <x v="15"/>
    <x v="15"/>
    <x v="0"/>
    <x v="0"/>
    <n v="2"/>
    <n v="550"/>
    <n v="742.5"/>
    <x v="616"/>
    <n v="1253.95"/>
    <x v="772"/>
    <n v="23106.600000000002"/>
    <n v="1100"/>
    <n v="12.277204035248614"/>
    <x v="4"/>
    <x v="1"/>
  </r>
  <r>
    <s v="ORD11431"/>
    <d v="2025-05-20T00:00:00"/>
    <x v="17"/>
    <x v="17"/>
    <x v="0"/>
    <x v="2"/>
    <n v="10"/>
    <n v="8500"/>
    <n v="9520"/>
    <x v="617"/>
    <n v="81340.009999999995"/>
    <x v="773"/>
    <n v="1386112"/>
    <n v="85000"/>
    <n v="-4.4996183305116384"/>
    <x v="4"/>
    <x v="2"/>
  </r>
  <r>
    <s v="ORD11966"/>
    <d v="2025-05-20T00:00:00"/>
    <x v="10"/>
    <x v="10"/>
    <x v="4"/>
    <x v="0"/>
    <n v="2"/>
    <n v="3200"/>
    <n v="3840"/>
    <x v="618"/>
    <n v="6898.64"/>
    <x v="774"/>
    <n v="78105.600000000006"/>
    <n v="6400"/>
    <n v="7.2280913339440813"/>
    <x v="4"/>
    <x v="0"/>
  </r>
  <r>
    <s v="ORD10104"/>
    <d v="2025-05-21T00:00:00"/>
    <x v="11"/>
    <x v="11"/>
    <x v="0"/>
    <x v="2"/>
    <n v="7"/>
    <n v="900"/>
    <n v="1152"/>
    <x v="619"/>
    <n v="8026.12"/>
    <x v="775"/>
    <n v="3790.08"/>
    <n v="6300"/>
    <n v="21.506281989304917"/>
    <x v="4"/>
    <x v="1"/>
  </r>
  <r>
    <s v="ORD10115"/>
    <d v="2025-05-21T00:00:00"/>
    <x v="18"/>
    <x v="18"/>
    <x v="1"/>
    <x v="2"/>
    <n v="2"/>
    <n v="80"/>
    <n v="116"/>
    <x v="620"/>
    <n v="195.86"/>
    <x v="776"/>
    <n v="3614.56"/>
    <n v="160"/>
    <n v="18.308996221791073"/>
    <x v="4"/>
    <x v="1"/>
  </r>
  <r>
    <s v="ORD10935"/>
    <d v="2025-05-21T00:00:00"/>
    <x v="16"/>
    <x v="16"/>
    <x v="0"/>
    <x v="1"/>
    <n v="9"/>
    <n v="1100"/>
    <n v="1298"/>
    <x v="621"/>
    <n v="10547.2"/>
    <x v="777"/>
    <n v="113432.22000000002"/>
    <n v="9900"/>
    <n v="6.1362257281553392"/>
    <x v="4"/>
    <x v="0"/>
  </r>
  <r>
    <s v="ORD11280"/>
    <d v="2025-05-21T00:00:00"/>
    <x v="7"/>
    <x v="7"/>
    <x v="5"/>
    <x v="3"/>
    <n v="7"/>
    <n v="300"/>
    <n v="405"/>
    <x v="123"/>
    <n v="2593.71"/>
    <x v="778"/>
    <n v="24125.85"/>
    <n v="2100"/>
    <n v="19.034895959841307"/>
    <x v="4"/>
    <x v="1"/>
  </r>
  <r>
    <s v="ORD11403"/>
    <d v="2025-05-21T00:00:00"/>
    <x v="17"/>
    <x v="17"/>
    <x v="0"/>
    <x v="3"/>
    <n v="9"/>
    <n v="8500"/>
    <n v="9520"/>
    <x v="622"/>
    <n v="76054.990000000005"/>
    <x v="779"/>
    <n v="962186.4"/>
    <n v="76500"/>
    <n v="-0.58511611138204078"/>
    <x v="4"/>
    <x v="2"/>
  </r>
  <r>
    <s v="ORD11676"/>
    <d v="2025-05-21T00:00:00"/>
    <x v="3"/>
    <x v="3"/>
    <x v="2"/>
    <x v="0"/>
    <n v="10"/>
    <n v="4500"/>
    <n v="5220"/>
    <x v="623"/>
    <n v="39887.17"/>
    <x v="780"/>
    <n v="1231398"/>
    <n v="45000"/>
    <n v="-12.818232027992963"/>
    <x v="4"/>
    <x v="2"/>
  </r>
  <r>
    <s v="ORD11711"/>
    <d v="2025-05-21T00:00:00"/>
    <x v="13"/>
    <x v="13"/>
    <x v="6"/>
    <x v="3"/>
    <n v="7"/>
    <n v="900"/>
    <n v="1170"/>
    <x v="624"/>
    <n v="7655.41"/>
    <x v="781"/>
    <n v="53480.700000000004"/>
    <n v="6300"/>
    <n v="17.705256805318072"/>
    <x v="4"/>
    <x v="1"/>
  </r>
  <r>
    <s v="ORD11897"/>
    <d v="2025-05-21T00:00:00"/>
    <x v="4"/>
    <x v="4"/>
    <x v="3"/>
    <x v="3"/>
    <n v="7"/>
    <n v="180"/>
    <n v="243"/>
    <x v="625"/>
    <n v="1451.03"/>
    <x v="782"/>
    <n v="25004.699999999997"/>
    <n v="1260"/>
    <n v="13.165130975927445"/>
    <x v="4"/>
    <x v="1"/>
  </r>
  <r>
    <s v="ORD11983"/>
    <d v="2025-05-21T00:00:00"/>
    <x v="19"/>
    <x v="19"/>
    <x v="0"/>
    <x v="3"/>
    <n v="6"/>
    <n v="350"/>
    <n v="455"/>
    <x v="626"/>
    <n v="2428.35"/>
    <x v="783"/>
    <n v="30166.500000000004"/>
    <n v="2100"/>
    <n v="13.521526962752487"/>
    <x v="4"/>
    <x v="1"/>
  </r>
  <r>
    <s v="ORD10043"/>
    <d v="2025-05-22T00:00:00"/>
    <x v="7"/>
    <x v="7"/>
    <x v="5"/>
    <x v="1"/>
    <n v="10"/>
    <n v="300"/>
    <n v="405"/>
    <x v="627"/>
    <n v="3883.52"/>
    <x v="784"/>
    <n v="16645.5"/>
    <n v="3000"/>
    <n v="22.750494396835862"/>
    <x v="4"/>
    <x v="1"/>
  </r>
  <r>
    <s v="ORD10570"/>
    <d v="2025-05-22T00:00:00"/>
    <x v="11"/>
    <x v="11"/>
    <x v="0"/>
    <x v="1"/>
    <n v="1"/>
    <n v="900"/>
    <n v="1152"/>
    <x v="628"/>
    <n v="1008.17"/>
    <x v="785"/>
    <n v="14388.48"/>
    <n v="900"/>
    <n v="10.72934128172828"/>
    <x v="4"/>
    <x v="1"/>
  </r>
  <r>
    <s v="ORD10785"/>
    <d v="2025-05-22T00:00:00"/>
    <x v="17"/>
    <x v="17"/>
    <x v="0"/>
    <x v="0"/>
    <n v="1"/>
    <n v="8500"/>
    <n v="9520"/>
    <x v="629"/>
    <n v="7532.94"/>
    <x v="786"/>
    <n v="198682.40000000002"/>
    <n v="8500"/>
    <n v="-12.837749935616108"/>
    <x v="4"/>
    <x v="2"/>
  </r>
  <r>
    <s v="ORD10801"/>
    <d v="2025-05-22T00:00:00"/>
    <x v="2"/>
    <x v="2"/>
    <x v="0"/>
    <x v="1"/>
    <n v="3"/>
    <n v="6500"/>
    <n v="7150"/>
    <x v="630"/>
    <n v="18481.57"/>
    <x v="787"/>
    <n v="296868"/>
    <n v="19500"/>
    <n v="-5.5105166931164389"/>
    <x v="4"/>
    <x v="2"/>
  </r>
  <r>
    <s v="ORD10840"/>
    <d v="2025-05-22T00:00:00"/>
    <x v="1"/>
    <x v="1"/>
    <x v="1"/>
    <x v="0"/>
    <n v="10"/>
    <n v="45"/>
    <n v="63"/>
    <x v="40"/>
    <n v="597.36"/>
    <x v="788"/>
    <n v="3263.3999999999996"/>
    <n v="450"/>
    <n v="24.668541582965048"/>
    <x v="4"/>
    <x v="1"/>
  </r>
  <r>
    <s v="ORD10929"/>
    <d v="2025-05-22T00:00:00"/>
    <x v="3"/>
    <x v="3"/>
    <x v="2"/>
    <x v="0"/>
    <n v="10"/>
    <n v="4500"/>
    <n v="5220"/>
    <x v="631"/>
    <n v="42572.5"/>
    <x v="789"/>
    <n v="962568.00000000012"/>
    <n v="45000"/>
    <n v="-5.702037700393447"/>
    <x v="4"/>
    <x v="2"/>
  </r>
  <r>
    <s v="ORD10061"/>
    <d v="2025-05-23T00:00:00"/>
    <x v="0"/>
    <x v="0"/>
    <x v="0"/>
    <x v="0"/>
    <n v="6"/>
    <n v="500"/>
    <n v="610"/>
    <x v="632"/>
    <n v="3207.77"/>
    <x v="790"/>
    <n v="45237.599999999999"/>
    <n v="3000"/>
    <n v="6.4770853271899176"/>
    <x v="4"/>
    <x v="0"/>
  </r>
  <r>
    <s v="ORD10567"/>
    <d v="2025-05-23T00:00:00"/>
    <x v="6"/>
    <x v="6"/>
    <x v="4"/>
    <x v="3"/>
    <n v="5"/>
    <n v="1800"/>
    <n v="2124"/>
    <x v="620"/>
    <n v="8965.89"/>
    <x v="791"/>
    <n v="165459.6"/>
    <n v="9000"/>
    <n v="-0.38044187470513247"/>
    <x v="4"/>
    <x v="2"/>
  </r>
  <r>
    <s v="ORD10635"/>
    <d v="2025-05-23T00:00:00"/>
    <x v="5"/>
    <x v="5"/>
    <x v="3"/>
    <x v="3"/>
    <n v="3"/>
    <n v="2500"/>
    <n v="2875"/>
    <x v="633"/>
    <n v="8135.68"/>
    <x v="792"/>
    <n v="48903.75"/>
    <n v="7500"/>
    <n v="7.8134833228445553"/>
    <x v="4"/>
    <x v="0"/>
  </r>
  <r>
    <s v="ORD10778"/>
    <d v="2025-05-23T00:00:00"/>
    <x v="1"/>
    <x v="1"/>
    <x v="1"/>
    <x v="3"/>
    <n v="6"/>
    <n v="45"/>
    <n v="63"/>
    <x v="114"/>
    <n v="369.24"/>
    <x v="793"/>
    <n v="876.95999999999992"/>
    <n v="270"/>
    <n v="26.876828079298015"/>
    <x v="4"/>
    <x v="1"/>
  </r>
  <r>
    <s v="ORD11009"/>
    <d v="2025-05-23T00:00:00"/>
    <x v="2"/>
    <x v="2"/>
    <x v="0"/>
    <x v="0"/>
    <n v="4"/>
    <n v="6500"/>
    <n v="7150"/>
    <x v="634"/>
    <n v="24047.74"/>
    <x v="794"/>
    <n v="455312"/>
    <n v="26000"/>
    <n v="-8.1182680784140206"/>
    <x v="4"/>
    <x v="2"/>
  </r>
  <r>
    <s v="ORD11572"/>
    <d v="2025-05-23T00:00:00"/>
    <x v="6"/>
    <x v="6"/>
    <x v="4"/>
    <x v="3"/>
    <n v="2"/>
    <n v="1800"/>
    <n v="2124"/>
    <x v="635"/>
    <n v="4048.34"/>
    <x v="795"/>
    <n v="19965.600000000002"/>
    <n v="3600"/>
    <n v="11.074662701255328"/>
    <x v="4"/>
    <x v="1"/>
  </r>
  <r>
    <s v="ORD10020"/>
    <d v="2025-05-24T00:00:00"/>
    <x v="4"/>
    <x v="4"/>
    <x v="3"/>
    <x v="2"/>
    <n v="3"/>
    <n v="180"/>
    <n v="243"/>
    <x v="636"/>
    <n v="621.36"/>
    <x v="796"/>
    <n v="10767.33"/>
    <n v="540"/>
    <n v="13.093858632676708"/>
    <x v="4"/>
    <x v="1"/>
  </r>
  <r>
    <s v="ORD10370"/>
    <d v="2025-05-24T00:00:00"/>
    <x v="19"/>
    <x v="19"/>
    <x v="0"/>
    <x v="2"/>
    <n v="5"/>
    <n v="350"/>
    <n v="455"/>
    <x v="637"/>
    <n v="2041.65"/>
    <x v="797"/>
    <n v="23341.5"/>
    <n v="1750"/>
    <n v="14.285014571547523"/>
    <x v="4"/>
    <x v="1"/>
  </r>
  <r>
    <s v="ORD10615"/>
    <d v="2025-05-24T00:00:00"/>
    <x v="18"/>
    <x v="18"/>
    <x v="1"/>
    <x v="0"/>
    <n v="6"/>
    <n v="80"/>
    <n v="116"/>
    <x v="638"/>
    <n v="600.11"/>
    <x v="798"/>
    <n v="9590.8799999999992"/>
    <n v="480"/>
    <n v="20.014663978270651"/>
    <x v="4"/>
    <x v="1"/>
  </r>
  <r>
    <s v="ORD11315"/>
    <d v="2025-05-24T00:00:00"/>
    <x v="12"/>
    <x v="12"/>
    <x v="2"/>
    <x v="0"/>
    <n v="3"/>
    <n v="6500"/>
    <n v="8125"/>
    <x v="639"/>
    <n v="23288.73"/>
    <x v="799"/>
    <n v="108712.5"/>
    <n v="19500"/>
    <n v="16.268512709795683"/>
    <x v="4"/>
    <x v="1"/>
  </r>
  <r>
    <s v="ORD10017"/>
    <d v="2025-05-25T00:00:00"/>
    <x v="15"/>
    <x v="15"/>
    <x v="0"/>
    <x v="0"/>
    <n v="10"/>
    <n v="550"/>
    <n v="742.5"/>
    <x v="520"/>
    <n v="7118.89"/>
    <x v="800"/>
    <n v="30591"/>
    <n v="5500"/>
    <n v="22.740764360736012"/>
    <x v="4"/>
    <x v="1"/>
  </r>
  <r>
    <s v="ORD11176"/>
    <d v="2025-05-25T00:00:00"/>
    <x v="2"/>
    <x v="2"/>
    <x v="0"/>
    <x v="1"/>
    <n v="4"/>
    <n v="6500"/>
    <n v="7150"/>
    <x v="640"/>
    <n v="21002.19"/>
    <x v="801"/>
    <n v="759902"/>
    <n v="26000"/>
    <n v="-23.796613591249297"/>
    <x v="4"/>
    <x v="2"/>
  </r>
  <r>
    <s v="ORD11312"/>
    <d v="2025-05-25T00:00:00"/>
    <x v="13"/>
    <x v="13"/>
    <x v="6"/>
    <x v="1"/>
    <n v="4"/>
    <n v="900"/>
    <n v="1170"/>
    <x v="282"/>
    <n v="4342.5"/>
    <x v="802"/>
    <n v="33742.800000000003"/>
    <n v="3600"/>
    <n v="17.098445595854923"/>
    <x v="4"/>
    <x v="1"/>
  </r>
  <r>
    <s v="ORD10119"/>
    <d v="2025-05-26T00:00:00"/>
    <x v="10"/>
    <x v="10"/>
    <x v="4"/>
    <x v="0"/>
    <n v="6"/>
    <n v="3200"/>
    <n v="3840"/>
    <x v="641"/>
    <n v="17729.009999999998"/>
    <x v="803"/>
    <n v="531072"/>
    <n v="19200"/>
    <n v="-8.2970791939313031"/>
    <x v="4"/>
    <x v="2"/>
  </r>
  <r>
    <s v="ORD10461"/>
    <d v="2025-05-26T00:00:00"/>
    <x v="7"/>
    <x v="7"/>
    <x v="5"/>
    <x v="3"/>
    <n v="7"/>
    <n v="300"/>
    <n v="405"/>
    <x v="642"/>
    <n v="2197.09"/>
    <x v="804"/>
    <n v="63787.5"/>
    <n v="2100"/>
    <n v="4.419026985694714"/>
    <x v="4"/>
    <x v="0"/>
  </r>
  <r>
    <s v="ORD10997"/>
    <d v="2025-05-26T00:00:00"/>
    <x v="2"/>
    <x v="2"/>
    <x v="0"/>
    <x v="2"/>
    <n v="10"/>
    <n v="6500"/>
    <n v="7150"/>
    <x v="643"/>
    <n v="66305.81"/>
    <x v="805"/>
    <n v="519090"/>
    <n v="65000"/>
    <n v="1.9693749310957818"/>
    <x v="4"/>
    <x v="0"/>
  </r>
  <r>
    <s v="ORD11051"/>
    <d v="2025-05-26T00:00:00"/>
    <x v="1"/>
    <x v="1"/>
    <x v="1"/>
    <x v="1"/>
    <n v="10"/>
    <n v="45"/>
    <n v="63"/>
    <x v="644"/>
    <n v="561.95000000000005"/>
    <x v="806"/>
    <n v="6804"/>
    <n v="450"/>
    <n v="19.921701218969659"/>
    <x v="4"/>
    <x v="1"/>
  </r>
  <r>
    <s v="ORD11441"/>
    <d v="2025-05-26T00:00:00"/>
    <x v="0"/>
    <x v="0"/>
    <x v="0"/>
    <x v="0"/>
    <n v="6"/>
    <n v="500"/>
    <n v="610"/>
    <x v="645"/>
    <n v="2948.54"/>
    <x v="807"/>
    <n v="71150.400000000009"/>
    <n v="3000"/>
    <n v="-1.7452705406743676"/>
    <x v="4"/>
    <x v="2"/>
  </r>
  <r>
    <s v="ORD10806"/>
    <d v="2025-05-27T00:00:00"/>
    <x v="4"/>
    <x v="4"/>
    <x v="3"/>
    <x v="0"/>
    <n v="1"/>
    <n v="180"/>
    <n v="243"/>
    <x v="646"/>
    <n v="223.5"/>
    <x v="808"/>
    <n v="1948.86"/>
    <n v="180"/>
    <n v="19.463087248322147"/>
    <x v="4"/>
    <x v="1"/>
  </r>
  <r>
    <s v="ORD10888"/>
    <d v="2025-05-27T00:00:00"/>
    <x v="5"/>
    <x v="5"/>
    <x v="3"/>
    <x v="3"/>
    <n v="10"/>
    <n v="2500"/>
    <n v="2875"/>
    <x v="226"/>
    <n v="27508.51"/>
    <x v="809"/>
    <n v="124200.00000000001"/>
    <n v="25000"/>
    <n v="9.1190326193603379"/>
    <x v="4"/>
    <x v="0"/>
  </r>
  <r>
    <s v="ORD10968"/>
    <d v="2025-05-27T00:00:00"/>
    <x v="9"/>
    <x v="9"/>
    <x v="2"/>
    <x v="1"/>
    <n v="6"/>
    <n v="3000"/>
    <n v="3600"/>
    <x v="647"/>
    <n v="18734.52"/>
    <x v="810"/>
    <n v="286632"/>
    <n v="18000"/>
    <n v="3.9206769108576038"/>
    <x v="4"/>
    <x v="0"/>
  </r>
  <r>
    <s v="ORD11002"/>
    <d v="2025-05-27T00:00:00"/>
    <x v="14"/>
    <x v="14"/>
    <x v="3"/>
    <x v="0"/>
    <n v="2"/>
    <n v="1200"/>
    <n v="1464"/>
    <x v="648"/>
    <n v="2409.27"/>
    <x v="331"/>
    <n v="51884.159999999996"/>
    <n v="2400"/>
    <n v="0.38476384963080101"/>
    <x v="4"/>
    <x v="0"/>
  </r>
  <r>
    <s v="ORD11179"/>
    <d v="2025-05-27T00:00:00"/>
    <x v="10"/>
    <x v="10"/>
    <x v="4"/>
    <x v="1"/>
    <n v="3"/>
    <n v="3200"/>
    <n v="3840"/>
    <x v="649"/>
    <n v="11031.46"/>
    <x v="811"/>
    <n v="48844.800000000003"/>
    <n v="9600"/>
    <n v="12.976160907078485"/>
    <x v="4"/>
    <x v="1"/>
  </r>
  <r>
    <s v="ORD11199"/>
    <d v="2025-05-27T00:00:00"/>
    <x v="5"/>
    <x v="5"/>
    <x v="3"/>
    <x v="1"/>
    <n v="9"/>
    <n v="2500"/>
    <n v="2875"/>
    <x v="650"/>
    <n v="24384.799999999999"/>
    <x v="812"/>
    <n v="149040"/>
    <n v="22500"/>
    <n v="7.7294052032413632"/>
    <x v="4"/>
    <x v="0"/>
  </r>
  <r>
    <s v="ORD11235"/>
    <d v="2025-05-27T00:00:00"/>
    <x v="5"/>
    <x v="5"/>
    <x v="3"/>
    <x v="3"/>
    <n v="8"/>
    <n v="2500"/>
    <n v="2875"/>
    <x v="651"/>
    <n v="19226.77"/>
    <x v="813"/>
    <n v="377430"/>
    <n v="20000"/>
    <n v="-4.0216323386611474"/>
    <x v="4"/>
    <x v="2"/>
  </r>
  <r>
    <s v="ORD11397"/>
    <d v="2025-05-27T00:00:00"/>
    <x v="18"/>
    <x v="18"/>
    <x v="1"/>
    <x v="3"/>
    <n v="8"/>
    <n v="80"/>
    <n v="116"/>
    <x v="652"/>
    <n v="826.98"/>
    <x v="814"/>
    <n v="10105.92"/>
    <n v="640"/>
    <n v="22.60997847590026"/>
    <x v="4"/>
    <x v="1"/>
  </r>
  <r>
    <s v="ORD11788"/>
    <d v="2025-05-27T00:00:00"/>
    <x v="16"/>
    <x v="16"/>
    <x v="0"/>
    <x v="0"/>
    <n v="1"/>
    <n v="1100"/>
    <n v="1298"/>
    <x v="653"/>
    <n v="1222.74"/>
    <x v="815"/>
    <n v="7528.4"/>
    <n v="1100"/>
    <n v="10.038111127467818"/>
    <x v="4"/>
    <x v="1"/>
  </r>
  <r>
    <s v="ORD11939"/>
    <d v="2025-05-27T00:00:00"/>
    <x v="9"/>
    <x v="9"/>
    <x v="2"/>
    <x v="3"/>
    <n v="6"/>
    <n v="3000"/>
    <n v="3600"/>
    <x v="654"/>
    <n v="18378.490000000002"/>
    <x v="816"/>
    <n v="322056"/>
    <n v="18000"/>
    <n v="2.0594183744148733"/>
    <x v="4"/>
    <x v="0"/>
  </r>
  <r>
    <s v="ORD10250"/>
    <d v="2025-05-28T00:00:00"/>
    <x v="14"/>
    <x v="14"/>
    <x v="3"/>
    <x v="1"/>
    <n v="10"/>
    <n v="1200"/>
    <n v="1464"/>
    <x v="655"/>
    <n v="10248"/>
    <x v="817"/>
    <n v="439200"/>
    <n v="12000"/>
    <n v="-17.096018735362996"/>
    <x v="4"/>
    <x v="2"/>
  </r>
  <r>
    <s v="ORD10474"/>
    <d v="2025-05-28T00:00:00"/>
    <x v="7"/>
    <x v="7"/>
    <x v="5"/>
    <x v="0"/>
    <n v="9"/>
    <n v="300"/>
    <n v="405"/>
    <x v="656"/>
    <n v="3042.87"/>
    <x v="818"/>
    <n v="60215.4"/>
    <n v="2700"/>
    <n v="11.267980557828629"/>
    <x v="4"/>
    <x v="1"/>
  </r>
  <r>
    <s v="ORD10566"/>
    <d v="2025-05-28T00:00:00"/>
    <x v="4"/>
    <x v="4"/>
    <x v="3"/>
    <x v="2"/>
    <n v="7"/>
    <n v="180"/>
    <n v="243"/>
    <x v="181"/>
    <n v="1525.49"/>
    <x v="819"/>
    <n v="17554.32"/>
    <n v="1260"/>
    <n v="17.403588355217011"/>
    <x v="4"/>
    <x v="1"/>
  </r>
  <r>
    <s v="ORD10767"/>
    <d v="2025-05-28T00:00:00"/>
    <x v="14"/>
    <x v="14"/>
    <x v="3"/>
    <x v="1"/>
    <n v="5"/>
    <n v="1200"/>
    <n v="1464"/>
    <x v="657"/>
    <n v="6673"/>
    <x v="820"/>
    <n v="64708.799999999996"/>
    <n v="6000"/>
    <n v="10.085418852090514"/>
    <x v="4"/>
    <x v="1"/>
  </r>
  <r>
    <s v="ORD11083"/>
    <d v="2025-05-28T00:00:00"/>
    <x v="12"/>
    <x v="12"/>
    <x v="2"/>
    <x v="0"/>
    <n v="10"/>
    <n v="6500"/>
    <n v="8125"/>
    <x v="658"/>
    <n v="57713.94"/>
    <x v="821"/>
    <n v="2353812.5"/>
    <n v="65000"/>
    <n v="-12.624437007766234"/>
    <x v="4"/>
    <x v="2"/>
  </r>
  <r>
    <s v="ORD11352"/>
    <d v="2025-05-28T00:00:00"/>
    <x v="19"/>
    <x v="19"/>
    <x v="0"/>
    <x v="0"/>
    <n v="9"/>
    <n v="350"/>
    <n v="455"/>
    <x v="659"/>
    <n v="3598.83"/>
    <x v="822"/>
    <n v="49631.399999999994"/>
    <n v="3150"/>
    <n v="12.471553254807812"/>
    <x v="4"/>
    <x v="1"/>
  </r>
  <r>
    <s v="ORD11944"/>
    <d v="2025-05-28T00:00:00"/>
    <x v="13"/>
    <x v="13"/>
    <x v="6"/>
    <x v="1"/>
    <n v="4"/>
    <n v="900"/>
    <n v="1170"/>
    <x v="660"/>
    <n v="4208.41"/>
    <x v="823"/>
    <n v="47174.400000000001"/>
    <n v="3600"/>
    <n v="14.457003951611178"/>
    <x v="4"/>
    <x v="1"/>
  </r>
  <r>
    <s v="ORD10035"/>
    <d v="2025-05-29T00:00:00"/>
    <x v="0"/>
    <x v="0"/>
    <x v="0"/>
    <x v="1"/>
    <n v="4"/>
    <n v="500"/>
    <n v="610"/>
    <x v="652"/>
    <n v="2174.2199999999998"/>
    <x v="824"/>
    <n v="26571.600000000002"/>
    <n v="2000"/>
    <n v="8.0129885660144797"/>
    <x v="4"/>
    <x v="0"/>
  </r>
  <r>
    <s v="ORD10139"/>
    <d v="2025-05-29T00:00:00"/>
    <x v="7"/>
    <x v="7"/>
    <x v="5"/>
    <x v="0"/>
    <n v="6"/>
    <n v="300"/>
    <n v="405"/>
    <x v="9"/>
    <n v="2430"/>
    <x v="705"/>
    <n v="0"/>
    <n v="1800"/>
    <n v="25.925925925925924"/>
    <x v="4"/>
    <x v="1"/>
  </r>
  <r>
    <s v="ORD10178"/>
    <d v="2025-05-29T00:00:00"/>
    <x v="5"/>
    <x v="5"/>
    <x v="3"/>
    <x v="3"/>
    <n v="2"/>
    <n v="2500"/>
    <n v="2875"/>
    <x v="661"/>
    <n v="5355.06"/>
    <x v="825"/>
    <n v="39502.5"/>
    <n v="5000"/>
    <n v="6.6303645524046413"/>
    <x v="4"/>
    <x v="0"/>
  </r>
  <r>
    <s v="ORD10286"/>
    <d v="2025-05-29T00:00:00"/>
    <x v="4"/>
    <x v="4"/>
    <x v="3"/>
    <x v="1"/>
    <n v="1"/>
    <n v="180"/>
    <n v="243"/>
    <x v="662"/>
    <n v="233.3"/>
    <x v="826"/>
    <n v="969.57"/>
    <n v="180"/>
    <n v="22.846120874410627"/>
    <x v="4"/>
    <x v="1"/>
  </r>
  <r>
    <s v="ORD10322"/>
    <d v="2025-05-29T00:00:00"/>
    <x v="0"/>
    <x v="0"/>
    <x v="0"/>
    <x v="1"/>
    <n v="6"/>
    <n v="500"/>
    <n v="610"/>
    <x v="663"/>
    <n v="2972.04"/>
    <x v="827"/>
    <n v="68808"/>
    <n v="3000"/>
    <n v="-0.94076795736261976"/>
    <x v="4"/>
    <x v="2"/>
  </r>
  <r>
    <s v="ORD10323"/>
    <d v="2025-05-29T00:00:00"/>
    <x v="10"/>
    <x v="10"/>
    <x v="4"/>
    <x v="3"/>
    <n v="6"/>
    <n v="3200"/>
    <n v="3840"/>
    <x v="86"/>
    <n v="20730.509999999998"/>
    <x v="828"/>
    <n v="230860.79999999999"/>
    <n v="19200"/>
    <n v="7.3828863834030134"/>
    <x v="4"/>
    <x v="0"/>
  </r>
  <r>
    <s v="ORD10868"/>
    <d v="2025-05-29T00:00:00"/>
    <x v="8"/>
    <x v="8"/>
    <x v="2"/>
    <x v="0"/>
    <n v="2"/>
    <n v="900"/>
    <n v="1170"/>
    <x v="664"/>
    <n v="1934.9"/>
    <x v="829"/>
    <n v="40505.399999999994"/>
    <n v="1800"/>
    <n v="6.9719365341878126"/>
    <x v="4"/>
    <x v="0"/>
  </r>
  <r>
    <s v="ORD11190"/>
    <d v="2025-05-29T00:00:00"/>
    <x v="8"/>
    <x v="8"/>
    <x v="2"/>
    <x v="1"/>
    <n v="5"/>
    <n v="900"/>
    <n v="1170"/>
    <x v="665"/>
    <n v="5535.74"/>
    <x v="830"/>
    <n v="31414.5"/>
    <n v="4500"/>
    <n v="18.710055024260534"/>
    <x v="4"/>
    <x v="1"/>
  </r>
  <r>
    <s v="ORD11470"/>
    <d v="2025-05-29T00:00:00"/>
    <x v="4"/>
    <x v="4"/>
    <x v="3"/>
    <x v="0"/>
    <n v="5"/>
    <n v="180"/>
    <n v="243"/>
    <x v="666"/>
    <n v="990.33"/>
    <x v="831"/>
    <n v="22465.35"/>
    <n v="900"/>
    <n v="9.1212020235679017"/>
    <x v="4"/>
    <x v="0"/>
  </r>
  <r>
    <s v="ORD11767"/>
    <d v="2025-05-29T00:00:00"/>
    <x v="19"/>
    <x v="19"/>
    <x v="0"/>
    <x v="3"/>
    <n v="6"/>
    <n v="350"/>
    <n v="455"/>
    <x v="667"/>
    <n v="2307.9699999999998"/>
    <x v="504"/>
    <n v="42205.8"/>
    <n v="2100"/>
    <n v="9.0109490158017653"/>
    <x v="4"/>
    <x v="0"/>
  </r>
  <r>
    <s v="ORD11854"/>
    <d v="2025-05-29T00:00:00"/>
    <x v="13"/>
    <x v="13"/>
    <x v="6"/>
    <x v="2"/>
    <n v="8"/>
    <n v="900"/>
    <n v="1170"/>
    <x v="668"/>
    <n v="7367.16"/>
    <x v="832"/>
    <n v="199274.4"/>
    <n v="7200"/>
    <n v="2.2689883211441044"/>
    <x v="4"/>
    <x v="0"/>
  </r>
  <r>
    <s v="ORD10004"/>
    <d v="2025-05-30T00:00:00"/>
    <x v="13"/>
    <x v="13"/>
    <x v="6"/>
    <x v="1"/>
    <n v="6"/>
    <n v="900"/>
    <n v="1170"/>
    <x v="669"/>
    <n v="6381.51"/>
    <x v="833"/>
    <n v="63882"/>
    <n v="5400"/>
    <n v="15.380529059736645"/>
    <x v="4"/>
    <x v="1"/>
  </r>
  <r>
    <s v="ORD10335"/>
    <d v="2025-05-30T00:00:00"/>
    <x v="5"/>
    <x v="5"/>
    <x v="3"/>
    <x v="3"/>
    <n v="3"/>
    <n v="2500"/>
    <n v="2875"/>
    <x v="241"/>
    <n v="7778.51"/>
    <x v="834"/>
    <n v="84611.25"/>
    <n v="7500"/>
    <n v="3.5805057780988898"/>
    <x v="4"/>
    <x v="0"/>
  </r>
  <r>
    <s v="ORD10751"/>
    <d v="2025-05-30T00:00:00"/>
    <x v="5"/>
    <x v="5"/>
    <x v="3"/>
    <x v="1"/>
    <n v="3"/>
    <n v="2500"/>
    <n v="2875"/>
    <x v="644"/>
    <n v="7693.35"/>
    <x v="835"/>
    <n v="93150"/>
    <n v="7500"/>
    <n v="2.513209460118154"/>
    <x v="4"/>
    <x v="0"/>
  </r>
  <r>
    <s v="ORD10816"/>
    <d v="2025-05-30T00:00:00"/>
    <x v="16"/>
    <x v="16"/>
    <x v="0"/>
    <x v="1"/>
    <n v="10"/>
    <n v="1100"/>
    <n v="1298"/>
    <x v="670"/>
    <n v="11187.69"/>
    <x v="836"/>
    <n v="179253.80000000002"/>
    <n v="11000"/>
    <n v="1.6776474857633703"/>
    <x v="4"/>
    <x v="0"/>
  </r>
  <r>
    <s v="ORD10045"/>
    <d v="2025-05-31T00:00:00"/>
    <x v="3"/>
    <x v="3"/>
    <x v="2"/>
    <x v="0"/>
    <n v="1"/>
    <n v="4500"/>
    <n v="5220"/>
    <x v="671"/>
    <n v="4746.26"/>
    <x v="837"/>
    <n v="47397.599999999999"/>
    <n v="4500"/>
    <n v="5.1885063186593232"/>
    <x v="4"/>
    <x v="0"/>
  </r>
  <r>
    <s v="ORD10127"/>
    <d v="2025-05-31T00:00:00"/>
    <x v="10"/>
    <x v="10"/>
    <x v="4"/>
    <x v="3"/>
    <n v="7"/>
    <n v="3200"/>
    <n v="3840"/>
    <x v="123"/>
    <n v="24591.65"/>
    <x v="838"/>
    <n v="228748.79999999999"/>
    <n v="22400"/>
    <n v="8.9121714077745899"/>
    <x v="4"/>
    <x v="0"/>
  </r>
  <r>
    <s v="ORD10329"/>
    <d v="2025-05-31T00:00:00"/>
    <x v="6"/>
    <x v="6"/>
    <x v="4"/>
    <x v="0"/>
    <n v="1"/>
    <n v="1800"/>
    <n v="2124"/>
    <x v="672"/>
    <n v="1649.26"/>
    <x v="839"/>
    <n v="47471.4"/>
    <n v="1800"/>
    <n v="-9.1398566629882492"/>
    <x v="4"/>
    <x v="2"/>
  </r>
  <r>
    <s v="ORD11946"/>
    <d v="2025-05-31T00:00:00"/>
    <x v="18"/>
    <x v="18"/>
    <x v="1"/>
    <x v="3"/>
    <n v="7"/>
    <n v="80"/>
    <n v="116"/>
    <x v="673"/>
    <n v="804.9"/>
    <x v="840"/>
    <n v="706.43999999999994"/>
    <n v="560"/>
    <n v="30.426139893154431"/>
    <x v="4"/>
    <x v="1"/>
  </r>
  <r>
    <s v="ORD10247"/>
    <d v="2025-06-01T00:00:00"/>
    <x v="11"/>
    <x v="11"/>
    <x v="0"/>
    <x v="2"/>
    <n v="4"/>
    <n v="900"/>
    <n v="1152"/>
    <x v="550"/>
    <n v="4017.47"/>
    <x v="841"/>
    <n v="59074.559999999998"/>
    <n v="3600"/>
    <n v="10.391365710260439"/>
    <x v="5"/>
    <x v="1"/>
  </r>
  <r>
    <s v="ORD10446"/>
    <d v="2025-06-01T00:00:00"/>
    <x v="13"/>
    <x v="13"/>
    <x v="6"/>
    <x v="3"/>
    <n v="3"/>
    <n v="900"/>
    <n v="1170"/>
    <x v="674"/>
    <n v="2899.5"/>
    <x v="842"/>
    <n v="61038.9"/>
    <n v="2700"/>
    <n v="6.8804966373512677"/>
    <x v="5"/>
    <x v="0"/>
  </r>
  <r>
    <s v="ORD10530"/>
    <d v="2025-06-01T00:00:00"/>
    <x v="17"/>
    <x v="17"/>
    <x v="0"/>
    <x v="1"/>
    <n v="2"/>
    <n v="8500"/>
    <n v="9520"/>
    <x v="675"/>
    <n v="17238.61"/>
    <x v="843"/>
    <n v="180118.40000000002"/>
    <n v="17000"/>
    <n v="1.3841603238312139"/>
    <x v="5"/>
    <x v="0"/>
  </r>
  <r>
    <s v="ORD10591"/>
    <d v="2025-06-01T00:00:00"/>
    <x v="9"/>
    <x v="9"/>
    <x v="2"/>
    <x v="3"/>
    <n v="8"/>
    <n v="3000"/>
    <n v="3600"/>
    <x v="676"/>
    <n v="23936.14"/>
    <x v="844"/>
    <n v="486432"/>
    <n v="24000"/>
    <n v="-0.26679322564122704"/>
    <x v="5"/>
    <x v="2"/>
  </r>
  <r>
    <s v="ORD11168"/>
    <d v="2025-06-01T00:00:00"/>
    <x v="3"/>
    <x v="3"/>
    <x v="2"/>
    <x v="1"/>
    <n v="3"/>
    <n v="4500"/>
    <n v="5220"/>
    <x v="677"/>
    <n v="12525.99"/>
    <x v="845"/>
    <n v="313356.60000000003"/>
    <n v="13500"/>
    <n v="-7.7759123230978151"/>
    <x v="5"/>
    <x v="2"/>
  </r>
  <r>
    <s v="ORD11258"/>
    <d v="2025-06-01T00:00:00"/>
    <x v="3"/>
    <x v="3"/>
    <x v="2"/>
    <x v="0"/>
    <n v="9"/>
    <n v="4500"/>
    <n v="5220"/>
    <x v="357"/>
    <n v="44384.25"/>
    <x v="846"/>
    <n v="259799.40000000002"/>
    <n v="40500"/>
    <n v="8.7514151979587353"/>
    <x v="5"/>
    <x v="0"/>
  </r>
  <r>
    <s v="ORD10303"/>
    <d v="2025-06-02T00:00:00"/>
    <x v="8"/>
    <x v="8"/>
    <x v="2"/>
    <x v="2"/>
    <n v="6"/>
    <n v="900"/>
    <n v="1170"/>
    <x v="678"/>
    <n v="5907.08"/>
    <x v="847"/>
    <n v="111267"/>
    <n v="5400"/>
    <n v="8.5842751410172191"/>
    <x v="5"/>
    <x v="0"/>
  </r>
  <r>
    <s v="ORD10916"/>
    <d v="2025-06-02T00:00:00"/>
    <x v="0"/>
    <x v="0"/>
    <x v="0"/>
    <x v="3"/>
    <n v="5"/>
    <n v="500"/>
    <n v="610"/>
    <x v="679"/>
    <n v="2560.6999999999998"/>
    <x v="848"/>
    <n v="48922"/>
    <n v="2500"/>
    <n v="2.3704455812863672"/>
    <x v="5"/>
    <x v="0"/>
  </r>
  <r>
    <s v="ORD10987"/>
    <d v="2025-06-02T00:00:00"/>
    <x v="5"/>
    <x v="5"/>
    <x v="3"/>
    <x v="1"/>
    <n v="7"/>
    <n v="2500"/>
    <n v="2875"/>
    <x v="244"/>
    <n v="17675.3"/>
    <x v="849"/>
    <n v="244921.25"/>
    <n v="17500"/>
    <n v="0.99177948889127776"/>
    <x v="5"/>
    <x v="0"/>
  </r>
  <r>
    <s v="ORD11531"/>
    <d v="2025-06-02T00:00:00"/>
    <x v="13"/>
    <x v="13"/>
    <x v="6"/>
    <x v="0"/>
    <n v="10"/>
    <n v="900"/>
    <n v="1170"/>
    <x v="680"/>
    <n v="9562.06"/>
    <x v="850"/>
    <n v="213759"/>
    <n v="9000"/>
    <n v="5.8780220998404111"/>
    <x v="5"/>
    <x v="0"/>
  </r>
  <r>
    <s v="ORD11872"/>
    <d v="2025-06-02T00:00:00"/>
    <x v="5"/>
    <x v="5"/>
    <x v="3"/>
    <x v="3"/>
    <n v="2"/>
    <n v="2500"/>
    <n v="2875"/>
    <x v="9"/>
    <n v="5750"/>
    <x v="851"/>
    <n v="0"/>
    <n v="5000"/>
    <n v="13.043478260869565"/>
    <x v="5"/>
    <x v="1"/>
  </r>
  <r>
    <s v="ORD10057"/>
    <d v="2025-06-03T00:00:00"/>
    <x v="14"/>
    <x v="14"/>
    <x v="3"/>
    <x v="2"/>
    <n v="6"/>
    <n v="1200"/>
    <n v="1464"/>
    <x v="681"/>
    <n v="8265.44"/>
    <x v="852"/>
    <n v="51825.600000000006"/>
    <n v="7200"/>
    <n v="12.890299850945624"/>
    <x v="5"/>
    <x v="1"/>
  </r>
  <r>
    <s v="ORD10412"/>
    <d v="2025-06-03T00:00:00"/>
    <x v="2"/>
    <x v="2"/>
    <x v="0"/>
    <x v="2"/>
    <n v="6"/>
    <n v="6500"/>
    <n v="7150"/>
    <x v="682"/>
    <n v="40876.57"/>
    <x v="853"/>
    <n v="202488"/>
    <n v="39000"/>
    <n v="4.5908206094591595"/>
    <x v="5"/>
    <x v="0"/>
  </r>
  <r>
    <s v="ORD10569"/>
    <d v="2025-06-03T00:00:00"/>
    <x v="15"/>
    <x v="15"/>
    <x v="0"/>
    <x v="1"/>
    <n v="1"/>
    <n v="550"/>
    <n v="742.5"/>
    <x v="683"/>
    <n v="623.71"/>
    <x v="854"/>
    <n v="11880"/>
    <n v="550"/>
    <n v="11.817992336181877"/>
    <x v="5"/>
    <x v="1"/>
  </r>
  <r>
    <s v="ORD10632"/>
    <d v="2025-06-03T00:00:00"/>
    <x v="18"/>
    <x v="18"/>
    <x v="1"/>
    <x v="2"/>
    <n v="6"/>
    <n v="80"/>
    <n v="116"/>
    <x v="401"/>
    <n v="602.13"/>
    <x v="855"/>
    <n v="9389.0400000000009"/>
    <n v="480"/>
    <n v="20.282995366449104"/>
    <x v="5"/>
    <x v="1"/>
  </r>
  <r>
    <s v="ORD10720"/>
    <d v="2025-06-03T00:00:00"/>
    <x v="10"/>
    <x v="10"/>
    <x v="4"/>
    <x v="3"/>
    <n v="7"/>
    <n v="3200"/>
    <n v="3840"/>
    <x v="684"/>
    <n v="22470.97"/>
    <x v="856"/>
    <n v="440831.99999999994"/>
    <n v="22400"/>
    <n v="0.31582971273603228"/>
    <x v="5"/>
    <x v="0"/>
  </r>
  <r>
    <s v="ORD10813"/>
    <d v="2025-06-03T00:00:00"/>
    <x v="5"/>
    <x v="5"/>
    <x v="3"/>
    <x v="2"/>
    <n v="4"/>
    <n v="2500"/>
    <n v="2875"/>
    <x v="685"/>
    <n v="10524.21"/>
    <x v="857"/>
    <n v="97635"/>
    <n v="10000"/>
    <n v="4.9809914473390409"/>
    <x v="5"/>
    <x v="0"/>
  </r>
  <r>
    <s v="ORD11105"/>
    <d v="2025-06-03T00:00:00"/>
    <x v="19"/>
    <x v="19"/>
    <x v="0"/>
    <x v="3"/>
    <n v="5"/>
    <n v="350"/>
    <n v="455"/>
    <x v="686"/>
    <n v="2049.1999999999998"/>
    <x v="858"/>
    <n v="22590.75"/>
    <n v="1750"/>
    <n v="14.600819832129613"/>
    <x v="5"/>
    <x v="1"/>
  </r>
  <r>
    <s v="ORD11200"/>
    <d v="2025-06-03T00:00:00"/>
    <x v="17"/>
    <x v="17"/>
    <x v="0"/>
    <x v="1"/>
    <n v="10"/>
    <n v="8500"/>
    <n v="9520"/>
    <x v="687"/>
    <n v="73687.09"/>
    <x v="859"/>
    <n v="2151520"/>
    <n v="85000"/>
    <n v="-15.352635040954935"/>
    <x v="5"/>
    <x v="2"/>
  </r>
  <r>
    <s v="ORD11379"/>
    <d v="2025-06-03T00:00:00"/>
    <x v="4"/>
    <x v="4"/>
    <x v="3"/>
    <x v="0"/>
    <n v="5"/>
    <n v="180"/>
    <n v="243"/>
    <x v="516"/>
    <n v="1098.78"/>
    <x v="860"/>
    <n v="11627.550000000001"/>
    <n v="900"/>
    <n v="18.090973625293508"/>
    <x v="5"/>
    <x v="1"/>
  </r>
  <r>
    <s v="ORD11662"/>
    <d v="2025-06-03T00:00:00"/>
    <x v="11"/>
    <x v="11"/>
    <x v="0"/>
    <x v="2"/>
    <n v="2"/>
    <n v="900"/>
    <n v="1152"/>
    <x v="688"/>
    <n v="1889.01"/>
    <x v="861"/>
    <n v="41495.040000000001"/>
    <n v="1800"/>
    <n v="4.7119919958073275"/>
    <x v="5"/>
    <x v="0"/>
  </r>
  <r>
    <s v="ORD11748"/>
    <d v="2025-06-03T00:00:00"/>
    <x v="3"/>
    <x v="3"/>
    <x v="2"/>
    <x v="1"/>
    <n v="9"/>
    <n v="4500"/>
    <n v="5220"/>
    <x v="689"/>
    <n v="33392.26"/>
    <x v="862"/>
    <n v="1358661.6"/>
    <n v="40500"/>
    <n v="-21.285591331643918"/>
    <x v="5"/>
    <x v="2"/>
  </r>
  <r>
    <s v="ORD11776"/>
    <d v="2025-06-03T00:00:00"/>
    <x v="8"/>
    <x v="8"/>
    <x v="2"/>
    <x v="2"/>
    <n v="3"/>
    <n v="900"/>
    <n v="1170"/>
    <x v="340"/>
    <n v="2905.05"/>
    <x v="863"/>
    <n v="60477.3"/>
    <n v="2700"/>
    <n v="7.0583983063974802"/>
    <x v="5"/>
    <x v="0"/>
  </r>
  <r>
    <s v="ORD10166"/>
    <d v="2025-06-04T00:00:00"/>
    <x v="19"/>
    <x v="19"/>
    <x v="0"/>
    <x v="2"/>
    <n v="3"/>
    <n v="350"/>
    <n v="455"/>
    <x v="690"/>
    <n v="1204.3900000000001"/>
    <x v="864"/>
    <n v="16066.05"/>
    <n v="1050"/>
    <n v="12.818937387391124"/>
    <x v="5"/>
    <x v="1"/>
  </r>
  <r>
    <s v="ORD11026"/>
    <d v="2025-06-04T00:00:00"/>
    <x v="10"/>
    <x v="10"/>
    <x v="4"/>
    <x v="3"/>
    <n v="10"/>
    <n v="3200"/>
    <n v="3840"/>
    <x v="461"/>
    <n v="30290.79"/>
    <x v="865"/>
    <n v="811008"/>
    <n v="32000"/>
    <n v="-5.642672244599761"/>
    <x v="5"/>
    <x v="2"/>
  </r>
  <r>
    <s v="ORD11106"/>
    <d v="2025-06-04T00:00:00"/>
    <x v="7"/>
    <x v="7"/>
    <x v="5"/>
    <x v="3"/>
    <n v="6"/>
    <n v="300"/>
    <n v="405"/>
    <x v="691"/>
    <n v="2417.7800000000002"/>
    <x v="866"/>
    <n v="1215"/>
    <n v="1800"/>
    <n v="25.551539015129578"/>
    <x v="5"/>
    <x v="1"/>
  </r>
  <r>
    <s v="ORD11708"/>
    <d v="2025-06-04T00:00:00"/>
    <x v="7"/>
    <x v="7"/>
    <x v="5"/>
    <x v="1"/>
    <n v="3"/>
    <n v="300"/>
    <n v="405"/>
    <x v="679"/>
    <n v="1020.14"/>
    <x v="867"/>
    <n v="19488.599999999999"/>
    <n v="900"/>
    <n v="11.776814946968063"/>
    <x v="5"/>
    <x v="1"/>
  </r>
  <r>
    <s v="ORD11718"/>
    <d v="2025-06-04T00:00:00"/>
    <x v="4"/>
    <x v="4"/>
    <x v="3"/>
    <x v="1"/>
    <n v="6"/>
    <n v="180"/>
    <n v="243"/>
    <x v="245"/>
    <n v="1407"/>
    <x v="868"/>
    <n v="5103"/>
    <n v="1080"/>
    <n v="23.240938166311302"/>
    <x v="5"/>
    <x v="1"/>
  </r>
  <r>
    <s v="ORD10141"/>
    <d v="2025-06-05T00:00:00"/>
    <x v="13"/>
    <x v="13"/>
    <x v="6"/>
    <x v="3"/>
    <n v="9"/>
    <n v="900"/>
    <n v="1170"/>
    <x v="692"/>
    <n v="9137.61"/>
    <x v="869"/>
    <n v="139206.6"/>
    <n v="8100"/>
    <n v="11.35537629642762"/>
    <x v="5"/>
    <x v="1"/>
  </r>
  <r>
    <s v="ORD10737"/>
    <d v="2025-06-05T00:00:00"/>
    <x v="19"/>
    <x v="19"/>
    <x v="0"/>
    <x v="2"/>
    <n v="3"/>
    <n v="350"/>
    <n v="455"/>
    <x v="693"/>
    <n v="1123.3699999999999"/>
    <x v="870"/>
    <n v="24160.5"/>
    <n v="1050"/>
    <n v="6.5312408200325818"/>
    <x v="5"/>
    <x v="0"/>
  </r>
  <r>
    <s v="ORD10764"/>
    <d v="2025-06-05T00:00:00"/>
    <x v="11"/>
    <x v="11"/>
    <x v="0"/>
    <x v="1"/>
    <n v="1"/>
    <n v="900"/>
    <n v="1152"/>
    <x v="694"/>
    <n v="991.18"/>
    <x v="871"/>
    <n v="16081.920000000002"/>
    <n v="900"/>
    <n v="9.1991363828971533"/>
    <x v="5"/>
    <x v="0"/>
  </r>
  <r>
    <s v="ORD11061"/>
    <d v="2025-06-05T00:00:00"/>
    <x v="8"/>
    <x v="8"/>
    <x v="2"/>
    <x v="0"/>
    <n v="9"/>
    <n v="900"/>
    <n v="1170"/>
    <x v="450"/>
    <n v="8660.61"/>
    <x v="872"/>
    <n v="186907.5"/>
    <n v="8100"/>
    <n v="6.4731006245518499"/>
    <x v="5"/>
    <x v="0"/>
  </r>
  <r>
    <s v="ORD11076"/>
    <d v="2025-06-05T00:00:00"/>
    <x v="2"/>
    <x v="2"/>
    <x v="0"/>
    <x v="2"/>
    <n v="7"/>
    <n v="6500"/>
    <n v="7150"/>
    <x v="27"/>
    <n v="48048"/>
    <x v="873"/>
    <n v="200200"/>
    <n v="45500"/>
    <n v="5.3030303030303028"/>
    <x v="5"/>
    <x v="0"/>
  </r>
  <r>
    <s v="ORD11392"/>
    <d v="2025-06-05T00:00:00"/>
    <x v="5"/>
    <x v="5"/>
    <x v="3"/>
    <x v="3"/>
    <n v="5"/>
    <n v="2500"/>
    <n v="2875"/>
    <x v="695"/>
    <n v="13497.98"/>
    <x v="874"/>
    <n v="87687.5"/>
    <n v="12500"/>
    <n v="7.3935507387031247"/>
    <x v="5"/>
    <x v="0"/>
  </r>
  <r>
    <s v="ORD11515"/>
    <d v="2025-06-05T00:00:00"/>
    <x v="7"/>
    <x v="7"/>
    <x v="5"/>
    <x v="1"/>
    <n v="4"/>
    <n v="300"/>
    <n v="405"/>
    <x v="9"/>
    <n v="1620"/>
    <x v="476"/>
    <n v="0"/>
    <n v="1200"/>
    <n v="25.925925925925924"/>
    <x v="5"/>
    <x v="1"/>
  </r>
  <r>
    <s v="ORD11642"/>
    <d v="2025-06-05T00:00:00"/>
    <x v="18"/>
    <x v="18"/>
    <x v="1"/>
    <x v="2"/>
    <n v="1"/>
    <n v="80"/>
    <n v="116"/>
    <x v="696"/>
    <n v="97.49"/>
    <x v="875"/>
    <n v="1851.3600000000001"/>
    <n v="80"/>
    <n v="17.940301569391732"/>
    <x v="5"/>
    <x v="1"/>
  </r>
  <r>
    <s v="ORD11696"/>
    <d v="2025-06-05T00:00:00"/>
    <x v="11"/>
    <x v="11"/>
    <x v="0"/>
    <x v="2"/>
    <n v="6"/>
    <n v="900"/>
    <n v="1152"/>
    <x v="697"/>
    <n v="6440.29"/>
    <x v="876"/>
    <n v="47139.840000000004"/>
    <n v="5400"/>
    <n v="16.152844048948108"/>
    <x v="5"/>
    <x v="1"/>
  </r>
  <r>
    <s v="ORD10897"/>
    <d v="2025-06-06T00:00:00"/>
    <x v="6"/>
    <x v="6"/>
    <x v="4"/>
    <x v="2"/>
    <n v="6"/>
    <n v="1800"/>
    <n v="2124"/>
    <x v="698"/>
    <n v="11569.75"/>
    <x v="877"/>
    <n v="117372.24"/>
    <n v="10800"/>
    <n v="6.6531256077270466"/>
    <x v="5"/>
    <x v="0"/>
  </r>
  <r>
    <s v="ORD11085"/>
    <d v="2025-06-06T00:00:00"/>
    <x v="5"/>
    <x v="5"/>
    <x v="3"/>
    <x v="2"/>
    <n v="5"/>
    <n v="2500"/>
    <n v="2875"/>
    <x v="61"/>
    <n v="12804.33"/>
    <x v="878"/>
    <n v="157118.75"/>
    <n v="12500"/>
    <n v="2.3767741068841555"/>
    <x v="5"/>
    <x v="0"/>
  </r>
  <r>
    <s v="ORD11391"/>
    <d v="2025-06-06T00:00:00"/>
    <x v="17"/>
    <x v="17"/>
    <x v="0"/>
    <x v="1"/>
    <n v="4"/>
    <n v="8500"/>
    <n v="9520"/>
    <x v="27"/>
    <n v="36556.800000000003"/>
    <x v="160"/>
    <n v="152320"/>
    <n v="34000"/>
    <n v="6.9940476190476195"/>
    <x v="5"/>
    <x v="0"/>
  </r>
  <r>
    <s v="ORD11557"/>
    <d v="2025-06-06T00:00:00"/>
    <x v="8"/>
    <x v="8"/>
    <x v="2"/>
    <x v="1"/>
    <n v="2"/>
    <n v="900"/>
    <n v="1170"/>
    <x v="100"/>
    <n v="1797.07"/>
    <x v="879"/>
    <n v="54288"/>
    <n v="1800"/>
    <n v="-0.16304317583622233"/>
    <x v="5"/>
    <x v="2"/>
  </r>
  <r>
    <s v="ORD10013"/>
    <d v="2025-06-07T00:00:00"/>
    <x v="19"/>
    <x v="19"/>
    <x v="0"/>
    <x v="2"/>
    <n v="1"/>
    <n v="350"/>
    <n v="455"/>
    <x v="699"/>
    <n v="436.33"/>
    <x v="880"/>
    <n v="1865.4999999999998"/>
    <n v="350"/>
    <n v="19.785483464350378"/>
    <x v="5"/>
    <x v="1"/>
  </r>
  <r>
    <s v="ORD10073"/>
    <d v="2025-06-07T00:00:00"/>
    <x v="18"/>
    <x v="18"/>
    <x v="1"/>
    <x v="3"/>
    <n v="1"/>
    <n v="80"/>
    <n v="116"/>
    <x v="700"/>
    <n v="109.42"/>
    <x v="881"/>
    <n v="658.88"/>
    <n v="80"/>
    <n v="26.887223542314022"/>
    <x v="5"/>
    <x v="1"/>
  </r>
  <r>
    <s v="ORD10075"/>
    <d v="2025-06-07T00:00:00"/>
    <x v="10"/>
    <x v="10"/>
    <x v="4"/>
    <x v="2"/>
    <n v="4"/>
    <n v="3200"/>
    <n v="3840"/>
    <x v="701"/>
    <n v="12794.57"/>
    <x v="882"/>
    <n v="256512"/>
    <n v="12800"/>
    <n v="-4.243987879233143E-2"/>
    <x v="5"/>
    <x v="2"/>
  </r>
  <r>
    <s v="ORD10438"/>
    <d v="2025-06-07T00:00:00"/>
    <x v="1"/>
    <x v="1"/>
    <x v="1"/>
    <x v="0"/>
    <n v="2"/>
    <n v="45"/>
    <n v="63"/>
    <x v="702"/>
    <n v="118.18"/>
    <x v="883"/>
    <n v="781.2"/>
    <n v="90"/>
    <n v="23.844982230495852"/>
    <x v="5"/>
    <x v="1"/>
  </r>
  <r>
    <s v="ORD10704"/>
    <d v="2025-06-07T00:00:00"/>
    <x v="11"/>
    <x v="11"/>
    <x v="0"/>
    <x v="1"/>
    <n v="4"/>
    <n v="900"/>
    <n v="1152"/>
    <x v="452"/>
    <n v="4205.79"/>
    <x v="884"/>
    <n v="40227.840000000004"/>
    <n v="3600"/>
    <n v="14.403714878774259"/>
    <x v="5"/>
    <x v="1"/>
  </r>
  <r>
    <s v="ORD10861"/>
    <d v="2025-06-07T00:00:00"/>
    <x v="13"/>
    <x v="13"/>
    <x v="6"/>
    <x v="2"/>
    <n v="7"/>
    <n v="900"/>
    <n v="1170"/>
    <x v="33"/>
    <n v="7645.6"/>
    <x v="885"/>
    <n v="54463.5"/>
    <n v="6300"/>
    <n v="17.599665166893374"/>
    <x v="5"/>
    <x v="1"/>
  </r>
  <r>
    <s v="ORD10991"/>
    <d v="2025-06-07T00:00:00"/>
    <x v="18"/>
    <x v="18"/>
    <x v="1"/>
    <x v="2"/>
    <n v="1"/>
    <n v="80"/>
    <n v="116"/>
    <x v="703"/>
    <n v="102.02"/>
    <x v="886"/>
    <n v="1397.8000000000002"/>
    <n v="80"/>
    <n v="21.584003136639875"/>
    <x v="5"/>
    <x v="1"/>
  </r>
  <r>
    <s v="ORD11335"/>
    <d v="2025-06-07T00:00:00"/>
    <x v="11"/>
    <x v="11"/>
    <x v="0"/>
    <x v="3"/>
    <n v="1"/>
    <n v="900"/>
    <n v="1152"/>
    <x v="426"/>
    <n v="976.95"/>
    <x v="887"/>
    <n v="17510.399999999998"/>
    <n v="900"/>
    <n v="7.8765545831414094"/>
    <x v="5"/>
    <x v="0"/>
  </r>
  <r>
    <s v="ORD10440"/>
    <d v="2025-06-08T00:00:00"/>
    <x v="5"/>
    <x v="5"/>
    <x v="3"/>
    <x v="3"/>
    <n v="1"/>
    <n v="2500"/>
    <n v="2875"/>
    <x v="704"/>
    <n v="2629.54"/>
    <x v="888"/>
    <n v="24552.499999999996"/>
    <n v="2500"/>
    <n v="4.9263369258501486"/>
    <x v="5"/>
    <x v="0"/>
  </r>
  <r>
    <s v="ORD11600"/>
    <d v="2025-06-08T00:00:00"/>
    <x v="17"/>
    <x v="17"/>
    <x v="0"/>
    <x v="3"/>
    <n v="10"/>
    <n v="8500"/>
    <n v="9520"/>
    <x v="705"/>
    <n v="86790.02"/>
    <x v="889"/>
    <n v="840616"/>
    <n v="85000"/>
    <n v="2.0624721598174536"/>
    <x v="5"/>
    <x v="0"/>
  </r>
  <r>
    <s v="ORD10121"/>
    <d v="2025-06-09T00:00:00"/>
    <x v="12"/>
    <x v="12"/>
    <x v="2"/>
    <x v="2"/>
    <n v="4"/>
    <n v="6500"/>
    <n v="8125"/>
    <x v="706"/>
    <n v="22535.07"/>
    <x v="890"/>
    <n v="996450"/>
    <n v="26000"/>
    <n v="-15.375723261565197"/>
    <x v="5"/>
    <x v="2"/>
  </r>
  <r>
    <s v="ORD10189"/>
    <d v="2025-06-09T00:00:00"/>
    <x v="17"/>
    <x v="17"/>
    <x v="0"/>
    <x v="0"/>
    <n v="10"/>
    <n v="8500"/>
    <n v="9520"/>
    <x v="27"/>
    <n v="91392"/>
    <x v="891"/>
    <n v="380800"/>
    <n v="85000"/>
    <n v="6.9940476190476195"/>
    <x v="5"/>
    <x v="0"/>
  </r>
  <r>
    <s v="ORD10293"/>
    <d v="2025-06-09T00:00:00"/>
    <x v="4"/>
    <x v="4"/>
    <x v="3"/>
    <x v="2"/>
    <n v="3"/>
    <n v="180"/>
    <n v="243"/>
    <x v="296"/>
    <n v="684.03"/>
    <x v="892"/>
    <n v="4497.93"/>
    <n v="540"/>
    <n v="21.056094030963553"/>
    <x v="5"/>
    <x v="1"/>
  </r>
  <r>
    <s v="ORD10563"/>
    <d v="2025-06-09T00:00:00"/>
    <x v="14"/>
    <x v="14"/>
    <x v="3"/>
    <x v="1"/>
    <n v="8"/>
    <n v="1200"/>
    <n v="1464"/>
    <x v="707"/>
    <n v="10929.9"/>
    <x v="893"/>
    <n v="78236.160000000003"/>
    <n v="9600"/>
    <n v="12.167540416655232"/>
    <x v="5"/>
    <x v="1"/>
  </r>
  <r>
    <s v="ORD11070"/>
    <d v="2025-06-09T00:00:00"/>
    <x v="11"/>
    <x v="11"/>
    <x v="0"/>
    <x v="1"/>
    <n v="4"/>
    <n v="900"/>
    <n v="1152"/>
    <x v="252"/>
    <n v="4473.1899999999996"/>
    <x v="894"/>
    <n v="13501.44"/>
    <n v="3600"/>
    <n v="19.520521149336385"/>
    <x v="5"/>
    <x v="1"/>
  </r>
  <r>
    <s v="ORD11353"/>
    <d v="2025-06-09T00:00:00"/>
    <x v="13"/>
    <x v="13"/>
    <x v="6"/>
    <x v="1"/>
    <n v="8"/>
    <n v="900"/>
    <n v="1170"/>
    <x v="708"/>
    <n v="8708.36"/>
    <x v="895"/>
    <n v="65145.599999999999"/>
    <n v="7200"/>
    <n v="17.320827342921053"/>
    <x v="5"/>
    <x v="1"/>
  </r>
  <r>
    <s v="ORD11546"/>
    <d v="2025-06-09T00:00:00"/>
    <x v="13"/>
    <x v="13"/>
    <x v="6"/>
    <x v="0"/>
    <n v="1"/>
    <n v="900"/>
    <n v="1170"/>
    <x v="589"/>
    <n v="994.59"/>
    <x v="896"/>
    <n v="17538.3"/>
    <n v="900"/>
    <n v="9.5104515428468019"/>
    <x v="5"/>
    <x v="0"/>
  </r>
  <r>
    <s v="ORD11721"/>
    <d v="2025-06-09T00:00:00"/>
    <x v="3"/>
    <x v="3"/>
    <x v="2"/>
    <x v="0"/>
    <n v="8"/>
    <n v="4500"/>
    <n v="5220"/>
    <x v="709"/>
    <n v="30845.46"/>
    <x v="897"/>
    <n v="1091606.4000000001"/>
    <n v="36000"/>
    <n v="-16.710854693040726"/>
    <x v="5"/>
    <x v="2"/>
  </r>
  <r>
    <s v="ORD10039"/>
    <d v="2025-06-10T00:00:00"/>
    <x v="19"/>
    <x v="19"/>
    <x v="0"/>
    <x v="2"/>
    <n v="2"/>
    <n v="350"/>
    <n v="455"/>
    <x v="128"/>
    <n v="800.97"/>
    <x v="898"/>
    <n v="10901.800000000001"/>
    <n v="700"/>
    <n v="12.605965267113625"/>
    <x v="5"/>
    <x v="1"/>
  </r>
  <r>
    <s v="ORD10471"/>
    <d v="2025-06-10T00:00:00"/>
    <x v="5"/>
    <x v="5"/>
    <x v="3"/>
    <x v="0"/>
    <n v="3"/>
    <n v="2500"/>
    <n v="2875"/>
    <x v="710"/>
    <n v="7951.92"/>
    <x v="899"/>
    <n v="67275"/>
    <n v="7500"/>
    <n v="5.6831557661545888"/>
    <x v="5"/>
    <x v="0"/>
  </r>
  <r>
    <s v="ORD10583"/>
    <d v="2025-06-10T00:00:00"/>
    <x v="16"/>
    <x v="16"/>
    <x v="0"/>
    <x v="1"/>
    <n v="4"/>
    <n v="1100"/>
    <n v="1298"/>
    <x v="711"/>
    <n v="3960.95"/>
    <x v="900"/>
    <n v="123102.32"/>
    <n v="4400"/>
    <n v="-11.084462060869237"/>
    <x v="5"/>
    <x v="2"/>
  </r>
  <r>
    <s v="ORD10837"/>
    <d v="2025-06-10T00:00:00"/>
    <x v="14"/>
    <x v="14"/>
    <x v="3"/>
    <x v="3"/>
    <n v="10"/>
    <n v="1200"/>
    <n v="1464"/>
    <x v="712"/>
    <n v="13504.23"/>
    <x v="901"/>
    <n v="113606.39999999999"/>
    <n v="12000"/>
    <n v="11.13895423878296"/>
    <x v="5"/>
    <x v="1"/>
  </r>
  <r>
    <s v="ORD10999"/>
    <d v="2025-06-10T00:00:00"/>
    <x v="17"/>
    <x v="17"/>
    <x v="0"/>
    <x v="2"/>
    <n v="8"/>
    <n v="8500"/>
    <n v="9520"/>
    <x v="713"/>
    <n v="65157.19"/>
    <x v="902"/>
    <n v="1100512"/>
    <n v="68000"/>
    <n v="-4.3630027630104973"/>
    <x v="5"/>
    <x v="2"/>
  </r>
  <r>
    <s v="ORD11611"/>
    <d v="2025-06-10T00:00:00"/>
    <x v="5"/>
    <x v="5"/>
    <x v="3"/>
    <x v="3"/>
    <n v="8"/>
    <n v="2500"/>
    <n v="2875"/>
    <x v="714"/>
    <n v="20203.240000000002"/>
    <x v="903"/>
    <n v="279680"/>
    <n v="20000"/>
    <n v="1.0059772590930958"/>
    <x v="5"/>
    <x v="0"/>
  </r>
  <r>
    <s v="ORD11634"/>
    <d v="2025-06-10T00:00:00"/>
    <x v="2"/>
    <x v="2"/>
    <x v="0"/>
    <x v="1"/>
    <n v="1"/>
    <n v="6500"/>
    <n v="7150"/>
    <x v="715"/>
    <n v="5651.98"/>
    <x v="904"/>
    <n v="149792.5"/>
    <n v="6500"/>
    <n v="-15.003945519977071"/>
    <x v="5"/>
    <x v="2"/>
  </r>
  <r>
    <s v="ORD10437"/>
    <d v="2025-06-11T00:00:00"/>
    <x v="8"/>
    <x v="8"/>
    <x v="2"/>
    <x v="3"/>
    <n v="2"/>
    <n v="900"/>
    <n v="1170"/>
    <x v="236"/>
    <n v="2168.37"/>
    <x v="905"/>
    <n v="17152.2"/>
    <n v="1800"/>
    <n v="16.988336861329017"/>
    <x v="5"/>
    <x v="1"/>
  </r>
  <r>
    <s v="ORD10706"/>
    <d v="2025-06-11T00:00:00"/>
    <x v="5"/>
    <x v="5"/>
    <x v="3"/>
    <x v="0"/>
    <n v="1"/>
    <n v="2500"/>
    <n v="2875"/>
    <x v="295"/>
    <n v="2365"/>
    <x v="906"/>
    <n v="51002.499999999993"/>
    <n v="2500"/>
    <n v="-5.7082452431289639"/>
    <x v="5"/>
    <x v="2"/>
  </r>
  <r>
    <s v="ORD10908"/>
    <d v="2025-06-11T00:00:00"/>
    <x v="8"/>
    <x v="8"/>
    <x v="2"/>
    <x v="0"/>
    <n v="7"/>
    <n v="900"/>
    <n v="1170"/>
    <x v="716"/>
    <n v="7163.15"/>
    <x v="907"/>
    <n v="102702.59999999999"/>
    <n v="6300"/>
    <n v="12.04986632975716"/>
    <x v="5"/>
    <x v="1"/>
  </r>
  <r>
    <s v="ORD11139"/>
    <d v="2025-06-11T00:00:00"/>
    <x v="16"/>
    <x v="16"/>
    <x v="0"/>
    <x v="2"/>
    <n v="5"/>
    <n v="1100"/>
    <n v="1298"/>
    <x v="717"/>
    <n v="5151.09"/>
    <x v="908"/>
    <n v="133888.69999999998"/>
    <n v="5500"/>
    <n v="-6.7735178379721583"/>
    <x v="5"/>
    <x v="2"/>
  </r>
  <r>
    <s v="ORD11313"/>
    <d v="2025-06-11T00:00:00"/>
    <x v="10"/>
    <x v="10"/>
    <x v="4"/>
    <x v="3"/>
    <n v="2"/>
    <n v="3200"/>
    <n v="3840"/>
    <x v="718"/>
    <n v="6555.43"/>
    <x v="909"/>
    <n v="112435.20000000001"/>
    <n v="6400"/>
    <n v="2.3710115125933768"/>
    <x v="5"/>
    <x v="0"/>
  </r>
  <r>
    <s v="ORD11399"/>
    <d v="2025-06-11T00:00:00"/>
    <x v="13"/>
    <x v="13"/>
    <x v="6"/>
    <x v="0"/>
    <n v="10"/>
    <n v="900"/>
    <n v="1170"/>
    <x v="719"/>
    <n v="9925.81"/>
    <x v="910"/>
    <n v="177372"/>
    <n v="9000"/>
    <n v="9.3272992330096987"/>
    <x v="5"/>
    <x v="0"/>
  </r>
  <r>
    <s v="ORD11461"/>
    <d v="2025-06-11T00:00:00"/>
    <x v="17"/>
    <x v="17"/>
    <x v="0"/>
    <x v="2"/>
    <n v="3"/>
    <n v="8500"/>
    <n v="9520"/>
    <x v="720"/>
    <n v="24291.49"/>
    <x v="911"/>
    <n v="426972"/>
    <n v="25500"/>
    <n v="-4.9750344668029829"/>
    <x v="5"/>
    <x v="2"/>
  </r>
  <r>
    <s v="ORD11528"/>
    <d v="2025-06-11T00:00:00"/>
    <x v="9"/>
    <x v="9"/>
    <x v="2"/>
    <x v="2"/>
    <n v="5"/>
    <n v="3000"/>
    <n v="3600"/>
    <x v="239"/>
    <n v="15917.47"/>
    <x v="912"/>
    <n v="208260"/>
    <n v="15000"/>
    <n v="5.763918512175616"/>
    <x v="5"/>
    <x v="0"/>
  </r>
  <r>
    <s v="ORD11861"/>
    <d v="2025-06-11T00:00:00"/>
    <x v="10"/>
    <x v="10"/>
    <x v="4"/>
    <x v="2"/>
    <n v="7"/>
    <n v="3200"/>
    <n v="3840"/>
    <x v="721"/>
    <n v="21986.36"/>
    <x v="913"/>
    <n v="489484.80000000005"/>
    <n v="22400"/>
    <n v="-1.8813482540993596"/>
    <x v="5"/>
    <x v="2"/>
  </r>
  <r>
    <s v="ORD11925"/>
    <d v="2025-06-11T00:00:00"/>
    <x v="14"/>
    <x v="14"/>
    <x v="3"/>
    <x v="1"/>
    <n v="7"/>
    <n v="1200"/>
    <n v="1464"/>
    <x v="722"/>
    <n v="8145.94"/>
    <x v="914"/>
    <n v="210186.48"/>
    <n v="8400"/>
    <n v="-3.1188543004245064"/>
    <x v="5"/>
    <x v="2"/>
  </r>
  <r>
    <s v="ORD10082"/>
    <d v="2025-06-12T00:00:00"/>
    <x v="13"/>
    <x v="13"/>
    <x v="6"/>
    <x v="1"/>
    <n v="2"/>
    <n v="900"/>
    <n v="1170"/>
    <x v="723"/>
    <n v="2265.83"/>
    <x v="915"/>
    <n v="7417.8"/>
    <n v="1800"/>
    <n v="20.558912186704209"/>
    <x v="5"/>
    <x v="1"/>
  </r>
  <r>
    <s v="ORD10537"/>
    <d v="2025-06-12T00:00:00"/>
    <x v="11"/>
    <x v="11"/>
    <x v="0"/>
    <x v="3"/>
    <n v="10"/>
    <n v="900"/>
    <n v="1152"/>
    <x v="724"/>
    <n v="9892.4"/>
    <x v="916"/>
    <n v="162777.60000000001"/>
    <n v="9000"/>
    <n v="9.0210666774493546"/>
    <x v="5"/>
    <x v="0"/>
  </r>
  <r>
    <s v="ORD10741"/>
    <d v="2025-06-12T00:00:00"/>
    <x v="12"/>
    <x v="12"/>
    <x v="2"/>
    <x v="1"/>
    <n v="10"/>
    <n v="6500"/>
    <n v="8125"/>
    <x v="171"/>
    <n v="75994.990000000005"/>
    <x v="917"/>
    <n v="525687.5"/>
    <n v="65000"/>
    <n v="14.468045854075379"/>
    <x v="5"/>
    <x v="1"/>
  </r>
  <r>
    <s v="ORD11225"/>
    <d v="2025-06-12T00:00:00"/>
    <x v="3"/>
    <x v="3"/>
    <x v="2"/>
    <x v="1"/>
    <n v="10"/>
    <n v="4500"/>
    <n v="5220"/>
    <x v="725"/>
    <n v="41399"/>
    <x v="918"/>
    <n v="1080018"/>
    <n v="45000"/>
    <n v="-8.6982777361772019"/>
    <x v="5"/>
    <x v="2"/>
  </r>
  <r>
    <s v="ORD11265"/>
    <d v="2025-06-12T00:00:00"/>
    <x v="10"/>
    <x v="10"/>
    <x v="4"/>
    <x v="0"/>
    <n v="4"/>
    <n v="3200"/>
    <n v="3840"/>
    <x v="474"/>
    <n v="13565.33"/>
    <x v="919"/>
    <n v="179404.79999999999"/>
    <n v="12800"/>
    <n v="5.641808934983521"/>
    <x v="5"/>
    <x v="0"/>
  </r>
  <r>
    <s v="ORD11499"/>
    <d v="2025-06-12T00:00:00"/>
    <x v="4"/>
    <x v="4"/>
    <x v="3"/>
    <x v="2"/>
    <n v="10"/>
    <n v="180"/>
    <n v="243"/>
    <x v="9"/>
    <n v="2430"/>
    <x v="705"/>
    <n v="0"/>
    <n v="1800"/>
    <n v="25.925925925925924"/>
    <x v="5"/>
    <x v="1"/>
  </r>
  <r>
    <s v="ORD11729"/>
    <d v="2025-06-12T00:00:00"/>
    <x v="16"/>
    <x v="16"/>
    <x v="0"/>
    <x v="1"/>
    <n v="7"/>
    <n v="1100"/>
    <n v="1298"/>
    <x v="726"/>
    <n v="8801.7000000000007"/>
    <x v="920"/>
    <n v="28439.18"/>
    <n v="7700"/>
    <n v="12.516900144290307"/>
    <x v="5"/>
    <x v="1"/>
  </r>
  <r>
    <s v="ORD10095"/>
    <d v="2025-06-13T00:00:00"/>
    <x v="8"/>
    <x v="8"/>
    <x v="2"/>
    <x v="2"/>
    <n v="9"/>
    <n v="900"/>
    <n v="1170"/>
    <x v="727"/>
    <n v="9728.7800000000007"/>
    <x v="921"/>
    <n v="80133.3"/>
    <n v="8100"/>
    <n v="16.741873081722474"/>
    <x v="5"/>
    <x v="1"/>
  </r>
  <r>
    <s v="ORD10190"/>
    <d v="2025-06-13T00:00:00"/>
    <x v="13"/>
    <x v="13"/>
    <x v="6"/>
    <x v="1"/>
    <n v="7"/>
    <n v="900"/>
    <n v="1170"/>
    <x v="595"/>
    <n v="7373.44"/>
    <x v="922"/>
    <n v="81654.3"/>
    <n v="6300"/>
    <n v="14.558198073083936"/>
    <x v="5"/>
    <x v="1"/>
  </r>
  <r>
    <s v="ORD10287"/>
    <d v="2025-06-13T00:00:00"/>
    <x v="7"/>
    <x v="7"/>
    <x v="5"/>
    <x v="2"/>
    <n v="7"/>
    <n v="300"/>
    <n v="405"/>
    <x v="694"/>
    <n v="2439.13"/>
    <x v="923"/>
    <n v="39576.600000000006"/>
    <n v="2100"/>
    <n v="13.903727968578961"/>
    <x v="5"/>
    <x v="1"/>
  </r>
  <r>
    <s v="ORD10666"/>
    <d v="2025-06-13T00:00:00"/>
    <x v="19"/>
    <x v="19"/>
    <x v="0"/>
    <x v="1"/>
    <n v="10"/>
    <n v="350"/>
    <n v="455"/>
    <x v="728"/>
    <n v="4190.49"/>
    <x v="924"/>
    <n v="35945"/>
    <n v="3500"/>
    <n v="16.477547971716913"/>
    <x v="5"/>
    <x v="1"/>
  </r>
  <r>
    <s v="ORD10833"/>
    <d v="2025-06-13T00:00:00"/>
    <x v="13"/>
    <x v="13"/>
    <x v="6"/>
    <x v="3"/>
    <n v="7"/>
    <n v="900"/>
    <n v="1170"/>
    <x v="729"/>
    <n v="7860.94"/>
    <x v="925"/>
    <n v="32923.799999999996"/>
    <n v="6300"/>
    <n v="19.856912786511536"/>
    <x v="5"/>
    <x v="1"/>
  </r>
  <r>
    <s v="ORD11178"/>
    <d v="2025-06-13T00:00:00"/>
    <x v="4"/>
    <x v="4"/>
    <x v="3"/>
    <x v="2"/>
    <n v="7"/>
    <n v="180"/>
    <n v="243"/>
    <x v="730"/>
    <n v="1531.17"/>
    <x v="87"/>
    <n v="16975.98"/>
    <n v="1260"/>
    <n v="17.70998648092635"/>
    <x v="5"/>
    <x v="1"/>
  </r>
  <r>
    <s v="ORD11288"/>
    <d v="2025-06-13T00:00:00"/>
    <x v="15"/>
    <x v="15"/>
    <x v="0"/>
    <x v="2"/>
    <n v="9"/>
    <n v="550"/>
    <n v="742.5"/>
    <x v="161"/>
    <n v="6347.15"/>
    <x v="926"/>
    <n v="33546.149999999994"/>
    <n v="4950"/>
    <n v="22.012241714785379"/>
    <x v="5"/>
    <x v="1"/>
  </r>
  <r>
    <s v="ORD11799"/>
    <d v="2025-06-13T00:00:00"/>
    <x v="10"/>
    <x v="10"/>
    <x v="4"/>
    <x v="3"/>
    <n v="1"/>
    <n v="3200"/>
    <n v="3840"/>
    <x v="731"/>
    <n v="3033.75"/>
    <x v="927"/>
    <n v="80640"/>
    <n v="3200"/>
    <n v="-5.4800164812525756"/>
    <x v="5"/>
    <x v="2"/>
  </r>
  <r>
    <s v="ORD10572"/>
    <d v="2025-06-14T00:00:00"/>
    <x v="13"/>
    <x v="13"/>
    <x v="6"/>
    <x v="3"/>
    <n v="3"/>
    <n v="900"/>
    <n v="1170"/>
    <x v="9"/>
    <n v="3510"/>
    <x v="928"/>
    <n v="0"/>
    <n v="2700"/>
    <n v="23.076923076923077"/>
    <x v="5"/>
    <x v="1"/>
  </r>
  <r>
    <s v="ORD11137"/>
    <d v="2025-06-14T00:00:00"/>
    <x v="19"/>
    <x v="19"/>
    <x v="0"/>
    <x v="1"/>
    <n v="5"/>
    <n v="350"/>
    <n v="455"/>
    <x v="732"/>
    <n v="2029.68"/>
    <x v="929"/>
    <n v="24524.5"/>
    <n v="1750"/>
    <n v="13.779512041307004"/>
    <x v="5"/>
    <x v="1"/>
  </r>
  <r>
    <s v="ORD11171"/>
    <d v="2025-06-14T00:00:00"/>
    <x v="0"/>
    <x v="0"/>
    <x v="0"/>
    <x v="2"/>
    <n v="6"/>
    <n v="500"/>
    <n v="610"/>
    <x v="575"/>
    <n v="3507.28"/>
    <x v="930"/>
    <n v="15262.199999999999"/>
    <n v="3000"/>
    <n v="14.463629935448552"/>
    <x v="5"/>
    <x v="1"/>
  </r>
  <r>
    <s v="ORD11492"/>
    <d v="2025-06-14T00:00:00"/>
    <x v="16"/>
    <x v="16"/>
    <x v="0"/>
    <x v="2"/>
    <n v="1"/>
    <n v="1100"/>
    <n v="1298"/>
    <x v="452"/>
    <n v="1184.67"/>
    <x v="931"/>
    <n v="11331.54"/>
    <n v="1100"/>
    <n v="7.1471380215587468"/>
    <x v="5"/>
    <x v="0"/>
  </r>
  <r>
    <s v="ORD10070"/>
    <d v="2025-06-15T00:00:00"/>
    <x v="14"/>
    <x v="14"/>
    <x v="3"/>
    <x v="2"/>
    <n v="9"/>
    <n v="1200"/>
    <n v="1464"/>
    <x v="147"/>
    <n v="11711.07"/>
    <x v="932"/>
    <n v="146517.12"/>
    <n v="10800"/>
    <n v="7.7795624140236548"/>
    <x v="5"/>
    <x v="0"/>
  </r>
  <r>
    <s v="ORD11030"/>
    <d v="2025-06-15T00:00:00"/>
    <x v="10"/>
    <x v="10"/>
    <x v="4"/>
    <x v="2"/>
    <n v="6"/>
    <n v="3200"/>
    <n v="3840"/>
    <x v="733"/>
    <n v="21529.3"/>
    <x v="933"/>
    <n v="151142.39999999999"/>
    <n v="19200"/>
    <n v="10.819209170757992"/>
    <x v="5"/>
    <x v="1"/>
  </r>
  <r>
    <s v="ORD11454"/>
    <d v="2025-06-15T00:00:00"/>
    <x v="0"/>
    <x v="0"/>
    <x v="0"/>
    <x v="0"/>
    <n v="9"/>
    <n v="500"/>
    <n v="610"/>
    <x v="578"/>
    <n v="5194.88"/>
    <x v="934"/>
    <n v="29536.2"/>
    <n v="4500"/>
    <n v="13.376247382037699"/>
    <x v="5"/>
    <x v="1"/>
  </r>
  <r>
    <s v="ORD10617"/>
    <d v="2025-06-16T00:00:00"/>
    <x v="15"/>
    <x v="15"/>
    <x v="0"/>
    <x v="2"/>
    <n v="8"/>
    <n v="550"/>
    <n v="742.5"/>
    <x v="167"/>
    <n v="5239.63"/>
    <x v="935"/>
    <n v="70032.599999999991"/>
    <n v="4400"/>
    <n v="16.024604790796296"/>
    <x v="5"/>
    <x v="1"/>
  </r>
  <r>
    <s v="ORD10655"/>
    <d v="2025-06-16T00:00:00"/>
    <x v="3"/>
    <x v="3"/>
    <x v="2"/>
    <x v="0"/>
    <n v="7"/>
    <n v="4500"/>
    <n v="5220"/>
    <x v="221"/>
    <n v="30541.57"/>
    <x v="936"/>
    <n v="599986.80000000005"/>
    <n v="31500"/>
    <n v="-3.1381163443791529"/>
    <x v="5"/>
    <x v="2"/>
  </r>
  <r>
    <s v="ORD11074"/>
    <d v="2025-06-16T00:00:00"/>
    <x v="9"/>
    <x v="9"/>
    <x v="2"/>
    <x v="2"/>
    <n v="3"/>
    <n v="3000"/>
    <n v="3600"/>
    <x v="734"/>
    <n v="9595.6299999999992"/>
    <x v="937"/>
    <n v="120420"/>
    <n v="9000"/>
    <n v="6.2073047835316704"/>
    <x v="5"/>
    <x v="0"/>
  </r>
  <r>
    <s v="ORD11890"/>
    <d v="2025-06-16T00:00:00"/>
    <x v="13"/>
    <x v="13"/>
    <x v="6"/>
    <x v="3"/>
    <n v="3"/>
    <n v="900"/>
    <n v="1170"/>
    <x v="735"/>
    <n v="3155.45"/>
    <x v="938"/>
    <n v="35451"/>
    <n v="2700"/>
    <n v="14.433757467239221"/>
    <x v="5"/>
    <x v="1"/>
  </r>
  <r>
    <s v="ORD11981"/>
    <d v="2025-06-16T00:00:00"/>
    <x v="10"/>
    <x v="10"/>
    <x v="4"/>
    <x v="0"/>
    <n v="2"/>
    <n v="3200"/>
    <n v="3840"/>
    <x v="736"/>
    <n v="6176.59"/>
    <x v="939"/>
    <n v="150374.39999999999"/>
    <n v="6400"/>
    <n v="-3.6170443561900663"/>
    <x v="5"/>
    <x v="2"/>
  </r>
  <r>
    <s v="ORD10643"/>
    <d v="2025-06-17T00:00:00"/>
    <x v="8"/>
    <x v="8"/>
    <x v="2"/>
    <x v="1"/>
    <n v="8"/>
    <n v="900"/>
    <n v="1170"/>
    <x v="737"/>
    <n v="7235.46"/>
    <x v="940"/>
    <n v="212472"/>
    <n v="7200"/>
    <n v="0.49008632485011322"/>
    <x v="5"/>
    <x v="0"/>
  </r>
  <r>
    <s v="ORD10974"/>
    <d v="2025-06-17T00:00:00"/>
    <x v="4"/>
    <x v="4"/>
    <x v="3"/>
    <x v="1"/>
    <n v="9"/>
    <n v="180"/>
    <n v="243"/>
    <x v="738"/>
    <n v="1708.98"/>
    <x v="941"/>
    <n v="47807.82"/>
    <n v="1620"/>
    <n v="5.206614471790191"/>
    <x v="5"/>
    <x v="0"/>
  </r>
  <r>
    <s v="ORD11824"/>
    <d v="2025-06-17T00:00:00"/>
    <x v="5"/>
    <x v="5"/>
    <x v="3"/>
    <x v="3"/>
    <n v="8"/>
    <n v="2500"/>
    <n v="2875"/>
    <x v="739"/>
    <n v="18569.18"/>
    <x v="942"/>
    <n v="442980.00000000006"/>
    <n v="20000"/>
    <n v="-7.705348324481748"/>
    <x v="5"/>
    <x v="2"/>
  </r>
  <r>
    <s v="ORD11931"/>
    <d v="2025-06-17T00:00:00"/>
    <x v="16"/>
    <x v="16"/>
    <x v="0"/>
    <x v="3"/>
    <n v="10"/>
    <n v="1100"/>
    <n v="1298"/>
    <x v="740"/>
    <n v="11392.01"/>
    <x v="943"/>
    <n v="158745.4"/>
    <n v="11000"/>
    <n v="3.4410959962289356"/>
    <x v="5"/>
    <x v="0"/>
  </r>
  <r>
    <s v="ORD10280"/>
    <d v="2025-06-18T00:00:00"/>
    <x v="16"/>
    <x v="16"/>
    <x v="0"/>
    <x v="3"/>
    <n v="5"/>
    <n v="1100"/>
    <n v="1298"/>
    <x v="741"/>
    <n v="6248.07"/>
    <x v="944"/>
    <n v="24207.7"/>
    <n v="5500"/>
    <n v="11.9728172059532"/>
    <x v="5"/>
    <x v="1"/>
  </r>
  <r>
    <s v="ORD10597"/>
    <d v="2025-06-18T00:00:00"/>
    <x v="5"/>
    <x v="5"/>
    <x v="3"/>
    <x v="3"/>
    <n v="10"/>
    <n v="2500"/>
    <n v="2875"/>
    <x v="742"/>
    <n v="23455.86"/>
    <x v="945"/>
    <n v="529287.5"/>
    <n v="25000"/>
    <n v="-6.5831736717391731"/>
    <x v="5"/>
    <x v="2"/>
  </r>
  <r>
    <s v="ORD11257"/>
    <d v="2025-06-18T00:00:00"/>
    <x v="12"/>
    <x v="12"/>
    <x v="2"/>
    <x v="2"/>
    <n v="8"/>
    <n v="6500"/>
    <n v="8125"/>
    <x v="743"/>
    <n v="51303.76"/>
    <x v="946"/>
    <n v="1369550"/>
    <n v="52000"/>
    <n v="-1.3570935151731569"/>
    <x v="5"/>
    <x v="2"/>
  </r>
  <r>
    <s v="ORD11644"/>
    <d v="2025-06-18T00:00:00"/>
    <x v="19"/>
    <x v="19"/>
    <x v="0"/>
    <x v="3"/>
    <n v="9"/>
    <n v="350"/>
    <n v="455"/>
    <x v="744"/>
    <n v="3871.4"/>
    <x v="947"/>
    <n v="22358.7"/>
    <n v="3150"/>
    <n v="18.634085860412252"/>
    <x v="5"/>
    <x v="1"/>
  </r>
  <r>
    <s v="ORD11815"/>
    <d v="2025-06-18T00:00:00"/>
    <x v="10"/>
    <x v="10"/>
    <x v="4"/>
    <x v="1"/>
    <n v="10"/>
    <n v="3200"/>
    <n v="3840"/>
    <x v="745"/>
    <n v="34269.97"/>
    <x v="948"/>
    <n v="413184"/>
    <n v="32000"/>
    <n v="6.6237875317661494"/>
    <x v="5"/>
    <x v="0"/>
  </r>
  <r>
    <s v="ORD11836"/>
    <d v="2025-06-18T00:00:00"/>
    <x v="1"/>
    <x v="1"/>
    <x v="1"/>
    <x v="2"/>
    <n v="4"/>
    <n v="45"/>
    <n v="63"/>
    <x v="746"/>
    <n v="216.88"/>
    <x v="949"/>
    <n v="3512.8799999999997"/>
    <n v="180"/>
    <n v="17.00479527849502"/>
    <x v="5"/>
    <x v="1"/>
  </r>
  <r>
    <s v="ORD11895"/>
    <d v="2025-06-18T00:00:00"/>
    <x v="10"/>
    <x v="10"/>
    <x v="4"/>
    <x v="3"/>
    <n v="4"/>
    <n v="3200"/>
    <n v="3840"/>
    <x v="487"/>
    <n v="14279.73"/>
    <x v="950"/>
    <n v="107980.8"/>
    <n v="12800"/>
    <n v="10.362450830652961"/>
    <x v="5"/>
    <x v="1"/>
  </r>
  <r>
    <s v="ORD11119"/>
    <d v="2025-06-19T00:00:00"/>
    <x v="8"/>
    <x v="8"/>
    <x v="2"/>
    <x v="3"/>
    <n v="5"/>
    <n v="900"/>
    <n v="1170"/>
    <x v="747"/>
    <n v="5077.08"/>
    <x v="951"/>
    <n v="77278.5"/>
    <n v="4500"/>
    <n v="11.366375948379778"/>
    <x v="5"/>
    <x v="1"/>
  </r>
  <r>
    <s v="ORD11523"/>
    <d v="2025-06-19T00:00:00"/>
    <x v="7"/>
    <x v="7"/>
    <x v="5"/>
    <x v="3"/>
    <n v="6"/>
    <n v="300"/>
    <n v="405"/>
    <x v="525"/>
    <n v="2126.65"/>
    <x v="952"/>
    <n v="30326.400000000001"/>
    <n v="1800"/>
    <n v="15.359838243246418"/>
    <x v="5"/>
    <x v="1"/>
  </r>
  <r>
    <s v="ORD11700"/>
    <d v="2025-06-19T00:00:00"/>
    <x v="1"/>
    <x v="1"/>
    <x v="1"/>
    <x v="2"/>
    <n v="1"/>
    <n v="45"/>
    <n v="63"/>
    <x v="748"/>
    <n v="54.15"/>
    <x v="953"/>
    <n v="885.15000000000009"/>
    <n v="45"/>
    <n v="16.897506925207757"/>
    <x v="5"/>
    <x v="1"/>
  </r>
  <r>
    <s v="ORD10351"/>
    <d v="2025-06-20T00:00:00"/>
    <x v="10"/>
    <x v="10"/>
    <x v="4"/>
    <x v="3"/>
    <n v="8"/>
    <n v="3200"/>
    <n v="3840"/>
    <x v="128"/>
    <n v="27038.89"/>
    <x v="954"/>
    <n v="368025.60000000003"/>
    <n v="25600"/>
    <n v="5.3215572088943013"/>
    <x v="5"/>
    <x v="0"/>
  </r>
  <r>
    <s v="ORD11248"/>
    <d v="2025-06-20T00:00:00"/>
    <x v="11"/>
    <x v="11"/>
    <x v="0"/>
    <x v="2"/>
    <n v="2"/>
    <n v="900"/>
    <n v="1152"/>
    <x v="749"/>
    <n v="2043.29"/>
    <x v="955"/>
    <n v="26081.279999999999"/>
    <n v="1800"/>
    <n v="11.906777794635122"/>
    <x v="5"/>
    <x v="1"/>
  </r>
  <r>
    <s v="ORD11507"/>
    <d v="2025-06-20T00:00:00"/>
    <x v="4"/>
    <x v="4"/>
    <x v="3"/>
    <x v="0"/>
    <n v="8"/>
    <n v="180"/>
    <n v="243"/>
    <x v="750"/>
    <n v="1625.86"/>
    <x v="956"/>
    <n v="31823.280000000002"/>
    <n v="1440"/>
    <n v="11.4314885660512"/>
    <x v="5"/>
    <x v="1"/>
  </r>
  <r>
    <s v="ORD11698"/>
    <d v="2025-06-20T00:00:00"/>
    <x v="9"/>
    <x v="9"/>
    <x v="2"/>
    <x v="3"/>
    <n v="2"/>
    <n v="3000"/>
    <n v="3600"/>
    <x v="751"/>
    <n v="6696.3"/>
    <x v="957"/>
    <n v="50400"/>
    <n v="6000"/>
    <n v="10.39827964696922"/>
    <x v="5"/>
    <x v="1"/>
  </r>
  <r>
    <s v="ORD10310"/>
    <d v="2025-06-21T00:00:00"/>
    <x v="4"/>
    <x v="4"/>
    <x v="3"/>
    <x v="1"/>
    <n v="3"/>
    <n v="180"/>
    <n v="243"/>
    <x v="752"/>
    <n v="641.02"/>
    <x v="958"/>
    <n v="8799.0300000000007"/>
    <n v="540"/>
    <n v="15.759258681476396"/>
    <x v="5"/>
    <x v="1"/>
  </r>
  <r>
    <s v="ORD10873"/>
    <d v="2025-06-21T00:00:00"/>
    <x v="6"/>
    <x v="6"/>
    <x v="4"/>
    <x v="0"/>
    <n v="4"/>
    <n v="1800"/>
    <n v="2124"/>
    <x v="753"/>
    <n v="7247.79"/>
    <x v="959"/>
    <n v="124806.23999999999"/>
    <n v="7200"/>
    <n v="0.65937340899777719"/>
    <x v="5"/>
    <x v="0"/>
  </r>
  <r>
    <s v="ORD11062"/>
    <d v="2025-06-21T00:00:00"/>
    <x v="3"/>
    <x v="3"/>
    <x v="2"/>
    <x v="3"/>
    <n v="3"/>
    <n v="4500"/>
    <n v="5220"/>
    <x v="754"/>
    <n v="14297.82"/>
    <x v="960"/>
    <n v="136242"/>
    <n v="13500"/>
    <n v="5.5800114982563782"/>
    <x v="5"/>
    <x v="0"/>
  </r>
  <r>
    <s v="ORD10109"/>
    <d v="2025-06-22T00:00:00"/>
    <x v="6"/>
    <x v="6"/>
    <x v="4"/>
    <x v="3"/>
    <n v="2"/>
    <n v="1800"/>
    <n v="2124"/>
    <x v="755"/>
    <n v="3725.7"/>
    <x v="961"/>
    <n v="52250.400000000001"/>
    <n v="3600"/>
    <n v="3.3738626298413723"/>
    <x v="5"/>
    <x v="0"/>
  </r>
  <r>
    <s v="ORD10188"/>
    <d v="2025-06-22T00:00:00"/>
    <x v="19"/>
    <x v="19"/>
    <x v="0"/>
    <x v="0"/>
    <n v="8"/>
    <n v="350"/>
    <n v="455"/>
    <x v="756"/>
    <n v="3364.14"/>
    <x v="962"/>
    <n v="27591.200000000001"/>
    <n v="2800"/>
    <n v="16.76921887911918"/>
    <x v="5"/>
    <x v="1"/>
  </r>
  <r>
    <s v="ORD10237"/>
    <d v="2025-06-22T00:00:00"/>
    <x v="2"/>
    <x v="2"/>
    <x v="0"/>
    <x v="2"/>
    <n v="2"/>
    <n v="6500"/>
    <n v="7150"/>
    <x v="46"/>
    <n v="12328.47"/>
    <x v="963"/>
    <n v="197197"/>
    <n v="13000"/>
    <n v="-5.4469857168002189"/>
    <x v="5"/>
    <x v="2"/>
  </r>
  <r>
    <s v="ORD10455"/>
    <d v="2025-06-22T00:00:00"/>
    <x v="9"/>
    <x v="9"/>
    <x v="2"/>
    <x v="2"/>
    <n v="6"/>
    <n v="3000"/>
    <n v="3600"/>
    <x v="66"/>
    <n v="19820.689999999999"/>
    <x v="964"/>
    <n v="177984"/>
    <n v="18000"/>
    <n v="9.1858053377556494"/>
    <x v="5"/>
    <x v="0"/>
  </r>
  <r>
    <s v="ORD10822"/>
    <d v="2025-06-22T00:00:00"/>
    <x v="2"/>
    <x v="2"/>
    <x v="0"/>
    <x v="2"/>
    <n v="2"/>
    <n v="6500"/>
    <n v="7150"/>
    <x v="757"/>
    <n v="12353.9"/>
    <x v="965"/>
    <n v="194623"/>
    <n v="13000"/>
    <n v="-5.2299273913501008"/>
    <x v="5"/>
    <x v="2"/>
  </r>
  <r>
    <s v="ORD11186"/>
    <d v="2025-06-22T00:00:00"/>
    <x v="8"/>
    <x v="8"/>
    <x v="2"/>
    <x v="1"/>
    <n v="9"/>
    <n v="900"/>
    <n v="1170"/>
    <x v="758"/>
    <n v="10044.08"/>
    <x v="966"/>
    <n v="48543.3"/>
    <n v="8100"/>
    <n v="19.355481039577541"/>
    <x v="5"/>
    <x v="1"/>
  </r>
  <r>
    <s v="ORD11303"/>
    <d v="2025-06-22T00:00:00"/>
    <x v="4"/>
    <x v="4"/>
    <x v="3"/>
    <x v="0"/>
    <n v="6"/>
    <n v="180"/>
    <n v="243"/>
    <x v="759"/>
    <n v="1421.44"/>
    <x v="967"/>
    <n v="3659.5799999999995"/>
    <n v="1080"/>
    <n v="24.020711391265195"/>
    <x v="5"/>
    <x v="1"/>
  </r>
  <r>
    <s v="ORD11459"/>
    <d v="2025-06-22T00:00:00"/>
    <x v="13"/>
    <x v="13"/>
    <x v="6"/>
    <x v="2"/>
    <n v="1"/>
    <n v="900"/>
    <n v="1170"/>
    <x v="760"/>
    <n v="1053.08"/>
    <x v="968"/>
    <n v="11688.300000000001"/>
    <n v="900"/>
    <n v="14.536407490409086"/>
    <x v="5"/>
    <x v="1"/>
  </r>
  <r>
    <s v="ORD11712"/>
    <d v="2025-06-22T00:00:00"/>
    <x v="16"/>
    <x v="16"/>
    <x v="0"/>
    <x v="0"/>
    <n v="6"/>
    <n v="1100"/>
    <n v="1298"/>
    <x v="761"/>
    <n v="6529.2"/>
    <x v="969"/>
    <n v="125854.08"/>
    <n v="6600"/>
    <n v="-1.0843594927403051"/>
    <x v="5"/>
    <x v="2"/>
  </r>
  <r>
    <s v="ORD11738"/>
    <d v="2025-06-22T00:00:00"/>
    <x v="5"/>
    <x v="5"/>
    <x v="3"/>
    <x v="1"/>
    <n v="2"/>
    <n v="2500"/>
    <n v="2875"/>
    <x v="762"/>
    <n v="5562.87"/>
    <x v="970"/>
    <n v="18687.5"/>
    <n v="5000"/>
    <n v="10.118338195931237"/>
    <x v="5"/>
    <x v="1"/>
  </r>
  <r>
    <s v="ORD10312"/>
    <d v="2025-06-23T00:00:00"/>
    <x v="15"/>
    <x v="15"/>
    <x v="0"/>
    <x v="0"/>
    <n v="2"/>
    <n v="550"/>
    <n v="742.5"/>
    <x v="386"/>
    <n v="1419.77"/>
    <x v="971"/>
    <n v="6519.15"/>
    <n v="1100"/>
    <n v="22.52266212132951"/>
    <x v="5"/>
    <x v="1"/>
  </r>
  <r>
    <s v="ORD10523"/>
    <d v="2025-06-23T00:00:00"/>
    <x v="15"/>
    <x v="15"/>
    <x v="0"/>
    <x v="2"/>
    <n v="8"/>
    <n v="550"/>
    <n v="742.5"/>
    <x v="763"/>
    <n v="5781.08"/>
    <x v="972"/>
    <n v="15919.2"/>
    <n v="4400"/>
    <n v="23.889653836307399"/>
    <x v="5"/>
    <x v="1"/>
  </r>
  <r>
    <s v="ORD10884"/>
    <d v="2025-06-23T00:00:00"/>
    <x v="8"/>
    <x v="8"/>
    <x v="2"/>
    <x v="2"/>
    <n v="9"/>
    <n v="900"/>
    <n v="1170"/>
    <x v="764"/>
    <n v="8202.7900000000009"/>
    <x v="973"/>
    <n v="232713.00000000003"/>
    <n v="8100"/>
    <n v="1.2531102222536479"/>
    <x v="5"/>
    <x v="0"/>
  </r>
  <r>
    <s v="ORD10989"/>
    <d v="2025-06-23T00:00:00"/>
    <x v="3"/>
    <x v="3"/>
    <x v="2"/>
    <x v="2"/>
    <n v="3"/>
    <n v="4500"/>
    <n v="5220"/>
    <x v="765"/>
    <n v="14627.96"/>
    <x v="974"/>
    <n v="103199.4"/>
    <n v="13500"/>
    <n v="7.7109863576329181"/>
    <x v="5"/>
    <x v="0"/>
  </r>
  <r>
    <s v="ORD11601"/>
    <d v="2025-06-23T00:00:00"/>
    <x v="11"/>
    <x v="11"/>
    <x v="0"/>
    <x v="1"/>
    <n v="7"/>
    <n v="900"/>
    <n v="1152"/>
    <x v="766"/>
    <n v="7271.07"/>
    <x v="975"/>
    <n v="79269.119999999995"/>
    <n v="6300"/>
    <n v="13.355255828922017"/>
    <x v="5"/>
    <x v="1"/>
  </r>
  <r>
    <s v="ORD10994"/>
    <d v="2025-06-24T00:00:00"/>
    <x v="2"/>
    <x v="2"/>
    <x v="0"/>
    <x v="1"/>
    <n v="4"/>
    <n v="6500"/>
    <n v="7150"/>
    <x v="767"/>
    <n v="23012.68"/>
    <x v="976"/>
    <n v="558844"/>
    <n v="26000"/>
    <n v="-12.981191238916981"/>
    <x v="5"/>
    <x v="2"/>
  </r>
  <r>
    <s v="ORD11221"/>
    <d v="2025-06-24T00:00:00"/>
    <x v="7"/>
    <x v="7"/>
    <x v="5"/>
    <x v="0"/>
    <n v="7"/>
    <n v="300"/>
    <n v="405"/>
    <x v="9"/>
    <n v="2835"/>
    <x v="977"/>
    <n v="0"/>
    <n v="2100"/>
    <n v="25.925925925925924"/>
    <x v="5"/>
    <x v="1"/>
  </r>
  <r>
    <s v="ORD11415"/>
    <d v="2025-06-24T00:00:00"/>
    <x v="19"/>
    <x v="19"/>
    <x v="0"/>
    <x v="3"/>
    <n v="6"/>
    <n v="350"/>
    <n v="455"/>
    <x v="620"/>
    <n v="2304.71"/>
    <x v="978"/>
    <n v="42533.4"/>
    <n v="2100"/>
    <n v="8.8822454885864168"/>
    <x v="5"/>
    <x v="0"/>
  </r>
  <r>
    <s v="ORD11517"/>
    <d v="2025-06-24T00:00:00"/>
    <x v="2"/>
    <x v="2"/>
    <x v="0"/>
    <x v="0"/>
    <n v="1"/>
    <n v="6500"/>
    <n v="7150"/>
    <x v="768"/>
    <n v="5771.91"/>
    <x v="979"/>
    <n v="137780.5"/>
    <n v="6500"/>
    <n v="-12.614368553910232"/>
    <x v="5"/>
    <x v="2"/>
  </r>
  <r>
    <s v="ORD11525"/>
    <d v="2025-06-24T00:00:00"/>
    <x v="0"/>
    <x v="0"/>
    <x v="0"/>
    <x v="3"/>
    <n v="4"/>
    <n v="500"/>
    <n v="610"/>
    <x v="163"/>
    <n v="2031.44"/>
    <x v="980"/>
    <n v="40845.599999999999"/>
    <n v="2000"/>
    <n v="1.5476706178868194"/>
    <x v="5"/>
    <x v="0"/>
  </r>
  <r>
    <s v="ORD11593"/>
    <d v="2025-06-24T00:00:00"/>
    <x v="2"/>
    <x v="2"/>
    <x v="0"/>
    <x v="3"/>
    <n v="5"/>
    <n v="6500"/>
    <n v="7150"/>
    <x v="27"/>
    <n v="34320"/>
    <x v="981"/>
    <n v="143000"/>
    <n v="32500"/>
    <n v="5.3030303030303028"/>
    <x v="5"/>
    <x v="0"/>
  </r>
  <r>
    <s v="ORD11908"/>
    <d v="2025-06-24T00:00:00"/>
    <x v="3"/>
    <x v="3"/>
    <x v="2"/>
    <x v="2"/>
    <n v="6"/>
    <n v="4500"/>
    <n v="5220"/>
    <x v="769"/>
    <n v="25000.84"/>
    <x v="982"/>
    <n v="632037.6"/>
    <n v="27000"/>
    <n v="-7.9963713219235828"/>
    <x v="5"/>
    <x v="2"/>
  </r>
  <r>
    <s v="ORD10689"/>
    <d v="2025-06-25T00:00:00"/>
    <x v="10"/>
    <x v="10"/>
    <x v="4"/>
    <x v="2"/>
    <n v="3"/>
    <n v="3200"/>
    <n v="3840"/>
    <x v="506"/>
    <n v="9285.3700000000008"/>
    <x v="983"/>
    <n v="223487.99999999997"/>
    <n v="9600"/>
    <n v="-3.3884487101752541"/>
    <x v="5"/>
    <x v="2"/>
  </r>
  <r>
    <s v="ORD10750"/>
    <d v="2025-06-25T00:00:00"/>
    <x v="11"/>
    <x v="11"/>
    <x v="0"/>
    <x v="0"/>
    <n v="1"/>
    <n v="900"/>
    <n v="1152"/>
    <x v="770"/>
    <n v="1031.6199999999999"/>
    <x v="984"/>
    <n v="12038.4"/>
    <n v="900"/>
    <n v="12.758573893487915"/>
    <x v="5"/>
    <x v="1"/>
  </r>
  <r>
    <s v="ORD11092"/>
    <d v="2025-06-25T00:00:00"/>
    <x v="3"/>
    <x v="3"/>
    <x v="2"/>
    <x v="2"/>
    <n v="10"/>
    <n v="4500"/>
    <n v="5220"/>
    <x v="58"/>
    <n v="44033.62"/>
    <x v="985"/>
    <n v="816408"/>
    <n v="45000"/>
    <n v="-2.1946412763701915"/>
    <x v="5"/>
    <x v="2"/>
  </r>
  <r>
    <s v="ORD10599"/>
    <d v="2025-06-26T00:00:00"/>
    <x v="3"/>
    <x v="3"/>
    <x v="2"/>
    <x v="3"/>
    <n v="1"/>
    <n v="4500"/>
    <n v="5220"/>
    <x v="771"/>
    <n v="4618.6099999999997"/>
    <x v="986"/>
    <n v="60134.399999999994"/>
    <n v="4500"/>
    <n v="2.5680886673696199"/>
    <x v="5"/>
    <x v="0"/>
  </r>
  <r>
    <s v="ORD10934"/>
    <d v="2025-06-26T00:00:00"/>
    <x v="8"/>
    <x v="8"/>
    <x v="2"/>
    <x v="3"/>
    <n v="4"/>
    <n v="900"/>
    <n v="1170"/>
    <x v="772"/>
    <n v="4017.23"/>
    <x v="574"/>
    <n v="66268.800000000003"/>
    <n v="3600"/>
    <n v="10.386012252223548"/>
    <x v="5"/>
    <x v="1"/>
  </r>
  <r>
    <s v="ORD10993"/>
    <d v="2025-06-26T00:00:00"/>
    <x v="1"/>
    <x v="1"/>
    <x v="1"/>
    <x v="3"/>
    <n v="3"/>
    <n v="45"/>
    <n v="63"/>
    <x v="773"/>
    <n v="153.22999999999999"/>
    <x v="987"/>
    <n v="3577.77"/>
    <n v="135"/>
    <n v="11.897148078052602"/>
    <x v="5"/>
    <x v="1"/>
  </r>
  <r>
    <s v="ORD11405"/>
    <d v="2025-06-26T00:00:00"/>
    <x v="16"/>
    <x v="16"/>
    <x v="0"/>
    <x v="2"/>
    <n v="8"/>
    <n v="1100"/>
    <n v="1298"/>
    <x v="774"/>
    <n v="9993.19"/>
    <x v="988"/>
    <n v="39043.839999999997"/>
    <n v="8800"/>
    <n v="11.940031161220793"/>
    <x v="5"/>
    <x v="1"/>
  </r>
  <r>
    <s v="ORD10134"/>
    <d v="2025-06-27T00:00:00"/>
    <x v="19"/>
    <x v="19"/>
    <x v="0"/>
    <x v="0"/>
    <n v="6"/>
    <n v="350"/>
    <n v="455"/>
    <x v="636"/>
    <n v="2326.64"/>
    <x v="989"/>
    <n v="40322.1"/>
    <n v="2100"/>
    <n v="9.7410858577175663"/>
    <x v="5"/>
    <x v="0"/>
  </r>
  <r>
    <s v="ORD10159"/>
    <d v="2025-06-27T00:00:00"/>
    <x v="18"/>
    <x v="18"/>
    <x v="1"/>
    <x v="3"/>
    <n v="6"/>
    <n v="80"/>
    <n v="116"/>
    <x v="775"/>
    <n v="572.17999999999995"/>
    <x v="990"/>
    <n v="12381.84"/>
    <n v="480"/>
    <n v="16.11031493585935"/>
    <x v="5"/>
    <x v="1"/>
  </r>
  <r>
    <s v="ORD10559"/>
    <d v="2025-06-27T00:00:00"/>
    <x v="0"/>
    <x v="0"/>
    <x v="0"/>
    <x v="2"/>
    <n v="10"/>
    <n v="500"/>
    <n v="610"/>
    <x v="381"/>
    <n v="5238.42"/>
    <x v="991"/>
    <n v="86132"/>
    <n v="5000"/>
    <n v="4.5513723603682017"/>
    <x v="5"/>
    <x v="0"/>
  </r>
  <r>
    <s v="ORD10584"/>
    <d v="2025-06-27T00:00:00"/>
    <x v="18"/>
    <x v="18"/>
    <x v="1"/>
    <x v="1"/>
    <n v="5"/>
    <n v="80"/>
    <n v="116"/>
    <x v="776"/>
    <n v="516.16"/>
    <x v="992"/>
    <n v="6385.8"/>
    <n v="400"/>
    <n v="22.50464972101674"/>
    <x v="5"/>
    <x v="1"/>
  </r>
  <r>
    <s v="ORD10658"/>
    <d v="2025-06-27T00:00:00"/>
    <x v="19"/>
    <x v="19"/>
    <x v="0"/>
    <x v="1"/>
    <n v="9"/>
    <n v="350"/>
    <n v="455"/>
    <x v="777"/>
    <n v="3869.26"/>
    <x v="993"/>
    <n v="22563.45"/>
    <n v="3150"/>
    <n v="18.589084217654019"/>
    <x v="5"/>
    <x v="1"/>
  </r>
  <r>
    <s v="ORD11355"/>
    <d v="2025-06-27T00:00:00"/>
    <x v="11"/>
    <x v="11"/>
    <x v="0"/>
    <x v="1"/>
    <n v="1"/>
    <n v="900"/>
    <n v="1152"/>
    <x v="9"/>
    <n v="1152"/>
    <x v="994"/>
    <n v="0"/>
    <n v="900"/>
    <n v="21.875"/>
    <x v="5"/>
    <x v="1"/>
  </r>
  <r>
    <s v="ORD10898"/>
    <d v="2025-06-28T00:00:00"/>
    <x v="8"/>
    <x v="8"/>
    <x v="2"/>
    <x v="3"/>
    <n v="8"/>
    <n v="900"/>
    <n v="1170"/>
    <x v="778"/>
    <n v="7923.23"/>
    <x v="995"/>
    <n v="143676"/>
    <n v="7200"/>
    <n v="9.1279692751567243"/>
    <x v="5"/>
    <x v="0"/>
  </r>
  <r>
    <s v="ORD11217"/>
    <d v="2025-06-28T00:00:00"/>
    <x v="9"/>
    <x v="9"/>
    <x v="2"/>
    <x v="3"/>
    <n v="7"/>
    <n v="3000"/>
    <n v="3600"/>
    <x v="779"/>
    <n v="23641.81"/>
    <x v="996"/>
    <n v="155736"/>
    <n v="21000"/>
    <n v="11.174313641806611"/>
    <x v="5"/>
    <x v="1"/>
  </r>
  <r>
    <s v="ORD11409"/>
    <d v="2025-06-28T00:00:00"/>
    <x v="1"/>
    <x v="1"/>
    <x v="1"/>
    <x v="1"/>
    <n v="7"/>
    <n v="45"/>
    <n v="63"/>
    <x v="780"/>
    <n v="333.53"/>
    <x v="997"/>
    <n v="10747.17"/>
    <n v="315"/>
    <n v="5.5557221239468717"/>
    <x v="5"/>
    <x v="0"/>
  </r>
  <r>
    <s v="ORD11830"/>
    <d v="2025-06-28T00:00:00"/>
    <x v="17"/>
    <x v="17"/>
    <x v="0"/>
    <x v="1"/>
    <n v="3"/>
    <n v="8500"/>
    <n v="9520"/>
    <x v="781"/>
    <n v="23753.02"/>
    <x v="998"/>
    <n v="480664.79999999993"/>
    <n v="25500"/>
    <n v="-7.3547700460825611"/>
    <x v="5"/>
    <x v="2"/>
  </r>
  <r>
    <s v="ORD11956"/>
    <d v="2025-06-28T00:00:00"/>
    <x v="18"/>
    <x v="18"/>
    <x v="1"/>
    <x v="3"/>
    <n v="8"/>
    <n v="80"/>
    <n v="116"/>
    <x v="782"/>
    <n v="826.71"/>
    <x v="999"/>
    <n v="10124.48"/>
    <n v="640"/>
    <n v="22.584703221202115"/>
    <x v="5"/>
    <x v="1"/>
  </r>
  <r>
    <s v="ORD10055"/>
    <d v="2025-06-29T00:00:00"/>
    <x v="1"/>
    <x v="1"/>
    <x v="1"/>
    <x v="3"/>
    <n v="10"/>
    <n v="45"/>
    <n v="63"/>
    <x v="783"/>
    <n v="591.16999999999996"/>
    <x v="1000"/>
    <n v="3880.8"/>
    <n v="450"/>
    <n v="23.879763858111879"/>
    <x v="5"/>
    <x v="1"/>
  </r>
  <r>
    <s v="ORD10742"/>
    <d v="2025-06-29T00:00:00"/>
    <x v="11"/>
    <x v="11"/>
    <x v="0"/>
    <x v="2"/>
    <n v="5"/>
    <n v="900"/>
    <n v="1152"/>
    <x v="784"/>
    <n v="5096.9799999999996"/>
    <x v="1001"/>
    <n v="66297.600000000006"/>
    <n v="4500"/>
    <n v="11.712425789389012"/>
    <x v="5"/>
    <x v="1"/>
  </r>
  <r>
    <s v="ORD10186"/>
    <d v="2025-06-30T00:00:00"/>
    <x v="16"/>
    <x v="16"/>
    <x v="0"/>
    <x v="1"/>
    <n v="1"/>
    <n v="1100"/>
    <n v="1298"/>
    <x v="785"/>
    <n v="1008.31"/>
    <x v="1002"/>
    <n v="28971.360000000001"/>
    <n v="1100"/>
    <n v="-9.0934335670577493"/>
    <x v="5"/>
    <x v="2"/>
  </r>
  <r>
    <s v="ORD10292"/>
    <d v="2025-06-30T00:00:00"/>
    <x v="16"/>
    <x v="16"/>
    <x v="0"/>
    <x v="2"/>
    <n v="9"/>
    <n v="1100"/>
    <n v="1298"/>
    <x v="433"/>
    <n v="11025.71"/>
    <x v="1003"/>
    <n v="65652.84"/>
    <n v="9900"/>
    <n v="10.209864035966845"/>
    <x v="5"/>
    <x v="1"/>
  </r>
  <r>
    <s v="ORD11522"/>
    <d v="2025-06-30T00:00:00"/>
    <x v="4"/>
    <x v="4"/>
    <x v="3"/>
    <x v="0"/>
    <n v="4"/>
    <n v="180"/>
    <n v="243"/>
    <x v="372"/>
    <n v="865.15"/>
    <x v="1004"/>
    <n v="10682.28"/>
    <n v="720"/>
    <n v="16.777437438594465"/>
    <x v="5"/>
    <x v="1"/>
  </r>
  <r>
    <s v="ORD11587"/>
    <d v="2025-06-30T00:00:00"/>
    <x v="18"/>
    <x v="18"/>
    <x v="1"/>
    <x v="3"/>
    <n v="3"/>
    <n v="80"/>
    <n v="116"/>
    <x v="9"/>
    <n v="348"/>
    <x v="579"/>
    <n v="0"/>
    <n v="240"/>
    <n v="31.03448275862069"/>
    <x v="5"/>
    <x v="1"/>
  </r>
  <r>
    <s v="ORD11741"/>
    <d v="2025-06-30T00:00:00"/>
    <x v="1"/>
    <x v="1"/>
    <x v="1"/>
    <x v="3"/>
    <n v="8"/>
    <n v="45"/>
    <n v="63"/>
    <x v="100"/>
    <n v="387.08"/>
    <x v="1005"/>
    <n v="11692.8"/>
    <n v="360"/>
    <n v="6.9959698253590981"/>
    <x v="5"/>
    <x v="0"/>
  </r>
  <r>
    <s v="ORD11805"/>
    <d v="2025-06-30T00:00:00"/>
    <x v="6"/>
    <x v="6"/>
    <x v="4"/>
    <x v="3"/>
    <n v="7"/>
    <n v="1800"/>
    <n v="2124"/>
    <x v="27"/>
    <n v="14273.28"/>
    <x v="201"/>
    <n v="59472"/>
    <n v="12600"/>
    <n v="11.723163841807908"/>
    <x v="5"/>
    <x v="1"/>
  </r>
  <r>
    <s v="ORD11813"/>
    <d v="2025-06-30T00:00:00"/>
    <x v="18"/>
    <x v="18"/>
    <x v="1"/>
    <x v="0"/>
    <n v="9"/>
    <n v="80"/>
    <n v="116"/>
    <x v="786"/>
    <n v="803.13"/>
    <x v="1006"/>
    <n v="24085.08"/>
    <n v="720"/>
    <n v="10.350752680138955"/>
    <x v="5"/>
    <x v="1"/>
  </r>
  <r>
    <s v="ORD10522"/>
    <d v="2025-07-01T00:00:00"/>
    <x v="10"/>
    <x v="10"/>
    <x v="4"/>
    <x v="2"/>
    <n v="7"/>
    <n v="3200"/>
    <n v="3840"/>
    <x v="308"/>
    <n v="22482.71"/>
    <x v="1007"/>
    <n v="439756.79999999999"/>
    <n v="22400"/>
    <n v="0.36788269741503582"/>
    <x v="6"/>
    <x v="0"/>
  </r>
  <r>
    <s v="ORD10542"/>
    <d v="2025-07-01T00:00:00"/>
    <x v="8"/>
    <x v="8"/>
    <x v="2"/>
    <x v="2"/>
    <n v="8"/>
    <n v="900"/>
    <n v="1170"/>
    <x v="787"/>
    <n v="7973.57"/>
    <x v="1008"/>
    <n v="138621.6"/>
    <n v="7200"/>
    <n v="9.7016769151082904"/>
    <x v="6"/>
    <x v="0"/>
  </r>
  <r>
    <s v="ORD11504"/>
    <d v="2025-07-01T00:00:00"/>
    <x v="9"/>
    <x v="9"/>
    <x v="2"/>
    <x v="2"/>
    <n v="9"/>
    <n v="3000"/>
    <n v="3600"/>
    <x v="788"/>
    <n v="29770"/>
    <x v="1009"/>
    <n v="263088"/>
    <n v="27000"/>
    <n v="9.3046691299966415"/>
    <x v="6"/>
    <x v="0"/>
  </r>
  <r>
    <s v="ORD11985"/>
    <d v="2025-07-01T00:00:00"/>
    <x v="7"/>
    <x v="7"/>
    <x v="5"/>
    <x v="0"/>
    <n v="6"/>
    <n v="300"/>
    <n v="405"/>
    <x v="27"/>
    <n v="2332.7199999999998"/>
    <x v="1010"/>
    <n v="9720"/>
    <n v="1800"/>
    <n v="22.836859974621902"/>
    <x v="6"/>
    <x v="1"/>
  </r>
  <r>
    <s v="ORD10172"/>
    <d v="2025-07-02T00:00:00"/>
    <x v="4"/>
    <x v="4"/>
    <x v="3"/>
    <x v="3"/>
    <n v="6"/>
    <n v="180"/>
    <n v="243"/>
    <x v="789"/>
    <n v="1344.36"/>
    <x v="1011"/>
    <n v="11357.82"/>
    <n v="1080"/>
    <n v="19.664375613674913"/>
    <x v="6"/>
    <x v="1"/>
  </r>
  <r>
    <s v="ORD10195"/>
    <d v="2025-07-02T00:00:00"/>
    <x v="17"/>
    <x v="17"/>
    <x v="0"/>
    <x v="2"/>
    <n v="8"/>
    <n v="8500"/>
    <n v="9520"/>
    <x v="790"/>
    <n v="67815.47"/>
    <x v="1012"/>
    <n v="834713.60000000009"/>
    <n v="68000"/>
    <n v="-0.27210605485739464"/>
    <x v="6"/>
    <x v="2"/>
  </r>
  <r>
    <s v="ORD10302"/>
    <d v="2025-07-02T00:00:00"/>
    <x v="11"/>
    <x v="11"/>
    <x v="0"/>
    <x v="2"/>
    <n v="9"/>
    <n v="900"/>
    <n v="1152"/>
    <x v="772"/>
    <n v="8899.5400000000009"/>
    <x v="1013"/>
    <n v="146810.88"/>
    <n v="8100"/>
    <n v="8.984059850284396"/>
    <x v="6"/>
    <x v="0"/>
  </r>
  <r>
    <s v="ORD10458"/>
    <d v="2025-07-02T00:00:00"/>
    <x v="4"/>
    <x v="4"/>
    <x v="3"/>
    <x v="1"/>
    <n v="2"/>
    <n v="180"/>
    <n v="243"/>
    <x v="791"/>
    <n v="435.8"/>
    <x v="1014"/>
    <n v="5020.38"/>
    <n v="360"/>
    <n v="17.39329967875172"/>
    <x v="6"/>
    <x v="1"/>
  </r>
  <r>
    <s v="ORD10460"/>
    <d v="2025-07-02T00:00:00"/>
    <x v="16"/>
    <x v="16"/>
    <x v="0"/>
    <x v="0"/>
    <n v="4"/>
    <n v="1100"/>
    <n v="1298"/>
    <x v="792"/>
    <n v="4859.09"/>
    <x v="1015"/>
    <n v="33280.720000000001"/>
    <n v="4400"/>
    <n v="9.4480653784967963"/>
    <x v="6"/>
    <x v="0"/>
  </r>
  <r>
    <s v="ORD10858"/>
    <d v="2025-07-02T00:00:00"/>
    <x v="7"/>
    <x v="7"/>
    <x v="5"/>
    <x v="2"/>
    <n v="7"/>
    <n v="300"/>
    <n v="405"/>
    <x v="793"/>
    <n v="2519.37"/>
    <x v="1016"/>
    <n v="31553.550000000003"/>
    <n v="2100"/>
    <n v="16.645828123697591"/>
    <x v="6"/>
    <x v="1"/>
  </r>
  <r>
    <s v="ORD10963"/>
    <d v="2025-07-02T00:00:00"/>
    <x v="8"/>
    <x v="8"/>
    <x v="2"/>
    <x v="1"/>
    <n v="6"/>
    <n v="900"/>
    <n v="1170"/>
    <x v="141"/>
    <n v="6966.74"/>
    <x v="1017"/>
    <n v="5335.2"/>
    <n v="5400"/>
    <n v="22.488854184310021"/>
    <x v="6"/>
    <x v="1"/>
  </r>
  <r>
    <s v="ORD11207"/>
    <d v="2025-07-02T00:00:00"/>
    <x v="4"/>
    <x v="4"/>
    <x v="3"/>
    <x v="0"/>
    <n v="5"/>
    <n v="180"/>
    <n v="243"/>
    <x v="9"/>
    <n v="1215"/>
    <x v="647"/>
    <n v="0"/>
    <n v="900"/>
    <n v="25.925925925925924"/>
    <x v="6"/>
    <x v="1"/>
  </r>
  <r>
    <s v="ORD11345"/>
    <d v="2025-07-02T00:00:00"/>
    <x v="17"/>
    <x v="17"/>
    <x v="0"/>
    <x v="0"/>
    <n v="5"/>
    <n v="8500"/>
    <n v="9520"/>
    <x v="794"/>
    <n v="38226.03"/>
    <x v="1018"/>
    <n v="937244.00000000012"/>
    <n v="42500"/>
    <n v="-11.180784402670119"/>
    <x v="6"/>
    <x v="2"/>
  </r>
  <r>
    <s v="ORD11910"/>
    <d v="2025-07-02T00:00:00"/>
    <x v="18"/>
    <x v="18"/>
    <x v="1"/>
    <x v="3"/>
    <n v="3"/>
    <n v="80"/>
    <n v="116"/>
    <x v="723"/>
    <n v="336.96"/>
    <x v="1019"/>
    <n v="1103.1600000000001"/>
    <n v="240"/>
    <n v="28.774928774928775"/>
    <x v="6"/>
    <x v="1"/>
  </r>
  <r>
    <s v="ORD10354"/>
    <d v="2025-07-03T00:00:00"/>
    <x v="11"/>
    <x v="11"/>
    <x v="0"/>
    <x v="1"/>
    <n v="10"/>
    <n v="900"/>
    <n v="1152"/>
    <x v="795"/>
    <n v="9512.74"/>
    <x v="1020"/>
    <n v="200678.40000000002"/>
    <n v="9000"/>
    <n v="5.3900348374916165"/>
    <x v="6"/>
    <x v="0"/>
  </r>
  <r>
    <s v="ORD10551"/>
    <d v="2025-07-03T00:00:00"/>
    <x v="17"/>
    <x v="17"/>
    <x v="0"/>
    <x v="2"/>
    <n v="5"/>
    <n v="8500"/>
    <n v="9520"/>
    <x v="796"/>
    <n v="39899.08"/>
    <x v="1021"/>
    <n v="770168"/>
    <n v="42500"/>
    <n v="-6.5187467981717875"/>
    <x v="6"/>
    <x v="2"/>
  </r>
  <r>
    <s v="ORD11193"/>
    <d v="2025-07-03T00:00:00"/>
    <x v="11"/>
    <x v="11"/>
    <x v="0"/>
    <x v="2"/>
    <n v="5"/>
    <n v="900"/>
    <n v="1152"/>
    <x v="138"/>
    <n v="5613.81"/>
    <x v="1022"/>
    <n v="14630.4"/>
    <n v="4500"/>
    <n v="19.840536106494515"/>
    <x v="6"/>
    <x v="1"/>
  </r>
  <r>
    <s v="ORD11260"/>
    <d v="2025-07-03T00:00:00"/>
    <x v="0"/>
    <x v="0"/>
    <x v="0"/>
    <x v="1"/>
    <n v="10"/>
    <n v="500"/>
    <n v="610"/>
    <x v="797"/>
    <n v="4871.21"/>
    <x v="1023"/>
    <n v="122854"/>
    <n v="5000"/>
    <n v="-2.6439016178731771"/>
    <x v="6"/>
    <x v="2"/>
  </r>
  <r>
    <s v="ORD11320"/>
    <d v="2025-07-03T00:00:00"/>
    <x v="5"/>
    <x v="5"/>
    <x v="3"/>
    <x v="2"/>
    <n v="8"/>
    <n v="2500"/>
    <n v="2875"/>
    <x v="798"/>
    <n v="20690.8"/>
    <x v="1024"/>
    <n v="230919.99999999997"/>
    <n v="20000"/>
    <n v="3.3386819262667462"/>
    <x v="6"/>
    <x v="0"/>
  </r>
  <r>
    <s v="ORD11650"/>
    <d v="2025-07-03T00:00:00"/>
    <x v="17"/>
    <x v="17"/>
    <x v="0"/>
    <x v="3"/>
    <n v="9"/>
    <n v="8500"/>
    <n v="9520"/>
    <x v="799"/>
    <n v="57327.19"/>
    <x v="1025"/>
    <n v="2835151.2"/>
    <n v="76500"/>
    <n v="-33.444531294835841"/>
    <x v="6"/>
    <x v="2"/>
  </r>
  <r>
    <s v="ORD11846"/>
    <d v="2025-07-04T00:00:00"/>
    <x v="16"/>
    <x v="16"/>
    <x v="0"/>
    <x v="1"/>
    <n v="5"/>
    <n v="1100"/>
    <n v="1298"/>
    <x v="75"/>
    <n v="6149.18"/>
    <x v="1026"/>
    <n v="34072.5"/>
    <n v="5500"/>
    <n v="10.55717998172114"/>
    <x v="6"/>
    <x v="1"/>
  </r>
  <r>
    <s v="ORD10369"/>
    <d v="2025-07-05T00:00:00"/>
    <x v="3"/>
    <x v="3"/>
    <x v="2"/>
    <x v="1"/>
    <n v="3"/>
    <n v="4500"/>
    <n v="5220"/>
    <x v="483"/>
    <n v="14514.46"/>
    <x v="1027"/>
    <n v="114631.20000000001"/>
    <n v="13500"/>
    <n v="6.9893058370755794"/>
    <x v="6"/>
    <x v="0"/>
  </r>
  <r>
    <s v="ORD10405"/>
    <d v="2025-07-05T00:00:00"/>
    <x v="16"/>
    <x v="16"/>
    <x v="0"/>
    <x v="1"/>
    <n v="6"/>
    <n v="1100"/>
    <n v="1298"/>
    <x v="391"/>
    <n v="7329.09"/>
    <x v="1028"/>
    <n v="45871.32"/>
    <n v="6600"/>
    <n v="9.9478925760223991"/>
    <x v="6"/>
    <x v="0"/>
  </r>
  <r>
    <s v="ORD10433"/>
    <d v="2025-07-05T00:00:00"/>
    <x v="5"/>
    <x v="5"/>
    <x v="3"/>
    <x v="2"/>
    <n v="8"/>
    <n v="2500"/>
    <n v="2875"/>
    <x v="800"/>
    <n v="22770.14"/>
    <x v="1029"/>
    <n v="23000"/>
    <n v="20000"/>
    <n v="12.165669600626083"/>
    <x v="6"/>
    <x v="1"/>
  </r>
  <r>
    <s v="ORD11410"/>
    <d v="2025-07-05T00:00:00"/>
    <x v="1"/>
    <x v="1"/>
    <x v="1"/>
    <x v="0"/>
    <n v="10"/>
    <n v="45"/>
    <n v="63"/>
    <x v="801"/>
    <n v="538.59"/>
    <x v="1030"/>
    <n v="9141.2999999999993"/>
    <n v="450"/>
    <n v="16.448504428229267"/>
    <x v="6"/>
    <x v="1"/>
  </r>
  <r>
    <s v="ORD11520"/>
    <d v="2025-07-05T00:00:00"/>
    <x v="6"/>
    <x v="6"/>
    <x v="4"/>
    <x v="0"/>
    <n v="7"/>
    <n v="1800"/>
    <n v="2124"/>
    <x v="802"/>
    <n v="12533.35"/>
    <x v="1031"/>
    <n v="233427.59999999998"/>
    <n v="12600"/>
    <n v="-0.53178120773775572"/>
    <x v="6"/>
    <x v="2"/>
  </r>
  <r>
    <s v="ORD11524"/>
    <d v="2025-07-06T00:00:00"/>
    <x v="2"/>
    <x v="2"/>
    <x v="0"/>
    <x v="0"/>
    <n v="2"/>
    <n v="6500"/>
    <n v="7150"/>
    <x v="803"/>
    <n v="10280.450000000001"/>
    <x v="1032"/>
    <n v="401973"/>
    <n v="13000"/>
    <n v="-26.45360854826394"/>
    <x v="6"/>
    <x v="2"/>
  </r>
  <r>
    <s v="ORD11652"/>
    <d v="2025-07-06T00:00:00"/>
    <x v="1"/>
    <x v="1"/>
    <x v="1"/>
    <x v="0"/>
    <n v="2"/>
    <n v="45"/>
    <n v="63"/>
    <x v="787"/>
    <n v="107.34"/>
    <x v="1033"/>
    <n v="1866.0600000000002"/>
    <n v="90"/>
    <n v="16.154276131917271"/>
    <x v="6"/>
    <x v="1"/>
  </r>
  <r>
    <s v="ORD11684"/>
    <d v="2025-07-06T00:00:00"/>
    <x v="19"/>
    <x v="19"/>
    <x v="0"/>
    <x v="3"/>
    <n v="7"/>
    <n v="350"/>
    <n v="455"/>
    <x v="804"/>
    <n v="2555.89"/>
    <x v="1034"/>
    <n v="62903.75"/>
    <n v="2450"/>
    <n v="4.1429795491981265"/>
    <x v="6"/>
    <x v="0"/>
  </r>
  <r>
    <s v="ORD10191"/>
    <d v="2025-07-07T00:00:00"/>
    <x v="9"/>
    <x v="9"/>
    <x v="2"/>
    <x v="1"/>
    <n v="9"/>
    <n v="3000"/>
    <n v="3600"/>
    <x v="805"/>
    <n v="23433.91"/>
    <x v="1035"/>
    <n v="896508"/>
    <n v="27000"/>
    <n v="-15.217648271244535"/>
    <x v="6"/>
    <x v="2"/>
  </r>
  <r>
    <s v="ORD10420"/>
    <d v="2025-07-07T00:00:00"/>
    <x v="16"/>
    <x v="16"/>
    <x v="0"/>
    <x v="2"/>
    <n v="1"/>
    <n v="1100"/>
    <n v="1298"/>
    <x v="806"/>
    <n v="1149.8900000000001"/>
    <x v="1036"/>
    <n v="14810.18"/>
    <n v="1100"/>
    <n v="4.3386758733444069"/>
    <x v="6"/>
    <x v="0"/>
  </r>
  <r>
    <s v="ORD10441"/>
    <d v="2025-07-07T00:00:00"/>
    <x v="18"/>
    <x v="18"/>
    <x v="1"/>
    <x v="2"/>
    <n v="6"/>
    <n v="80"/>
    <n v="116"/>
    <x v="807"/>
    <n v="663.35"/>
    <x v="1037"/>
    <n v="3264.2400000000002"/>
    <n v="480"/>
    <n v="27.64000904499887"/>
    <x v="6"/>
    <x v="1"/>
  </r>
  <r>
    <s v="ORD10526"/>
    <d v="2025-07-07T00:00:00"/>
    <x v="12"/>
    <x v="12"/>
    <x v="2"/>
    <x v="0"/>
    <n v="6"/>
    <n v="6500"/>
    <n v="8125"/>
    <x v="808"/>
    <n v="37374.47"/>
    <x v="1038"/>
    <n v="1137337.5"/>
    <n v="39000"/>
    <n v="-4.3493058229320711"/>
    <x v="6"/>
    <x v="2"/>
  </r>
  <r>
    <s v="ORD11056"/>
    <d v="2025-07-07T00:00:00"/>
    <x v="14"/>
    <x v="14"/>
    <x v="3"/>
    <x v="0"/>
    <n v="10"/>
    <n v="1200"/>
    <n v="1464"/>
    <x v="809"/>
    <n v="13063.1"/>
    <x v="1039"/>
    <n v="157672.79999999999"/>
    <n v="12000"/>
    <n v="8.1381907816674435"/>
    <x v="6"/>
    <x v="0"/>
  </r>
  <r>
    <s v="ORD11283"/>
    <d v="2025-07-07T00:00:00"/>
    <x v="3"/>
    <x v="3"/>
    <x v="2"/>
    <x v="3"/>
    <n v="3"/>
    <n v="4500"/>
    <n v="5220"/>
    <x v="810"/>
    <n v="14814.89"/>
    <x v="1040"/>
    <n v="84564"/>
    <n v="13500"/>
    <n v="8.875462457028032"/>
    <x v="6"/>
    <x v="0"/>
  </r>
  <r>
    <s v="ORD11302"/>
    <d v="2025-07-07T00:00:00"/>
    <x v="3"/>
    <x v="3"/>
    <x v="2"/>
    <x v="3"/>
    <n v="8"/>
    <n v="4500"/>
    <n v="5220"/>
    <x v="614"/>
    <n v="32903.54"/>
    <x v="1041"/>
    <n v="885729.60000000009"/>
    <n v="36000"/>
    <n v="-9.4107199407723297"/>
    <x v="6"/>
    <x v="2"/>
  </r>
  <r>
    <s v="ORD11317"/>
    <d v="2025-07-07T00:00:00"/>
    <x v="0"/>
    <x v="0"/>
    <x v="0"/>
    <x v="2"/>
    <n v="5"/>
    <n v="500"/>
    <n v="610"/>
    <x v="811"/>
    <n v="2633.72"/>
    <x v="1042"/>
    <n v="41632.5"/>
    <n v="2500"/>
    <n v="5.077229166350258"/>
    <x v="6"/>
    <x v="0"/>
  </r>
  <r>
    <s v="ORD11509"/>
    <d v="2025-07-07T00:00:00"/>
    <x v="3"/>
    <x v="3"/>
    <x v="2"/>
    <x v="1"/>
    <n v="4"/>
    <n v="4500"/>
    <n v="5220"/>
    <x v="27"/>
    <n v="20044.8"/>
    <x v="1043"/>
    <n v="83520"/>
    <n v="18000"/>
    <n v="10.201149425287356"/>
    <x v="6"/>
    <x v="1"/>
  </r>
  <r>
    <s v="ORD11597"/>
    <d v="2025-07-07T00:00:00"/>
    <x v="2"/>
    <x v="2"/>
    <x v="0"/>
    <x v="1"/>
    <n v="5"/>
    <n v="6500"/>
    <n v="7150"/>
    <x v="675"/>
    <n v="32368.799999999999"/>
    <x v="1044"/>
    <n v="338195.00000000006"/>
    <n v="32500"/>
    <n v="-0.40532858802303456"/>
    <x v="6"/>
    <x v="2"/>
  </r>
  <r>
    <s v="ORD11772"/>
    <d v="2025-07-07T00:00:00"/>
    <x v="14"/>
    <x v="14"/>
    <x v="3"/>
    <x v="3"/>
    <n v="8"/>
    <n v="1200"/>
    <n v="1464"/>
    <x v="812"/>
    <n v="10331.77"/>
    <x v="1045"/>
    <n v="137967.35999999999"/>
    <n v="9600"/>
    <n v="7.0827167077857895"/>
    <x v="6"/>
    <x v="0"/>
  </r>
  <r>
    <s v="ORD11818"/>
    <d v="2025-07-07T00:00:00"/>
    <x v="12"/>
    <x v="12"/>
    <x v="2"/>
    <x v="3"/>
    <n v="4"/>
    <n v="6500"/>
    <n v="8125"/>
    <x v="813"/>
    <n v="30464.03"/>
    <x v="1046"/>
    <n v="203450"/>
    <n v="26000"/>
    <n v="14.653445391171161"/>
    <x v="6"/>
    <x v="1"/>
  </r>
  <r>
    <s v="ORD10352"/>
    <d v="2025-07-08T00:00:00"/>
    <x v="2"/>
    <x v="2"/>
    <x v="0"/>
    <x v="3"/>
    <n v="9"/>
    <n v="6500"/>
    <n v="7150"/>
    <x v="676"/>
    <n v="53481.62"/>
    <x v="1047"/>
    <n v="1086871.5"/>
    <n v="58500"/>
    <n v="-9.3833732037286826"/>
    <x v="6"/>
    <x v="2"/>
  </r>
  <r>
    <s v="ORD10723"/>
    <d v="2025-07-08T00:00:00"/>
    <x v="3"/>
    <x v="3"/>
    <x v="2"/>
    <x v="0"/>
    <n v="9"/>
    <n v="4500"/>
    <n v="5220"/>
    <x v="219"/>
    <n v="42686.14"/>
    <x v="1048"/>
    <n v="429397.2"/>
    <n v="40500"/>
    <n v="5.1214281731728377"/>
    <x v="6"/>
    <x v="0"/>
  </r>
  <r>
    <s v="ORD10936"/>
    <d v="2025-07-08T00:00:00"/>
    <x v="3"/>
    <x v="3"/>
    <x v="2"/>
    <x v="2"/>
    <n v="1"/>
    <n v="4500"/>
    <n v="5220"/>
    <x v="814"/>
    <n v="4427.74"/>
    <x v="1049"/>
    <n v="79239.599999999991"/>
    <n v="4500"/>
    <n v="-1.6319838111542233"/>
    <x v="6"/>
    <x v="2"/>
  </r>
  <r>
    <s v="ORD11241"/>
    <d v="2025-07-08T00:00:00"/>
    <x v="12"/>
    <x v="12"/>
    <x v="2"/>
    <x v="2"/>
    <n v="3"/>
    <n v="6500"/>
    <n v="8125"/>
    <x v="256"/>
    <n v="21938.48"/>
    <x v="1050"/>
    <n v="243750"/>
    <n v="19500"/>
    <n v="11.115081810590342"/>
    <x v="6"/>
    <x v="1"/>
  </r>
  <r>
    <s v="ORD11798"/>
    <d v="2025-07-08T00:00:00"/>
    <x v="18"/>
    <x v="18"/>
    <x v="1"/>
    <x v="1"/>
    <n v="9"/>
    <n v="80"/>
    <n v="116"/>
    <x v="815"/>
    <n v="884.46"/>
    <x v="1051"/>
    <n v="15952.32"/>
    <n v="720"/>
    <n v="18.594396580964656"/>
    <x v="6"/>
    <x v="1"/>
  </r>
  <r>
    <s v="ORD11926"/>
    <d v="2025-07-08T00:00:00"/>
    <x v="5"/>
    <x v="5"/>
    <x v="3"/>
    <x v="3"/>
    <n v="6"/>
    <n v="2500"/>
    <n v="2875"/>
    <x v="816"/>
    <n v="15576.87"/>
    <x v="1052"/>
    <n v="167325"/>
    <n v="15000"/>
    <n v="3.7033755818723528"/>
    <x v="6"/>
    <x v="0"/>
  </r>
  <r>
    <s v="ORD10056"/>
    <d v="2025-07-09T00:00:00"/>
    <x v="0"/>
    <x v="0"/>
    <x v="0"/>
    <x v="1"/>
    <n v="5"/>
    <n v="500"/>
    <n v="610"/>
    <x v="524"/>
    <n v="2736.15"/>
    <x v="1053"/>
    <n v="31384.499999999996"/>
    <n v="2500"/>
    <n v="8.6307402737423011"/>
    <x v="6"/>
    <x v="0"/>
  </r>
  <r>
    <s v="ORD10142"/>
    <d v="2025-07-09T00:00:00"/>
    <x v="12"/>
    <x v="12"/>
    <x v="2"/>
    <x v="1"/>
    <n v="2"/>
    <n v="6500"/>
    <n v="8125"/>
    <x v="401"/>
    <n v="14057.86"/>
    <x v="1054"/>
    <n v="219212.5"/>
    <n v="13000"/>
    <n v="7.5250429297204544"/>
    <x v="6"/>
    <x v="0"/>
  </r>
  <r>
    <s v="ORD10283"/>
    <d v="2025-07-09T00:00:00"/>
    <x v="0"/>
    <x v="0"/>
    <x v="0"/>
    <x v="2"/>
    <n v="3"/>
    <n v="500"/>
    <n v="610"/>
    <x v="817"/>
    <n v="1736.03"/>
    <x v="1055"/>
    <n v="9406.1999999999989"/>
    <n v="1500"/>
    <n v="13.595963203400864"/>
    <x v="6"/>
    <x v="1"/>
  </r>
  <r>
    <s v="ORD10740"/>
    <d v="2025-07-09T00:00:00"/>
    <x v="5"/>
    <x v="5"/>
    <x v="3"/>
    <x v="3"/>
    <n v="4"/>
    <n v="2500"/>
    <n v="2875"/>
    <x v="764"/>
    <n v="8958.25"/>
    <x v="1056"/>
    <n v="254150.00000000003"/>
    <n v="10000"/>
    <n v="-11.628945385538469"/>
    <x v="6"/>
    <x v="2"/>
  </r>
  <r>
    <s v="ORD10804"/>
    <d v="2025-07-09T00:00:00"/>
    <x v="3"/>
    <x v="3"/>
    <x v="2"/>
    <x v="3"/>
    <n v="6"/>
    <n v="4500"/>
    <n v="5220"/>
    <x v="818"/>
    <n v="28612.32"/>
    <x v="1057"/>
    <n v="270918"/>
    <n v="27000"/>
    <n v="5.6350551091278165"/>
    <x v="6"/>
    <x v="0"/>
  </r>
  <r>
    <s v="ORD10939"/>
    <d v="2025-07-09T00:00:00"/>
    <x v="10"/>
    <x v="10"/>
    <x v="4"/>
    <x v="3"/>
    <n v="8"/>
    <n v="3200"/>
    <n v="3840"/>
    <x v="115"/>
    <n v="28011.18"/>
    <x v="1058"/>
    <n v="270950.40000000002"/>
    <n v="25600"/>
    <n v="8.6079201233221863"/>
    <x v="6"/>
    <x v="0"/>
  </r>
  <r>
    <s v="ORD11841"/>
    <d v="2025-07-09T00:00:00"/>
    <x v="8"/>
    <x v="8"/>
    <x v="2"/>
    <x v="2"/>
    <n v="10"/>
    <n v="900"/>
    <n v="1170"/>
    <x v="819"/>
    <n v="11285.59"/>
    <x v="1059"/>
    <n v="41418"/>
    <n v="9000"/>
    <n v="20.252286322646846"/>
    <x v="6"/>
    <x v="1"/>
  </r>
  <r>
    <s v="ORD10162"/>
    <d v="2025-07-10T00:00:00"/>
    <x v="4"/>
    <x v="4"/>
    <x v="3"/>
    <x v="2"/>
    <n v="8"/>
    <n v="180"/>
    <n v="243"/>
    <x v="579"/>
    <n v="1565.29"/>
    <x v="1060"/>
    <n v="37869.120000000003"/>
    <n v="1440"/>
    <n v="8.0042675798094933"/>
    <x v="6"/>
    <x v="0"/>
  </r>
  <r>
    <s v="ORD10192"/>
    <d v="2025-07-10T00:00:00"/>
    <x v="9"/>
    <x v="9"/>
    <x v="2"/>
    <x v="3"/>
    <n v="5"/>
    <n v="3000"/>
    <n v="3600"/>
    <x v="269"/>
    <n v="15642.21"/>
    <x v="1061"/>
    <n v="235800"/>
    <n v="15000"/>
    <n v="4.1056219038102677"/>
    <x v="6"/>
    <x v="0"/>
  </r>
  <r>
    <s v="ORD10356"/>
    <d v="2025-07-10T00:00:00"/>
    <x v="2"/>
    <x v="2"/>
    <x v="0"/>
    <x v="2"/>
    <n v="7"/>
    <n v="6500"/>
    <n v="7150"/>
    <x v="589"/>
    <n v="42548.98"/>
    <x v="1062"/>
    <n v="750249.5"/>
    <n v="45500"/>
    <n v="-6.9355834146905506"/>
    <x v="6"/>
    <x v="2"/>
  </r>
  <r>
    <s v="ORD10773"/>
    <d v="2025-07-10T00:00:00"/>
    <x v="8"/>
    <x v="8"/>
    <x v="2"/>
    <x v="3"/>
    <n v="6"/>
    <n v="900"/>
    <n v="1170"/>
    <x v="259"/>
    <n v="5835.88"/>
    <x v="1063"/>
    <n v="118427.40000000001"/>
    <n v="5400"/>
    <n v="7.4689678334715586"/>
    <x v="6"/>
    <x v="0"/>
  </r>
  <r>
    <s v="ORD10779"/>
    <d v="2025-07-10T00:00:00"/>
    <x v="18"/>
    <x v="18"/>
    <x v="1"/>
    <x v="3"/>
    <n v="8"/>
    <n v="80"/>
    <n v="116"/>
    <x v="820"/>
    <n v="766.68"/>
    <x v="1064"/>
    <n v="16128.64"/>
    <n v="640"/>
    <n v="16.52319090102781"/>
    <x v="6"/>
    <x v="1"/>
  </r>
  <r>
    <s v="ORD11291"/>
    <d v="2025-07-10T00:00:00"/>
    <x v="10"/>
    <x v="10"/>
    <x v="4"/>
    <x v="1"/>
    <n v="4"/>
    <n v="3200"/>
    <n v="3840"/>
    <x v="821"/>
    <n v="13455.88"/>
    <x v="1065"/>
    <n v="190464"/>
    <n v="12800"/>
    <n v="4.8743003058885783"/>
    <x v="6"/>
    <x v="0"/>
  </r>
  <r>
    <s v="ORD11360"/>
    <d v="2025-07-10T00:00:00"/>
    <x v="1"/>
    <x v="1"/>
    <x v="1"/>
    <x v="0"/>
    <n v="8"/>
    <n v="45"/>
    <n v="63"/>
    <x v="702"/>
    <n v="472.74"/>
    <x v="1066"/>
    <n v="3124.8"/>
    <n v="360"/>
    <n v="23.848204086813045"/>
    <x v="6"/>
    <x v="1"/>
  </r>
  <r>
    <s v="ORD11878"/>
    <d v="2025-07-10T00:00:00"/>
    <x v="6"/>
    <x v="6"/>
    <x v="4"/>
    <x v="3"/>
    <n v="10"/>
    <n v="1800"/>
    <n v="2124"/>
    <x v="822"/>
    <n v="16431.38"/>
    <x v="1067"/>
    <n v="480873.60000000003"/>
    <n v="18000"/>
    <n v="-9.5464897044557429"/>
    <x v="6"/>
    <x v="2"/>
  </r>
  <r>
    <s v="ORD10213"/>
    <d v="2025-07-11T00:00:00"/>
    <x v="13"/>
    <x v="13"/>
    <x v="6"/>
    <x v="2"/>
    <n v="7"/>
    <n v="900"/>
    <n v="1170"/>
    <x v="823"/>
    <n v="6076.01"/>
    <x v="1068"/>
    <n v="211383.9"/>
    <n v="6300"/>
    <n v="-3.6864652954817387"/>
    <x v="6"/>
    <x v="2"/>
  </r>
  <r>
    <s v="ORD10453"/>
    <d v="2025-07-11T00:00:00"/>
    <x v="4"/>
    <x v="4"/>
    <x v="3"/>
    <x v="2"/>
    <n v="5"/>
    <n v="180"/>
    <n v="243"/>
    <x v="824"/>
    <n v="1090.23"/>
    <x v="1069"/>
    <n v="12478.05"/>
    <n v="900"/>
    <n v="17.448611760821109"/>
    <x v="6"/>
    <x v="1"/>
  </r>
  <r>
    <s v="ORD10507"/>
    <d v="2025-07-11T00:00:00"/>
    <x v="17"/>
    <x v="17"/>
    <x v="0"/>
    <x v="3"/>
    <n v="6"/>
    <n v="8500"/>
    <n v="9520"/>
    <x v="825"/>
    <n v="43556.77"/>
    <x v="1070"/>
    <n v="1356600"/>
    <n v="51000"/>
    <n v="-17.088571994663514"/>
    <x v="6"/>
    <x v="2"/>
  </r>
  <r>
    <s v="ORD10625"/>
    <d v="2025-07-11T00:00:00"/>
    <x v="16"/>
    <x v="16"/>
    <x v="0"/>
    <x v="0"/>
    <n v="9"/>
    <n v="1100"/>
    <n v="1298"/>
    <x v="826"/>
    <n v="9627.59"/>
    <x v="1071"/>
    <n v="205486.38"/>
    <n v="9900"/>
    <n v="-2.8294723809385318"/>
    <x v="6"/>
    <x v="2"/>
  </r>
  <r>
    <s v="ORD10947"/>
    <d v="2025-07-11T00:00:00"/>
    <x v="2"/>
    <x v="2"/>
    <x v="0"/>
    <x v="0"/>
    <n v="5"/>
    <n v="6500"/>
    <n v="7150"/>
    <x v="827"/>
    <n v="30097.07"/>
    <x v="1072"/>
    <n v="565207.5"/>
    <n v="32500"/>
    <n v="-7.9839333197550459"/>
    <x v="6"/>
    <x v="2"/>
  </r>
  <r>
    <s v="ORD10966"/>
    <d v="2025-07-11T00:00:00"/>
    <x v="7"/>
    <x v="7"/>
    <x v="5"/>
    <x v="0"/>
    <n v="8"/>
    <n v="300"/>
    <n v="405"/>
    <x v="828"/>
    <n v="2940.97"/>
    <x v="1073"/>
    <n v="29905.200000000001"/>
    <n v="2400"/>
    <n v="18.394271277843707"/>
    <x v="6"/>
    <x v="1"/>
  </r>
  <r>
    <s v="ORD11214"/>
    <d v="2025-07-11T00:00:00"/>
    <x v="8"/>
    <x v="8"/>
    <x v="2"/>
    <x v="1"/>
    <n v="2"/>
    <n v="900"/>
    <n v="1170"/>
    <x v="335"/>
    <n v="2270.7199999999998"/>
    <x v="1074"/>
    <n v="6926.4"/>
    <n v="1800"/>
    <n v="20.729988726042844"/>
    <x v="6"/>
    <x v="1"/>
  </r>
  <r>
    <s v="ORD11911"/>
    <d v="2025-07-11T00:00:00"/>
    <x v="18"/>
    <x v="18"/>
    <x v="1"/>
    <x v="3"/>
    <n v="8"/>
    <n v="80"/>
    <n v="116"/>
    <x v="829"/>
    <n v="698.78"/>
    <x v="1075"/>
    <n v="22921.599999999999"/>
    <n v="640"/>
    <n v="8.4118034288331085"/>
    <x v="6"/>
    <x v="0"/>
  </r>
  <r>
    <s v="ORD11081"/>
    <d v="2025-07-12T00:00:00"/>
    <x v="12"/>
    <x v="12"/>
    <x v="2"/>
    <x v="3"/>
    <n v="9"/>
    <n v="6500"/>
    <n v="8125"/>
    <x v="411"/>
    <n v="65156.75"/>
    <x v="1076"/>
    <n v="797062.5"/>
    <n v="58500"/>
    <n v="10.216516324095355"/>
    <x v="6"/>
    <x v="1"/>
  </r>
  <r>
    <s v="ORD11757"/>
    <d v="2025-07-12T00:00:00"/>
    <x v="14"/>
    <x v="14"/>
    <x v="3"/>
    <x v="3"/>
    <n v="5"/>
    <n v="1200"/>
    <n v="1464"/>
    <x v="830"/>
    <n v="6407.66"/>
    <x v="1077"/>
    <n v="91207.200000000012"/>
    <n v="6000"/>
    <n v="6.3620728940049887"/>
    <x v="6"/>
    <x v="0"/>
  </r>
  <r>
    <s v="ORD11933"/>
    <d v="2025-07-12T00:00:00"/>
    <x v="4"/>
    <x v="4"/>
    <x v="3"/>
    <x v="3"/>
    <n v="2"/>
    <n v="180"/>
    <n v="243"/>
    <x v="481"/>
    <n v="393.08"/>
    <x v="1078"/>
    <n v="9292.32"/>
    <n v="360"/>
    <n v="8.4155897018418635"/>
    <x v="6"/>
    <x v="0"/>
  </r>
  <r>
    <s v="ORD10907"/>
    <d v="2025-07-13T00:00:00"/>
    <x v="5"/>
    <x v="5"/>
    <x v="3"/>
    <x v="2"/>
    <n v="8"/>
    <n v="2500"/>
    <n v="2875"/>
    <x v="455"/>
    <n v="19147.29"/>
    <x v="1079"/>
    <n v="385250"/>
    <n v="20000"/>
    <n v="-4.4534239571239587"/>
    <x v="6"/>
    <x v="2"/>
  </r>
  <r>
    <s v="ORD11256"/>
    <d v="2025-07-13T00:00:00"/>
    <x v="7"/>
    <x v="7"/>
    <x v="5"/>
    <x v="3"/>
    <n v="1"/>
    <n v="300"/>
    <n v="405"/>
    <x v="831"/>
    <n v="388.75"/>
    <x v="1080"/>
    <n v="1624.05"/>
    <n v="300"/>
    <n v="22.829581993569132"/>
    <x v="6"/>
    <x v="1"/>
  </r>
  <r>
    <s v="ORD11290"/>
    <d v="2025-07-13T00:00:00"/>
    <x v="11"/>
    <x v="11"/>
    <x v="0"/>
    <x v="2"/>
    <n v="5"/>
    <n v="900"/>
    <n v="1152"/>
    <x v="657"/>
    <n v="5250.93"/>
    <x v="1081"/>
    <n v="50918.400000000001"/>
    <n v="4500"/>
    <n v="14.300895269980746"/>
    <x v="6"/>
    <x v="1"/>
  </r>
  <r>
    <s v="ORD11884"/>
    <d v="2025-07-13T00:00:00"/>
    <x v="0"/>
    <x v="0"/>
    <x v="0"/>
    <x v="1"/>
    <n v="10"/>
    <n v="500"/>
    <n v="610"/>
    <x v="832"/>
    <n v="4594.41"/>
    <x v="1082"/>
    <n v="150548"/>
    <n v="5000"/>
    <n v="-8.8279017327578515"/>
    <x v="6"/>
    <x v="2"/>
  </r>
  <r>
    <s v="ORD11060"/>
    <d v="2025-07-14T00:00:00"/>
    <x v="11"/>
    <x v="11"/>
    <x v="0"/>
    <x v="0"/>
    <n v="1"/>
    <n v="900"/>
    <n v="1152"/>
    <x v="833"/>
    <n v="1076.21"/>
    <x v="1083"/>
    <n v="7580.16"/>
    <n v="900"/>
    <n v="16.373198539318533"/>
    <x v="6"/>
    <x v="1"/>
  </r>
  <r>
    <s v="ORD11556"/>
    <d v="2025-07-14T00:00:00"/>
    <x v="1"/>
    <x v="1"/>
    <x v="1"/>
    <x v="0"/>
    <n v="5"/>
    <n v="45"/>
    <n v="63"/>
    <x v="834"/>
    <n v="313.95999999999998"/>
    <x v="1084"/>
    <n v="103.95"/>
    <n v="225"/>
    <n v="28.334819722257613"/>
    <x v="6"/>
    <x v="1"/>
  </r>
  <r>
    <s v="ORD11794"/>
    <d v="2025-07-14T00:00:00"/>
    <x v="15"/>
    <x v="15"/>
    <x v="0"/>
    <x v="0"/>
    <n v="3"/>
    <n v="550"/>
    <n v="742.5"/>
    <x v="835"/>
    <n v="2002.83"/>
    <x v="1085"/>
    <n v="22475.474999999999"/>
    <n v="1650"/>
    <n v="17.616572549841976"/>
    <x v="6"/>
    <x v="1"/>
  </r>
  <r>
    <s v="ORD10058"/>
    <d v="2025-07-15T00:00:00"/>
    <x v="7"/>
    <x v="7"/>
    <x v="5"/>
    <x v="2"/>
    <n v="3"/>
    <n v="300"/>
    <n v="405"/>
    <x v="836"/>
    <n v="1007.97"/>
    <x v="1086"/>
    <n v="20703.599999999999"/>
    <n v="900"/>
    <n v="10.711628322271496"/>
    <x v="6"/>
    <x v="1"/>
  </r>
  <r>
    <s v="ORD10198"/>
    <d v="2025-07-15T00:00:00"/>
    <x v="2"/>
    <x v="2"/>
    <x v="0"/>
    <x v="0"/>
    <n v="7"/>
    <n v="6500"/>
    <n v="7150"/>
    <x v="837"/>
    <n v="40153.78"/>
    <x v="1087"/>
    <n v="989488.5"/>
    <n v="45500"/>
    <n v="-13.314362931709045"/>
    <x v="6"/>
    <x v="2"/>
  </r>
  <r>
    <s v="ORD10558"/>
    <d v="2025-07-15T00:00:00"/>
    <x v="16"/>
    <x v="16"/>
    <x v="0"/>
    <x v="1"/>
    <n v="5"/>
    <n v="1100"/>
    <n v="1298"/>
    <x v="838"/>
    <n v="6293.67"/>
    <x v="1088"/>
    <n v="19664.699999999997"/>
    <n v="5500"/>
    <n v="12.61060716561243"/>
    <x v="6"/>
    <x v="1"/>
  </r>
  <r>
    <s v="ORD10586"/>
    <d v="2025-07-15T00:00:00"/>
    <x v="4"/>
    <x v="4"/>
    <x v="3"/>
    <x v="0"/>
    <n v="3"/>
    <n v="180"/>
    <n v="243"/>
    <x v="839"/>
    <n v="608.99"/>
    <x v="1089"/>
    <n v="11999.34"/>
    <n v="540"/>
    <n v="11.328593244552456"/>
    <x v="6"/>
    <x v="1"/>
  </r>
  <r>
    <s v="ORD10718"/>
    <d v="2025-07-15T00:00:00"/>
    <x v="4"/>
    <x v="4"/>
    <x v="3"/>
    <x v="2"/>
    <n v="8"/>
    <n v="180"/>
    <n v="243"/>
    <x v="840"/>
    <n v="1692.54"/>
    <x v="1090"/>
    <n v="25155.360000000001"/>
    <n v="1440"/>
    <n v="14.920769967031799"/>
    <x v="6"/>
    <x v="1"/>
  </r>
  <r>
    <s v="ORD10847"/>
    <d v="2025-07-15T00:00:00"/>
    <x v="15"/>
    <x v="15"/>
    <x v="0"/>
    <x v="2"/>
    <n v="3"/>
    <n v="550"/>
    <n v="742.5"/>
    <x v="841"/>
    <n v="2006.99"/>
    <x v="1091"/>
    <n v="22052.25"/>
    <n v="1650"/>
    <n v="17.787333270220579"/>
    <x v="6"/>
    <x v="1"/>
  </r>
  <r>
    <s v="ORD11078"/>
    <d v="2025-07-15T00:00:00"/>
    <x v="6"/>
    <x v="6"/>
    <x v="4"/>
    <x v="0"/>
    <n v="2"/>
    <n v="1800"/>
    <n v="2124"/>
    <x v="249"/>
    <n v="3540.32"/>
    <x v="1092"/>
    <n v="70771.680000000008"/>
    <n v="3600"/>
    <n v="-1.6857233244452479"/>
    <x v="6"/>
    <x v="2"/>
  </r>
  <r>
    <s v="ORD11125"/>
    <d v="2025-07-15T00:00:00"/>
    <x v="6"/>
    <x v="6"/>
    <x v="4"/>
    <x v="0"/>
    <n v="7"/>
    <n v="1800"/>
    <n v="2124"/>
    <x v="27"/>
    <n v="14273.28"/>
    <x v="201"/>
    <n v="59472"/>
    <n v="12600"/>
    <n v="11.723163841807908"/>
    <x v="6"/>
    <x v="1"/>
  </r>
  <r>
    <s v="ORD10659"/>
    <d v="2025-07-16T00:00:00"/>
    <x v="13"/>
    <x v="13"/>
    <x v="6"/>
    <x v="1"/>
    <n v="8"/>
    <n v="900"/>
    <n v="1170"/>
    <x v="9"/>
    <n v="9360"/>
    <x v="1093"/>
    <n v="0"/>
    <n v="7200"/>
    <n v="23.076923076923077"/>
    <x v="6"/>
    <x v="1"/>
  </r>
  <r>
    <s v="ORD11763"/>
    <d v="2025-07-16T00:00:00"/>
    <x v="17"/>
    <x v="17"/>
    <x v="0"/>
    <x v="3"/>
    <n v="9"/>
    <n v="8500"/>
    <n v="9520"/>
    <x v="842"/>
    <n v="76655.210000000006"/>
    <x v="1094"/>
    <n v="902210.39999999991"/>
    <n v="76500"/>
    <n v="0.20247808335532574"/>
    <x v="6"/>
    <x v="0"/>
  </r>
  <r>
    <s v="ORD11979"/>
    <d v="2025-07-16T00:00:00"/>
    <x v="12"/>
    <x v="12"/>
    <x v="2"/>
    <x v="1"/>
    <n v="4"/>
    <n v="6500"/>
    <n v="8125"/>
    <x v="843"/>
    <n v="28942.36"/>
    <x v="1095"/>
    <n v="355875"/>
    <n v="26000"/>
    <n v="10.166275314107073"/>
    <x v="6"/>
    <x v="1"/>
  </r>
  <r>
    <s v="ORD10472"/>
    <d v="2025-07-17T00:00:00"/>
    <x v="4"/>
    <x v="4"/>
    <x v="3"/>
    <x v="2"/>
    <n v="2"/>
    <n v="180"/>
    <n v="243"/>
    <x v="840"/>
    <n v="423.11"/>
    <x v="1096"/>
    <n v="6288.84"/>
    <n v="360"/>
    <n v="14.915742951005647"/>
    <x v="6"/>
    <x v="1"/>
  </r>
  <r>
    <s v="ORD10477"/>
    <d v="2025-07-17T00:00:00"/>
    <x v="7"/>
    <x v="7"/>
    <x v="5"/>
    <x v="2"/>
    <n v="7"/>
    <n v="300"/>
    <n v="405"/>
    <x v="269"/>
    <n v="2463.64"/>
    <x v="1097"/>
    <n v="37138.5"/>
    <n v="2100"/>
    <n v="14.760273416570602"/>
    <x v="6"/>
    <x v="1"/>
  </r>
  <r>
    <s v="ORD10495"/>
    <d v="2025-07-17T00:00:00"/>
    <x v="6"/>
    <x v="6"/>
    <x v="4"/>
    <x v="0"/>
    <n v="6"/>
    <n v="1800"/>
    <n v="2124"/>
    <x v="844"/>
    <n v="10860.66"/>
    <x v="1098"/>
    <n v="188356.31999999998"/>
    <n v="10800"/>
    <n v="0.55852959212423559"/>
    <x v="6"/>
    <x v="0"/>
  </r>
  <r>
    <s v="ORD10602"/>
    <d v="2025-07-17T00:00:00"/>
    <x v="14"/>
    <x v="14"/>
    <x v="3"/>
    <x v="3"/>
    <n v="5"/>
    <n v="1200"/>
    <n v="1464"/>
    <x v="760"/>
    <n v="6589.03"/>
    <x v="1099"/>
    <n v="73126.8"/>
    <n v="6000"/>
    <n v="8.9395555946778202"/>
    <x v="6"/>
    <x v="0"/>
  </r>
  <r>
    <s v="ORD11406"/>
    <d v="2025-07-17T00:00:00"/>
    <x v="13"/>
    <x v="13"/>
    <x v="6"/>
    <x v="1"/>
    <n v="3"/>
    <n v="900"/>
    <n v="1170"/>
    <x v="845"/>
    <n v="2982.28"/>
    <x v="1100"/>
    <n v="52755.299999999996"/>
    <n v="2700"/>
    <n v="9.465241358960256"/>
    <x v="6"/>
    <x v="0"/>
  </r>
  <r>
    <s v="ORD11888"/>
    <d v="2025-07-17T00:00:00"/>
    <x v="10"/>
    <x v="10"/>
    <x v="4"/>
    <x v="1"/>
    <n v="4"/>
    <n v="3200"/>
    <n v="3840"/>
    <x v="297"/>
    <n v="13301.83"/>
    <x v="1101"/>
    <n v="205824"/>
    <n v="12800"/>
    <n v="3.7726388023302055"/>
    <x v="6"/>
    <x v="0"/>
  </r>
  <r>
    <s v="ORD10568"/>
    <d v="2025-07-18T00:00:00"/>
    <x v="3"/>
    <x v="3"/>
    <x v="2"/>
    <x v="3"/>
    <n v="7"/>
    <n v="4500"/>
    <n v="5220"/>
    <x v="644"/>
    <n v="32593.72"/>
    <x v="1102"/>
    <n v="394632"/>
    <n v="31500"/>
    <n v="3.3556157443826602"/>
    <x v="6"/>
    <x v="0"/>
  </r>
  <r>
    <s v="ORD11580"/>
    <d v="2025-07-18T00:00:00"/>
    <x v="13"/>
    <x v="13"/>
    <x v="6"/>
    <x v="1"/>
    <n v="10"/>
    <n v="900"/>
    <n v="1170"/>
    <x v="846"/>
    <n v="9192"/>
    <x v="1103"/>
    <n v="250848.00000000003"/>
    <n v="9000"/>
    <n v="2.0887728459530028"/>
    <x v="6"/>
    <x v="0"/>
  </r>
  <r>
    <s v="ORD11773"/>
    <d v="2025-07-18T00:00:00"/>
    <x v="4"/>
    <x v="4"/>
    <x v="3"/>
    <x v="3"/>
    <n v="3"/>
    <n v="180"/>
    <n v="243"/>
    <x v="752"/>
    <n v="641.01"/>
    <x v="1104"/>
    <n v="8799.0300000000007"/>
    <n v="540"/>
    <n v="15.757944493845653"/>
    <x v="6"/>
    <x v="1"/>
  </r>
  <r>
    <s v="ORD10233"/>
    <d v="2025-07-19T00:00:00"/>
    <x v="9"/>
    <x v="9"/>
    <x v="2"/>
    <x v="1"/>
    <n v="5"/>
    <n v="3000"/>
    <n v="3600"/>
    <x v="847"/>
    <n v="15306.78"/>
    <x v="1105"/>
    <n v="269280"/>
    <n v="15000"/>
    <n v="2.0042098991427326"/>
    <x v="6"/>
    <x v="0"/>
  </r>
  <r>
    <s v="ORD10243"/>
    <d v="2025-07-19T00:00:00"/>
    <x v="8"/>
    <x v="8"/>
    <x v="2"/>
    <x v="2"/>
    <n v="3"/>
    <n v="900"/>
    <n v="1170"/>
    <x v="848"/>
    <n v="2690.25"/>
    <x v="1106"/>
    <n v="81958.5"/>
    <n v="2700"/>
    <n v="-0.36241984945637024"/>
    <x v="6"/>
    <x v="2"/>
  </r>
  <r>
    <s v="ORD10766"/>
    <d v="2025-07-20T00:00:00"/>
    <x v="10"/>
    <x v="10"/>
    <x v="4"/>
    <x v="2"/>
    <n v="10"/>
    <n v="3200"/>
    <n v="3840"/>
    <x v="849"/>
    <n v="35887.620000000003"/>
    <x v="1107"/>
    <n v="251136"/>
    <n v="32000"/>
    <n v="10.832760712468533"/>
    <x v="6"/>
    <x v="1"/>
  </r>
  <r>
    <s v="ORD10820"/>
    <d v="2025-07-20T00:00:00"/>
    <x v="2"/>
    <x v="2"/>
    <x v="0"/>
    <x v="1"/>
    <n v="1"/>
    <n v="6500"/>
    <n v="7150"/>
    <x v="850"/>
    <n v="6838.42"/>
    <x v="1108"/>
    <n v="31174.000000000004"/>
    <n v="6500"/>
    <n v="4.9488039634886425"/>
    <x v="6"/>
    <x v="0"/>
  </r>
  <r>
    <s v="ORD10874"/>
    <d v="2025-07-20T00:00:00"/>
    <x v="11"/>
    <x v="11"/>
    <x v="0"/>
    <x v="1"/>
    <n v="1"/>
    <n v="900"/>
    <n v="1152"/>
    <x v="513"/>
    <n v="1082.23"/>
    <x v="1109"/>
    <n v="6981.12"/>
    <n v="900"/>
    <n v="16.838380011642627"/>
    <x v="6"/>
    <x v="1"/>
  </r>
  <r>
    <s v="ORD11021"/>
    <d v="2025-07-20T00:00:00"/>
    <x v="2"/>
    <x v="2"/>
    <x v="0"/>
    <x v="3"/>
    <n v="8"/>
    <n v="6500"/>
    <n v="7150"/>
    <x v="249"/>
    <n v="47671.13"/>
    <x v="1110"/>
    <n v="952952"/>
    <n v="52000"/>
    <n v="-9.0806951712703263"/>
    <x v="6"/>
    <x v="2"/>
  </r>
  <r>
    <s v="ORD11127"/>
    <d v="2025-07-20T00:00:00"/>
    <x v="10"/>
    <x v="10"/>
    <x v="4"/>
    <x v="2"/>
    <n v="2"/>
    <n v="3200"/>
    <n v="3840"/>
    <x v="851"/>
    <n v="5758.93"/>
    <x v="1111"/>
    <n v="192076.80000000002"/>
    <n v="6400"/>
    <n v="-11.131755378169208"/>
    <x v="6"/>
    <x v="2"/>
  </r>
  <r>
    <s v="ORD11285"/>
    <d v="2025-07-20T00:00:00"/>
    <x v="12"/>
    <x v="12"/>
    <x v="2"/>
    <x v="2"/>
    <n v="8"/>
    <n v="6500"/>
    <n v="8125"/>
    <x v="852"/>
    <n v="52350.63"/>
    <x v="1112"/>
    <n v="1264900"/>
    <n v="52000"/>
    <n v="0.66977226444075266"/>
    <x v="6"/>
    <x v="0"/>
  </r>
  <r>
    <s v="ORD11427"/>
    <d v="2025-07-20T00:00:00"/>
    <x v="19"/>
    <x v="19"/>
    <x v="0"/>
    <x v="3"/>
    <n v="7"/>
    <n v="350"/>
    <n v="455"/>
    <x v="853"/>
    <n v="3103.6"/>
    <x v="1113"/>
    <n v="8153.6"/>
    <n v="2450"/>
    <n v="21.059414873050653"/>
    <x v="6"/>
    <x v="1"/>
  </r>
  <r>
    <s v="ORD10417"/>
    <d v="2025-07-21T00:00:00"/>
    <x v="15"/>
    <x v="15"/>
    <x v="0"/>
    <x v="0"/>
    <n v="4"/>
    <n v="550"/>
    <n v="742.5"/>
    <x v="854"/>
    <n v="2932.85"/>
    <x v="1114"/>
    <n v="3712.5"/>
    <n v="2200"/>
    <n v="24.987640008865096"/>
    <x v="6"/>
    <x v="1"/>
  </r>
  <r>
    <s v="ORD11014"/>
    <d v="2025-07-21T00:00:00"/>
    <x v="14"/>
    <x v="14"/>
    <x v="3"/>
    <x v="1"/>
    <n v="3"/>
    <n v="1200"/>
    <n v="1464"/>
    <x v="9"/>
    <n v="4392"/>
    <x v="59"/>
    <n v="0"/>
    <n v="3600"/>
    <n v="18.032786885245901"/>
    <x v="6"/>
    <x v="1"/>
  </r>
  <r>
    <s v="ORD11086"/>
    <d v="2025-07-21T00:00:00"/>
    <x v="9"/>
    <x v="9"/>
    <x v="2"/>
    <x v="2"/>
    <n v="4"/>
    <n v="3000"/>
    <n v="3600"/>
    <x v="50"/>
    <n v="12127.56"/>
    <x v="1115"/>
    <n v="227232"/>
    <n v="12000"/>
    <n v="1.0518191623047011"/>
    <x v="6"/>
    <x v="0"/>
  </r>
  <r>
    <s v="ORD11624"/>
    <d v="2025-07-21T00:00:00"/>
    <x v="18"/>
    <x v="18"/>
    <x v="1"/>
    <x v="0"/>
    <n v="9"/>
    <n v="80"/>
    <n v="116"/>
    <x v="855"/>
    <n v="898.73"/>
    <x v="1116"/>
    <n v="14522.04"/>
    <n v="720"/>
    <n v="19.886951587239771"/>
    <x v="6"/>
    <x v="1"/>
  </r>
  <r>
    <s v="ORD11859"/>
    <d v="2025-07-21T00:00:00"/>
    <x v="7"/>
    <x v="7"/>
    <x v="5"/>
    <x v="3"/>
    <n v="6"/>
    <n v="300"/>
    <n v="405"/>
    <x v="450"/>
    <n v="1998.72"/>
    <x v="1117"/>
    <n v="43132.5"/>
    <n v="1800"/>
    <n v="9.9423631123919307"/>
    <x v="6"/>
    <x v="0"/>
  </r>
  <r>
    <s v="ORD11997"/>
    <d v="2025-07-21T00:00:00"/>
    <x v="17"/>
    <x v="17"/>
    <x v="0"/>
    <x v="0"/>
    <n v="1"/>
    <n v="8500"/>
    <n v="9520"/>
    <x v="455"/>
    <n v="7925.35"/>
    <x v="1118"/>
    <n v="159460"/>
    <n v="8500"/>
    <n v="-7.250783877052748"/>
    <x v="6"/>
    <x v="2"/>
  </r>
  <r>
    <s v="ORD10228"/>
    <d v="2025-07-22T00:00:00"/>
    <x v="18"/>
    <x v="18"/>
    <x v="1"/>
    <x v="2"/>
    <n v="4"/>
    <n v="80"/>
    <n v="116"/>
    <x v="856"/>
    <n v="387.18"/>
    <x v="1119"/>
    <n v="7683.8399999999992"/>
    <n v="320"/>
    <n v="17.351102846221398"/>
    <x v="6"/>
    <x v="1"/>
  </r>
  <r>
    <s v="ORD10332"/>
    <d v="2025-07-22T00:00:00"/>
    <x v="3"/>
    <x v="3"/>
    <x v="2"/>
    <x v="2"/>
    <n v="6"/>
    <n v="4500"/>
    <n v="5220"/>
    <x v="770"/>
    <n v="28048.33"/>
    <x v="1120"/>
    <n v="327294"/>
    <n v="27000"/>
    <n v="3.7375843766812493"/>
    <x v="6"/>
    <x v="0"/>
  </r>
  <r>
    <s v="ORD10565"/>
    <d v="2025-07-22T00:00:00"/>
    <x v="18"/>
    <x v="18"/>
    <x v="1"/>
    <x v="1"/>
    <n v="4"/>
    <n v="80"/>
    <n v="116"/>
    <x v="319"/>
    <n v="378.06"/>
    <x v="1121"/>
    <n v="8593.2800000000007"/>
    <n v="320"/>
    <n v="15.357350685076444"/>
    <x v="6"/>
    <x v="1"/>
  </r>
  <r>
    <s v="ORD10841"/>
    <d v="2025-07-22T00:00:00"/>
    <x v="7"/>
    <x v="7"/>
    <x v="5"/>
    <x v="1"/>
    <n v="9"/>
    <n v="300"/>
    <n v="405"/>
    <x v="857"/>
    <n v="3172.6"/>
    <x v="1122"/>
    <n v="47239.200000000004"/>
    <n v="2700"/>
    <n v="14.896299565025531"/>
    <x v="6"/>
    <x v="1"/>
  </r>
  <r>
    <s v="ORD11213"/>
    <d v="2025-07-22T00:00:00"/>
    <x v="5"/>
    <x v="5"/>
    <x v="3"/>
    <x v="1"/>
    <n v="2"/>
    <n v="2500"/>
    <n v="2875"/>
    <x v="467"/>
    <n v="5348.2"/>
    <x v="1123"/>
    <n v="40192.5"/>
    <n v="5000"/>
    <n v="6.5106016977674734"/>
    <x v="6"/>
    <x v="0"/>
  </r>
  <r>
    <s v="ORD11754"/>
    <d v="2025-07-22T00:00:00"/>
    <x v="10"/>
    <x v="10"/>
    <x v="4"/>
    <x v="0"/>
    <n v="1"/>
    <n v="3200"/>
    <n v="3840"/>
    <x v="858"/>
    <n v="2923.68"/>
    <x v="1124"/>
    <n v="91622.399999999994"/>
    <n v="3200"/>
    <n v="-9.451102719859902"/>
    <x v="6"/>
    <x v="2"/>
  </r>
  <r>
    <s v="ORD11094"/>
    <d v="2025-07-23T00:00:00"/>
    <x v="2"/>
    <x v="2"/>
    <x v="0"/>
    <x v="2"/>
    <n v="9"/>
    <n v="6500"/>
    <n v="7150"/>
    <x v="859"/>
    <n v="53106.35"/>
    <x v="1125"/>
    <n v="1124194.5"/>
    <n v="58500"/>
    <n v="-10.1563184063676"/>
    <x v="6"/>
    <x v="2"/>
  </r>
  <r>
    <s v="ORD11255"/>
    <d v="2025-07-23T00:00:00"/>
    <x v="8"/>
    <x v="8"/>
    <x v="2"/>
    <x v="3"/>
    <n v="8"/>
    <n v="900"/>
    <n v="1170"/>
    <x v="860"/>
    <n v="7728.23"/>
    <x v="1126"/>
    <n v="163144.79999999999"/>
    <n v="7200"/>
    <n v="6.8350709023929159"/>
    <x v="6"/>
    <x v="0"/>
  </r>
  <r>
    <s v="ORD11374"/>
    <d v="2025-07-23T00:00:00"/>
    <x v="16"/>
    <x v="16"/>
    <x v="0"/>
    <x v="0"/>
    <n v="8"/>
    <n v="1100"/>
    <n v="1298"/>
    <x v="861"/>
    <n v="8278.2999999999993"/>
    <x v="1127"/>
    <n v="210587.52000000002"/>
    <n v="8800"/>
    <n v="-6.3020185303745953"/>
    <x v="6"/>
    <x v="2"/>
  </r>
  <r>
    <s v="ORD11940"/>
    <d v="2025-07-23T00:00:00"/>
    <x v="16"/>
    <x v="16"/>
    <x v="0"/>
    <x v="0"/>
    <n v="8"/>
    <n v="1100"/>
    <n v="1298"/>
    <x v="33"/>
    <n v="9693.0499999999993"/>
    <x v="1128"/>
    <n v="69053.600000000006"/>
    <n v="8800"/>
    <n v="9.2133023145449577"/>
    <x v="6"/>
    <x v="0"/>
  </r>
  <r>
    <s v="ORD10545"/>
    <d v="2025-07-24T00:00:00"/>
    <x v="15"/>
    <x v="15"/>
    <x v="0"/>
    <x v="3"/>
    <n v="1"/>
    <n v="550"/>
    <n v="742.5"/>
    <x v="862"/>
    <n v="695.15"/>
    <x v="1004"/>
    <n v="4737.1499999999996"/>
    <n v="550"/>
    <n v="20.880385528303243"/>
    <x v="6"/>
    <x v="1"/>
  </r>
  <r>
    <s v="ORD11362"/>
    <d v="2025-07-24T00:00:00"/>
    <x v="3"/>
    <x v="3"/>
    <x v="2"/>
    <x v="0"/>
    <n v="10"/>
    <n v="4500"/>
    <n v="5220"/>
    <x v="863"/>
    <n v="47627.55"/>
    <x v="1129"/>
    <n v="457272"/>
    <n v="45000"/>
    <n v="5.5168699628681299"/>
    <x v="6"/>
    <x v="0"/>
  </r>
  <r>
    <s v="ORD11560"/>
    <d v="2025-07-24T00:00:00"/>
    <x v="19"/>
    <x v="19"/>
    <x v="0"/>
    <x v="2"/>
    <n v="5"/>
    <n v="350"/>
    <n v="455"/>
    <x v="237"/>
    <n v="2036.06"/>
    <x v="1130"/>
    <n v="23887.5"/>
    <n v="1750"/>
    <n v="14.049684193982495"/>
    <x v="6"/>
    <x v="1"/>
  </r>
  <r>
    <s v="ORD10086"/>
    <d v="2025-07-25T00:00:00"/>
    <x v="11"/>
    <x v="11"/>
    <x v="0"/>
    <x v="3"/>
    <n v="4"/>
    <n v="900"/>
    <n v="1152"/>
    <x v="864"/>
    <n v="4003.75"/>
    <x v="1131"/>
    <n v="60410.879999999997"/>
    <n v="3600"/>
    <n v="10.084295972525757"/>
    <x v="6"/>
    <x v="1"/>
  </r>
  <r>
    <s v="ORD10824"/>
    <d v="2025-07-25T00:00:00"/>
    <x v="7"/>
    <x v="7"/>
    <x v="5"/>
    <x v="3"/>
    <n v="1"/>
    <n v="300"/>
    <n v="405"/>
    <x v="865"/>
    <n v="335.41"/>
    <x v="1132"/>
    <n v="6957.9"/>
    <n v="300"/>
    <n v="10.557228466652752"/>
    <x v="6"/>
    <x v="1"/>
  </r>
  <r>
    <s v="ORD11735"/>
    <d v="2025-07-25T00:00:00"/>
    <x v="16"/>
    <x v="16"/>
    <x v="0"/>
    <x v="0"/>
    <n v="9"/>
    <n v="1100"/>
    <n v="1298"/>
    <x v="364"/>
    <n v="11219.85"/>
    <x v="1133"/>
    <n v="46260.72"/>
    <n v="9900"/>
    <n v="11.763526250350939"/>
    <x v="6"/>
    <x v="1"/>
  </r>
  <r>
    <s v="ORD11845"/>
    <d v="2025-07-25T00:00:00"/>
    <x v="7"/>
    <x v="7"/>
    <x v="5"/>
    <x v="2"/>
    <n v="9"/>
    <n v="300"/>
    <n v="405"/>
    <x v="490"/>
    <n v="3204.15"/>
    <x v="1134"/>
    <n v="44068.05"/>
    <n v="2700"/>
    <n v="15.734282102897804"/>
    <x v="6"/>
    <x v="1"/>
  </r>
  <r>
    <s v="ORD11952"/>
    <d v="2025-07-25T00:00:00"/>
    <x v="14"/>
    <x v="14"/>
    <x v="3"/>
    <x v="2"/>
    <n v="4"/>
    <n v="1200"/>
    <n v="1464"/>
    <x v="866"/>
    <n v="5231.7"/>
    <x v="1135"/>
    <n v="62424.959999999999"/>
    <n v="4800"/>
    <n v="8.2516199323355703"/>
    <x v="6"/>
    <x v="0"/>
  </r>
  <r>
    <s v="ORD10790"/>
    <d v="2025-07-26T00:00:00"/>
    <x v="9"/>
    <x v="9"/>
    <x v="2"/>
    <x v="3"/>
    <n v="3"/>
    <n v="3000"/>
    <n v="3600"/>
    <x v="867"/>
    <n v="9706.5"/>
    <x v="1136"/>
    <n v="109295.99999999999"/>
    <n v="9000"/>
    <n v="7.2786277236903105"/>
    <x v="6"/>
    <x v="0"/>
  </r>
  <r>
    <s v="ORD10011"/>
    <d v="2025-07-27T00:00:00"/>
    <x v="8"/>
    <x v="8"/>
    <x v="2"/>
    <x v="2"/>
    <n v="4"/>
    <n v="900"/>
    <n v="1170"/>
    <x v="868"/>
    <n v="3805.32"/>
    <x v="1137"/>
    <n v="87469.200000000012"/>
    <n v="3600"/>
    <n v="5.3956040490681465"/>
    <x v="6"/>
    <x v="0"/>
  </r>
  <r>
    <s v="ORD11243"/>
    <d v="2025-07-27T00:00:00"/>
    <x v="14"/>
    <x v="14"/>
    <x v="3"/>
    <x v="3"/>
    <n v="10"/>
    <n v="1200"/>
    <n v="1464"/>
    <x v="869"/>
    <n v="12584.1"/>
    <x v="1138"/>
    <n v="205545.59999999998"/>
    <n v="12000"/>
    <n v="4.6415715069015668"/>
    <x v="6"/>
    <x v="0"/>
  </r>
  <r>
    <s v="ORD11540"/>
    <d v="2025-07-27T00:00:00"/>
    <x v="13"/>
    <x v="13"/>
    <x v="6"/>
    <x v="0"/>
    <n v="3"/>
    <n v="900"/>
    <n v="1170"/>
    <x v="231"/>
    <n v="3137.68"/>
    <x v="1139"/>
    <n v="37241.1"/>
    <n v="2700"/>
    <n v="13.949159888835064"/>
    <x v="6"/>
    <x v="1"/>
  </r>
  <r>
    <s v="ORD10394"/>
    <d v="2025-07-28T00:00:00"/>
    <x v="0"/>
    <x v="0"/>
    <x v="0"/>
    <x v="0"/>
    <n v="1"/>
    <n v="500"/>
    <n v="610"/>
    <x v="870"/>
    <n v="572.02"/>
    <x v="1140"/>
    <n v="3800.3"/>
    <n v="500"/>
    <n v="12.590468864725009"/>
    <x v="6"/>
    <x v="1"/>
  </r>
  <r>
    <s v="ORD11384"/>
    <d v="2025-07-28T00:00:00"/>
    <x v="11"/>
    <x v="11"/>
    <x v="0"/>
    <x v="1"/>
    <n v="4"/>
    <n v="900"/>
    <n v="1152"/>
    <x v="871"/>
    <n v="3656.22"/>
    <x v="1141"/>
    <n v="95201.279999999999"/>
    <n v="3600"/>
    <n v="1.5376536422862959"/>
    <x v="6"/>
    <x v="0"/>
  </r>
  <r>
    <s v="ORD11635"/>
    <d v="2025-07-28T00:00:00"/>
    <x v="16"/>
    <x v="16"/>
    <x v="0"/>
    <x v="2"/>
    <n v="10"/>
    <n v="1100"/>
    <n v="1298"/>
    <x v="363"/>
    <n v="12209.62"/>
    <x v="1142"/>
    <n v="77101.200000000012"/>
    <n v="11000"/>
    <n v="9.9071060360600889"/>
    <x v="6"/>
    <x v="0"/>
  </r>
  <r>
    <s v="ORD10673"/>
    <d v="2025-07-29T00:00:00"/>
    <x v="15"/>
    <x v="15"/>
    <x v="0"/>
    <x v="3"/>
    <n v="6"/>
    <n v="550"/>
    <n v="742.5"/>
    <x v="547"/>
    <n v="4200.37"/>
    <x v="1143"/>
    <n v="25482.6"/>
    <n v="3300"/>
    <n v="21.435492587557764"/>
    <x v="6"/>
    <x v="1"/>
  </r>
  <r>
    <s v="ORD10791"/>
    <d v="2025-07-29T00:00:00"/>
    <x v="0"/>
    <x v="0"/>
    <x v="0"/>
    <x v="2"/>
    <n v="7"/>
    <n v="500"/>
    <n v="610"/>
    <x v="872"/>
    <n v="3671.75"/>
    <x v="1144"/>
    <n v="59822.7"/>
    <n v="3500"/>
    <n v="4.6776060461632731"/>
    <x v="6"/>
    <x v="0"/>
  </r>
  <r>
    <s v="ORD10917"/>
    <d v="2025-07-29T00:00:00"/>
    <x v="17"/>
    <x v="17"/>
    <x v="0"/>
    <x v="3"/>
    <n v="9"/>
    <n v="8500"/>
    <n v="9520"/>
    <x v="27"/>
    <n v="82252.800000000003"/>
    <x v="1145"/>
    <n v="342720"/>
    <n v="76500"/>
    <n v="6.9940476190476195"/>
    <x v="6"/>
    <x v="0"/>
  </r>
  <r>
    <s v="ORD11018"/>
    <d v="2025-07-29T00:00:00"/>
    <x v="2"/>
    <x v="2"/>
    <x v="0"/>
    <x v="0"/>
    <n v="9"/>
    <n v="6500"/>
    <n v="7150"/>
    <x v="724"/>
    <n v="55257.73"/>
    <x v="1146"/>
    <n v="909265.5"/>
    <n v="58500"/>
    <n v="-5.8675410662001495"/>
    <x v="6"/>
    <x v="2"/>
  </r>
  <r>
    <s v="ORD11447"/>
    <d v="2025-07-29T00:00:00"/>
    <x v="1"/>
    <x v="1"/>
    <x v="1"/>
    <x v="3"/>
    <n v="7"/>
    <n v="45"/>
    <n v="63"/>
    <x v="873"/>
    <n v="379.26"/>
    <x v="1147"/>
    <n v="6174"/>
    <n v="315"/>
    <n v="16.943521594684388"/>
    <x v="6"/>
    <x v="1"/>
  </r>
  <r>
    <s v="ORD11622"/>
    <d v="2025-07-29T00:00:00"/>
    <x v="5"/>
    <x v="5"/>
    <x v="3"/>
    <x v="0"/>
    <n v="9"/>
    <n v="2500"/>
    <n v="2875"/>
    <x v="874"/>
    <n v="24982.58"/>
    <x v="1148"/>
    <n v="89268.75"/>
    <n v="22500"/>
    <n v="9.9372442718085949"/>
    <x v="6"/>
    <x v="0"/>
  </r>
  <r>
    <s v="ORD11957"/>
    <d v="2025-07-29T00:00:00"/>
    <x v="4"/>
    <x v="4"/>
    <x v="3"/>
    <x v="2"/>
    <n v="7"/>
    <n v="180"/>
    <n v="243"/>
    <x v="760"/>
    <n v="1531.06"/>
    <x v="1149"/>
    <n v="16992.990000000002"/>
    <n v="1260"/>
    <n v="17.704074301464345"/>
    <x v="6"/>
    <x v="1"/>
  </r>
  <r>
    <s v="ORD10256"/>
    <d v="2025-07-30T00:00:00"/>
    <x v="15"/>
    <x v="15"/>
    <x v="0"/>
    <x v="0"/>
    <n v="8"/>
    <n v="550"/>
    <n v="742.5"/>
    <x v="875"/>
    <n v="4765.16"/>
    <x v="1150"/>
    <n v="117493.20000000001"/>
    <n v="4400"/>
    <n v="7.6631214901493339"/>
    <x v="6"/>
    <x v="0"/>
  </r>
  <r>
    <s v="ORD10403"/>
    <d v="2025-07-30T00:00:00"/>
    <x v="5"/>
    <x v="5"/>
    <x v="3"/>
    <x v="1"/>
    <n v="4"/>
    <n v="2500"/>
    <n v="2875"/>
    <x v="876"/>
    <n v="10460.23"/>
    <x v="1151"/>
    <n v="103959.99999999999"/>
    <n v="10000"/>
    <n v="4.3998076524129974"/>
    <x v="6"/>
    <x v="0"/>
  </r>
  <r>
    <s v="ORD10445"/>
    <d v="2025-07-30T00:00:00"/>
    <x v="10"/>
    <x v="10"/>
    <x v="4"/>
    <x v="0"/>
    <n v="3"/>
    <n v="3200"/>
    <n v="3840"/>
    <x v="616"/>
    <n v="9727.2999999999993"/>
    <x v="1152"/>
    <n v="179251.20000000001"/>
    <n v="9600"/>
    <n v="1.3086879195665808"/>
    <x v="6"/>
    <x v="0"/>
  </r>
  <r>
    <s v="ORD10726"/>
    <d v="2025-07-30T00:00:00"/>
    <x v="4"/>
    <x v="4"/>
    <x v="3"/>
    <x v="2"/>
    <n v="6"/>
    <n v="180"/>
    <n v="243"/>
    <x v="98"/>
    <n v="1257.5899999999999"/>
    <x v="1153"/>
    <n v="20047.5"/>
    <n v="1080"/>
    <n v="14.121454528105346"/>
    <x v="6"/>
    <x v="1"/>
  </r>
  <r>
    <s v="ORD11430"/>
    <d v="2025-07-30T00:00:00"/>
    <x v="9"/>
    <x v="9"/>
    <x v="2"/>
    <x v="2"/>
    <n v="9"/>
    <n v="3000"/>
    <n v="3600"/>
    <x v="877"/>
    <n v="25788.73"/>
    <x v="1154"/>
    <n v="661284"/>
    <n v="27000"/>
    <n v="-4.6968966676528856"/>
    <x v="6"/>
    <x v="2"/>
  </r>
  <r>
    <s v="ORD10760"/>
    <d v="2025-07-31T00:00:00"/>
    <x v="10"/>
    <x v="10"/>
    <x v="4"/>
    <x v="3"/>
    <n v="8"/>
    <n v="3200"/>
    <n v="3840"/>
    <x v="878"/>
    <n v="25571.09"/>
    <x v="1155"/>
    <n v="514867.20000000007"/>
    <n v="25600"/>
    <n v="-0.11305736282653575"/>
    <x v="6"/>
    <x v="2"/>
  </r>
  <r>
    <s v="ORD11828"/>
    <d v="2025-07-31T00:00:00"/>
    <x v="11"/>
    <x v="11"/>
    <x v="0"/>
    <x v="2"/>
    <n v="4"/>
    <n v="900"/>
    <n v="1152"/>
    <x v="362"/>
    <n v="3767.64"/>
    <x v="1156"/>
    <n v="84049.919999999998"/>
    <n v="3600"/>
    <n v="4.4494696945568046"/>
    <x v="6"/>
    <x v="0"/>
  </r>
  <r>
    <s v="ORD10183"/>
    <d v="2025-08-01T00:00:00"/>
    <x v="13"/>
    <x v="13"/>
    <x v="6"/>
    <x v="3"/>
    <n v="3"/>
    <n v="900"/>
    <n v="1170"/>
    <x v="256"/>
    <n v="3158.83"/>
    <x v="1157"/>
    <n v="35100"/>
    <n v="2700"/>
    <n v="14.525314752614102"/>
    <x v="7"/>
    <x v="1"/>
  </r>
  <r>
    <s v="ORD10185"/>
    <d v="2025-08-01T00:00:00"/>
    <x v="17"/>
    <x v="17"/>
    <x v="0"/>
    <x v="3"/>
    <n v="5"/>
    <n v="8500"/>
    <n v="9520"/>
    <x v="879"/>
    <n v="35366.29"/>
    <x v="1158"/>
    <n v="1223320"/>
    <n v="42500"/>
    <n v="-20.170931132442789"/>
    <x v="7"/>
    <x v="2"/>
  </r>
  <r>
    <s v="ORD10309"/>
    <d v="2025-08-01T00:00:00"/>
    <x v="19"/>
    <x v="19"/>
    <x v="0"/>
    <x v="1"/>
    <n v="7"/>
    <n v="350"/>
    <n v="455"/>
    <x v="79"/>
    <n v="2944.89"/>
    <x v="1159"/>
    <n v="24014.9"/>
    <n v="2450"/>
    <n v="16.805041954028844"/>
    <x v="7"/>
    <x v="1"/>
  </r>
  <r>
    <s v="ORD10344"/>
    <d v="2025-08-01T00:00:00"/>
    <x v="8"/>
    <x v="8"/>
    <x v="2"/>
    <x v="1"/>
    <n v="2"/>
    <n v="900"/>
    <n v="1170"/>
    <x v="699"/>
    <n v="2243.98"/>
    <x v="1160"/>
    <n v="9594"/>
    <n v="1800"/>
    <n v="19.785381331384418"/>
    <x v="7"/>
    <x v="1"/>
  </r>
  <r>
    <s v="ORD10532"/>
    <d v="2025-08-01T00:00:00"/>
    <x v="7"/>
    <x v="7"/>
    <x v="5"/>
    <x v="2"/>
    <n v="1"/>
    <n v="300"/>
    <n v="405"/>
    <x v="880"/>
    <n v="381.26"/>
    <x v="1161"/>
    <n v="2373.3000000000002"/>
    <n v="300"/>
    <n v="21.313539317001524"/>
    <x v="7"/>
    <x v="1"/>
  </r>
  <r>
    <s v="ORD10637"/>
    <d v="2025-08-01T00:00:00"/>
    <x v="10"/>
    <x v="10"/>
    <x v="4"/>
    <x v="3"/>
    <n v="1"/>
    <n v="3200"/>
    <n v="3840"/>
    <x v="881"/>
    <n v="3346.75"/>
    <x v="1162"/>
    <n v="49305.599999999999"/>
    <n v="3200"/>
    <n v="4.3848509748263247"/>
    <x v="7"/>
    <x v="0"/>
  </r>
  <r>
    <s v="ORD10730"/>
    <d v="2025-08-01T00:00:00"/>
    <x v="4"/>
    <x v="4"/>
    <x v="3"/>
    <x v="0"/>
    <n v="2"/>
    <n v="180"/>
    <n v="243"/>
    <x v="427"/>
    <n v="401.84"/>
    <x v="1163"/>
    <n v="8417.52"/>
    <n v="360"/>
    <n v="10.412104320127415"/>
    <x v="7"/>
    <x v="1"/>
  </r>
  <r>
    <s v="ORD11041"/>
    <d v="2025-08-01T00:00:00"/>
    <x v="4"/>
    <x v="4"/>
    <x v="3"/>
    <x v="1"/>
    <n v="10"/>
    <n v="180"/>
    <n v="243"/>
    <x v="882"/>
    <n v="2082.1799999999998"/>
    <x v="1164"/>
    <n v="34773.300000000003"/>
    <n v="1800"/>
    <n v="13.552142466069217"/>
    <x v="7"/>
    <x v="1"/>
  </r>
  <r>
    <s v="ORD11417"/>
    <d v="2025-08-01T00:00:00"/>
    <x v="10"/>
    <x v="10"/>
    <x v="4"/>
    <x v="3"/>
    <n v="6"/>
    <n v="3200"/>
    <n v="3840"/>
    <x v="883"/>
    <n v="21688.17"/>
    <x v="1165"/>
    <n v="135244.79999999999"/>
    <n v="19200"/>
    <n v="11.472475547729477"/>
    <x v="7"/>
    <x v="1"/>
  </r>
  <r>
    <s v="ORD11852"/>
    <d v="2025-08-01T00:00:00"/>
    <x v="0"/>
    <x v="0"/>
    <x v="0"/>
    <x v="0"/>
    <n v="5"/>
    <n v="500"/>
    <n v="610"/>
    <x v="884"/>
    <n v="2836.25"/>
    <x v="1166"/>
    <n v="21380.5"/>
    <n v="2500"/>
    <n v="11.855442926399295"/>
    <x v="7"/>
    <x v="1"/>
  </r>
  <r>
    <s v="ORD10232"/>
    <d v="2025-08-02T00:00:00"/>
    <x v="9"/>
    <x v="9"/>
    <x v="2"/>
    <x v="3"/>
    <n v="8"/>
    <n v="3000"/>
    <n v="3600"/>
    <x v="885"/>
    <n v="22744.34"/>
    <x v="1167"/>
    <n v="605664"/>
    <n v="24000"/>
    <n v="-5.5207581314735892"/>
    <x v="7"/>
    <x v="2"/>
  </r>
  <r>
    <s v="ORD10634"/>
    <d v="2025-08-02T00:00:00"/>
    <x v="15"/>
    <x v="15"/>
    <x v="0"/>
    <x v="0"/>
    <n v="2"/>
    <n v="550"/>
    <n v="742.5"/>
    <x v="886"/>
    <n v="1469.04"/>
    <x v="1168"/>
    <n v="1603.8000000000002"/>
    <n v="1100"/>
    <n v="25.121167565212659"/>
    <x v="7"/>
    <x v="1"/>
  </r>
  <r>
    <s v="ORD10639"/>
    <d v="2025-08-02T00:00:00"/>
    <x v="15"/>
    <x v="15"/>
    <x v="0"/>
    <x v="1"/>
    <n v="7"/>
    <n v="550"/>
    <n v="742.5"/>
    <x v="887"/>
    <n v="4262.88"/>
    <x v="1169"/>
    <n v="93451.05"/>
    <n v="3850"/>
    <n v="9.6854708553841533"/>
    <x v="7"/>
    <x v="0"/>
  </r>
  <r>
    <s v="ORD10915"/>
    <d v="2025-08-02T00:00:00"/>
    <x v="12"/>
    <x v="12"/>
    <x v="2"/>
    <x v="1"/>
    <n v="6"/>
    <n v="6500"/>
    <n v="8125"/>
    <x v="188"/>
    <n v="46492.73"/>
    <x v="1170"/>
    <n v="225712.5"/>
    <n v="39000"/>
    <n v="16.115917477850836"/>
    <x v="7"/>
    <x v="1"/>
  </r>
  <r>
    <s v="ORD11166"/>
    <d v="2025-08-02T00:00:00"/>
    <x v="11"/>
    <x v="11"/>
    <x v="0"/>
    <x v="3"/>
    <n v="6"/>
    <n v="900"/>
    <n v="1152"/>
    <x v="143"/>
    <n v="6336.32"/>
    <x v="1171"/>
    <n v="57576.959999999999"/>
    <n v="5400"/>
    <n v="14.777031463057423"/>
    <x v="7"/>
    <x v="1"/>
  </r>
  <r>
    <s v="ORD11247"/>
    <d v="2025-08-02T00:00:00"/>
    <x v="6"/>
    <x v="6"/>
    <x v="4"/>
    <x v="3"/>
    <n v="1"/>
    <n v="1800"/>
    <n v="2124"/>
    <x v="888"/>
    <n v="1620.6"/>
    <x v="1172"/>
    <n v="50338.799999999996"/>
    <n v="1800"/>
    <n v="-11.069974083672715"/>
    <x v="7"/>
    <x v="2"/>
  </r>
  <r>
    <s v="ORD11342"/>
    <d v="2025-08-02T00:00:00"/>
    <x v="4"/>
    <x v="4"/>
    <x v="3"/>
    <x v="3"/>
    <n v="8"/>
    <n v="180"/>
    <n v="243"/>
    <x v="889"/>
    <n v="1901.05"/>
    <x v="1173"/>
    <n v="4296.24"/>
    <n v="1440"/>
    <n v="24.252386838852214"/>
    <x v="7"/>
    <x v="1"/>
  </r>
  <r>
    <s v="ORD11382"/>
    <d v="2025-08-02T00:00:00"/>
    <x v="10"/>
    <x v="10"/>
    <x v="4"/>
    <x v="2"/>
    <n v="9"/>
    <n v="3200"/>
    <n v="3840"/>
    <x v="459"/>
    <n v="31380.61"/>
    <x v="1174"/>
    <n v="317952"/>
    <n v="28800"/>
    <n v="8.223581377162521"/>
    <x v="7"/>
    <x v="0"/>
  </r>
  <r>
    <s v="ORD11552"/>
    <d v="2025-08-02T00:00:00"/>
    <x v="3"/>
    <x v="3"/>
    <x v="2"/>
    <x v="0"/>
    <n v="6"/>
    <n v="4500"/>
    <n v="5220"/>
    <x v="890"/>
    <n v="29014.91"/>
    <x v="1175"/>
    <n v="230515.20000000001"/>
    <n v="27000"/>
    <n v="6.9443951402916646"/>
    <x v="7"/>
    <x v="0"/>
  </r>
  <r>
    <s v="ORD11867"/>
    <d v="2025-08-02T00:00:00"/>
    <x v="13"/>
    <x v="13"/>
    <x v="6"/>
    <x v="2"/>
    <n v="10"/>
    <n v="900"/>
    <n v="1170"/>
    <x v="891"/>
    <n v="10851.44"/>
    <x v="1176"/>
    <n v="84825"/>
    <n v="9000"/>
    <n v="17.061698723856004"/>
    <x v="7"/>
    <x v="1"/>
  </r>
  <r>
    <s v="ORD11978"/>
    <d v="2025-08-02T00:00:00"/>
    <x v="18"/>
    <x v="18"/>
    <x v="1"/>
    <x v="3"/>
    <n v="8"/>
    <n v="80"/>
    <n v="116"/>
    <x v="591"/>
    <n v="842.69"/>
    <x v="1177"/>
    <n v="8528.32"/>
    <n v="640"/>
    <n v="24.052735881522267"/>
    <x v="7"/>
    <x v="1"/>
  </r>
  <r>
    <s v="ORD10815"/>
    <d v="2025-08-03T00:00:00"/>
    <x v="7"/>
    <x v="7"/>
    <x v="5"/>
    <x v="2"/>
    <n v="3"/>
    <n v="300"/>
    <n v="405"/>
    <x v="892"/>
    <n v="1206.21"/>
    <x v="1178"/>
    <n v="874.8"/>
    <n v="900"/>
    <n v="25.386126793841868"/>
    <x v="7"/>
    <x v="1"/>
  </r>
  <r>
    <s v="ORD10992"/>
    <d v="2025-08-03T00:00:00"/>
    <x v="18"/>
    <x v="18"/>
    <x v="1"/>
    <x v="2"/>
    <n v="3"/>
    <n v="80"/>
    <n v="116"/>
    <x v="893"/>
    <n v="314.57"/>
    <x v="1179"/>
    <n v="3344.2799999999997"/>
    <n v="240"/>
    <n v="23.705375592078074"/>
    <x v="7"/>
    <x v="1"/>
  </r>
  <r>
    <s v="ORD11324"/>
    <d v="2025-08-03T00:00:00"/>
    <x v="13"/>
    <x v="13"/>
    <x v="6"/>
    <x v="1"/>
    <n v="1"/>
    <n v="900"/>
    <n v="1170"/>
    <x v="894"/>
    <n v="1154.52"/>
    <x v="1180"/>
    <n v="1544.4"/>
    <n v="900"/>
    <n v="22.045525413158717"/>
    <x v="7"/>
    <x v="1"/>
  </r>
  <r>
    <s v="ORD11987"/>
    <d v="2025-08-03T00:00:00"/>
    <x v="17"/>
    <x v="17"/>
    <x v="0"/>
    <x v="2"/>
    <n v="4"/>
    <n v="8500"/>
    <n v="9520"/>
    <x v="27"/>
    <n v="36556.800000000003"/>
    <x v="160"/>
    <n v="152320"/>
    <n v="34000"/>
    <n v="6.9940476190476195"/>
    <x v="7"/>
    <x v="0"/>
  </r>
  <r>
    <s v="ORD11989"/>
    <d v="2025-08-03T00:00:00"/>
    <x v="14"/>
    <x v="14"/>
    <x v="3"/>
    <x v="0"/>
    <n v="8"/>
    <n v="1200"/>
    <n v="1464"/>
    <x v="895"/>
    <n v="9896.6200000000008"/>
    <x v="1181"/>
    <n v="181536"/>
    <n v="9600"/>
    <n v="2.9971848974700452"/>
    <x v="7"/>
    <x v="0"/>
  </r>
  <r>
    <s v="ORD10074"/>
    <d v="2025-08-04T00:00:00"/>
    <x v="3"/>
    <x v="3"/>
    <x v="2"/>
    <x v="3"/>
    <n v="10"/>
    <n v="4500"/>
    <n v="5220"/>
    <x v="896"/>
    <n v="49449.25"/>
    <x v="1182"/>
    <n v="275094"/>
    <n v="45000"/>
    <n v="8.9976086593831042"/>
    <x v="7"/>
    <x v="0"/>
  </r>
  <r>
    <s v="ORD10430"/>
    <d v="2025-08-04T00:00:00"/>
    <x v="7"/>
    <x v="7"/>
    <x v="5"/>
    <x v="0"/>
    <n v="9"/>
    <n v="300"/>
    <n v="405"/>
    <x v="897"/>
    <n v="3179.95"/>
    <x v="1183"/>
    <n v="46510.2"/>
    <n v="2700"/>
    <n v="15.093004606990675"/>
    <x v="7"/>
    <x v="1"/>
  </r>
  <r>
    <s v="ORD10731"/>
    <d v="2025-08-04T00:00:00"/>
    <x v="11"/>
    <x v="11"/>
    <x v="0"/>
    <x v="0"/>
    <n v="2"/>
    <n v="900"/>
    <n v="1152"/>
    <x v="489"/>
    <n v="2128.33"/>
    <x v="1184"/>
    <n v="17556.48"/>
    <n v="1800"/>
    <n v="15.426649062880285"/>
    <x v="7"/>
    <x v="1"/>
  </r>
  <r>
    <s v="ORD10877"/>
    <d v="2025-08-04T00:00:00"/>
    <x v="5"/>
    <x v="5"/>
    <x v="3"/>
    <x v="3"/>
    <n v="5"/>
    <n v="2500"/>
    <n v="2875"/>
    <x v="898"/>
    <n v="14056.29"/>
    <x v="1185"/>
    <n v="31912.500000000004"/>
    <n v="12500"/>
    <n v="11.071840435847582"/>
    <x v="7"/>
    <x v="1"/>
  </r>
  <r>
    <s v="ORD11212"/>
    <d v="2025-08-04T00:00:00"/>
    <x v="9"/>
    <x v="9"/>
    <x v="2"/>
    <x v="1"/>
    <n v="10"/>
    <n v="3000"/>
    <n v="3600"/>
    <x v="291"/>
    <n v="31161.75"/>
    <x v="1186"/>
    <n v="483840"/>
    <n v="30000"/>
    <n v="3.7281282341331918"/>
    <x v="7"/>
    <x v="0"/>
  </r>
  <r>
    <s v="ORD11462"/>
    <d v="2025-08-04T00:00:00"/>
    <x v="3"/>
    <x v="3"/>
    <x v="2"/>
    <x v="2"/>
    <n v="1"/>
    <n v="4500"/>
    <n v="5220"/>
    <x v="752"/>
    <n v="4590.13"/>
    <x v="1187"/>
    <n v="63005.4"/>
    <n v="4500"/>
    <n v="1.9635609448969853"/>
    <x v="7"/>
    <x v="0"/>
  </r>
  <r>
    <s v="ORD11596"/>
    <d v="2025-08-04T00:00:00"/>
    <x v="13"/>
    <x v="13"/>
    <x v="6"/>
    <x v="2"/>
    <n v="10"/>
    <n v="900"/>
    <n v="1170"/>
    <x v="899"/>
    <n v="10768.11"/>
    <x v="1188"/>
    <n v="93132"/>
    <n v="9000"/>
    <n v="16.419873125367403"/>
    <x v="7"/>
    <x v="1"/>
  </r>
  <r>
    <s v="ORD11699"/>
    <d v="2025-08-04T00:00:00"/>
    <x v="1"/>
    <x v="1"/>
    <x v="1"/>
    <x v="0"/>
    <n v="7"/>
    <n v="45"/>
    <n v="63"/>
    <x v="452"/>
    <n v="402.51"/>
    <x v="1189"/>
    <n v="3849.9300000000003"/>
    <n v="315"/>
    <n v="21.741074755906688"/>
    <x v="7"/>
    <x v="1"/>
  </r>
  <r>
    <s v="ORD11928"/>
    <d v="2025-08-04T00:00:00"/>
    <x v="1"/>
    <x v="1"/>
    <x v="1"/>
    <x v="2"/>
    <n v="7"/>
    <n v="45"/>
    <n v="63"/>
    <x v="556"/>
    <n v="392.03"/>
    <x v="1190"/>
    <n v="4895.0999999999995"/>
    <n v="315"/>
    <n v="19.649006453587738"/>
    <x v="7"/>
    <x v="1"/>
  </r>
  <r>
    <s v="ORD10281"/>
    <d v="2025-08-05T00:00:00"/>
    <x v="9"/>
    <x v="9"/>
    <x v="2"/>
    <x v="2"/>
    <n v="10"/>
    <n v="3000"/>
    <n v="3600"/>
    <x v="900"/>
    <n v="29498.15"/>
    <x v="1191"/>
    <n v="650160"/>
    <n v="30000"/>
    <n v="-1.7012931319421727"/>
    <x v="7"/>
    <x v="2"/>
  </r>
  <r>
    <s v="ORD10544"/>
    <d v="2025-08-05T00:00:00"/>
    <x v="12"/>
    <x v="12"/>
    <x v="2"/>
    <x v="2"/>
    <n v="10"/>
    <n v="6500"/>
    <n v="8125"/>
    <x v="499"/>
    <n v="71626.19"/>
    <x v="1192"/>
    <n v="962000"/>
    <n v="65000"/>
    <n v="9.2510714307154966"/>
    <x v="7"/>
    <x v="0"/>
  </r>
  <r>
    <s v="ORD11413"/>
    <d v="2025-08-05T00:00:00"/>
    <x v="14"/>
    <x v="14"/>
    <x v="3"/>
    <x v="2"/>
    <n v="2"/>
    <n v="1200"/>
    <n v="1464"/>
    <x v="901"/>
    <n v="2300.96"/>
    <x v="1193"/>
    <n v="62717.760000000002"/>
    <n v="2400"/>
    <n v="-4.3042903831444264"/>
    <x v="7"/>
    <x v="2"/>
  </r>
  <r>
    <s v="ORD11550"/>
    <d v="2025-08-05T00:00:00"/>
    <x v="7"/>
    <x v="7"/>
    <x v="5"/>
    <x v="2"/>
    <n v="7"/>
    <n v="300"/>
    <n v="405"/>
    <x v="902"/>
    <n v="2728.84"/>
    <x v="1194"/>
    <n v="10602.900000000001"/>
    <n v="2100"/>
    <n v="23.044223919321031"/>
    <x v="7"/>
    <x v="1"/>
  </r>
  <r>
    <s v="ORD11879"/>
    <d v="2025-08-05T00:00:00"/>
    <x v="3"/>
    <x v="3"/>
    <x v="2"/>
    <x v="2"/>
    <n v="7"/>
    <n v="4500"/>
    <n v="5220"/>
    <x v="903"/>
    <n v="32269.040000000001"/>
    <x v="1195"/>
    <n v="427152.6"/>
    <n v="31500"/>
    <n v="2.3832131355627557"/>
    <x v="7"/>
    <x v="0"/>
  </r>
  <r>
    <s v="ORD10579"/>
    <d v="2025-08-06T00:00:00"/>
    <x v="8"/>
    <x v="8"/>
    <x v="2"/>
    <x v="1"/>
    <n v="2"/>
    <n v="900"/>
    <n v="1170"/>
    <x v="744"/>
    <n v="2212.2800000000002"/>
    <x v="1196"/>
    <n v="12776.4"/>
    <n v="1800"/>
    <n v="18.635977362720809"/>
    <x v="7"/>
    <x v="1"/>
  </r>
  <r>
    <s v="ORD10739"/>
    <d v="2025-08-06T00:00:00"/>
    <x v="6"/>
    <x v="6"/>
    <x v="4"/>
    <x v="2"/>
    <n v="9"/>
    <n v="1800"/>
    <n v="2124"/>
    <x v="748"/>
    <n v="16429.599999999999"/>
    <x v="1197"/>
    <n v="268579.8"/>
    <n v="16200"/>
    <n v="1.397477723133856"/>
    <x v="7"/>
    <x v="0"/>
  </r>
  <r>
    <s v="ORD10921"/>
    <d v="2025-08-06T00:00:00"/>
    <x v="0"/>
    <x v="0"/>
    <x v="0"/>
    <x v="1"/>
    <n v="3"/>
    <n v="500"/>
    <n v="610"/>
    <x v="904"/>
    <n v="1568.33"/>
    <x v="1198"/>
    <n v="26169"/>
    <n v="1500"/>
    <n v="4.3568636702734764"/>
    <x v="7"/>
    <x v="0"/>
  </r>
  <r>
    <s v="ORD11411"/>
    <d v="2025-08-06T00:00:00"/>
    <x v="13"/>
    <x v="13"/>
    <x v="6"/>
    <x v="2"/>
    <n v="10"/>
    <n v="900"/>
    <n v="1170"/>
    <x v="286"/>
    <n v="9992.17"/>
    <x v="1199"/>
    <n v="170820"/>
    <n v="9000"/>
    <n v="9.9294747787517625"/>
    <x v="7"/>
    <x v="0"/>
  </r>
  <r>
    <s v="ORD11563"/>
    <d v="2025-08-06T00:00:00"/>
    <x v="18"/>
    <x v="18"/>
    <x v="1"/>
    <x v="1"/>
    <n v="3"/>
    <n v="80"/>
    <n v="116"/>
    <x v="9"/>
    <n v="348"/>
    <x v="579"/>
    <n v="0"/>
    <n v="240"/>
    <n v="31.03448275862069"/>
    <x v="7"/>
    <x v="1"/>
  </r>
  <r>
    <s v="ORD12000"/>
    <d v="2025-08-06T00:00:00"/>
    <x v="19"/>
    <x v="19"/>
    <x v="0"/>
    <x v="3"/>
    <n v="2"/>
    <n v="350"/>
    <n v="455"/>
    <x v="181"/>
    <n v="816.11"/>
    <x v="1200"/>
    <n v="9391.2000000000007"/>
    <n v="700"/>
    <n v="14.227248777738295"/>
    <x v="7"/>
    <x v="1"/>
  </r>
  <r>
    <s v="ORD10174"/>
    <d v="2025-08-07T00:00:00"/>
    <x v="19"/>
    <x v="19"/>
    <x v="0"/>
    <x v="3"/>
    <n v="5"/>
    <n v="350"/>
    <n v="455"/>
    <x v="905"/>
    <n v="1789.66"/>
    <x v="1201"/>
    <n v="48525.749999999993"/>
    <n v="1750"/>
    <n v="2.2160633863415393"/>
    <x v="7"/>
    <x v="0"/>
  </r>
  <r>
    <s v="ORD10384"/>
    <d v="2025-08-07T00:00:00"/>
    <x v="16"/>
    <x v="16"/>
    <x v="0"/>
    <x v="2"/>
    <n v="2"/>
    <n v="1100"/>
    <n v="1298"/>
    <x v="906"/>
    <n v="2166.3000000000002"/>
    <x v="1202"/>
    <n v="42963.8"/>
    <n v="2200"/>
    <n v="-1.5556478788718091"/>
    <x v="7"/>
    <x v="2"/>
  </r>
  <r>
    <s v="ORD10796"/>
    <d v="2025-08-07T00:00:00"/>
    <x v="8"/>
    <x v="8"/>
    <x v="2"/>
    <x v="2"/>
    <n v="6"/>
    <n v="900"/>
    <n v="1170"/>
    <x v="590"/>
    <n v="6352.06"/>
    <x v="1203"/>
    <n v="66760.2"/>
    <n v="5400"/>
    <n v="14.98820854966735"/>
    <x v="7"/>
    <x v="1"/>
  </r>
  <r>
    <s v="ORD11218"/>
    <d v="2025-08-07T00:00:00"/>
    <x v="17"/>
    <x v="17"/>
    <x v="0"/>
    <x v="3"/>
    <n v="5"/>
    <n v="8500"/>
    <n v="9520"/>
    <x v="907"/>
    <n v="38767.129999999997"/>
    <x v="1204"/>
    <n v="883455.99999999988"/>
    <n v="42500"/>
    <n v="-9.6289562833255911"/>
    <x v="7"/>
    <x v="2"/>
  </r>
  <r>
    <s v="ORD10268"/>
    <d v="2025-08-08T00:00:00"/>
    <x v="7"/>
    <x v="7"/>
    <x v="5"/>
    <x v="2"/>
    <n v="2"/>
    <n v="300"/>
    <n v="405"/>
    <x v="908"/>
    <n v="770.24"/>
    <x v="1205"/>
    <n v="3977.1"/>
    <n v="600"/>
    <n v="22.102201911092649"/>
    <x v="7"/>
    <x v="1"/>
  </r>
  <r>
    <s v="ORD10536"/>
    <d v="2025-08-08T00:00:00"/>
    <x v="12"/>
    <x v="12"/>
    <x v="2"/>
    <x v="2"/>
    <n v="6"/>
    <n v="6500"/>
    <n v="8125"/>
    <x v="909"/>
    <n v="35721.040000000001"/>
    <x v="1206"/>
    <n v="1303087.5"/>
    <n v="39000"/>
    <n v="-9.1793520009495797"/>
    <x v="7"/>
    <x v="2"/>
  </r>
  <r>
    <s v="ORD10538"/>
    <d v="2025-08-08T00:00:00"/>
    <x v="10"/>
    <x v="10"/>
    <x v="4"/>
    <x v="3"/>
    <n v="8"/>
    <n v="3200"/>
    <n v="3840"/>
    <x v="845"/>
    <n v="26103.27"/>
    <x v="1207"/>
    <n v="461721.59999999998"/>
    <n v="25600"/>
    <n v="1.9279959943715861"/>
    <x v="7"/>
    <x v="0"/>
  </r>
  <r>
    <s v="ORD10685"/>
    <d v="2025-08-08T00:00:00"/>
    <x v="16"/>
    <x v="16"/>
    <x v="0"/>
    <x v="1"/>
    <n v="9"/>
    <n v="1100"/>
    <n v="1298"/>
    <x v="31"/>
    <n v="10172.83"/>
    <x v="1208"/>
    <n v="150931.44"/>
    <n v="9900"/>
    <n v="2.6819478945386876"/>
    <x v="7"/>
    <x v="0"/>
  </r>
  <r>
    <s v="ORD10155"/>
    <d v="2025-08-09T00:00:00"/>
    <x v="5"/>
    <x v="5"/>
    <x v="3"/>
    <x v="0"/>
    <n v="6"/>
    <n v="2500"/>
    <n v="2875"/>
    <x v="910"/>
    <n v="17113.07"/>
    <x v="1209"/>
    <n v="13627.5"/>
    <n v="15000"/>
    <n v="12.347696818864179"/>
    <x v="7"/>
    <x v="1"/>
  </r>
  <r>
    <s v="ORD10207"/>
    <d v="2025-08-09T00:00:00"/>
    <x v="15"/>
    <x v="15"/>
    <x v="0"/>
    <x v="0"/>
    <n v="1"/>
    <n v="550"/>
    <n v="742.5"/>
    <x v="911"/>
    <n v="697.7"/>
    <x v="1210"/>
    <n v="4477.2750000000005"/>
    <n v="550"/>
    <n v="21.169557116239069"/>
    <x v="7"/>
    <x v="1"/>
  </r>
  <r>
    <s v="ORD10427"/>
    <d v="2025-08-09T00:00:00"/>
    <x v="13"/>
    <x v="13"/>
    <x v="6"/>
    <x v="1"/>
    <n v="8"/>
    <n v="900"/>
    <n v="1170"/>
    <x v="617"/>
    <n v="7997.24"/>
    <x v="1211"/>
    <n v="136281.60000000001"/>
    <n v="7200"/>
    <n v="9.9689392840529987"/>
    <x v="7"/>
    <x v="0"/>
  </r>
  <r>
    <s v="ORD11329"/>
    <d v="2025-08-09T00:00:00"/>
    <x v="17"/>
    <x v="17"/>
    <x v="0"/>
    <x v="2"/>
    <n v="6"/>
    <n v="8500"/>
    <n v="9520"/>
    <x v="912"/>
    <n v="44952.62"/>
    <x v="1212"/>
    <n v="1216656"/>
    <n v="51000"/>
    <n v="-13.45278651166495"/>
    <x v="7"/>
    <x v="2"/>
  </r>
  <r>
    <s v="ORD11761"/>
    <d v="2025-08-09T00:00:00"/>
    <x v="15"/>
    <x v="15"/>
    <x v="0"/>
    <x v="2"/>
    <n v="9"/>
    <n v="550"/>
    <n v="742.5"/>
    <x v="913"/>
    <n v="6638.02"/>
    <x v="1213"/>
    <n v="4477.2750000000005"/>
    <n v="4950"/>
    <n v="25.429570866011247"/>
    <x v="7"/>
    <x v="1"/>
  </r>
  <r>
    <s v="ORD11786"/>
    <d v="2025-08-09T00:00:00"/>
    <x v="6"/>
    <x v="6"/>
    <x v="4"/>
    <x v="1"/>
    <n v="4"/>
    <n v="1800"/>
    <n v="2124"/>
    <x v="914"/>
    <n v="7690.5"/>
    <x v="1214"/>
    <n v="80542.080000000002"/>
    <n v="7200"/>
    <n v="6.3779988297249863"/>
    <x v="7"/>
    <x v="0"/>
  </r>
  <r>
    <s v="ORD10316"/>
    <d v="2025-08-10T00:00:00"/>
    <x v="12"/>
    <x v="12"/>
    <x v="2"/>
    <x v="0"/>
    <n v="9"/>
    <n v="6500"/>
    <n v="8125"/>
    <x v="915"/>
    <n v="58734.34"/>
    <x v="1215"/>
    <n v="1439100"/>
    <n v="58500"/>
    <n v="0.3989829459222663"/>
    <x v="7"/>
    <x v="0"/>
  </r>
  <r>
    <s v="ORD10845"/>
    <d v="2025-08-10T00:00:00"/>
    <x v="19"/>
    <x v="19"/>
    <x v="0"/>
    <x v="0"/>
    <n v="10"/>
    <n v="350"/>
    <n v="455"/>
    <x v="916"/>
    <n v="4429.92"/>
    <x v="1216"/>
    <n v="12012"/>
    <n v="3500"/>
    <n v="20.991801206342327"/>
    <x v="7"/>
    <x v="1"/>
  </r>
  <r>
    <s v="ORD11263"/>
    <d v="2025-08-10T00:00:00"/>
    <x v="15"/>
    <x v="15"/>
    <x v="0"/>
    <x v="1"/>
    <n v="6"/>
    <n v="550"/>
    <n v="742.5"/>
    <x v="917"/>
    <n v="3936.13"/>
    <x v="1217"/>
    <n v="51900.75"/>
    <n v="3300"/>
    <n v="16.161305647933375"/>
    <x v="7"/>
    <x v="1"/>
  </r>
  <r>
    <s v="ORD11526"/>
    <d v="2025-08-10T00:00:00"/>
    <x v="18"/>
    <x v="18"/>
    <x v="1"/>
    <x v="2"/>
    <n v="2"/>
    <n v="80"/>
    <n v="116"/>
    <x v="148"/>
    <n v="180.55"/>
    <x v="1218"/>
    <n v="5145.76"/>
    <n v="160"/>
    <n v="11.381888673497647"/>
    <x v="7"/>
    <x v="1"/>
  </r>
  <r>
    <s v="ORD11627"/>
    <d v="2025-08-10T00:00:00"/>
    <x v="5"/>
    <x v="5"/>
    <x v="3"/>
    <x v="2"/>
    <n v="6"/>
    <n v="2500"/>
    <n v="2875"/>
    <x v="918"/>
    <n v="15031.28"/>
    <x v="1219"/>
    <n v="221835"/>
    <n v="15000"/>
    <n v="0.20809937676631662"/>
    <x v="7"/>
    <x v="0"/>
  </r>
  <r>
    <s v="ORD10270"/>
    <d v="2025-08-11T00:00:00"/>
    <x v="6"/>
    <x v="6"/>
    <x v="4"/>
    <x v="2"/>
    <n v="6"/>
    <n v="1800"/>
    <n v="2124"/>
    <x v="126"/>
    <n v="10851.45"/>
    <x v="1220"/>
    <n v="189248.4"/>
    <n v="10800"/>
    <n v="0.47413018536693252"/>
    <x v="7"/>
    <x v="0"/>
  </r>
  <r>
    <s v="ORD10400"/>
    <d v="2025-08-11T00:00:00"/>
    <x v="19"/>
    <x v="19"/>
    <x v="0"/>
    <x v="3"/>
    <n v="1"/>
    <n v="350"/>
    <n v="455"/>
    <x v="9"/>
    <n v="455"/>
    <x v="549"/>
    <n v="0"/>
    <n v="350"/>
    <n v="23.076923076923077"/>
    <x v="7"/>
    <x v="1"/>
  </r>
  <r>
    <s v="ORD10709"/>
    <d v="2025-08-11T00:00:00"/>
    <x v="14"/>
    <x v="14"/>
    <x v="3"/>
    <x v="0"/>
    <n v="1"/>
    <n v="1200"/>
    <n v="1464"/>
    <x v="146"/>
    <n v="1289.67"/>
    <x v="1221"/>
    <n v="17436.240000000002"/>
    <n v="1200"/>
    <n v="6.9529414501384075"/>
    <x v="7"/>
    <x v="0"/>
  </r>
  <r>
    <s v="ORD11045"/>
    <d v="2025-08-11T00:00:00"/>
    <x v="0"/>
    <x v="0"/>
    <x v="0"/>
    <x v="3"/>
    <n v="10"/>
    <n v="500"/>
    <n v="610"/>
    <x v="21"/>
    <n v="5462.99"/>
    <x v="1222"/>
    <n v="63684"/>
    <n v="5000"/>
    <n v="8.4750292422281568"/>
    <x v="7"/>
    <x v="0"/>
  </r>
  <r>
    <s v="ORD11626"/>
    <d v="2025-08-11T00:00:00"/>
    <x v="1"/>
    <x v="1"/>
    <x v="1"/>
    <x v="3"/>
    <n v="7"/>
    <n v="45"/>
    <n v="63"/>
    <x v="919"/>
    <n v="366.91"/>
    <x v="1223"/>
    <n v="7408.8"/>
    <n v="315"/>
    <n v="14.147883677196042"/>
    <x v="7"/>
    <x v="1"/>
  </r>
  <r>
    <s v="ORD10331"/>
    <d v="2025-08-12T00:00:00"/>
    <x v="5"/>
    <x v="5"/>
    <x v="3"/>
    <x v="3"/>
    <n v="2"/>
    <n v="2500"/>
    <n v="2875"/>
    <x v="920"/>
    <n v="5304.6"/>
    <x v="1224"/>
    <n v="44562.5"/>
    <n v="5000"/>
    <n v="5.7421860272216563"/>
    <x v="7"/>
    <x v="0"/>
  </r>
  <r>
    <s v="ORD10377"/>
    <d v="2025-08-12T00:00:00"/>
    <x v="16"/>
    <x v="16"/>
    <x v="0"/>
    <x v="0"/>
    <n v="10"/>
    <n v="1100"/>
    <n v="1298"/>
    <x v="921"/>
    <n v="12058.72"/>
    <x v="1225"/>
    <n v="92158"/>
    <n v="11000"/>
    <n v="8.7797046452691507"/>
    <x v="7"/>
    <x v="0"/>
  </r>
  <r>
    <s v="ORD11133"/>
    <d v="2025-08-12T00:00:00"/>
    <x v="1"/>
    <x v="1"/>
    <x v="1"/>
    <x v="2"/>
    <n v="1"/>
    <n v="45"/>
    <n v="63"/>
    <x v="922"/>
    <n v="62.99"/>
    <x v="1226"/>
    <n v="0.63"/>
    <n v="45"/>
    <n v="28.560088903000473"/>
    <x v="7"/>
    <x v="1"/>
  </r>
  <r>
    <s v="ORD11530"/>
    <d v="2025-08-12T00:00:00"/>
    <x v="8"/>
    <x v="8"/>
    <x v="2"/>
    <x v="3"/>
    <n v="1"/>
    <n v="900"/>
    <n v="1170"/>
    <x v="9"/>
    <n v="1170"/>
    <x v="239"/>
    <n v="0"/>
    <n v="900"/>
    <n v="23.076923076923077"/>
    <x v="7"/>
    <x v="1"/>
  </r>
  <r>
    <s v="ORD11614"/>
    <d v="2025-08-12T00:00:00"/>
    <x v="0"/>
    <x v="0"/>
    <x v="0"/>
    <x v="3"/>
    <n v="4"/>
    <n v="500"/>
    <n v="610"/>
    <x v="528"/>
    <n v="2278.63"/>
    <x v="1227"/>
    <n v="16128.400000000001"/>
    <n v="2000"/>
    <n v="12.227961538292744"/>
    <x v="7"/>
    <x v="1"/>
  </r>
  <r>
    <s v="ORD10793"/>
    <d v="2025-08-13T00:00:00"/>
    <x v="18"/>
    <x v="18"/>
    <x v="1"/>
    <x v="3"/>
    <n v="6"/>
    <n v="80"/>
    <n v="116"/>
    <x v="35"/>
    <n v="594.88"/>
    <x v="1228"/>
    <n v="10112.879999999999"/>
    <n v="480"/>
    <n v="19.311457772996235"/>
    <x v="7"/>
    <x v="1"/>
  </r>
  <r>
    <s v="ORD11006"/>
    <d v="2025-08-13T00:00:00"/>
    <x v="7"/>
    <x v="7"/>
    <x v="5"/>
    <x v="2"/>
    <n v="6"/>
    <n v="300"/>
    <n v="405"/>
    <x v="923"/>
    <n v="2083.2600000000002"/>
    <x v="1229"/>
    <n v="34676.1"/>
    <n v="1800"/>
    <n v="13.596958612943174"/>
    <x v="7"/>
    <x v="1"/>
  </r>
  <r>
    <s v="ORD11232"/>
    <d v="2025-08-13T00:00:00"/>
    <x v="3"/>
    <x v="3"/>
    <x v="2"/>
    <x v="3"/>
    <n v="7"/>
    <n v="4500"/>
    <n v="5220"/>
    <x v="924"/>
    <n v="28799.73"/>
    <x v="1230"/>
    <n v="773917.2"/>
    <n v="31500"/>
    <n v="-9.3760254002381274"/>
    <x v="7"/>
    <x v="2"/>
  </r>
  <r>
    <s v="ORD11549"/>
    <d v="2025-08-13T00:00:00"/>
    <x v="4"/>
    <x v="4"/>
    <x v="3"/>
    <x v="2"/>
    <n v="6"/>
    <n v="180"/>
    <n v="243"/>
    <x v="302"/>
    <n v="1312.75"/>
    <x v="1231"/>
    <n v="14521.680000000002"/>
    <n v="1080"/>
    <n v="17.72995619881927"/>
    <x v="7"/>
    <x v="1"/>
  </r>
  <r>
    <s v="ORD10042"/>
    <d v="2025-08-14T00:00:00"/>
    <x v="12"/>
    <x v="12"/>
    <x v="2"/>
    <x v="1"/>
    <n v="6"/>
    <n v="6500"/>
    <n v="8125"/>
    <x v="925"/>
    <n v="43215.7"/>
    <x v="1232"/>
    <n v="553312.5"/>
    <n v="39000"/>
    <n v="9.7550195877886985"/>
    <x v="7"/>
    <x v="0"/>
  </r>
  <r>
    <s v="ORD10297"/>
    <d v="2025-08-14T00:00:00"/>
    <x v="2"/>
    <x v="2"/>
    <x v="0"/>
    <x v="3"/>
    <n v="6"/>
    <n v="6500"/>
    <n v="7150"/>
    <x v="926"/>
    <n v="38529.199999999997"/>
    <x v="1233"/>
    <n v="437151"/>
    <n v="39000"/>
    <n v="-1.2219303800753716"/>
    <x v="7"/>
    <x v="2"/>
  </r>
  <r>
    <s v="ORD10732"/>
    <d v="2025-08-14T00:00:00"/>
    <x v="2"/>
    <x v="2"/>
    <x v="0"/>
    <x v="3"/>
    <n v="5"/>
    <n v="6500"/>
    <n v="7150"/>
    <x v="857"/>
    <n v="31115.22"/>
    <x v="1234"/>
    <n v="463320.00000000006"/>
    <n v="32500"/>
    <n v="-4.4504907887522567"/>
    <x v="7"/>
    <x v="2"/>
  </r>
  <r>
    <s v="ORD11559"/>
    <d v="2025-08-14T00:00:00"/>
    <x v="15"/>
    <x v="15"/>
    <x v="0"/>
    <x v="1"/>
    <n v="7"/>
    <n v="550"/>
    <n v="742.5"/>
    <x v="927"/>
    <n v="5110.03"/>
    <x v="1235"/>
    <n v="8731.7999999999993"/>
    <n v="3850"/>
    <n v="24.657976567652245"/>
    <x v="7"/>
    <x v="1"/>
  </r>
  <r>
    <s v="ORD11612"/>
    <d v="2025-08-14T00:00:00"/>
    <x v="5"/>
    <x v="5"/>
    <x v="3"/>
    <x v="0"/>
    <n v="7"/>
    <n v="2500"/>
    <n v="2875"/>
    <x v="928"/>
    <n v="17424.68"/>
    <x v="1236"/>
    <n v="270077.5"/>
    <n v="17500"/>
    <n v="-0.43226044897237709"/>
    <x v="7"/>
    <x v="2"/>
  </r>
  <r>
    <s v="ORD10205"/>
    <d v="2025-08-15T00:00:00"/>
    <x v="2"/>
    <x v="2"/>
    <x v="0"/>
    <x v="3"/>
    <n v="7"/>
    <n v="6500"/>
    <n v="7150"/>
    <x v="27"/>
    <n v="48048"/>
    <x v="873"/>
    <n v="200200"/>
    <n v="45500"/>
    <n v="5.3030303030303028"/>
    <x v="7"/>
    <x v="0"/>
  </r>
  <r>
    <s v="ORD10411"/>
    <d v="2025-08-15T00:00:00"/>
    <x v="4"/>
    <x v="4"/>
    <x v="3"/>
    <x v="3"/>
    <n v="7"/>
    <n v="180"/>
    <n v="243"/>
    <x v="929"/>
    <n v="1558.5"/>
    <x v="1237"/>
    <n v="14254.380000000001"/>
    <n v="1260"/>
    <n v="19.153031761308949"/>
    <x v="7"/>
    <x v="1"/>
  </r>
  <r>
    <s v="ORD10653"/>
    <d v="2025-08-15T00:00:00"/>
    <x v="9"/>
    <x v="9"/>
    <x v="2"/>
    <x v="3"/>
    <n v="3"/>
    <n v="3000"/>
    <n v="3600"/>
    <x v="930"/>
    <n v="8981.2800000000007"/>
    <x v="1238"/>
    <n v="181872"/>
    <n v="9000"/>
    <n v="-0.20843354176687509"/>
    <x v="7"/>
    <x v="2"/>
  </r>
  <r>
    <s v="ORD10722"/>
    <d v="2025-08-15T00:00:00"/>
    <x v="3"/>
    <x v="3"/>
    <x v="2"/>
    <x v="0"/>
    <n v="1"/>
    <n v="4500"/>
    <n v="5220"/>
    <x v="931"/>
    <n v="4072.79"/>
    <x v="1239"/>
    <n v="114735.6"/>
    <n v="4500"/>
    <n v="-10.489369694975679"/>
    <x v="7"/>
    <x v="2"/>
  </r>
  <r>
    <s v="ORD10781"/>
    <d v="2025-08-15T00:00:00"/>
    <x v="17"/>
    <x v="17"/>
    <x v="0"/>
    <x v="1"/>
    <n v="1"/>
    <n v="8500"/>
    <n v="9520"/>
    <x v="932"/>
    <n v="8648.82"/>
    <x v="1240"/>
    <n v="87108"/>
    <n v="8500"/>
    <n v="1.7206971586875435"/>
    <x v="7"/>
    <x v="0"/>
  </r>
  <r>
    <s v="ORD10843"/>
    <d v="2025-08-15T00:00:00"/>
    <x v="10"/>
    <x v="10"/>
    <x v="4"/>
    <x v="2"/>
    <n v="4"/>
    <n v="3200"/>
    <n v="3840"/>
    <x v="13"/>
    <n v="13454.35"/>
    <x v="1241"/>
    <n v="190617.60000000001"/>
    <n v="12800"/>
    <n v="4.8634828141084485"/>
    <x v="7"/>
    <x v="0"/>
  </r>
  <r>
    <s v="ORD11443"/>
    <d v="2025-08-15T00:00:00"/>
    <x v="0"/>
    <x v="0"/>
    <x v="0"/>
    <x v="2"/>
    <n v="4"/>
    <n v="500"/>
    <n v="610"/>
    <x v="933"/>
    <n v="2164.38"/>
    <x v="1242"/>
    <n v="27572"/>
    <n v="2000"/>
    <n v="7.5947846496456251"/>
    <x v="7"/>
    <x v="0"/>
  </r>
  <r>
    <s v="ORD11478"/>
    <d v="2025-08-15T00:00:00"/>
    <x v="19"/>
    <x v="19"/>
    <x v="0"/>
    <x v="1"/>
    <n v="7"/>
    <n v="350"/>
    <n v="455"/>
    <x v="9"/>
    <n v="3185"/>
    <x v="977"/>
    <n v="0"/>
    <n v="2450"/>
    <n v="23.076923076923077"/>
    <x v="7"/>
    <x v="1"/>
  </r>
  <r>
    <s v="ORD10254"/>
    <d v="2025-08-16T00:00:00"/>
    <x v="18"/>
    <x v="18"/>
    <x v="1"/>
    <x v="3"/>
    <n v="3"/>
    <n v="80"/>
    <n v="116"/>
    <x v="934"/>
    <n v="327.27999999999997"/>
    <x v="1243"/>
    <n v="2070.6"/>
    <n v="240"/>
    <n v="26.668296260083114"/>
    <x v="7"/>
    <x v="1"/>
  </r>
  <r>
    <s v="ORD10456"/>
    <d v="2025-08-16T00:00:00"/>
    <x v="0"/>
    <x v="0"/>
    <x v="0"/>
    <x v="3"/>
    <n v="6"/>
    <n v="500"/>
    <n v="610"/>
    <x v="935"/>
    <n v="3015.08"/>
    <x v="1244"/>
    <n v="64489.200000000004"/>
    <n v="3000"/>
    <n v="0.50015256643273154"/>
    <x v="7"/>
    <x v="0"/>
  </r>
  <r>
    <s v="ORD10550"/>
    <d v="2025-08-16T00:00:00"/>
    <x v="17"/>
    <x v="17"/>
    <x v="0"/>
    <x v="1"/>
    <n v="8"/>
    <n v="8500"/>
    <n v="9520"/>
    <x v="701"/>
    <n v="63438.93"/>
    <x v="1245"/>
    <n v="1271872"/>
    <n v="68000"/>
    <n v="-7.1897019700679063"/>
    <x v="7"/>
    <x v="2"/>
  </r>
  <r>
    <s v="ORD11209"/>
    <d v="2025-08-16T00:00:00"/>
    <x v="4"/>
    <x v="4"/>
    <x v="3"/>
    <x v="0"/>
    <n v="5"/>
    <n v="180"/>
    <n v="243"/>
    <x v="256"/>
    <n v="1093.46"/>
    <x v="1246"/>
    <n v="12150"/>
    <n v="900"/>
    <n v="17.692462458617602"/>
    <x v="7"/>
    <x v="1"/>
  </r>
  <r>
    <s v="ORD11508"/>
    <d v="2025-08-16T00:00:00"/>
    <x v="8"/>
    <x v="8"/>
    <x v="2"/>
    <x v="3"/>
    <n v="3"/>
    <n v="900"/>
    <n v="1170"/>
    <x v="936"/>
    <n v="2783.98"/>
    <x v="1247"/>
    <n v="72586.8"/>
    <n v="2700"/>
    <n v="3.0165446590851945"/>
    <x v="7"/>
    <x v="0"/>
  </r>
  <r>
    <s v="ORD11543"/>
    <d v="2025-08-16T00:00:00"/>
    <x v="17"/>
    <x v="17"/>
    <x v="0"/>
    <x v="0"/>
    <n v="5"/>
    <n v="8500"/>
    <n v="9520"/>
    <x v="760"/>
    <n v="42846.18"/>
    <x v="1248"/>
    <n v="475524"/>
    <n v="42500"/>
    <n v="0.80796000950376434"/>
    <x v="7"/>
    <x v="0"/>
  </r>
  <r>
    <s v="ORD11714"/>
    <d v="2025-08-16T00:00:00"/>
    <x v="16"/>
    <x v="16"/>
    <x v="0"/>
    <x v="0"/>
    <n v="3"/>
    <n v="1100"/>
    <n v="1298"/>
    <x v="925"/>
    <n v="3452"/>
    <x v="1249"/>
    <n v="44196.9"/>
    <n v="3300"/>
    <n v="4.4032444959443797"/>
    <x v="7"/>
    <x v="0"/>
  </r>
  <r>
    <s v="ORD11848"/>
    <d v="2025-08-16T00:00:00"/>
    <x v="9"/>
    <x v="9"/>
    <x v="2"/>
    <x v="1"/>
    <n v="5"/>
    <n v="3000"/>
    <n v="3600"/>
    <x v="911"/>
    <n v="16914"/>
    <x v="1250"/>
    <n v="108540"/>
    <n v="15000"/>
    <n v="11.31606952820149"/>
    <x v="7"/>
    <x v="1"/>
  </r>
  <r>
    <s v="ORD10169"/>
    <d v="2025-08-17T00:00:00"/>
    <x v="16"/>
    <x v="16"/>
    <x v="0"/>
    <x v="3"/>
    <n v="9"/>
    <n v="1100"/>
    <n v="1298"/>
    <x v="937"/>
    <n v="9924.4599999999991"/>
    <x v="1251"/>
    <n v="175697.28"/>
    <n v="9900"/>
    <n v="0.24646177222740584"/>
    <x v="7"/>
    <x v="0"/>
  </r>
  <r>
    <s v="ORD10365"/>
    <d v="2025-08-17T00:00:00"/>
    <x v="18"/>
    <x v="18"/>
    <x v="1"/>
    <x v="1"/>
    <n v="6"/>
    <n v="80"/>
    <n v="116"/>
    <x v="938"/>
    <n v="617.48"/>
    <x v="1252"/>
    <n v="7850.8799999999992"/>
    <n v="480"/>
    <n v="22.264688734857806"/>
    <x v="7"/>
    <x v="1"/>
  </r>
  <r>
    <s v="ORD10431"/>
    <d v="2025-08-17T00:00:00"/>
    <x v="6"/>
    <x v="6"/>
    <x v="4"/>
    <x v="2"/>
    <n v="8"/>
    <n v="1800"/>
    <n v="2124"/>
    <x v="939"/>
    <n v="14263.02"/>
    <x v="1253"/>
    <n v="272891.51999999996"/>
    <n v="14400"/>
    <n v="-0.96038566867325414"/>
    <x v="7"/>
    <x v="2"/>
  </r>
  <r>
    <s v="ORD11448"/>
    <d v="2025-08-17T00:00:00"/>
    <x v="15"/>
    <x v="15"/>
    <x v="0"/>
    <x v="0"/>
    <n v="10"/>
    <n v="550"/>
    <n v="742.5"/>
    <x v="940"/>
    <n v="6700.78"/>
    <x v="1254"/>
    <n v="72393.75"/>
    <n v="5500"/>
    <n v="17.920003342894407"/>
    <x v="7"/>
    <x v="1"/>
  </r>
  <r>
    <s v="ORD10176"/>
    <d v="2025-08-18T00:00:00"/>
    <x v="15"/>
    <x v="15"/>
    <x v="0"/>
    <x v="0"/>
    <n v="10"/>
    <n v="550"/>
    <n v="742.5"/>
    <x v="93"/>
    <n v="6266.58"/>
    <x v="1255"/>
    <n v="115830"/>
    <n v="5500"/>
    <n v="12.232828751886995"/>
    <x v="7"/>
    <x v="1"/>
  </r>
  <r>
    <s v="ORD10414"/>
    <d v="2025-08-18T00:00:00"/>
    <x v="14"/>
    <x v="14"/>
    <x v="3"/>
    <x v="2"/>
    <n v="4"/>
    <n v="1200"/>
    <n v="1464"/>
    <x v="941"/>
    <n v="5291.66"/>
    <x v="1256"/>
    <n v="56451.840000000004"/>
    <n v="4800"/>
    <n v="9.2912243039046363"/>
    <x v="7"/>
    <x v="0"/>
  </r>
  <r>
    <s v="ORD11511"/>
    <d v="2025-08-18T00:00:00"/>
    <x v="14"/>
    <x v="14"/>
    <x v="3"/>
    <x v="2"/>
    <n v="4"/>
    <n v="1200"/>
    <n v="1464"/>
    <x v="659"/>
    <n v="5146.32"/>
    <x v="1257"/>
    <n v="70974.720000000001"/>
    <n v="4800"/>
    <n v="6.7294688243249547"/>
    <x v="7"/>
    <x v="0"/>
  </r>
  <r>
    <s v="ORD10037"/>
    <d v="2025-08-19T00:00:00"/>
    <x v="14"/>
    <x v="14"/>
    <x v="3"/>
    <x v="2"/>
    <n v="2"/>
    <n v="1200"/>
    <n v="1464"/>
    <x v="723"/>
    <n v="2835.15"/>
    <x v="1258"/>
    <n v="9281.76"/>
    <n v="2400"/>
    <n v="15.34839426485371"/>
    <x v="7"/>
    <x v="1"/>
  </r>
  <r>
    <s v="ORD10158"/>
    <d v="2025-08-19T00:00:00"/>
    <x v="3"/>
    <x v="3"/>
    <x v="2"/>
    <x v="3"/>
    <n v="4"/>
    <n v="4500"/>
    <n v="5220"/>
    <x v="233"/>
    <n v="18172.830000000002"/>
    <x v="1259"/>
    <n v="270813.60000000003"/>
    <n v="18000"/>
    <n v="0.95103514422354685"/>
    <x v="7"/>
    <x v="0"/>
  </r>
  <r>
    <s v="ORD10383"/>
    <d v="2025-08-19T00:00:00"/>
    <x v="6"/>
    <x v="6"/>
    <x v="4"/>
    <x v="2"/>
    <n v="8"/>
    <n v="1800"/>
    <n v="2124"/>
    <x v="280"/>
    <n v="15773.28"/>
    <x v="1260"/>
    <n v="121832.64"/>
    <n v="14400"/>
    <n v="8.7063692523051639"/>
    <x v="7"/>
    <x v="0"/>
  </r>
  <r>
    <s v="ORD10514"/>
    <d v="2025-08-19T00:00:00"/>
    <x v="14"/>
    <x v="14"/>
    <x v="3"/>
    <x v="2"/>
    <n v="6"/>
    <n v="1200"/>
    <n v="1464"/>
    <x v="942"/>
    <n v="7833.13"/>
    <x v="1261"/>
    <n v="95130.72"/>
    <n v="7200"/>
    <n v="8.0827204450838934"/>
    <x v="7"/>
    <x v="0"/>
  </r>
  <r>
    <s v="ORD11330"/>
    <d v="2025-08-19T00:00:00"/>
    <x v="16"/>
    <x v="16"/>
    <x v="0"/>
    <x v="2"/>
    <n v="2"/>
    <n v="1100"/>
    <n v="1298"/>
    <x v="767"/>
    <n v="2088.8200000000002"/>
    <x v="1262"/>
    <n v="50725.84"/>
    <n v="2200"/>
    <n v="-5.322622341800634"/>
    <x v="7"/>
    <x v="2"/>
  </r>
  <r>
    <s v="ORD10204"/>
    <d v="2025-08-20T00:00:00"/>
    <x v="12"/>
    <x v="12"/>
    <x v="2"/>
    <x v="3"/>
    <n v="10"/>
    <n v="6500"/>
    <n v="8125"/>
    <x v="142"/>
    <n v="67310.75"/>
    <x v="1263"/>
    <n v="1394250"/>
    <n v="65000"/>
    <n v="3.4329583313215202"/>
    <x v="7"/>
    <x v="0"/>
  </r>
  <r>
    <s v="ORD10225"/>
    <d v="2025-08-20T00:00:00"/>
    <x v="7"/>
    <x v="7"/>
    <x v="5"/>
    <x v="2"/>
    <n v="9"/>
    <n v="300"/>
    <n v="405"/>
    <x v="924"/>
    <n v="2872.99"/>
    <x v="1264"/>
    <n v="77201.100000000006"/>
    <n v="2700"/>
    <n v="6.0212531195722931"/>
    <x v="7"/>
    <x v="0"/>
  </r>
  <r>
    <s v="ORD10252"/>
    <d v="2025-08-20T00:00:00"/>
    <x v="11"/>
    <x v="11"/>
    <x v="0"/>
    <x v="0"/>
    <n v="7"/>
    <n v="900"/>
    <n v="1152"/>
    <x v="826"/>
    <n v="6645.46"/>
    <x v="1265"/>
    <n v="141845.76000000001"/>
    <n v="6300"/>
    <n v="5.1984362256337411"/>
    <x v="7"/>
    <x v="0"/>
  </r>
  <r>
    <s v="ORD10636"/>
    <d v="2025-08-20T00:00:00"/>
    <x v="10"/>
    <x v="10"/>
    <x v="4"/>
    <x v="1"/>
    <n v="8"/>
    <n v="3200"/>
    <n v="3840"/>
    <x v="943"/>
    <n v="27543.98"/>
    <x v="1266"/>
    <n v="317644.79999999999"/>
    <n v="25600"/>
    <n v="7.0577309452010937"/>
    <x v="7"/>
    <x v="0"/>
  </r>
  <r>
    <s v="ORD10892"/>
    <d v="2025-08-20T00:00:00"/>
    <x v="15"/>
    <x v="15"/>
    <x v="0"/>
    <x v="0"/>
    <n v="7"/>
    <n v="550"/>
    <n v="742.5"/>
    <x v="9"/>
    <n v="5197.5"/>
    <x v="1267"/>
    <n v="0"/>
    <n v="3850"/>
    <n v="25.925925925925924"/>
    <x v="7"/>
    <x v="1"/>
  </r>
  <r>
    <s v="ORD11281"/>
    <d v="2025-08-20T00:00:00"/>
    <x v="9"/>
    <x v="9"/>
    <x v="2"/>
    <x v="3"/>
    <n v="2"/>
    <n v="3000"/>
    <n v="3600"/>
    <x v="27"/>
    <n v="6912"/>
    <x v="1268"/>
    <n v="28800"/>
    <n v="6000"/>
    <n v="13.194444444444445"/>
    <x v="7"/>
    <x v="1"/>
  </r>
  <r>
    <s v="ORD10206"/>
    <d v="2025-08-21T00:00:00"/>
    <x v="18"/>
    <x v="18"/>
    <x v="1"/>
    <x v="3"/>
    <n v="1"/>
    <n v="80"/>
    <n v="116"/>
    <x v="313"/>
    <n v="95.88"/>
    <x v="1269"/>
    <n v="2011.44"/>
    <n v="80"/>
    <n v="16.562369628702548"/>
    <x v="7"/>
    <x v="1"/>
  </r>
  <r>
    <s v="ORD10320"/>
    <d v="2025-08-21T00:00:00"/>
    <x v="10"/>
    <x v="10"/>
    <x v="4"/>
    <x v="2"/>
    <n v="2"/>
    <n v="3200"/>
    <n v="3840"/>
    <x v="944"/>
    <n v="6849.63"/>
    <x v="1270"/>
    <n v="83020.800000000003"/>
    <n v="6400"/>
    <n v="6.5642961736619352"/>
    <x v="7"/>
    <x v="0"/>
  </r>
  <r>
    <s v="ORD10952"/>
    <d v="2025-08-21T00:00:00"/>
    <x v="17"/>
    <x v="17"/>
    <x v="0"/>
    <x v="0"/>
    <n v="8"/>
    <n v="8500"/>
    <n v="9520"/>
    <x v="173"/>
    <n v="69255.77"/>
    <x v="1271"/>
    <n v="690771.20000000007"/>
    <n v="68000"/>
    <n v="1.8132352004749928"/>
    <x v="7"/>
    <x v="0"/>
  </r>
  <r>
    <s v="ORD11334"/>
    <d v="2025-08-21T00:00:00"/>
    <x v="18"/>
    <x v="18"/>
    <x v="1"/>
    <x v="2"/>
    <n v="8"/>
    <n v="80"/>
    <n v="116"/>
    <x v="945"/>
    <n v="834.92"/>
    <x v="1272"/>
    <n v="9307.84"/>
    <n v="640"/>
    <n v="23.345949312508981"/>
    <x v="7"/>
    <x v="1"/>
  </r>
  <r>
    <s v="ORD11527"/>
    <d v="2025-08-21T00:00:00"/>
    <x v="17"/>
    <x v="17"/>
    <x v="0"/>
    <x v="1"/>
    <n v="10"/>
    <n v="8500"/>
    <n v="9520"/>
    <x v="946"/>
    <n v="90825.56"/>
    <x v="1273"/>
    <n v="436968"/>
    <n v="85000"/>
    <n v="6.4140094484416075"/>
    <x v="7"/>
    <x v="0"/>
  </r>
  <r>
    <s v="ORD11576"/>
    <d v="2025-08-21T00:00:00"/>
    <x v="1"/>
    <x v="1"/>
    <x v="1"/>
    <x v="3"/>
    <n v="8"/>
    <n v="45"/>
    <n v="63"/>
    <x v="947"/>
    <n v="368.71"/>
    <x v="1274"/>
    <n v="13527.36"/>
    <n v="360"/>
    <n v="2.3622901467277808"/>
    <x v="7"/>
    <x v="0"/>
  </r>
  <r>
    <s v="ORD10389"/>
    <d v="2025-08-22T00:00:00"/>
    <x v="16"/>
    <x v="16"/>
    <x v="0"/>
    <x v="3"/>
    <n v="2"/>
    <n v="1100"/>
    <n v="1298"/>
    <x v="9"/>
    <n v="2596"/>
    <x v="720"/>
    <n v="0"/>
    <n v="2200"/>
    <n v="15.254237288135593"/>
    <x v="7"/>
    <x v="1"/>
  </r>
  <r>
    <s v="ORD11108"/>
    <d v="2025-08-22T00:00:00"/>
    <x v="2"/>
    <x v="2"/>
    <x v="0"/>
    <x v="2"/>
    <n v="7"/>
    <n v="6500"/>
    <n v="7150"/>
    <x v="948"/>
    <n v="46281.26"/>
    <x v="1275"/>
    <n v="376876.5"/>
    <n v="45500"/>
    <n v="1.6880698580807867"/>
    <x v="7"/>
    <x v="0"/>
  </r>
  <r>
    <s v="ORD11314"/>
    <d v="2025-08-22T00:00:00"/>
    <x v="19"/>
    <x v="19"/>
    <x v="0"/>
    <x v="0"/>
    <n v="6"/>
    <n v="350"/>
    <n v="455"/>
    <x v="949"/>
    <n v="2285.6999999999998"/>
    <x v="1276"/>
    <n v="44417.1"/>
    <n v="2100"/>
    <n v="8.1244257776611111"/>
    <x v="7"/>
    <x v="0"/>
  </r>
  <r>
    <s v="ORD10336"/>
    <d v="2025-08-23T00:00:00"/>
    <x v="4"/>
    <x v="4"/>
    <x v="3"/>
    <x v="3"/>
    <n v="3"/>
    <n v="180"/>
    <n v="243"/>
    <x v="950"/>
    <n v="636.80999999999995"/>
    <x v="1277"/>
    <n v="9221.85"/>
    <n v="540"/>
    <n v="15.202336646723513"/>
    <x v="7"/>
    <x v="1"/>
  </r>
  <r>
    <s v="ORD11036"/>
    <d v="2025-08-23T00:00:00"/>
    <x v="6"/>
    <x v="6"/>
    <x v="4"/>
    <x v="0"/>
    <n v="2"/>
    <n v="1800"/>
    <n v="2124"/>
    <x v="507"/>
    <n v="3595.35"/>
    <x v="1278"/>
    <n v="65249.279999999999"/>
    <n v="3600"/>
    <n v="-0.12933372272518673"/>
    <x v="7"/>
    <x v="2"/>
  </r>
  <r>
    <s v="ORD11418"/>
    <d v="2025-08-23T00:00:00"/>
    <x v="7"/>
    <x v="7"/>
    <x v="5"/>
    <x v="2"/>
    <n v="1"/>
    <n v="300"/>
    <n v="405"/>
    <x v="9"/>
    <n v="405"/>
    <x v="549"/>
    <n v="0"/>
    <n v="300"/>
    <n v="25.925925925925924"/>
    <x v="7"/>
    <x v="1"/>
  </r>
  <r>
    <s v="ORD11477"/>
    <d v="2025-08-23T00:00:00"/>
    <x v="2"/>
    <x v="2"/>
    <x v="0"/>
    <x v="2"/>
    <n v="10"/>
    <n v="6500"/>
    <n v="7150"/>
    <x v="951"/>
    <n v="59288.67"/>
    <x v="1279"/>
    <n v="1221219.9999999998"/>
    <n v="65000"/>
    <n v="-9.6330884130138177"/>
    <x v="7"/>
    <x v="2"/>
  </r>
  <r>
    <s v="ORD11632"/>
    <d v="2025-08-23T00:00:00"/>
    <x v="7"/>
    <x v="7"/>
    <x v="5"/>
    <x v="0"/>
    <n v="1"/>
    <n v="300"/>
    <n v="405"/>
    <x v="952"/>
    <n v="345.63"/>
    <x v="1280"/>
    <n v="5937.3"/>
    <n v="300"/>
    <n v="13.201978994878919"/>
    <x v="7"/>
    <x v="1"/>
  </r>
  <r>
    <s v="ORD10330"/>
    <d v="2025-08-24T00:00:00"/>
    <x v="7"/>
    <x v="7"/>
    <x v="5"/>
    <x v="3"/>
    <n v="2"/>
    <n v="300"/>
    <n v="405"/>
    <x v="321"/>
    <n v="737.45"/>
    <x v="1281"/>
    <n v="7257.6"/>
    <n v="600"/>
    <n v="18.638551766221436"/>
    <x v="7"/>
    <x v="1"/>
  </r>
  <r>
    <s v="ORD11203"/>
    <d v="2025-08-24T00:00:00"/>
    <x v="5"/>
    <x v="5"/>
    <x v="3"/>
    <x v="1"/>
    <n v="3"/>
    <n v="2500"/>
    <n v="2875"/>
    <x v="551"/>
    <n v="8059.68"/>
    <x v="1282"/>
    <n v="56493.75"/>
    <n v="7500"/>
    <n v="6.9441962956345655"/>
    <x v="7"/>
    <x v="0"/>
  </r>
  <r>
    <s v="ORD11444"/>
    <d v="2025-08-24T00:00:00"/>
    <x v="4"/>
    <x v="4"/>
    <x v="3"/>
    <x v="2"/>
    <n v="6"/>
    <n v="180"/>
    <n v="243"/>
    <x v="9"/>
    <n v="1458"/>
    <x v="1283"/>
    <n v="0"/>
    <n v="1080"/>
    <n v="25.925925925925924"/>
    <x v="7"/>
    <x v="1"/>
  </r>
  <r>
    <s v="ORD10022"/>
    <d v="2025-08-25T00:00:00"/>
    <x v="9"/>
    <x v="9"/>
    <x v="2"/>
    <x v="3"/>
    <n v="8"/>
    <n v="3000"/>
    <n v="3600"/>
    <x v="953"/>
    <n v="19429.34"/>
    <x v="1284"/>
    <n v="937152"/>
    <n v="24000"/>
    <n v="-23.524525279808785"/>
    <x v="7"/>
    <x v="2"/>
  </r>
  <r>
    <s v="ORD10047"/>
    <d v="2025-08-25T00:00:00"/>
    <x v="6"/>
    <x v="6"/>
    <x v="4"/>
    <x v="1"/>
    <n v="9"/>
    <n v="1800"/>
    <n v="2124"/>
    <x v="954"/>
    <n v="14215.79"/>
    <x v="1285"/>
    <n v="489943.07999999996"/>
    <n v="16200"/>
    <n v="-13.957789190751974"/>
    <x v="7"/>
    <x v="2"/>
  </r>
  <r>
    <s v="ORD10931"/>
    <d v="2025-08-25T00:00:00"/>
    <x v="10"/>
    <x v="10"/>
    <x v="4"/>
    <x v="0"/>
    <n v="8"/>
    <n v="3200"/>
    <n v="3840"/>
    <x v="955"/>
    <n v="27772.39"/>
    <x v="1286"/>
    <n v="294912"/>
    <n v="25600"/>
    <n v="7.8221211786238056"/>
    <x v="7"/>
    <x v="0"/>
  </r>
  <r>
    <s v="ORD11460"/>
    <d v="2025-08-25T00:00:00"/>
    <x v="15"/>
    <x v="15"/>
    <x v="0"/>
    <x v="2"/>
    <n v="4"/>
    <n v="550"/>
    <n v="742.5"/>
    <x v="450"/>
    <n v="2442.7600000000002"/>
    <x v="1287"/>
    <n v="52717.5"/>
    <n v="2200"/>
    <n v="9.9379390525471187"/>
    <x v="7"/>
    <x v="0"/>
  </r>
  <r>
    <s v="ORD11760"/>
    <d v="2025-08-25T00:00:00"/>
    <x v="14"/>
    <x v="14"/>
    <x v="3"/>
    <x v="2"/>
    <n v="1"/>
    <n v="1200"/>
    <n v="1464"/>
    <x v="117"/>
    <n v="1239.6600000000001"/>
    <x v="1201"/>
    <n v="22428.48"/>
    <n v="1200"/>
    <n v="3.1992643144087887"/>
    <x v="7"/>
    <x v="0"/>
  </r>
  <r>
    <s v="ORD10102"/>
    <d v="2025-08-26T00:00:00"/>
    <x v="7"/>
    <x v="7"/>
    <x v="5"/>
    <x v="1"/>
    <n v="1"/>
    <n v="300"/>
    <n v="405"/>
    <x v="815"/>
    <n v="343.13"/>
    <x v="1288"/>
    <n v="6188.4"/>
    <n v="300"/>
    <n v="12.569580042549472"/>
    <x v="7"/>
    <x v="1"/>
  </r>
  <r>
    <s v="ORD10327"/>
    <d v="2025-08-26T00:00:00"/>
    <x v="6"/>
    <x v="6"/>
    <x v="4"/>
    <x v="2"/>
    <n v="4"/>
    <n v="1800"/>
    <n v="2124"/>
    <x v="956"/>
    <n v="6889.37"/>
    <x v="1289"/>
    <n v="160659.36000000002"/>
    <n v="7200"/>
    <n v="-4.5088302704020835"/>
    <x v="7"/>
    <x v="2"/>
  </r>
  <r>
    <s v="ORD10671"/>
    <d v="2025-08-26T00:00:00"/>
    <x v="2"/>
    <x v="2"/>
    <x v="0"/>
    <x v="1"/>
    <n v="9"/>
    <n v="6500"/>
    <n v="7150"/>
    <x v="704"/>
    <n v="58855.47"/>
    <x v="1290"/>
    <n v="549549"/>
    <n v="58500"/>
    <n v="0.60397104975969096"/>
    <x v="7"/>
    <x v="0"/>
  </r>
  <r>
    <s v="ORD10067"/>
    <d v="2025-08-27T00:00:00"/>
    <x v="8"/>
    <x v="8"/>
    <x v="2"/>
    <x v="2"/>
    <n v="4"/>
    <n v="900"/>
    <n v="1170"/>
    <x v="957"/>
    <n v="4348.0600000000004"/>
    <x v="1291"/>
    <n v="33181.199999999997"/>
    <n v="3600"/>
    <n v="17.20445440035326"/>
    <x v="7"/>
    <x v="1"/>
  </r>
  <r>
    <s v="ORD11003"/>
    <d v="2025-08-27T00:00:00"/>
    <x v="19"/>
    <x v="19"/>
    <x v="0"/>
    <x v="1"/>
    <n v="1"/>
    <n v="350"/>
    <n v="455"/>
    <x v="958"/>
    <n v="445.94"/>
    <x v="1292"/>
    <n v="905.45"/>
    <n v="350"/>
    <n v="21.514105036552003"/>
    <x v="7"/>
    <x v="1"/>
  </r>
  <r>
    <s v="ORD11222"/>
    <d v="2025-08-27T00:00:00"/>
    <x v="3"/>
    <x v="3"/>
    <x v="2"/>
    <x v="3"/>
    <n v="5"/>
    <n v="4500"/>
    <n v="5220"/>
    <x v="959"/>
    <n v="22429.34"/>
    <x v="1293"/>
    <n v="366966"/>
    <n v="22500"/>
    <n v="-0.31503379056182657"/>
    <x v="7"/>
    <x v="2"/>
  </r>
  <r>
    <s v="ORD11835"/>
    <d v="2025-08-27T00:00:00"/>
    <x v="6"/>
    <x v="6"/>
    <x v="4"/>
    <x v="1"/>
    <n v="5"/>
    <n v="1800"/>
    <n v="2124"/>
    <x v="797"/>
    <n v="8481.18"/>
    <x v="1294"/>
    <n v="213886.80000000002"/>
    <n v="9000"/>
    <n v="-6.1173091480194977"/>
    <x v="7"/>
    <x v="2"/>
  </r>
  <r>
    <s v="ORD10475"/>
    <d v="2025-08-28T00:00:00"/>
    <x v="18"/>
    <x v="18"/>
    <x v="1"/>
    <x v="1"/>
    <n v="4"/>
    <n v="80"/>
    <n v="116"/>
    <x v="237"/>
    <n v="415.28"/>
    <x v="1295"/>
    <n v="4872"/>
    <n v="320"/>
    <n v="22.943556154883453"/>
    <x v="7"/>
    <x v="1"/>
  </r>
  <r>
    <s v="ORD10981"/>
    <d v="2025-08-28T00:00:00"/>
    <x v="15"/>
    <x v="15"/>
    <x v="0"/>
    <x v="2"/>
    <n v="6"/>
    <n v="550"/>
    <n v="742.5"/>
    <x v="960"/>
    <n v="3953.48"/>
    <x v="1296"/>
    <n v="50163.299999999996"/>
    <n v="3300"/>
    <n v="16.529235003085891"/>
    <x v="7"/>
    <x v="1"/>
  </r>
  <r>
    <s v="ORD11636"/>
    <d v="2025-08-28T00:00:00"/>
    <x v="0"/>
    <x v="0"/>
    <x v="0"/>
    <x v="1"/>
    <n v="8"/>
    <n v="500"/>
    <n v="610"/>
    <x v="529"/>
    <n v="4276.3500000000004"/>
    <x v="1297"/>
    <n v="60365.599999999999"/>
    <n v="4000"/>
    <n v="6.4622867632443555"/>
    <x v="7"/>
    <x v="0"/>
  </r>
  <r>
    <s v="ORD11937"/>
    <d v="2025-08-28T00:00:00"/>
    <x v="15"/>
    <x v="15"/>
    <x v="0"/>
    <x v="1"/>
    <n v="10"/>
    <n v="550"/>
    <n v="742.5"/>
    <x v="961"/>
    <n v="5360.54"/>
    <x v="1298"/>
    <n v="206415"/>
    <n v="5500"/>
    <n v="-2.6016035697896109"/>
    <x v="7"/>
    <x v="2"/>
  </r>
  <r>
    <s v="ORD10927"/>
    <d v="2025-08-29T00:00:00"/>
    <x v="17"/>
    <x v="17"/>
    <x v="0"/>
    <x v="2"/>
    <n v="9"/>
    <n v="8500"/>
    <n v="9520"/>
    <x v="2"/>
    <n v="67577.990000000005"/>
    <x v="1299"/>
    <n v="1810418.4"/>
    <n v="76500"/>
    <n v="-13.202538282064912"/>
    <x v="7"/>
    <x v="2"/>
  </r>
  <r>
    <s v="ORD11377"/>
    <d v="2025-08-29T00:00:00"/>
    <x v="16"/>
    <x v="16"/>
    <x v="0"/>
    <x v="1"/>
    <n v="3"/>
    <n v="1100"/>
    <n v="1298"/>
    <x v="873"/>
    <n v="3348.75"/>
    <x v="1300"/>
    <n v="54516"/>
    <n v="3300"/>
    <n v="1.4557670772676372"/>
    <x v="7"/>
    <x v="0"/>
  </r>
  <r>
    <s v="ORD11604"/>
    <d v="2025-08-29T00:00:00"/>
    <x v="6"/>
    <x v="6"/>
    <x v="4"/>
    <x v="0"/>
    <n v="10"/>
    <n v="1800"/>
    <n v="2124"/>
    <x v="167"/>
    <n v="18735.73"/>
    <x v="1301"/>
    <n v="250419.59999999998"/>
    <n v="18000"/>
    <n v="3.9268819522911573"/>
    <x v="7"/>
    <x v="0"/>
  </r>
  <r>
    <s v="ORD11725"/>
    <d v="2025-08-29T00:00:00"/>
    <x v="14"/>
    <x v="14"/>
    <x v="3"/>
    <x v="0"/>
    <n v="1"/>
    <n v="1200"/>
    <n v="1464"/>
    <x v="962"/>
    <n v="1296.83"/>
    <x v="1302"/>
    <n v="16718.88"/>
    <n v="1200"/>
    <n v="7.4666687229629174"/>
    <x v="7"/>
    <x v="0"/>
  </r>
  <r>
    <s v="ORD11855"/>
    <d v="2025-08-29T00:00:00"/>
    <x v="9"/>
    <x v="9"/>
    <x v="2"/>
    <x v="3"/>
    <n v="9"/>
    <n v="3000"/>
    <n v="3600"/>
    <x v="963"/>
    <n v="27462.69"/>
    <x v="1303"/>
    <n v="493776"/>
    <n v="27000"/>
    <n v="1.6847948980962899"/>
    <x v="7"/>
    <x v="0"/>
  </r>
  <r>
    <s v="ORD11876"/>
    <d v="2025-08-29T00:00:00"/>
    <x v="9"/>
    <x v="9"/>
    <x v="2"/>
    <x v="2"/>
    <n v="2"/>
    <n v="3000"/>
    <n v="3600"/>
    <x v="964"/>
    <n v="5693.98"/>
    <x v="1304"/>
    <n v="150624"/>
    <n v="6000"/>
    <n v="-5.3744481013280696"/>
    <x v="7"/>
    <x v="2"/>
  </r>
  <r>
    <s v="ORD10184"/>
    <d v="2025-08-30T00:00:00"/>
    <x v="4"/>
    <x v="4"/>
    <x v="3"/>
    <x v="3"/>
    <n v="4"/>
    <n v="180"/>
    <n v="243"/>
    <x v="76"/>
    <n v="886.74"/>
    <x v="1305"/>
    <n v="8524.4399999999987"/>
    <n v="720"/>
    <n v="18.803707964002978"/>
    <x v="7"/>
    <x v="1"/>
  </r>
  <r>
    <s v="ORD10223"/>
    <d v="2025-08-30T00:00:00"/>
    <x v="15"/>
    <x v="15"/>
    <x v="0"/>
    <x v="2"/>
    <n v="9"/>
    <n v="550"/>
    <n v="742.5"/>
    <x v="965"/>
    <n v="5978.23"/>
    <x v="1306"/>
    <n v="70433.549999999988"/>
    <n v="4950"/>
    <n v="17.199572448701371"/>
    <x v="7"/>
    <x v="1"/>
  </r>
  <r>
    <s v="ORD11216"/>
    <d v="2025-08-30T00:00:00"/>
    <x v="16"/>
    <x v="16"/>
    <x v="0"/>
    <x v="1"/>
    <n v="1"/>
    <n v="1100"/>
    <n v="1298"/>
    <x v="966"/>
    <n v="1291.26"/>
    <x v="1307"/>
    <n v="674.96"/>
    <n v="1100"/>
    <n v="14.811889162523425"/>
    <x v="7"/>
    <x v="1"/>
  </r>
  <r>
    <s v="ORD11602"/>
    <d v="2025-08-30T00:00:00"/>
    <x v="18"/>
    <x v="18"/>
    <x v="1"/>
    <x v="2"/>
    <n v="3"/>
    <n v="80"/>
    <n v="116"/>
    <x v="9"/>
    <n v="348"/>
    <x v="579"/>
    <n v="0"/>
    <n v="240"/>
    <n v="31.03448275862069"/>
    <x v="7"/>
    <x v="1"/>
  </r>
  <r>
    <s v="ORD11687"/>
    <d v="2025-08-30T00:00:00"/>
    <x v="16"/>
    <x v="16"/>
    <x v="0"/>
    <x v="0"/>
    <n v="6"/>
    <n v="1100"/>
    <n v="1298"/>
    <x v="121"/>
    <n v="6929.06"/>
    <x v="1308"/>
    <n v="85901.64"/>
    <n v="6600"/>
    <n v="4.7489847107688483"/>
    <x v="7"/>
    <x v="0"/>
  </r>
  <r>
    <s v="ORD11783"/>
    <d v="2025-08-30T00:00:00"/>
    <x v="15"/>
    <x v="15"/>
    <x v="0"/>
    <x v="2"/>
    <n v="8"/>
    <n v="550"/>
    <n v="742.5"/>
    <x v="967"/>
    <n v="5859.63"/>
    <x v="1309"/>
    <n v="8019.0000000000009"/>
    <n v="4400"/>
    <n v="24.909934586313472"/>
    <x v="7"/>
    <x v="1"/>
  </r>
  <r>
    <s v="ORD10399"/>
    <d v="2025-08-31T00:00:00"/>
    <x v="0"/>
    <x v="0"/>
    <x v="0"/>
    <x v="0"/>
    <n v="3"/>
    <n v="500"/>
    <n v="610"/>
    <x v="968"/>
    <n v="1694.46"/>
    <x v="1310"/>
    <n v="13560.300000000001"/>
    <n v="1500"/>
    <n v="11.476222513367091"/>
    <x v="7"/>
    <x v="1"/>
  </r>
  <r>
    <s v="ORD10626"/>
    <d v="2025-08-31T00:00:00"/>
    <x v="16"/>
    <x v="16"/>
    <x v="0"/>
    <x v="2"/>
    <n v="7"/>
    <n v="1100"/>
    <n v="1298"/>
    <x v="969"/>
    <n v="8803.39"/>
    <x v="1311"/>
    <n v="28257.46"/>
    <n v="7700"/>
    <n v="12.53369440635937"/>
    <x v="7"/>
    <x v="1"/>
  </r>
  <r>
    <s v="ORD11008"/>
    <d v="2025-08-31T00:00:00"/>
    <x v="12"/>
    <x v="12"/>
    <x v="2"/>
    <x v="1"/>
    <n v="5"/>
    <n v="6500"/>
    <n v="8125"/>
    <x v="882"/>
    <n v="34811.22"/>
    <x v="1312"/>
    <n v="581343.75"/>
    <n v="32500"/>
    <n v="6.6392961809439601"/>
    <x v="7"/>
    <x v="0"/>
  </r>
  <r>
    <s v="ORD10065"/>
    <d v="2025-09-01T00:00:00"/>
    <x v="8"/>
    <x v="8"/>
    <x v="2"/>
    <x v="2"/>
    <n v="1"/>
    <n v="900"/>
    <n v="1170"/>
    <x v="167"/>
    <n v="1032.08"/>
    <x v="1313"/>
    <n v="13794.3"/>
    <n v="900"/>
    <n v="12.797457561429349"/>
    <x v="8"/>
    <x v="1"/>
  </r>
  <r>
    <s v="ORD11535"/>
    <d v="2025-09-01T00:00:00"/>
    <x v="14"/>
    <x v="14"/>
    <x v="3"/>
    <x v="0"/>
    <n v="6"/>
    <n v="1200"/>
    <n v="1464"/>
    <x v="970"/>
    <n v="7134.62"/>
    <x v="1314"/>
    <n v="164963.52000000002"/>
    <n v="7200"/>
    <n v="-0.91637676568618931"/>
    <x v="8"/>
    <x v="2"/>
  </r>
  <r>
    <s v="ORD10499"/>
    <d v="2025-09-02T00:00:00"/>
    <x v="13"/>
    <x v="13"/>
    <x v="6"/>
    <x v="0"/>
    <n v="5"/>
    <n v="900"/>
    <n v="1170"/>
    <x v="79"/>
    <n v="5408.69"/>
    <x v="1315"/>
    <n v="44109"/>
    <n v="4500"/>
    <n v="16.80055614206028"/>
    <x v="8"/>
    <x v="1"/>
  </r>
  <r>
    <s v="ORD10946"/>
    <d v="2025-09-02T00:00:00"/>
    <x v="16"/>
    <x v="16"/>
    <x v="0"/>
    <x v="2"/>
    <n v="10"/>
    <n v="1100"/>
    <n v="1298"/>
    <x v="782"/>
    <n v="11563.64"/>
    <x v="1316"/>
    <n v="141611.79999999999"/>
    <n v="11000"/>
    <n v="4.8742437502378149"/>
    <x v="8"/>
    <x v="0"/>
  </r>
  <r>
    <s v="ORD11114"/>
    <d v="2025-09-02T00:00:00"/>
    <x v="14"/>
    <x v="14"/>
    <x v="3"/>
    <x v="1"/>
    <n v="6"/>
    <n v="1200"/>
    <n v="1464"/>
    <x v="971"/>
    <n v="8496.81"/>
    <x v="1317"/>
    <n v="28723.68"/>
    <n v="7200"/>
    <n v="15.262316092745396"/>
    <x v="8"/>
    <x v="1"/>
  </r>
  <r>
    <s v="ORD11672"/>
    <d v="2025-09-02T00:00:00"/>
    <x v="16"/>
    <x v="16"/>
    <x v="0"/>
    <x v="2"/>
    <n v="6"/>
    <n v="1100"/>
    <n v="1298"/>
    <x v="972"/>
    <n v="7187.98"/>
    <x v="1318"/>
    <n v="59967.6"/>
    <n v="6600"/>
    <n v="8.1800450196021703"/>
    <x v="8"/>
    <x v="0"/>
  </r>
  <r>
    <s v="ORD11902"/>
    <d v="2025-09-02T00:00:00"/>
    <x v="0"/>
    <x v="0"/>
    <x v="0"/>
    <x v="2"/>
    <n v="6"/>
    <n v="500"/>
    <n v="610"/>
    <x v="461"/>
    <n v="2887.14"/>
    <x v="1319"/>
    <n v="77299.199999999997"/>
    <n v="3000"/>
    <n v="-3.9090587917454642"/>
    <x v="8"/>
    <x v="2"/>
  </r>
  <r>
    <s v="ORD10175"/>
    <d v="2025-09-03T00:00:00"/>
    <x v="16"/>
    <x v="16"/>
    <x v="0"/>
    <x v="2"/>
    <n v="1"/>
    <n v="1100"/>
    <n v="1298"/>
    <x v="973"/>
    <n v="1256.18"/>
    <x v="1320"/>
    <n v="4179.5600000000004"/>
    <n v="1100"/>
    <n v="12.432931586237641"/>
    <x v="8"/>
    <x v="1"/>
  </r>
  <r>
    <s v="ORD10693"/>
    <d v="2025-09-03T00:00:00"/>
    <x v="13"/>
    <x v="13"/>
    <x v="6"/>
    <x v="3"/>
    <n v="9"/>
    <n v="900"/>
    <n v="1170"/>
    <x v="974"/>
    <n v="9690.19"/>
    <x v="1321"/>
    <n v="84029.400000000009"/>
    <n v="8100"/>
    <n v="16.410307744223797"/>
    <x v="8"/>
    <x v="1"/>
  </r>
  <r>
    <s v="ORD11189"/>
    <d v="2025-09-03T00:00:00"/>
    <x v="13"/>
    <x v="13"/>
    <x v="6"/>
    <x v="3"/>
    <n v="2"/>
    <n v="900"/>
    <n v="1170"/>
    <x v="316"/>
    <n v="1936.35"/>
    <x v="1322"/>
    <n v="40365"/>
    <n v="1800"/>
    <n v="7.0415988844991864"/>
    <x v="8"/>
    <x v="0"/>
  </r>
  <r>
    <s v="ORD11191"/>
    <d v="2025-09-03T00:00:00"/>
    <x v="1"/>
    <x v="1"/>
    <x v="1"/>
    <x v="2"/>
    <n v="4"/>
    <n v="45"/>
    <n v="63"/>
    <x v="847"/>
    <n v="214.31"/>
    <x v="1323"/>
    <n v="3769.92"/>
    <n v="180"/>
    <n v="16.009518921188935"/>
    <x v="8"/>
    <x v="1"/>
  </r>
  <r>
    <s v="ORD10229"/>
    <d v="2025-09-04T00:00:00"/>
    <x v="18"/>
    <x v="18"/>
    <x v="1"/>
    <x v="0"/>
    <n v="7"/>
    <n v="80"/>
    <n v="116"/>
    <x v="975"/>
    <n v="728.39"/>
    <x v="1324"/>
    <n v="8363.6"/>
    <n v="560"/>
    <n v="23.118109803813887"/>
    <x v="8"/>
    <x v="1"/>
  </r>
  <r>
    <s v="ORD10711"/>
    <d v="2025-09-04T00:00:00"/>
    <x v="17"/>
    <x v="17"/>
    <x v="0"/>
    <x v="1"/>
    <n v="1"/>
    <n v="8500"/>
    <n v="9520"/>
    <x v="124"/>
    <n v="8160.98"/>
    <x v="1325"/>
    <n v="135945.60000000001"/>
    <n v="8500"/>
    <n v="-4.1541579565199278"/>
    <x v="8"/>
    <x v="2"/>
  </r>
  <r>
    <s v="ORD10770"/>
    <d v="2025-09-04T00:00:00"/>
    <x v="3"/>
    <x v="3"/>
    <x v="2"/>
    <x v="3"/>
    <n v="7"/>
    <n v="4500"/>
    <n v="5220"/>
    <x v="976"/>
    <n v="30168.74"/>
    <x v="1326"/>
    <n v="637257.60000000009"/>
    <n v="31500"/>
    <n v="-4.4127132919704302"/>
    <x v="8"/>
    <x v="2"/>
  </r>
  <r>
    <s v="ORD11674"/>
    <d v="2025-09-04T00:00:00"/>
    <x v="10"/>
    <x v="10"/>
    <x v="4"/>
    <x v="3"/>
    <n v="2"/>
    <n v="3200"/>
    <n v="3840"/>
    <x v="977"/>
    <n v="7076.96"/>
    <x v="1327"/>
    <n v="60288"/>
    <n v="6400"/>
    <n v="9.5656892224910131"/>
    <x v="8"/>
    <x v="0"/>
  </r>
  <r>
    <s v="ORD11717"/>
    <d v="2025-09-04T00:00:00"/>
    <x v="4"/>
    <x v="4"/>
    <x v="3"/>
    <x v="3"/>
    <n v="7"/>
    <n v="180"/>
    <n v="243"/>
    <x v="978"/>
    <n v="1346.58"/>
    <x v="1328"/>
    <n v="35448.839999999997"/>
    <n v="1260"/>
    <n v="6.4296217083277636"/>
    <x v="8"/>
    <x v="0"/>
  </r>
  <r>
    <s v="ORD11927"/>
    <d v="2025-09-04T00:00:00"/>
    <x v="0"/>
    <x v="0"/>
    <x v="0"/>
    <x v="0"/>
    <n v="9"/>
    <n v="500"/>
    <n v="610"/>
    <x v="445"/>
    <n v="5242.75"/>
    <x v="1329"/>
    <n v="24705"/>
    <n v="4500"/>
    <n v="14.167183253063756"/>
    <x v="8"/>
    <x v="1"/>
  </r>
  <r>
    <s v="ORD10030"/>
    <d v="2025-09-05T00:00:00"/>
    <x v="5"/>
    <x v="5"/>
    <x v="3"/>
    <x v="1"/>
    <n v="4"/>
    <n v="2500"/>
    <n v="2875"/>
    <x v="979"/>
    <n v="9842.5300000000007"/>
    <x v="1330"/>
    <n v="165715"/>
    <n v="10000"/>
    <n v="-1.5998935233115876"/>
    <x v="8"/>
    <x v="2"/>
  </r>
  <r>
    <s v="ORD10564"/>
    <d v="2025-09-05T00:00:00"/>
    <x v="3"/>
    <x v="3"/>
    <x v="2"/>
    <x v="1"/>
    <n v="5"/>
    <n v="4500"/>
    <n v="5220"/>
    <x v="980"/>
    <n v="23303.97"/>
    <x v="1331"/>
    <n v="279531"/>
    <n v="22500"/>
    <n v="3.4499272012451101"/>
    <x v="8"/>
    <x v="0"/>
  </r>
  <r>
    <s v="ORD10648"/>
    <d v="2025-09-05T00:00:00"/>
    <x v="7"/>
    <x v="7"/>
    <x v="5"/>
    <x v="1"/>
    <n v="9"/>
    <n v="300"/>
    <n v="405"/>
    <x v="981"/>
    <n v="3607.04"/>
    <x v="1332"/>
    <n v="3790.8"/>
    <n v="2700"/>
    <n v="25.146380411639456"/>
    <x v="8"/>
    <x v="1"/>
  </r>
  <r>
    <s v="ORD10738"/>
    <d v="2025-09-05T00:00:00"/>
    <x v="10"/>
    <x v="10"/>
    <x v="4"/>
    <x v="0"/>
    <n v="4"/>
    <n v="3200"/>
    <n v="3840"/>
    <x v="399"/>
    <n v="13228.88"/>
    <x v="1333"/>
    <n v="213043.19999999998"/>
    <n v="12800"/>
    <n v="3.2419978108502008"/>
    <x v="8"/>
    <x v="0"/>
  </r>
  <r>
    <s v="ORD10763"/>
    <d v="2025-09-05T00:00:00"/>
    <x v="1"/>
    <x v="1"/>
    <x v="1"/>
    <x v="1"/>
    <n v="7"/>
    <n v="45"/>
    <n v="63"/>
    <x v="982"/>
    <n v="400.93"/>
    <x v="137"/>
    <n v="4008.69"/>
    <n v="315"/>
    <n v="21.432669044471606"/>
    <x v="8"/>
    <x v="1"/>
  </r>
  <r>
    <s v="ORD11369"/>
    <d v="2025-09-05T00:00:00"/>
    <x v="8"/>
    <x v="8"/>
    <x v="2"/>
    <x v="1"/>
    <n v="1"/>
    <n v="900"/>
    <n v="1170"/>
    <x v="891"/>
    <n v="1085.2"/>
    <x v="1334"/>
    <n v="8482.5"/>
    <n v="900"/>
    <n v="17.065978621452267"/>
    <x v="8"/>
    <x v="1"/>
  </r>
  <r>
    <s v="ORD11609"/>
    <d v="2025-09-05T00:00:00"/>
    <x v="10"/>
    <x v="10"/>
    <x v="4"/>
    <x v="3"/>
    <n v="3"/>
    <n v="3200"/>
    <n v="3840"/>
    <x v="983"/>
    <n v="9155.25"/>
    <x v="1335"/>
    <n v="236505.60000000001"/>
    <n v="9600"/>
    <n v="-4.8578684361431961"/>
    <x v="8"/>
    <x v="2"/>
  </r>
  <r>
    <s v="ORD11716"/>
    <d v="2025-09-05T00:00:00"/>
    <x v="16"/>
    <x v="16"/>
    <x v="0"/>
    <x v="0"/>
    <n v="7"/>
    <n v="1100"/>
    <n v="1298"/>
    <x v="984"/>
    <n v="7466.06"/>
    <x v="1336"/>
    <n v="162003.37999999998"/>
    <n v="7700"/>
    <n v="-3.1333795870914511"/>
    <x v="8"/>
    <x v="2"/>
  </r>
  <r>
    <s v="ORD11806"/>
    <d v="2025-09-05T00:00:00"/>
    <x v="0"/>
    <x v="0"/>
    <x v="0"/>
    <x v="2"/>
    <n v="2"/>
    <n v="500"/>
    <n v="610"/>
    <x v="985"/>
    <n v="1089.51"/>
    <x v="1337"/>
    <n v="13054"/>
    <n v="1000"/>
    <n v="8.2156198658112363"/>
    <x v="8"/>
    <x v="0"/>
  </r>
  <r>
    <s v="ORD11992"/>
    <d v="2025-09-05T00:00:00"/>
    <x v="11"/>
    <x v="11"/>
    <x v="0"/>
    <x v="0"/>
    <n v="2"/>
    <n v="900"/>
    <n v="1152"/>
    <x v="291"/>
    <n v="1994.3"/>
    <x v="1338"/>
    <n v="30965.759999999998"/>
    <n v="1800"/>
    <n v="9.7427668856240288"/>
    <x v="8"/>
    <x v="0"/>
  </r>
  <r>
    <s v="ORD10052"/>
    <d v="2025-09-06T00:00:00"/>
    <x v="0"/>
    <x v="0"/>
    <x v="0"/>
    <x v="0"/>
    <n v="3"/>
    <n v="500"/>
    <n v="610"/>
    <x v="52"/>
    <n v="1591.87"/>
    <x v="1339"/>
    <n v="23808.3"/>
    <n v="1500"/>
    <n v="5.7711999095403526"/>
    <x v="8"/>
    <x v="0"/>
  </r>
  <r>
    <s v="ORD11167"/>
    <d v="2025-09-06T00:00:00"/>
    <x v="19"/>
    <x v="19"/>
    <x v="0"/>
    <x v="1"/>
    <n v="4"/>
    <n v="350"/>
    <n v="455"/>
    <x v="986"/>
    <n v="1391.98"/>
    <x v="1340"/>
    <n v="42806.400000000001"/>
    <n v="1400"/>
    <n v="-0.57615770341527894"/>
    <x v="8"/>
    <x v="2"/>
  </r>
  <r>
    <s v="ORD11215"/>
    <d v="2025-09-06T00:00:00"/>
    <x v="4"/>
    <x v="4"/>
    <x v="3"/>
    <x v="0"/>
    <n v="8"/>
    <n v="180"/>
    <n v="243"/>
    <x v="9"/>
    <n v="1944"/>
    <x v="118"/>
    <n v="0"/>
    <n v="1440"/>
    <n v="25.925925925925924"/>
    <x v="8"/>
    <x v="1"/>
  </r>
  <r>
    <s v="ORD11817"/>
    <d v="2025-09-06T00:00:00"/>
    <x v="15"/>
    <x v="15"/>
    <x v="0"/>
    <x v="3"/>
    <n v="9"/>
    <n v="550"/>
    <n v="742.5"/>
    <x v="987"/>
    <n v="6202.34"/>
    <x v="1341"/>
    <n v="48047.175000000003"/>
    <n v="4950"/>
    <n v="20.191411628514398"/>
    <x v="8"/>
    <x v="1"/>
  </r>
  <r>
    <s v="ORD10555"/>
    <d v="2025-09-07T00:00:00"/>
    <x v="3"/>
    <x v="3"/>
    <x v="2"/>
    <x v="3"/>
    <n v="3"/>
    <n v="4500"/>
    <n v="5220"/>
    <x v="988"/>
    <n v="11886.87"/>
    <x v="1342"/>
    <n v="377249.4"/>
    <n v="13500"/>
    <n v="-13.570687657894803"/>
    <x v="8"/>
    <x v="2"/>
  </r>
  <r>
    <s v="ORD10985"/>
    <d v="2025-09-07T00:00:00"/>
    <x v="0"/>
    <x v="0"/>
    <x v="0"/>
    <x v="1"/>
    <n v="1"/>
    <n v="500"/>
    <n v="610"/>
    <x v="284"/>
    <n v="557.70000000000005"/>
    <x v="1343"/>
    <n v="5227.7"/>
    <n v="500"/>
    <n v="10.346064192218037"/>
    <x v="8"/>
    <x v="1"/>
  </r>
  <r>
    <s v="ORD11148"/>
    <d v="2025-09-07T00:00:00"/>
    <x v="12"/>
    <x v="12"/>
    <x v="2"/>
    <x v="1"/>
    <n v="5"/>
    <n v="6500"/>
    <n v="8125"/>
    <x v="27"/>
    <n v="39000"/>
    <x v="189"/>
    <n v="162500"/>
    <n v="32500"/>
    <n v="16.666666666666664"/>
    <x v="8"/>
    <x v="1"/>
  </r>
  <r>
    <s v="ORD11169"/>
    <d v="2025-09-07T00:00:00"/>
    <x v="16"/>
    <x v="16"/>
    <x v="0"/>
    <x v="2"/>
    <n v="7"/>
    <n v="1100"/>
    <n v="1298"/>
    <x v="318"/>
    <n v="8418.44"/>
    <x v="1344"/>
    <n v="66782.099999999991"/>
    <n v="7700"/>
    <n v="8.5341227115712659"/>
    <x v="8"/>
    <x v="0"/>
  </r>
  <r>
    <s v="ORD11208"/>
    <d v="2025-09-07T00:00:00"/>
    <x v="1"/>
    <x v="1"/>
    <x v="1"/>
    <x v="2"/>
    <n v="3"/>
    <n v="45"/>
    <n v="63"/>
    <x v="989"/>
    <n v="146.88"/>
    <x v="1345"/>
    <n v="4210.92"/>
    <n v="135"/>
    <n v="8.0882352941176467"/>
    <x v="8"/>
    <x v="0"/>
  </r>
  <r>
    <s v="ORD10465"/>
    <d v="2025-09-08T00:00:00"/>
    <x v="18"/>
    <x v="18"/>
    <x v="1"/>
    <x v="1"/>
    <n v="5"/>
    <n v="80"/>
    <n v="116"/>
    <x v="990"/>
    <n v="531.07000000000005"/>
    <x v="1346"/>
    <n v="4895.2"/>
    <n v="400"/>
    <n v="24.680362287457395"/>
    <x v="8"/>
    <x v="1"/>
  </r>
  <r>
    <s v="ORD10466"/>
    <d v="2025-09-08T00:00:00"/>
    <x v="4"/>
    <x v="4"/>
    <x v="3"/>
    <x v="0"/>
    <n v="5"/>
    <n v="180"/>
    <n v="243"/>
    <x v="9"/>
    <n v="1215"/>
    <x v="647"/>
    <n v="0"/>
    <n v="900"/>
    <n v="25.925925925925924"/>
    <x v="8"/>
    <x v="1"/>
  </r>
  <r>
    <s v="ORD10795"/>
    <d v="2025-09-08T00:00:00"/>
    <x v="5"/>
    <x v="5"/>
    <x v="3"/>
    <x v="1"/>
    <n v="8"/>
    <n v="2500"/>
    <n v="2875"/>
    <x v="991"/>
    <n v="21466.13"/>
    <x v="1347"/>
    <n v="153410"/>
    <n v="20000"/>
    <n v="6.8299688858681096"/>
    <x v="8"/>
    <x v="0"/>
  </r>
  <r>
    <s v="ORD10827"/>
    <d v="2025-09-08T00:00:00"/>
    <x v="6"/>
    <x v="6"/>
    <x v="4"/>
    <x v="1"/>
    <n v="2"/>
    <n v="1800"/>
    <n v="2124"/>
    <x v="992"/>
    <n v="3944.95"/>
    <x v="1348"/>
    <n v="30288.239999999998"/>
    <n v="3600"/>
    <n v="8.744090546141269"/>
    <x v="8"/>
    <x v="0"/>
  </r>
  <r>
    <s v="ORD11894"/>
    <d v="2025-09-08T00:00:00"/>
    <x v="12"/>
    <x v="12"/>
    <x v="2"/>
    <x v="3"/>
    <n v="9"/>
    <n v="6500"/>
    <n v="8125"/>
    <x v="993"/>
    <n v="57646.54"/>
    <x v="1349"/>
    <n v="1548056.2500000002"/>
    <n v="58500"/>
    <n v="-1.4805051612811453"/>
    <x v="8"/>
    <x v="2"/>
  </r>
  <r>
    <s v="ORD10145"/>
    <d v="2025-09-09T00:00:00"/>
    <x v="2"/>
    <x v="2"/>
    <x v="0"/>
    <x v="0"/>
    <n v="2"/>
    <n v="6500"/>
    <n v="7150"/>
    <x v="994"/>
    <n v="12159.64"/>
    <x v="1350"/>
    <n v="214071"/>
    <n v="13000"/>
    <n v="-6.9110598669039556"/>
    <x v="8"/>
    <x v="2"/>
  </r>
  <r>
    <s v="ORD10202"/>
    <d v="2025-09-09T00:00:00"/>
    <x v="5"/>
    <x v="5"/>
    <x v="3"/>
    <x v="3"/>
    <n v="1"/>
    <n v="2500"/>
    <n v="2875"/>
    <x v="874"/>
    <n v="2775.9"/>
    <x v="1351"/>
    <n v="9918.75"/>
    <n v="2500"/>
    <n v="9.9391188443387719"/>
    <x v="8"/>
    <x v="0"/>
  </r>
  <r>
    <s v="ORD10788"/>
    <d v="2025-09-09T00:00:00"/>
    <x v="17"/>
    <x v="17"/>
    <x v="0"/>
    <x v="3"/>
    <n v="2"/>
    <n v="8500"/>
    <n v="9520"/>
    <x v="995"/>
    <n v="17305.740000000002"/>
    <x v="1352"/>
    <n v="173454.4"/>
    <n v="17000"/>
    <n v="1.7666970612062818"/>
    <x v="8"/>
    <x v="0"/>
  </r>
  <r>
    <s v="ORD11163"/>
    <d v="2025-09-09T00:00:00"/>
    <x v="4"/>
    <x v="4"/>
    <x v="3"/>
    <x v="2"/>
    <n v="6"/>
    <n v="180"/>
    <n v="243"/>
    <x v="996"/>
    <n v="1228.8699999999999"/>
    <x v="1353"/>
    <n v="22919.760000000002"/>
    <n v="1080"/>
    <n v="12.114381504959843"/>
    <x v="8"/>
    <x v="1"/>
  </r>
  <r>
    <s v="ORD11476"/>
    <d v="2025-09-09T00:00:00"/>
    <x v="13"/>
    <x v="13"/>
    <x v="6"/>
    <x v="0"/>
    <n v="9"/>
    <n v="900"/>
    <n v="1170"/>
    <x v="321"/>
    <n v="9586.7199999999993"/>
    <x v="1354"/>
    <n v="94348.800000000003"/>
    <n v="8100"/>
    <n v="15.508119565398804"/>
    <x v="8"/>
    <x v="1"/>
  </r>
  <r>
    <s v="ORD11648"/>
    <d v="2025-09-09T00:00:00"/>
    <x v="19"/>
    <x v="19"/>
    <x v="0"/>
    <x v="3"/>
    <n v="6"/>
    <n v="350"/>
    <n v="455"/>
    <x v="997"/>
    <n v="2370.0500000000002"/>
    <x v="1355"/>
    <n v="35981.4"/>
    <n v="2100"/>
    <n v="11.394274382396997"/>
    <x v="8"/>
    <x v="1"/>
  </r>
  <r>
    <s v="ORD11701"/>
    <d v="2025-09-09T00:00:00"/>
    <x v="7"/>
    <x v="7"/>
    <x v="5"/>
    <x v="2"/>
    <n v="3"/>
    <n v="300"/>
    <n v="405"/>
    <x v="998"/>
    <n v="1166.99"/>
    <x v="1356"/>
    <n v="4799.25"/>
    <n v="900"/>
    <n v="22.878516525420096"/>
    <x v="8"/>
    <x v="1"/>
  </r>
  <r>
    <s v="ORD10092"/>
    <d v="2025-09-10T00:00:00"/>
    <x v="18"/>
    <x v="18"/>
    <x v="1"/>
    <x v="1"/>
    <n v="3"/>
    <n v="80"/>
    <n v="116"/>
    <x v="999"/>
    <n v="340.05"/>
    <x v="1357"/>
    <n v="793.43999999999994"/>
    <n v="240"/>
    <n v="29.422143802381999"/>
    <x v="8"/>
    <x v="1"/>
  </r>
  <r>
    <s v="ORD10135"/>
    <d v="2025-09-10T00:00:00"/>
    <x v="1"/>
    <x v="1"/>
    <x v="1"/>
    <x v="3"/>
    <n v="9"/>
    <n v="45"/>
    <n v="63"/>
    <x v="749"/>
    <n v="502.84"/>
    <x v="1358"/>
    <n v="6418.4400000000005"/>
    <n v="405"/>
    <n v="19.457481505051312"/>
    <x v="8"/>
    <x v="1"/>
  </r>
  <r>
    <s v="ORD10124"/>
    <d v="2025-09-11T00:00:00"/>
    <x v="0"/>
    <x v="0"/>
    <x v="0"/>
    <x v="0"/>
    <n v="10"/>
    <n v="500"/>
    <n v="610"/>
    <x v="9"/>
    <n v="6100"/>
    <x v="454"/>
    <n v="0"/>
    <n v="5000"/>
    <n v="18.032786885245901"/>
    <x v="8"/>
    <x v="1"/>
  </r>
  <r>
    <s v="ORD10435"/>
    <d v="2025-09-11T00:00:00"/>
    <x v="11"/>
    <x v="11"/>
    <x v="0"/>
    <x v="0"/>
    <n v="8"/>
    <n v="900"/>
    <n v="1152"/>
    <x v="1000"/>
    <n v="8486.42"/>
    <x v="1359"/>
    <n v="72990.720000000001"/>
    <n v="7200"/>
    <n v="15.158570987530668"/>
    <x v="8"/>
    <x v="1"/>
  </r>
  <r>
    <s v="ORD10493"/>
    <d v="2025-09-11T00:00:00"/>
    <x v="1"/>
    <x v="1"/>
    <x v="1"/>
    <x v="3"/>
    <n v="2"/>
    <n v="45"/>
    <n v="63"/>
    <x v="138"/>
    <n v="122.8"/>
    <x v="1360"/>
    <n v="320.04000000000002"/>
    <n v="90"/>
    <n v="26.710097719869708"/>
    <x v="8"/>
    <x v="1"/>
  </r>
  <r>
    <s v="ORD10649"/>
    <d v="2025-09-11T00:00:00"/>
    <x v="15"/>
    <x v="15"/>
    <x v="0"/>
    <x v="3"/>
    <n v="6"/>
    <n v="550"/>
    <n v="742.5"/>
    <x v="1001"/>
    <n v="4150.2"/>
    <x v="1361"/>
    <n v="30472.2"/>
    <n v="3300"/>
    <n v="20.485759722423015"/>
    <x v="8"/>
    <x v="1"/>
  </r>
  <r>
    <s v="ORD11812"/>
    <d v="2025-09-11T00:00:00"/>
    <x v="10"/>
    <x v="10"/>
    <x v="4"/>
    <x v="3"/>
    <n v="6"/>
    <n v="3200"/>
    <n v="3840"/>
    <x v="1002"/>
    <n v="18024.23"/>
    <x v="1362"/>
    <n v="501580.79999999999"/>
    <n v="19200"/>
    <n v="-6.5232745032658812"/>
    <x v="8"/>
    <x v="2"/>
  </r>
  <r>
    <s v="ORD11863"/>
    <d v="2025-09-11T00:00:00"/>
    <x v="9"/>
    <x v="9"/>
    <x v="2"/>
    <x v="1"/>
    <n v="8"/>
    <n v="3000"/>
    <n v="3600"/>
    <x v="749"/>
    <n v="25538.97"/>
    <x v="1363"/>
    <n v="326016"/>
    <n v="24000"/>
    <n v="6.0259673745652238"/>
    <x v="8"/>
    <x v="0"/>
  </r>
  <r>
    <s v="ORD10284"/>
    <d v="2025-09-12T00:00:00"/>
    <x v="11"/>
    <x v="11"/>
    <x v="0"/>
    <x v="0"/>
    <n v="7"/>
    <n v="900"/>
    <n v="1152"/>
    <x v="241"/>
    <n v="7273.31"/>
    <x v="1364"/>
    <n v="79107.840000000011"/>
    <n v="6300"/>
    <n v="13.381940272035703"/>
    <x v="8"/>
    <x v="1"/>
  </r>
  <r>
    <s v="ORD10857"/>
    <d v="2025-09-12T00:00:00"/>
    <x v="16"/>
    <x v="16"/>
    <x v="0"/>
    <x v="3"/>
    <n v="2"/>
    <n v="1100"/>
    <n v="1298"/>
    <x v="451"/>
    <n v="2497.31"/>
    <x v="1365"/>
    <n v="9864.7999999999993"/>
    <n v="2200"/>
    <n v="11.905210005966421"/>
    <x v="8"/>
    <x v="1"/>
  </r>
  <r>
    <s v="ORD10867"/>
    <d v="2025-09-12T00:00:00"/>
    <x v="15"/>
    <x v="15"/>
    <x v="0"/>
    <x v="2"/>
    <n v="9"/>
    <n v="550"/>
    <n v="742.5"/>
    <x v="35"/>
    <n v="5711.45"/>
    <x v="1366"/>
    <n v="97096.724999999991"/>
    <n v="4950"/>
    <n v="13.331991000534016"/>
    <x v="8"/>
    <x v="1"/>
  </r>
  <r>
    <s v="ORD11697"/>
    <d v="2025-09-12T00:00:00"/>
    <x v="6"/>
    <x v="6"/>
    <x v="4"/>
    <x v="3"/>
    <n v="3"/>
    <n v="1800"/>
    <n v="2124"/>
    <x v="27"/>
    <n v="6117.12"/>
    <x v="1367"/>
    <n v="25488"/>
    <n v="5400"/>
    <n v="11.72316384180791"/>
    <x v="8"/>
    <x v="1"/>
  </r>
  <r>
    <s v="ORD11862"/>
    <d v="2025-09-12T00:00:00"/>
    <x v="13"/>
    <x v="13"/>
    <x v="6"/>
    <x v="3"/>
    <n v="7"/>
    <n v="900"/>
    <n v="1170"/>
    <x v="9"/>
    <n v="8190"/>
    <x v="1368"/>
    <n v="0"/>
    <n v="6300"/>
    <n v="23.076923076923077"/>
    <x v="8"/>
    <x v="1"/>
  </r>
  <r>
    <s v="ORD10088"/>
    <d v="2025-09-13T00:00:00"/>
    <x v="15"/>
    <x v="15"/>
    <x v="0"/>
    <x v="1"/>
    <n v="9"/>
    <n v="550"/>
    <n v="742.5"/>
    <x v="1003"/>
    <n v="6574.06"/>
    <x v="1369"/>
    <n v="10825.650000000001"/>
    <n v="4950"/>
    <n v="24.704064155179598"/>
    <x v="8"/>
    <x v="1"/>
  </r>
  <r>
    <s v="ORD10164"/>
    <d v="2025-09-13T00:00:00"/>
    <x v="7"/>
    <x v="7"/>
    <x v="5"/>
    <x v="3"/>
    <n v="1"/>
    <n v="300"/>
    <n v="405"/>
    <x v="1004"/>
    <n v="358.21"/>
    <x v="1370"/>
    <n v="4677.75"/>
    <n v="300"/>
    <n v="16.250244270120881"/>
    <x v="8"/>
    <x v="1"/>
  </r>
  <r>
    <s v="ORD10194"/>
    <d v="2025-09-13T00:00:00"/>
    <x v="18"/>
    <x v="18"/>
    <x v="1"/>
    <x v="3"/>
    <n v="4"/>
    <n v="80"/>
    <n v="116"/>
    <x v="1005"/>
    <n v="462.99"/>
    <x v="1371"/>
    <n v="102.08"/>
    <n v="320"/>
    <n v="30.884036372275858"/>
    <x v="8"/>
    <x v="1"/>
  </r>
  <r>
    <s v="ORD10272"/>
    <d v="2025-09-13T00:00:00"/>
    <x v="17"/>
    <x v="17"/>
    <x v="0"/>
    <x v="0"/>
    <n v="2"/>
    <n v="8500"/>
    <n v="9520"/>
    <x v="338"/>
    <n v="15260.51"/>
    <x v="1372"/>
    <n v="377944"/>
    <n v="17000"/>
    <n v="-11.398636087522632"/>
    <x v="8"/>
    <x v="2"/>
  </r>
  <r>
    <s v="ORD10333"/>
    <d v="2025-09-13T00:00:00"/>
    <x v="19"/>
    <x v="19"/>
    <x v="0"/>
    <x v="3"/>
    <n v="4"/>
    <n v="350"/>
    <n v="455"/>
    <x v="1006"/>
    <n v="1691.07"/>
    <x v="1373"/>
    <n v="12885.6"/>
    <n v="1400"/>
    <n v="17.212179271112372"/>
    <x v="8"/>
    <x v="1"/>
  </r>
  <r>
    <s v="ORD11442"/>
    <d v="2025-09-13T00:00:00"/>
    <x v="14"/>
    <x v="14"/>
    <x v="3"/>
    <x v="2"/>
    <n v="9"/>
    <n v="1200"/>
    <n v="1464"/>
    <x v="1007"/>
    <n v="11201.68"/>
    <x v="1374"/>
    <n v="197376.48"/>
    <n v="10800"/>
    <n v="3.5858906878253971"/>
    <x v="8"/>
    <x v="0"/>
  </r>
  <r>
    <s v="ORD11764"/>
    <d v="2025-09-13T00:00:00"/>
    <x v="16"/>
    <x v="16"/>
    <x v="0"/>
    <x v="1"/>
    <n v="10"/>
    <n v="1100"/>
    <n v="1298"/>
    <x v="152"/>
    <n v="10578.58"/>
    <x v="1375"/>
    <n v="240130"/>
    <n v="11000"/>
    <n v="-3.9837104791002198"/>
    <x v="8"/>
    <x v="2"/>
  </r>
  <r>
    <s v="ORD10911"/>
    <d v="2025-09-14T00:00:00"/>
    <x v="3"/>
    <x v="3"/>
    <x v="2"/>
    <x v="3"/>
    <n v="5"/>
    <n v="4500"/>
    <n v="5220"/>
    <x v="1008"/>
    <n v="24231.599999999999"/>
    <x v="1376"/>
    <n v="186876"/>
    <n v="22500"/>
    <n v="7.1460407071757537"/>
    <x v="8"/>
    <x v="0"/>
  </r>
  <r>
    <s v="ORD11287"/>
    <d v="2025-09-14T00:00:00"/>
    <x v="16"/>
    <x v="16"/>
    <x v="0"/>
    <x v="1"/>
    <n v="2"/>
    <n v="1100"/>
    <n v="1298"/>
    <x v="9"/>
    <n v="2596"/>
    <x v="720"/>
    <n v="0"/>
    <n v="2200"/>
    <n v="15.254237288135593"/>
    <x v="8"/>
    <x v="1"/>
  </r>
  <r>
    <s v="ORD11746"/>
    <d v="2025-09-14T00:00:00"/>
    <x v="14"/>
    <x v="14"/>
    <x v="3"/>
    <x v="3"/>
    <n v="4"/>
    <n v="1200"/>
    <n v="1464"/>
    <x v="81"/>
    <n v="4766.59"/>
    <x v="1377"/>
    <n v="108921.60000000001"/>
    <n v="4800"/>
    <n v="-0.70092036445341421"/>
    <x v="8"/>
    <x v="2"/>
  </r>
  <r>
    <s v="ORD10051"/>
    <d v="2025-09-15T00:00:00"/>
    <x v="8"/>
    <x v="8"/>
    <x v="2"/>
    <x v="0"/>
    <n v="1"/>
    <n v="900"/>
    <n v="1170"/>
    <x v="1009"/>
    <n v="1027.49"/>
    <x v="1378"/>
    <n v="14250.6"/>
    <n v="900"/>
    <n v="12.407906646293394"/>
    <x v="8"/>
    <x v="1"/>
  </r>
  <r>
    <s v="ORD10290"/>
    <d v="2025-09-15T00:00:00"/>
    <x v="11"/>
    <x v="11"/>
    <x v="0"/>
    <x v="0"/>
    <n v="1"/>
    <n v="900"/>
    <n v="1152"/>
    <x v="1010"/>
    <n v="1019.08"/>
    <x v="1379"/>
    <n v="13294.079999999998"/>
    <n v="900"/>
    <n v="11.685049260116967"/>
    <x v="8"/>
    <x v="1"/>
  </r>
  <r>
    <s v="ORD10342"/>
    <d v="2025-09-15T00:00:00"/>
    <x v="16"/>
    <x v="16"/>
    <x v="0"/>
    <x v="1"/>
    <n v="4"/>
    <n v="1100"/>
    <n v="1298"/>
    <x v="1011"/>
    <n v="4036.56"/>
    <x v="1380"/>
    <n v="115522"/>
    <n v="4400"/>
    <n v="-9.003706126008284"/>
    <x v="8"/>
    <x v="2"/>
  </r>
  <r>
    <s v="ORD11011"/>
    <d v="2025-09-15T00:00:00"/>
    <x v="15"/>
    <x v="15"/>
    <x v="0"/>
    <x v="3"/>
    <n v="4"/>
    <n v="550"/>
    <n v="742.5"/>
    <x v="1012"/>
    <n v="2593.71"/>
    <x v="1381"/>
    <n v="37629.9"/>
    <n v="2200"/>
    <n v="15.179414815071846"/>
    <x v="8"/>
    <x v="1"/>
  </r>
  <r>
    <s v="ORD11033"/>
    <d v="2025-09-15T00:00:00"/>
    <x v="5"/>
    <x v="5"/>
    <x v="3"/>
    <x v="0"/>
    <n v="5"/>
    <n v="2500"/>
    <n v="2875"/>
    <x v="1013"/>
    <n v="13298.19"/>
    <x v="1382"/>
    <n v="107668.75"/>
    <n v="12500"/>
    <n v="6.0022454183614471"/>
    <x v="8"/>
    <x v="0"/>
  </r>
  <r>
    <s v="ORD11495"/>
    <d v="2025-09-15T00:00:00"/>
    <x v="17"/>
    <x v="17"/>
    <x v="0"/>
    <x v="0"/>
    <n v="4"/>
    <n v="8500"/>
    <n v="9520"/>
    <x v="228"/>
    <n v="30971.42"/>
    <x v="1383"/>
    <n v="710953.60000000009"/>
    <n v="34000"/>
    <n v="-9.7786281675170219"/>
    <x v="8"/>
    <x v="2"/>
  </r>
  <r>
    <s v="ORD10489"/>
    <d v="2025-09-16T00:00:00"/>
    <x v="0"/>
    <x v="0"/>
    <x v="0"/>
    <x v="0"/>
    <n v="10"/>
    <n v="500"/>
    <n v="610"/>
    <x v="9"/>
    <n v="6100"/>
    <x v="454"/>
    <n v="0"/>
    <n v="5000"/>
    <n v="18.032786885245901"/>
    <x v="8"/>
    <x v="1"/>
  </r>
  <r>
    <s v="ORD10680"/>
    <d v="2025-09-16T00:00:00"/>
    <x v="1"/>
    <x v="1"/>
    <x v="1"/>
    <x v="1"/>
    <n v="6"/>
    <n v="45"/>
    <n v="63"/>
    <x v="577"/>
    <n v="345.44"/>
    <x v="1384"/>
    <n v="3254.58"/>
    <n v="270"/>
    <n v="21.838814265863824"/>
    <x v="8"/>
    <x v="1"/>
  </r>
  <r>
    <s v="ORD11024"/>
    <d v="2025-09-16T00:00:00"/>
    <x v="12"/>
    <x v="12"/>
    <x v="2"/>
    <x v="3"/>
    <n v="3"/>
    <n v="6500"/>
    <n v="8125"/>
    <x v="295"/>
    <n v="20050.939999999999"/>
    <x v="1385"/>
    <n v="432412.49999999994"/>
    <n v="19500"/>
    <n v="2.7477016040145754"/>
    <x v="8"/>
    <x v="0"/>
  </r>
  <r>
    <s v="ORD11301"/>
    <d v="2025-09-16T00:00:00"/>
    <x v="18"/>
    <x v="18"/>
    <x v="1"/>
    <x v="2"/>
    <n v="6"/>
    <n v="80"/>
    <n v="116"/>
    <x v="1014"/>
    <n v="638.1"/>
    <x v="1386"/>
    <n v="5790.72"/>
    <n v="480"/>
    <n v="24.776680771039018"/>
    <x v="8"/>
    <x v="1"/>
  </r>
  <r>
    <s v="ORD10147"/>
    <d v="2025-09-17T00:00:00"/>
    <x v="18"/>
    <x v="18"/>
    <x v="1"/>
    <x v="3"/>
    <n v="6"/>
    <n v="80"/>
    <n v="116"/>
    <x v="1015"/>
    <n v="548.14"/>
    <x v="1387"/>
    <n v="14783.039999999999"/>
    <n v="480"/>
    <n v="12.431130733024411"/>
    <x v="8"/>
    <x v="1"/>
  </r>
  <r>
    <s v="ORD10148"/>
    <d v="2025-09-17T00:00:00"/>
    <x v="11"/>
    <x v="11"/>
    <x v="0"/>
    <x v="0"/>
    <n v="10"/>
    <n v="900"/>
    <n v="1152"/>
    <x v="793"/>
    <n v="10237.709999999999"/>
    <x v="1388"/>
    <n v="128217.60000000001"/>
    <n v="9000"/>
    <n v="12.089715375801816"/>
    <x v="8"/>
    <x v="1"/>
  </r>
  <r>
    <s v="ORD10419"/>
    <d v="2025-09-17T00:00:00"/>
    <x v="13"/>
    <x v="13"/>
    <x v="6"/>
    <x v="2"/>
    <n v="8"/>
    <n v="900"/>
    <n v="1170"/>
    <x v="753"/>
    <n v="7985.1"/>
    <x v="1389"/>
    <n v="137498.4"/>
    <n v="7200"/>
    <n v="9.8320622158770714"/>
    <x v="8"/>
    <x v="0"/>
  </r>
  <r>
    <s v="ORD10473"/>
    <d v="2025-09-17T00:00:00"/>
    <x v="0"/>
    <x v="0"/>
    <x v="0"/>
    <x v="3"/>
    <n v="10"/>
    <n v="500"/>
    <n v="610"/>
    <x v="1016"/>
    <n v="5722.44"/>
    <x v="1390"/>
    <n v="37759"/>
    <n v="5000"/>
    <n v="12.624684575111317"/>
    <x v="8"/>
    <x v="1"/>
  </r>
  <r>
    <s v="ORD10512"/>
    <d v="2025-09-17T00:00:00"/>
    <x v="1"/>
    <x v="1"/>
    <x v="1"/>
    <x v="1"/>
    <n v="1"/>
    <n v="45"/>
    <n v="63"/>
    <x v="1017"/>
    <n v="50.1"/>
    <x v="1391"/>
    <n v="1289.6099999999999"/>
    <n v="45"/>
    <n v="10.179640718562872"/>
    <x v="8"/>
    <x v="1"/>
  </r>
  <r>
    <s v="ORD10692"/>
    <d v="2025-09-17T00:00:00"/>
    <x v="9"/>
    <x v="9"/>
    <x v="2"/>
    <x v="1"/>
    <n v="4"/>
    <n v="3000"/>
    <n v="3600"/>
    <x v="27"/>
    <n v="13824"/>
    <x v="1392"/>
    <n v="57600"/>
    <n v="12000"/>
    <n v="13.194444444444445"/>
    <x v="8"/>
    <x v="1"/>
  </r>
  <r>
    <s v="ORD10707"/>
    <d v="2025-09-17T00:00:00"/>
    <x v="5"/>
    <x v="5"/>
    <x v="3"/>
    <x v="3"/>
    <n v="6"/>
    <n v="2500"/>
    <n v="2875"/>
    <x v="1018"/>
    <n v="16084.02"/>
    <x v="1393"/>
    <n v="116610"/>
    <n v="15000"/>
    <n v="6.7397329772034595"/>
    <x v="8"/>
    <x v="0"/>
  </r>
  <r>
    <s v="ORD10903"/>
    <d v="2025-09-17T00:00:00"/>
    <x v="17"/>
    <x v="17"/>
    <x v="0"/>
    <x v="0"/>
    <n v="10"/>
    <n v="8500"/>
    <n v="9520"/>
    <x v="873"/>
    <n v="81870.52"/>
    <x v="1394"/>
    <n v="1332800"/>
    <n v="85000"/>
    <n v="-3.8224748053389672"/>
    <x v="8"/>
    <x v="2"/>
  </r>
  <r>
    <s v="ORD11104"/>
    <d v="2025-09-17T00:00:00"/>
    <x v="18"/>
    <x v="18"/>
    <x v="1"/>
    <x v="0"/>
    <n v="5"/>
    <n v="80"/>
    <n v="116"/>
    <x v="359"/>
    <n v="559.74"/>
    <x v="1395"/>
    <n v="2024.2"/>
    <n v="400"/>
    <n v="28.538249901740091"/>
    <x v="8"/>
    <x v="1"/>
  </r>
  <r>
    <s v="ORD11223"/>
    <d v="2025-09-17T00:00:00"/>
    <x v="18"/>
    <x v="18"/>
    <x v="1"/>
    <x v="1"/>
    <n v="4"/>
    <n v="80"/>
    <n v="116"/>
    <x v="1019"/>
    <n v="431.29"/>
    <x v="1396"/>
    <n v="3271.2"/>
    <n v="320"/>
    <n v="25.803983398641282"/>
    <x v="8"/>
    <x v="1"/>
  </r>
  <r>
    <s v="ORD11296"/>
    <d v="2025-09-17T00:00:00"/>
    <x v="16"/>
    <x v="16"/>
    <x v="0"/>
    <x v="1"/>
    <n v="5"/>
    <n v="1100"/>
    <n v="1298"/>
    <x v="1020"/>
    <n v="5702.77"/>
    <x v="1397"/>
    <n v="78723.700000000012"/>
    <n v="5500"/>
    <n v="3.5556405045267478"/>
    <x v="8"/>
    <x v="0"/>
  </r>
  <r>
    <s v="ORD11361"/>
    <d v="2025-09-17T00:00:00"/>
    <x v="18"/>
    <x v="18"/>
    <x v="1"/>
    <x v="1"/>
    <n v="6"/>
    <n v="80"/>
    <n v="116"/>
    <x v="318"/>
    <n v="644.80999999999995"/>
    <x v="1398"/>
    <n v="5115.5999999999995"/>
    <n v="480"/>
    <n v="25.559467129852209"/>
    <x v="8"/>
    <x v="1"/>
  </r>
  <r>
    <s v="ORD11663"/>
    <d v="2025-09-17T00:00:00"/>
    <x v="8"/>
    <x v="8"/>
    <x v="2"/>
    <x v="3"/>
    <n v="3"/>
    <n v="900"/>
    <n v="1170"/>
    <x v="1021"/>
    <n v="3326.31"/>
    <x v="1399"/>
    <n v="18357.300000000003"/>
    <n v="2700"/>
    <n v="18.82897264536378"/>
    <x v="8"/>
    <x v="1"/>
  </r>
  <r>
    <s v="ORD10259"/>
    <d v="2025-09-18T00:00:00"/>
    <x v="6"/>
    <x v="6"/>
    <x v="4"/>
    <x v="0"/>
    <n v="1"/>
    <n v="1800"/>
    <n v="2124"/>
    <x v="632"/>
    <n v="1861.44"/>
    <x v="1400"/>
    <n v="26252.639999999999"/>
    <n v="1800"/>
    <n v="3.3006704486848895"/>
    <x v="8"/>
    <x v="0"/>
  </r>
  <r>
    <s v="ORD10260"/>
    <d v="2025-09-18T00:00:00"/>
    <x v="9"/>
    <x v="9"/>
    <x v="2"/>
    <x v="0"/>
    <n v="1"/>
    <n v="3000"/>
    <n v="3600"/>
    <x v="1022"/>
    <n v="3266.38"/>
    <x v="1401"/>
    <n v="33372"/>
    <n v="3000"/>
    <n v="8.1552054568053922"/>
    <x v="8"/>
    <x v="0"/>
  </r>
  <r>
    <s v="ORD10374"/>
    <d v="2025-09-18T00:00:00"/>
    <x v="15"/>
    <x v="15"/>
    <x v="0"/>
    <x v="2"/>
    <n v="5"/>
    <n v="550"/>
    <n v="742.5"/>
    <x v="1023"/>
    <n v="2907"/>
    <x v="1402"/>
    <n v="80561.25"/>
    <n v="2750"/>
    <n v="5.4007567939456482"/>
    <x v="8"/>
    <x v="0"/>
  </r>
  <r>
    <s v="ORD10508"/>
    <d v="2025-09-18T00:00:00"/>
    <x v="12"/>
    <x v="12"/>
    <x v="2"/>
    <x v="1"/>
    <n v="3"/>
    <n v="6500"/>
    <n v="8125"/>
    <x v="346"/>
    <n v="20405.8"/>
    <x v="1403"/>
    <n v="396825"/>
    <n v="19500"/>
    <n v="4.4389340285605074"/>
    <x v="8"/>
    <x v="0"/>
  </r>
  <r>
    <s v="ORD10060"/>
    <d v="2025-09-19T00:00:00"/>
    <x v="1"/>
    <x v="1"/>
    <x v="1"/>
    <x v="0"/>
    <n v="8"/>
    <n v="45"/>
    <n v="63"/>
    <x v="1024"/>
    <n v="436.63"/>
    <x v="1404"/>
    <n v="6738.48"/>
    <n v="360"/>
    <n v="17.550328653551063"/>
    <x v="8"/>
    <x v="1"/>
  </r>
  <r>
    <s v="ORD10654"/>
    <d v="2025-09-19T00:00:00"/>
    <x v="3"/>
    <x v="3"/>
    <x v="2"/>
    <x v="2"/>
    <n v="2"/>
    <n v="4500"/>
    <n v="5220"/>
    <x v="950"/>
    <n v="9118.8700000000008"/>
    <x v="1405"/>
    <n v="132066"/>
    <n v="9000"/>
    <n v="1.3035606385440301"/>
    <x v="8"/>
    <x v="0"/>
  </r>
  <r>
    <s v="ORD10914"/>
    <d v="2025-09-19T00:00:00"/>
    <x v="2"/>
    <x v="2"/>
    <x v="0"/>
    <x v="0"/>
    <n v="8"/>
    <n v="6500"/>
    <n v="7150"/>
    <x v="542"/>
    <n v="48867.11"/>
    <x v="1406"/>
    <n v="833404"/>
    <n v="52000"/>
    <n v="-6.4110400635519467"/>
    <x v="8"/>
    <x v="2"/>
  </r>
  <r>
    <s v="ORD10920"/>
    <d v="2025-09-19T00:00:00"/>
    <x v="15"/>
    <x v="15"/>
    <x v="0"/>
    <x v="1"/>
    <n v="8"/>
    <n v="550"/>
    <n v="742.5"/>
    <x v="1025"/>
    <n v="5812.79"/>
    <x v="1407"/>
    <n v="12711.6"/>
    <n v="4400"/>
    <n v="24.304851886959618"/>
    <x v="8"/>
    <x v="1"/>
  </r>
  <r>
    <s v="ORD11111"/>
    <d v="2025-09-19T00:00:00"/>
    <x v="1"/>
    <x v="1"/>
    <x v="1"/>
    <x v="1"/>
    <n v="9"/>
    <n v="45"/>
    <n v="63"/>
    <x v="412"/>
    <n v="512.9"/>
    <x v="1408"/>
    <n v="5409.1799999999994"/>
    <n v="405"/>
    <n v="21.037239227919674"/>
    <x v="8"/>
    <x v="1"/>
  </r>
  <r>
    <s v="ORD11899"/>
    <d v="2025-09-19T00:00:00"/>
    <x v="1"/>
    <x v="1"/>
    <x v="1"/>
    <x v="1"/>
    <n v="7"/>
    <n v="45"/>
    <n v="63"/>
    <x v="1026"/>
    <n v="397.13"/>
    <x v="1409"/>
    <n v="4387.95"/>
    <n v="315"/>
    <n v="20.680885352403493"/>
    <x v="8"/>
    <x v="1"/>
  </r>
  <r>
    <s v="ORD10143"/>
    <d v="2025-09-20T00:00:00"/>
    <x v="15"/>
    <x v="15"/>
    <x v="0"/>
    <x v="0"/>
    <n v="8"/>
    <n v="550"/>
    <n v="742.5"/>
    <x v="1027"/>
    <n v="5019.9399999999996"/>
    <x v="1410"/>
    <n v="92010.6"/>
    <n v="4400"/>
    <n v="12.349549994621452"/>
    <x v="8"/>
    <x v="1"/>
  </r>
  <r>
    <s v="ORD10677"/>
    <d v="2025-09-20T00:00:00"/>
    <x v="4"/>
    <x v="4"/>
    <x v="3"/>
    <x v="1"/>
    <n v="3"/>
    <n v="180"/>
    <n v="243"/>
    <x v="1028"/>
    <n v="709.3"/>
    <x v="1411"/>
    <n v="1968.3000000000002"/>
    <n v="540"/>
    <n v="23.868602847878194"/>
    <x v="8"/>
    <x v="1"/>
  </r>
  <r>
    <s v="ORD11464"/>
    <d v="2025-09-20T00:00:00"/>
    <x v="5"/>
    <x v="5"/>
    <x v="3"/>
    <x v="3"/>
    <n v="4"/>
    <n v="2500"/>
    <n v="2875"/>
    <x v="396"/>
    <n v="10282.35"/>
    <x v="1412"/>
    <n v="121785"/>
    <n v="10000"/>
    <n v="2.7459676046818093"/>
    <x v="8"/>
    <x v="0"/>
  </r>
  <r>
    <s v="ORD10003"/>
    <d v="2025-09-21T00:00:00"/>
    <x v="3"/>
    <x v="3"/>
    <x v="2"/>
    <x v="2"/>
    <n v="2"/>
    <n v="4500"/>
    <n v="5220"/>
    <x v="1029"/>
    <n v="9468.82"/>
    <x v="1413"/>
    <n v="97092.000000000015"/>
    <n v="9000"/>
    <n v="4.9511977205185023"/>
    <x v="8"/>
    <x v="0"/>
  </r>
  <r>
    <s v="ORD10231"/>
    <d v="2025-09-21T00:00:00"/>
    <x v="5"/>
    <x v="5"/>
    <x v="3"/>
    <x v="1"/>
    <n v="7"/>
    <n v="2500"/>
    <n v="2875"/>
    <x v="1030"/>
    <n v="15952.66"/>
    <x v="1414"/>
    <n v="417191.25"/>
    <n v="17500"/>
    <n v="-9.6995736134287309"/>
    <x v="8"/>
    <x v="2"/>
  </r>
  <r>
    <s v="ORD10849"/>
    <d v="2025-09-21T00:00:00"/>
    <x v="18"/>
    <x v="18"/>
    <x v="1"/>
    <x v="0"/>
    <n v="5"/>
    <n v="80"/>
    <n v="116"/>
    <x v="91"/>
    <n v="565.20000000000005"/>
    <x v="1415"/>
    <n v="1479"/>
    <n v="400"/>
    <n v="29.228591648973811"/>
    <x v="8"/>
    <x v="1"/>
  </r>
  <r>
    <s v="ORD11267"/>
    <d v="2025-09-21T00:00:00"/>
    <x v="7"/>
    <x v="7"/>
    <x v="5"/>
    <x v="0"/>
    <n v="9"/>
    <n v="300"/>
    <n v="405"/>
    <x v="1031"/>
    <n v="2966.31"/>
    <x v="1416"/>
    <n v="67869.900000000009"/>
    <n v="2700"/>
    <n v="8.9778209290330402"/>
    <x v="8"/>
    <x v="0"/>
  </r>
  <r>
    <s v="ORD11364"/>
    <d v="2025-09-21T00:00:00"/>
    <x v="16"/>
    <x v="16"/>
    <x v="0"/>
    <x v="2"/>
    <n v="4"/>
    <n v="1100"/>
    <n v="1298"/>
    <x v="1032"/>
    <n v="4535.55"/>
    <x v="1417"/>
    <n v="65626.880000000005"/>
    <n v="4400"/>
    <n v="2.9886121859531922"/>
    <x v="8"/>
    <x v="0"/>
  </r>
  <r>
    <s v="ORD11388"/>
    <d v="2025-09-21T00:00:00"/>
    <x v="10"/>
    <x v="10"/>
    <x v="4"/>
    <x v="0"/>
    <n v="6"/>
    <n v="3200"/>
    <n v="3840"/>
    <x v="1033"/>
    <n v="21806.03"/>
    <x v="1418"/>
    <n v="123494.40000000001"/>
    <n v="19200"/>
    <n v="11.950960353626957"/>
    <x v="8"/>
    <x v="1"/>
  </r>
  <r>
    <s v="ORD11463"/>
    <d v="2025-09-21T00:00:00"/>
    <x v="3"/>
    <x v="3"/>
    <x v="2"/>
    <x v="1"/>
    <n v="3"/>
    <n v="4500"/>
    <n v="5220"/>
    <x v="397"/>
    <n v="13116.34"/>
    <x v="1419"/>
    <n v="254318.39999999997"/>
    <n v="13500"/>
    <n v="-2.9250537878707021"/>
    <x v="8"/>
    <x v="2"/>
  </r>
  <r>
    <s v="ORD11548"/>
    <d v="2025-09-21T00:00:00"/>
    <x v="18"/>
    <x v="18"/>
    <x v="1"/>
    <x v="3"/>
    <n v="5"/>
    <n v="80"/>
    <n v="116"/>
    <x v="518"/>
    <n v="488.44"/>
    <x v="514"/>
    <n v="9158.1999999999989"/>
    <n v="400"/>
    <n v="18.106625174023421"/>
    <x v="8"/>
    <x v="1"/>
  </r>
  <r>
    <s v="ORD10724"/>
    <d v="2025-09-22T00:00:00"/>
    <x v="13"/>
    <x v="13"/>
    <x v="6"/>
    <x v="2"/>
    <n v="7"/>
    <n v="900"/>
    <n v="1170"/>
    <x v="9"/>
    <n v="8190"/>
    <x v="1368"/>
    <n v="0"/>
    <n v="6300"/>
    <n v="23.076923076923077"/>
    <x v="8"/>
    <x v="1"/>
  </r>
  <r>
    <s v="ORD10835"/>
    <d v="2025-09-22T00:00:00"/>
    <x v="15"/>
    <x v="15"/>
    <x v="0"/>
    <x v="1"/>
    <n v="2"/>
    <n v="550"/>
    <n v="742.5"/>
    <x v="1034"/>
    <n v="1401.91"/>
    <x v="1420"/>
    <n v="8316"/>
    <n v="1100"/>
    <n v="21.535619262292158"/>
    <x v="8"/>
    <x v="1"/>
  </r>
  <r>
    <s v="ORD10953"/>
    <d v="2025-09-22T00:00:00"/>
    <x v="8"/>
    <x v="8"/>
    <x v="2"/>
    <x v="3"/>
    <n v="1"/>
    <n v="900"/>
    <n v="1170"/>
    <x v="616"/>
    <n v="987.95"/>
    <x v="1421"/>
    <n v="18205.2"/>
    <n v="900"/>
    <n v="8.9022723822055774"/>
    <x v="8"/>
    <x v="0"/>
  </r>
  <r>
    <s v="ORD11294"/>
    <d v="2025-09-22T00:00:00"/>
    <x v="0"/>
    <x v="0"/>
    <x v="0"/>
    <x v="0"/>
    <n v="5"/>
    <n v="500"/>
    <n v="610"/>
    <x v="1035"/>
    <n v="2696.12"/>
    <x v="1422"/>
    <n v="35380"/>
    <n v="2500"/>
    <n v="7.274156936634868"/>
    <x v="8"/>
    <x v="0"/>
  </r>
  <r>
    <s v="ORD11715"/>
    <d v="2025-09-22T00:00:00"/>
    <x v="7"/>
    <x v="7"/>
    <x v="5"/>
    <x v="2"/>
    <n v="8"/>
    <n v="300"/>
    <n v="405"/>
    <x v="320"/>
    <n v="2964.64"/>
    <x v="1423"/>
    <n v="27540"/>
    <n v="2400"/>
    <n v="19.045820065842733"/>
    <x v="8"/>
    <x v="1"/>
  </r>
  <r>
    <s v="ORD10089"/>
    <d v="2025-09-23T00:00:00"/>
    <x v="16"/>
    <x v="16"/>
    <x v="0"/>
    <x v="0"/>
    <n v="4"/>
    <n v="1100"/>
    <n v="1298"/>
    <x v="1036"/>
    <n v="4051.38"/>
    <x v="1424"/>
    <n v="114068.23999999999"/>
    <n v="4400"/>
    <n v="-8.6049691709985243"/>
    <x v="8"/>
    <x v="2"/>
  </r>
  <r>
    <s v="ORD10130"/>
    <d v="2025-09-23T00:00:00"/>
    <x v="0"/>
    <x v="0"/>
    <x v="0"/>
    <x v="3"/>
    <n v="3"/>
    <n v="500"/>
    <n v="610"/>
    <x v="458"/>
    <n v="1620.03"/>
    <x v="1425"/>
    <n v="20990.100000000002"/>
    <n v="1500"/>
    <n v="7.4091220532953095"/>
    <x v="8"/>
    <x v="0"/>
  </r>
  <r>
    <s v="ORD10285"/>
    <d v="2025-09-23T00:00:00"/>
    <x v="4"/>
    <x v="4"/>
    <x v="3"/>
    <x v="3"/>
    <n v="10"/>
    <n v="180"/>
    <n v="243"/>
    <x v="1037"/>
    <n v="2093.9299999999998"/>
    <x v="1426"/>
    <n v="33606.9"/>
    <n v="1800"/>
    <n v="14.037240977492086"/>
    <x v="8"/>
    <x v="1"/>
  </r>
  <r>
    <s v="ORD11017"/>
    <d v="2025-09-23T00:00:00"/>
    <x v="4"/>
    <x v="4"/>
    <x v="3"/>
    <x v="0"/>
    <n v="8"/>
    <n v="180"/>
    <n v="243"/>
    <x v="9"/>
    <n v="1944"/>
    <x v="118"/>
    <n v="0"/>
    <n v="1440"/>
    <n v="25.925925925925924"/>
    <x v="8"/>
    <x v="1"/>
  </r>
  <r>
    <s v="ORD11752"/>
    <d v="2025-09-23T00:00:00"/>
    <x v="17"/>
    <x v="17"/>
    <x v="0"/>
    <x v="1"/>
    <n v="10"/>
    <n v="8500"/>
    <n v="9520"/>
    <x v="1038"/>
    <n v="71003.53"/>
    <x v="1427"/>
    <n v="2419984"/>
    <n v="85000"/>
    <n v="-19.712357963047751"/>
    <x v="8"/>
    <x v="2"/>
  </r>
  <r>
    <s v="ORD10133"/>
    <d v="2025-09-24T00:00:00"/>
    <x v="5"/>
    <x v="5"/>
    <x v="3"/>
    <x v="2"/>
    <n v="9"/>
    <n v="2500"/>
    <n v="2875"/>
    <x v="1039"/>
    <n v="19864.25"/>
    <x v="1428"/>
    <n v="601076.25"/>
    <n v="22500"/>
    <n v="-13.268812061869943"/>
    <x v="8"/>
    <x v="2"/>
  </r>
  <r>
    <s v="ORD10661"/>
    <d v="2025-09-24T00:00:00"/>
    <x v="12"/>
    <x v="12"/>
    <x v="2"/>
    <x v="0"/>
    <n v="1"/>
    <n v="6500"/>
    <n v="8125"/>
    <x v="1033"/>
    <n v="7689.21"/>
    <x v="1429"/>
    <n v="43550"/>
    <n v="6500"/>
    <n v="15.465958141343519"/>
    <x v="8"/>
    <x v="1"/>
  </r>
  <r>
    <s v="ORD10864"/>
    <d v="2025-09-24T00:00:00"/>
    <x v="7"/>
    <x v="7"/>
    <x v="5"/>
    <x v="1"/>
    <n v="7"/>
    <n v="300"/>
    <n v="405"/>
    <x v="1040"/>
    <n v="2430"/>
    <x v="1430"/>
    <n v="40512.149999999994"/>
    <n v="2100"/>
    <n v="13.580246913580247"/>
    <x v="8"/>
    <x v="1"/>
  </r>
  <r>
    <s v="ORD10967"/>
    <d v="2025-09-24T00:00:00"/>
    <x v="0"/>
    <x v="0"/>
    <x v="0"/>
    <x v="1"/>
    <n v="3"/>
    <n v="500"/>
    <n v="610"/>
    <x v="1041"/>
    <n v="1497.39"/>
    <x v="1431"/>
    <n v="33269.4"/>
    <n v="1500"/>
    <n v="-0.17430328772063389"/>
    <x v="8"/>
    <x v="2"/>
  </r>
  <r>
    <s v="ORD11184"/>
    <d v="2025-09-24T00:00:00"/>
    <x v="18"/>
    <x v="18"/>
    <x v="1"/>
    <x v="2"/>
    <n v="9"/>
    <n v="80"/>
    <n v="116"/>
    <x v="919"/>
    <n v="868.59"/>
    <x v="1432"/>
    <n v="17539.2"/>
    <n v="720"/>
    <n v="17.107035540358513"/>
    <x v="8"/>
    <x v="1"/>
  </r>
  <r>
    <s v="ORD11586"/>
    <d v="2025-09-24T00:00:00"/>
    <x v="12"/>
    <x v="12"/>
    <x v="2"/>
    <x v="0"/>
    <n v="7"/>
    <n v="6500"/>
    <n v="8125"/>
    <x v="1042"/>
    <n v="46669.26"/>
    <x v="1433"/>
    <n v="1020337.5000000001"/>
    <n v="45500"/>
    <n v="2.5054179132045373"/>
    <x v="8"/>
    <x v="0"/>
  </r>
  <r>
    <s v="ORD10319"/>
    <d v="2025-09-25T00:00:00"/>
    <x v="14"/>
    <x v="14"/>
    <x v="3"/>
    <x v="1"/>
    <n v="3"/>
    <n v="1200"/>
    <n v="1464"/>
    <x v="30"/>
    <n v="4009.01"/>
    <x v="1434"/>
    <n v="38298.240000000005"/>
    <n v="3600"/>
    <n v="10.202269388203073"/>
    <x v="8"/>
    <x v="1"/>
  </r>
  <r>
    <s v="ORD10662"/>
    <d v="2025-09-25T00:00:00"/>
    <x v="17"/>
    <x v="17"/>
    <x v="0"/>
    <x v="3"/>
    <n v="5"/>
    <n v="8500"/>
    <n v="9520"/>
    <x v="1043"/>
    <n v="41484.92"/>
    <x v="1435"/>
    <n v="611660"/>
    <n v="42500"/>
    <n v="-2.4468650295095182"/>
    <x v="8"/>
    <x v="2"/>
  </r>
  <r>
    <s v="ORD10676"/>
    <d v="2025-09-25T00:00:00"/>
    <x v="5"/>
    <x v="5"/>
    <x v="3"/>
    <x v="2"/>
    <n v="3"/>
    <n v="2500"/>
    <n v="2875"/>
    <x v="1044"/>
    <n v="7088.6"/>
    <x v="1436"/>
    <n v="153611.25"/>
    <n v="7500"/>
    <n v="-5.8036847896622739"/>
    <x v="8"/>
    <x v="2"/>
  </r>
  <r>
    <s v="ORD10862"/>
    <d v="2025-09-25T00:00:00"/>
    <x v="18"/>
    <x v="18"/>
    <x v="1"/>
    <x v="3"/>
    <n v="4"/>
    <n v="80"/>
    <n v="116"/>
    <x v="1045"/>
    <n v="343.12"/>
    <x v="1437"/>
    <n v="12087.2"/>
    <n v="320"/>
    <n v="6.7381674049895075"/>
    <x v="8"/>
    <x v="0"/>
  </r>
  <r>
    <s v="ORD10919"/>
    <d v="2025-09-25T00:00:00"/>
    <x v="16"/>
    <x v="16"/>
    <x v="0"/>
    <x v="2"/>
    <n v="1"/>
    <n v="1100"/>
    <n v="1298"/>
    <x v="1046"/>
    <n v="1130.18"/>
    <x v="1438"/>
    <n v="16783.14"/>
    <n v="1100"/>
    <n v="2.6703710913305843"/>
    <x v="8"/>
    <x v="0"/>
  </r>
  <r>
    <s v="ORD10980"/>
    <d v="2025-09-25T00:00:00"/>
    <x v="13"/>
    <x v="13"/>
    <x v="6"/>
    <x v="0"/>
    <n v="6"/>
    <n v="900"/>
    <n v="1170"/>
    <x v="1047"/>
    <n v="6489.92"/>
    <x v="1439"/>
    <n v="53001"/>
    <n v="5400"/>
    <n v="16.794043686208767"/>
    <x v="8"/>
    <x v="1"/>
  </r>
  <r>
    <s v="ORD11035"/>
    <d v="2025-09-25T00:00:00"/>
    <x v="15"/>
    <x v="15"/>
    <x v="0"/>
    <x v="0"/>
    <n v="7"/>
    <n v="550"/>
    <n v="742.5"/>
    <x v="1048"/>
    <n v="4951.45"/>
    <x v="1440"/>
    <n v="24584.175000000003"/>
    <n v="3850"/>
    <n v="22.244998939704534"/>
    <x v="8"/>
    <x v="1"/>
  </r>
  <r>
    <s v="ORD11503"/>
    <d v="2025-09-25T00:00:00"/>
    <x v="7"/>
    <x v="7"/>
    <x v="5"/>
    <x v="2"/>
    <n v="2"/>
    <n v="300"/>
    <n v="405"/>
    <x v="1049"/>
    <n v="784.95"/>
    <x v="1441"/>
    <n v="2502.9"/>
    <n v="600"/>
    <n v="23.562010319128603"/>
    <x v="8"/>
    <x v="1"/>
  </r>
  <r>
    <s v="ORD10291"/>
    <d v="2025-09-26T00:00:00"/>
    <x v="18"/>
    <x v="18"/>
    <x v="1"/>
    <x v="1"/>
    <n v="1"/>
    <n v="80"/>
    <n v="116"/>
    <x v="1050"/>
    <n v="101.43"/>
    <x v="1442"/>
    <n v="1456.96"/>
    <n v="80"/>
    <n v="21.127871438430443"/>
    <x v="8"/>
    <x v="1"/>
  </r>
  <r>
    <s v="ORD10341"/>
    <d v="2025-09-26T00:00:00"/>
    <x v="13"/>
    <x v="13"/>
    <x v="6"/>
    <x v="3"/>
    <n v="4"/>
    <n v="900"/>
    <n v="1170"/>
    <x v="1051"/>
    <n v="4087.61"/>
    <x v="1443"/>
    <n v="59248.800000000003"/>
    <n v="3600"/>
    <n v="11.928975611665496"/>
    <x v="8"/>
    <x v="1"/>
  </r>
  <r>
    <s v="ORD10705"/>
    <d v="2025-09-26T00:00:00"/>
    <x v="14"/>
    <x v="14"/>
    <x v="3"/>
    <x v="3"/>
    <n v="4"/>
    <n v="1200"/>
    <n v="1464"/>
    <x v="1052"/>
    <n v="4591.1000000000004"/>
    <x v="1444"/>
    <n v="126489.60000000001"/>
    <n v="4800"/>
    <n v="-4.5501078172986862"/>
    <x v="8"/>
    <x v="2"/>
  </r>
  <r>
    <s v="ORD11336"/>
    <d v="2025-09-26T00:00:00"/>
    <x v="2"/>
    <x v="2"/>
    <x v="0"/>
    <x v="1"/>
    <n v="5"/>
    <n v="6500"/>
    <n v="7150"/>
    <x v="1053"/>
    <n v="32048.81"/>
    <x v="1445"/>
    <n v="370012.5"/>
    <n v="32500"/>
    <n v="-1.4078213824475854"/>
    <x v="8"/>
    <x v="2"/>
  </r>
  <r>
    <s v="ORD10097"/>
    <d v="2025-09-27T00:00:00"/>
    <x v="19"/>
    <x v="19"/>
    <x v="0"/>
    <x v="0"/>
    <n v="10"/>
    <n v="350"/>
    <n v="455"/>
    <x v="231"/>
    <n v="4067.24"/>
    <x v="1446"/>
    <n v="48275.5"/>
    <n v="3500"/>
    <n v="13.946558354068117"/>
    <x v="8"/>
    <x v="1"/>
  </r>
  <r>
    <s v="ORD10539"/>
    <d v="2025-09-27T00:00:00"/>
    <x v="10"/>
    <x v="10"/>
    <x v="4"/>
    <x v="0"/>
    <n v="8"/>
    <n v="3200"/>
    <n v="3840"/>
    <x v="1054"/>
    <n v="22272.43"/>
    <x v="1447"/>
    <n v="844800"/>
    <n v="25600"/>
    <n v="-14.940309611479305"/>
    <x v="8"/>
    <x v="2"/>
  </r>
  <r>
    <s v="ORD10642"/>
    <d v="2025-09-27T00:00:00"/>
    <x v="19"/>
    <x v="19"/>
    <x v="0"/>
    <x v="3"/>
    <n v="9"/>
    <n v="350"/>
    <n v="455"/>
    <x v="517"/>
    <n v="3950.45"/>
    <x v="1448"/>
    <n v="14455.349999999999"/>
    <n v="3150"/>
    <n v="20.262248604589352"/>
    <x v="8"/>
    <x v="1"/>
  </r>
  <r>
    <s v="ORD10812"/>
    <d v="2025-09-27T00:00:00"/>
    <x v="8"/>
    <x v="8"/>
    <x v="2"/>
    <x v="2"/>
    <n v="9"/>
    <n v="900"/>
    <n v="1170"/>
    <x v="899"/>
    <n v="9691.8799999999992"/>
    <x v="1449"/>
    <n v="83818.8"/>
    <n v="8100"/>
    <n v="16.424883510732698"/>
    <x v="8"/>
    <x v="1"/>
  </r>
  <r>
    <s v="ORD11924"/>
    <d v="2025-09-27T00:00:00"/>
    <x v="1"/>
    <x v="1"/>
    <x v="1"/>
    <x v="3"/>
    <n v="2"/>
    <n v="45"/>
    <n v="63"/>
    <x v="483"/>
    <n v="116.78"/>
    <x v="1450"/>
    <n v="922.32"/>
    <n v="90"/>
    <n v="22.932008905634525"/>
    <x v="8"/>
    <x v="1"/>
  </r>
  <r>
    <s v="ORD10300"/>
    <d v="2025-09-28T00:00:00"/>
    <x v="14"/>
    <x v="14"/>
    <x v="3"/>
    <x v="3"/>
    <n v="8"/>
    <n v="1200"/>
    <n v="1464"/>
    <x v="1006"/>
    <n v="10882.91"/>
    <x v="1451"/>
    <n v="82920.960000000006"/>
    <n v="9600"/>
    <n v="11.788299269221193"/>
    <x v="8"/>
    <x v="1"/>
  </r>
  <r>
    <s v="ORD10757"/>
    <d v="2025-09-28T00:00:00"/>
    <x v="12"/>
    <x v="12"/>
    <x v="2"/>
    <x v="0"/>
    <n v="8"/>
    <n v="6500"/>
    <n v="8125"/>
    <x v="1055"/>
    <n v="50856.98"/>
    <x v="1452"/>
    <n v="1414400"/>
    <n v="52000"/>
    <n v="-2.2475184330646449"/>
    <x v="8"/>
    <x v="2"/>
  </r>
  <r>
    <s v="ORD11793"/>
    <d v="2025-09-28T00:00:00"/>
    <x v="18"/>
    <x v="18"/>
    <x v="1"/>
    <x v="2"/>
    <n v="7"/>
    <n v="80"/>
    <n v="116"/>
    <x v="213"/>
    <n v="740"/>
    <x v="544"/>
    <n v="7202.44"/>
    <n v="560"/>
    <n v="24.324324324324326"/>
    <x v="8"/>
    <x v="1"/>
  </r>
  <r>
    <s v="ORD11886"/>
    <d v="2025-09-28T00:00:00"/>
    <x v="19"/>
    <x v="19"/>
    <x v="0"/>
    <x v="2"/>
    <n v="2"/>
    <n v="350"/>
    <n v="455"/>
    <x v="9"/>
    <n v="910"/>
    <x v="1453"/>
    <n v="0"/>
    <n v="700"/>
    <n v="23.076923076923077"/>
    <x v="8"/>
    <x v="1"/>
  </r>
  <r>
    <s v="ORD11914"/>
    <d v="2025-09-28T00:00:00"/>
    <x v="1"/>
    <x v="1"/>
    <x v="1"/>
    <x v="3"/>
    <n v="3"/>
    <n v="45"/>
    <n v="63"/>
    <x v="1056"/>
    <n v="169.71"/>
    <x v="1454"/>
    <n v="1929.69"/>
    <n v="135"/>
    <n v="20.452536680219197"/>
    <x v="8"/>
    <x v="1"/>
  </r>
  <r>
    <s v="ORD10040"/>
    <d v="2025-09-29T00:00:00"/>
    <x v="2"/>
    <x v="2"/>
    <x v="0"/>
    <x v="1"/>
    <n v="6"/>
    <n v="6500"/>
    <n v="7150"/>
    <x v="814"/>
    <n v="36386.71"/>
    <x v="1455"/>
    <n v="651222"/>
    <n v="39000"/>
    <n v="-7.1819903475747058"/>
    <x v="8"/>
    <x v="2"/>
  </r>
  <r>
    <s v="ORD10761"/>
    <d v="2025-09-29T00:00:00"/>
    <x v="2"/>
    <x v="2"/>
    <x v="0"/>
    <x v="2"/>
    <n v="10"/>
    <n v="6500"/>
    <n v="7150"/>
    <x v="328"/>
    <n v="63476.27"/>
    <x v="1456"/>
    <n v="802230"/>
    <n v="65000"/>
    <n v="-2.4004718613743372"/>
    <x v="8"/>
    <x v="2"/>
  </r>
  <r>
    <s v="ORD11516"/>
    <d v="2025-09-29T00:00:00"/>
    <x v="11"/>
    <x v="11"/>
    <x v="0"/>
    <x v="1"/>
    <n v="5"/>
    <n v="900"/>
    <n v="1152"/>
    <x v="1057"/>
    <n v="4352.5200000000004"/>
    <x v="1457"/>
    <n v="140774.39999999999"/>
    <n v="4500"/>
    <n v="-3.3883819028976312"/>
    <x v="8"/>
    <x v="2"/>
  </r>
  <r>
    <s v="ORD11645"/>
    <d v="2025-09-29T00:00:00"/>
    <x v="0"/>
    <x v="0"/>
    <x v="0"/>
    <x v="2"/>
    <n v="4"/>
    <n v="500"/>
    <n v="610"/>
    <x v="1058"/>
    <n v="2307.0700000000002"/>
    <x v="1458"/>
    <n v="13298"/>
    <n v="2000"/>
    <n v="13.309955918112584"/>
    <x v="8"/>
    <x v="1"/>
  </r>
  <r>
    <s v="ORD11856"/>
    <d v="2025-09-29T00:00:00"/>
    <x v="17"/>
    <x v="17"/>
    <x v="0"/>
    <x v="3"/>
    <n v="4"/>
    <n v="8500"/>
    <n v="9520"/>
    <x v="1059"/>
    <n v="33607.61"/>
    <x v="1459"/>
    <n v="447059.20000000001"/>
    <n v="34000"/>
    <n v="-1.1675629418456117"/>
    <x v="8"/>
    <x v="2"/>
  </r>
  <r>
    <s v="ORD11954"/>
    <d v="2025-09-29T00:00:00"/>
    <x v="1"/>
    <x v="1"/>
    <x v="1"/>
    <x v="3"/>
    <n v="3"/>
    <n v="45"/>
    <n v="63"/>
    <x v="836"/>
    <n v="156.80000000000001"/>
    <x v="1460"/>
    <n v="3220.56"/>
    <n v="135"/>
    <n v="13.903061224489797"/>
    <x v="8"/>
    <x v="1"/>
  </r>
  <r>
    <s v="ORD10151"/>
    <d v="2025-09-30T00:00:00"/>
    <x v="8"/>
    <x v="8"/>
    <x v="2"/>
    <x v="1"/>
    <n v="2"/>
    <n v="900"/>
    <n v="1170"/>
    <x v="9"/>
    <n v="2340"/>
    <x v="1461"/>
    <n v="0"/>
    <n v="1800"/>
    <n v="23.076923076923077"/>
    <x v="8"/>
    <x v="1"/>
  </r>
  <r>
    <s v="ORD10301"/>
    <d v="2025-09-30T00:00:00"/>
    <x v="1"/>
    <x v="1"/>
    <x v="1"/>
    <x v="3"/>
    <n v="1"/>
    <n v="45"/>
    <n v="63"/>
    <x v="996"/>
    <n v="53.1"/>
    <x v="1462"/>
    <n v="990.36"/>
    <n v="45"/>
    <n v="15.254237288135592"/>
    <x v="8"/>
    <x v="1"/>
  </r>
  <r>
    <s v="ORD10423"/>
    <d v="2025-09-30T00:00:00"/>
    <x v="15"/>
    <x v="15"/>
    <x v="0"/>
    <x v="0"/>
    <n v="6"/>
    <n v="550"/>
    <n v="742.5"/>
    <x v="9"/>
    <n v="4455"/>
    <x v="1463"/>
    <n v="0"/>
    <n v="3300"/>
    <n v="25.925925925925924"/>
    <x v="8"/>
    <x v="1"/>
  </r>
  <r>
    <s v="ORD10752"/>
    <d v="2025-09-30T00:00:00"/>
    <x v="3"/>
    <x v="3"/>
    <x v="2"/>
    <x v="0"/>
    <n v="2"/>
    <n v="4500"/>
    <n v="5220"/>
    <x v="1060"/>
    <n v="7661.02"/>
    <x v="1464"/>
    <n v="277912.8"/>
    <n v="9000"/>
    <n v="-17.477829322988324"/>
    <x v="8"/>
    <x v="2"/>
  </r>
  <r>
    <s v="ORD11161"/>
    <d v="2025-09-30T00:00:00"/>
    <x v="13"/>
    <x v="13"/>
    <x v="6"/>
    <x v="3"/>
    <n v="4"/>
    <n v="900"/>
    <n v="1170"/>
    <x v="68"/>
    <n v="3999.12"/>
    <x v="1465"/>
    <n v="68094"/>
    <n v="3600"/>
    <n v="9.9801956430414709"/>
    <x v="8"/>
    <x v="0"/>
  </r>
  <r>
    <s v="ORD11424"/>
    <d v="2025-09-30T00:00:00"/>
    <x v="18"/>
    <x v="18"/>
    <x v="1"/>
    <x v="1"/>
    <n v="4"/>
    <n v="80"/>
    <n v="116"/>
    <x v="1061"/>
    <n v="422.2"/>
    <x v="1466"/>
    <n v="4180.6400000000003"/>
    <n v="320"/>
    <n v="24.206537186167694"/>
    <x v="8"/>
    <x v="1"/>
  </r>
  <r>
    <s v="ORD11669"/>
    <d v="2025-09-30T00:00:00"/>
    <x v="6"/>
    <x v="6"/>
    <x v="4"/>
    <x v="0"/>
    <n v="5"/>
    <n v="1800"/>
    <n v="2124"/>
    <x v="813"/>
    <n v="9955.09"/>
    <x v="1467"/>
    <n v="66481.2"/>
    <n v="9000"/>
    <n v="9.5939865937927227"/>
    <x v="8"/>
    <x v="0"/>
  </r>
  <r>
    <s v="ORD11868"/>
    <d v="2025-09-30T00:00:00"/>
    <x v="5"/>
    <x v="5"/>
    <x v="3"/>
    <x v="0"/>
    <n v="3"/>
    <n v="2500"/>
    <n v="2875"/>
    <x v="740"/>
    <n v="7570.54"/>
    <x v="1468"/>
    <n v="105483.75"/>
    <n v="7500"/>
    <n v="0.93176972844737638"/>
    <x v="8"/>
    <x v="0"/>
  </r>
  <r>
    <s v="ORD11126"/>
    <d v="2025-10-01T00:00:00"/>
    <x v="0"/>
    <x v="0"/>
    <x v="0"/>
    <x v="3"/>
    <n v="6"/>
    <n v="500"/>
    <n v="610"/>
    <x v="644"/>
    <n v="3264.67"/>
    <x v="1469"/>
    <n v="39528"/>
    <n v="3000"/>
    <n v="8.1070981140513432"/>
    <x v="9"/>
    <x v="0"/>
  </r>
  <r>
    <s v="ORD11380"/>
    <d v="2025-10-01T00:00:00"/>
    <x v="14"/>
    <x v="14"/>
    <x v="3"/>
    <x v="1"/>
    <n v="4"/>
    <n v="1200"/>
    <n v="1464"/>
    <x v="9"/>
    <n v="5856"/>
    <x v="529"/>
    <n v="0"/>
    <n v="4800"/>
    <n v="18.032786885245901"/>
    <x v="9"/>
    <x v="1"/>
  </r>
  <r>
    <s v="ORD11466"/>
    <d v="2025-10-01T00:00:00"/>
    <x v="19"/>
    <x v="19"/>
    <x v="0"/>
    <x v="3"/>
    <n v="9"/>
    <n v="350"/>
    <n v="455"/>
    <x v="1062"/>
    <n v="3485.77"/>
    <x v="1470"/>
    <n v="60933.600000000006"/>
    <n v="3150"/>
    <n v="9.6325919380796776"/>
    <x v="9"/>
    <x v="0"/>
  </r>
  <r>
    <s v="ORD11658"/>
    <d v="2025-10-01T00:00:00"/>
    <x v="14"/>
    <x v="14"/>
    <x v="3"/>
    <x v="0"/>
    <n v="4"/>
    <n v="1200"/>
    <n v="1464"/>
    <x v="9"/>
    <n v="5856"/>
    <x v="529"/>
    <n v="0"/>
    <n v="4800"/>
    <n v="18.032786885245901"/>
    <x v="9"/>
    <x v="1"/>
  </r>
  <r>
    <s v="ORD11737"/>
    <d v="2025-10-01T00:00:00"/>
    <x v="4"/>
    <x v="4"/>
    <x v="3"/>
    <x v="0"/>
    <n v="7"/>
    <n v="180"/>
    <n v="243"/>
    <x v="351"/>
    <n v="1674.89"/>
    <x v="1471"/>
    <n v="2602.5300000000002"/>
    <n v="1260"/>
    <n v="24.771179002800181"/>
    <x v="9"/>
    <x v="1"/>
  </r>
  <r>
    <s v="ORD10694"/>
    <d v="2025-10-02T00:00:00"/>
    <x v="5"/>
    <x v="5"/>
    <x v="3"/>
    <x v="3"/>
    <n v="9"/>
    <n v="2500"/>
    <n v="2875"/>
    <x v="9"/>
    <n v="25875"/>
    <x v="1472"/>
    <n v="0"/>
    <n v="22500"/>
    <n v="13.043478260869565"/>
    <x v="9"/>
    <x v="1"/>
  </r>
  <r>
    <s v="ORD10819"/>
    <d v="2025-10-02T00:00:00"/>
    <x v="5"/>
    <x v="5"/>
    <x v="3"/>
    <x v="0"/>
    <n v="8"/>
    <n v="2500"/>
    <n v="2875"/>
    <x v="1063"/>
    <n v="20550.48"/>
    <x v="1473"/>
    <n v="244950"/>
    <n v="20000"/>
    <n v="2.6786722256609092"/>
    <x v="9"/>
    <x v="0"/>
  </r>
  <r>
    <s v="ORD10830"/>
    <d v="2025-10-02T00:00:00"/>
    <x v="13"/>
    <x v="13"/>
    <x v="6"/>
    <x v="0"/>
    <n v="9"/>
    <n v="900"/>
    <n v="1170"/>
    <x v="9"/>
    <n v="10530"/>
    <x v="1474"/>
    <n v="0"/>
    <n v="8100"/>
    <n v="23.076923076923077"/>
    <x v="9"/>
    <x v="1"/>
  </r>
  <r>
    <s v="ORD11084"/>
    <d v="2025-10-02T00:00:00"/>
    <x v="15"/>
    <x v="15"/>
    <x v="0"/>
    <x v="3"/>
    <n v="3"/>
    <n v="550"/>
    <n v="742.5"/>
    <x v="1064"/>
    <n v="1799.22"/>
    <x v="1475"/>
    <n v="42834.825000000004"/>
    <n v="1650"/>
    <n v="8.2935938906859636"/>
    <x v="9"/>
    <x v="0"/>
  </r>
  <r>
    <s v="ORD11170"/>
    <d v="2025-10-02T00:00:00"/>
    <x v="15"/>
    <x v="15"/>
    <x v="0"/>
    <x v="2"/>
    <n v="2"/>
    <n v="550"/>
    <n v="742.5"/>
    <x v="9"/>
    <n v="1485"/>
    <x v="1476"/>
    <n v="0"/>
    <n v="1100"/>
    <n v="25.925925925925924"/>
    <x v="9"/>
    <x v="1"/>
  </r>
  <r>
    <s v="ORD11339"/>
    <d v="2025-10-02T00:00:00"/>
    <x v="11"/>
    <x v="11"/>
    <x v="0"/>
    <x v="3"/>
    <n v="3"/>
    <n v="900"/>
    <n v="1152"/>
    <x v="1065"/>
    <n v="2914.11"/>
    <x v="1477"/>
    <n v="54190.080000000002"/>
    <n v="2700"/>
    <n v="7.3473547669785972"/>
    <x v="9"/>
    <x v="0"/>
  </r>
  <r>
    <s v="ORD10087"/>
    <d v="2025-10-03T00:00:00"/>
    <x v="11"/>
    <x v="11"/>
    <x v="0"/>
    <x v="1"/>
    <n v="5"/>
    <n v="900"/>
    <n v="1152"/>
    <x v="971"/>
    <n v="5571.37"/>
    <x v="1478"/>
    <n v="18835.2"/>
    <n v="4500"/>
    <n v="19.229920109416536"/>
    <x v="9"/>
    <x v="1"/>
  </r>
  <r>
    <s v="ORD10871"/>
    <d v="2025-10-03T00:00:00"/>
    <x v="18"/>
    <x v="18"/>
    <x v="1"/>
    <x v="0"/>
    <n v="5"/>
    <n v="80"/>
    <n v="116"/>
    <x v="705"/>
    <n v="528.79999999999995"/>
    <x v="1479"/>
    <n v="5121.3999999999996"/>
    <n v="400"/>
    <n v="24.357034795763997"/>
    <x v="9"/>
    <x v="1"/>
  </r>
  <r>
    <s v="ORD10896"/>
    <d v="2025-10-03T00:00:00"/>
    <x v="19"/>
    <x v="19"/>
    <x v="0"/>
    <x v="1"/>
    <n v="3"/>
    <n v="350"/>
    <n v="455"/>
    <x v="1066"/>
    <n v="1144.72"/>
    <x v="1480"/>
    <n v="22031.100000000002"/>
    <n v="1050"/>
    <n v="8.2745125445523779"/>
    <x v="9"/>
    <x v="0"/>
  </r>
  <r>
    <s v="ORD10226"/>
    <d v="2025-10-04T00:00:00"/>
    <x v="16"/>
    <x v="16"/>
    <x v="0"/>
    <x v="2"/>
    <n v="5"/>
    <n v="1100"/>
    <n v="1298"/>
    <x v="9"/>
    <n v="6490"/>
    <x v="203"/>
    <n v="0"/>
    <n v="5500"/>
    <n v="15.254237288135593"/>
    <x v="9"/>
    <x v="1"/>
  </r>
  <r>
    <s v="ORD10251"/>
    <d v="2025-10-04T00:00:00"/>
    <x v="19"/>
    <x v="19"/>
    <x v="0"/>
    <x v="1"/>
    <n v="7"/>
    <n v="350"/>
    <n v="455"/>
    <x v="1067"/>
    <n v="2785.84"/>
    <x v="1481"/>
    <n v="39908.049999999996"/>
    <n v="2450"/>
    <n v="12.055250839962092"/>
    <x v="9"/>
    <x v="1"/>
  </r>
  <r>
    <s v="ORD10630"/>
    <d v="2025-10-04T00:00:00"/>
    <x v="4"/>
    <x v="4"/>
    <x v="3"/>
    <x v="3"/>
    <n v="2"/>
    <n v="180"/>
    <n v="243"/>
    <x v="1061"/>
    <n v="442.23"/>
    <x v="1482"/>
    <n v="4378.8599999999997"/>
    <n v="360"/>
    <n v="18.594396580964656"/>
    <x v="9"/>
    <x v="1"/>
  </r>
  <r>
    <s v="ORD10736"/>
    <d v="2025-10-04T00:00:00"/>
    <x v="6"/>
    <x v="6"/>
    <x v="4"/>
    <x v="2"/>
    <n v="8"/>
    <n v="1800"/>
    <n v="2124"/>
    <x v="1068"/>
    <n v="15465.6"/>
    <x v="1483"/>
    <n v="152588.16"/>
    <n v="14400"/>
    <n v="6.8901303538175043"/>
    <x v="9"/>
    <x v="0"/>
  </r>
  <r>
    <s v="ORD10960"/>
    <d v="2025-10-04T00:00:00"/>
    <x v="14"/>
    <x v="14"/>
    <x v="3"/>
    <x v="1"/>
    <n v="6"/>
    <n v="1200"/>
    <n v="1464"/>
    <x v="748"/>
    <n v="7549.57"/>
    <x v="1484"/>
    <n v="123415.20000000001"/>
    <n v="7200"/>
    <n v="4.6303299393210473"/>
    <x v="9"/>
    <x v="0"/>
  </r>
  <r>
    <s v="ORD11049"/>
    <d v="2025-10-04T00:00:00"/>
    <x v="11"/>
    <x v="11"/>
    <x v="0"/>
    <x v="0"/>
    <n v="9"/>
    <n v="900"/>
    <n v="1152"/>
    <x v="1069"/>
    <n v="9972.0400000000009"/>
    <x v="1485"/>
    <n v="39605.759999999995"/>
    <n v="8100"/>
    <n v="18.772888997637391"/>
    <x v="9"/>
    <x v="1"/>
  </r>
  <r>
    <s v="ORD11254"/>
    <d v="2025-10-04T00:00:00"/>
    <x v="13"/>
    <x v="13"/>
    <x v="6"/>
    <x v="3"/>
    <n v="10"/>
    <n v="900"/>
    <n v="1170"/>
    <x v="212"/>
    <n v="10470.31"/>
    <x v="1486"/>
    <n v="122967"/>
    <n v="9000"/>
    <n v="14.042659672922769"/>
    <x v="9"/>
    <x v="1"/>
  </r>
  <r>
    <s v="ORD11617"/>
    <d v="2025-10-04T00:00:00"/>
    <x v="5"/>
    <x v="5"/>
    <x v="3"/>
    <x v="2"/>
    <n v="5"/>
    <n v="2500"/>
    <n v="2875"/>
    <x v="657"/>
    <n v="13104.26"/>
    <x v="1487"/>
    <n v="127075"/>
    <n v="12500"/>
    <n v="4.6111722447509429"/>
    <x v="9"/>
    <x v="0"/>
  </r>
  <r>
    <s v="ORD10308"/>
    <d v="2025-10-05T00:00:00"/>
    <x v="1"/>
    <x v="1"/>
    <x v="1"/>
    <x v="1"/>
    <n v="9"/>
    <n v="45"/>
    <n v="63"/>
    <x v="124"/>
    <n v="486.05"/>
    <x v="1488"/>
    <n v="8096.7599999999993"/>
    <n v="405"/>
    <n v="16.675239172924595"/>
    <x v="9"/>
    <x v="1"/>
  </r>
  <r>
    <s v="ORD10350"/>
    <d v="2025-10-05T00:00:00"/>
    <x v="17"/>
    <x v="17"/>
    <x v="0"/>
    <x v="2"/>
    <n v="4"/>
    <n v="8500"/>
    <n v="9520"/>
    <x v="27"/>
    <n v="36556.800000000003"/>
    <x v="160"/>
    <n v="152320"/>
    <n v="34000"/>
    <n v="6.9940476190476195"/>
    <x v="9"/>
    <x v="0"/>
  </r>
  <r>
    <s v="ORD11134"/>
    <d v="2025-10-05T00:00:00"/>
    <x v="0"/>
    <x v="0"/>
    <x v="0"/>
    <x v="2"/>
    <n v="1"/>
    <n v="500"/>
    <n v="610"/>
    <x v="1070"/>
    <n v="543.26"/>
    <x v="1489"/>
    <n v="6673.4"/>
    <n v="500"/>
    <n v="7.9630379560431468"/>
    <x v="9"/>
    <x v="0"/>
  </r>
  <r>
    <s v="ORD11575"/>
    <d v="2025-10-05T00:00:00"/>
    <x v="19"/>
    <x v="19"/>
    <x v="0"/>
    <x v="0"/>
    <n v="2"/>
    <n v="350"/>
    <n v="455"/>
    <x v="424"/>
    <n v="785.97"/>
    <x v="1490"/>
    <n v="12403.300000000001"/>
    <n v="700"/>
    <n v="10.938076516915404"/>
    <x v="9"/>
    <x v="1"/>
  </r>
  <r>
    <s v="ORD11706"/>
    <d v="2025-10-05T00:00:00"/>
    <x v="8"/>
    <x v="8"/>
    <x v="2"/>
    <x v="3"/>
    <n v="3"/>
    <n v="900"/>
    <n v="1170"/>
    <x v="1071"/>
    <n v="2763.6"/>
    <x v="1491"/>
    <n v="74622.600000000006"/>
    <n v="2700"/>
    <n v="2.3013460703430311"/>
    <x v="9"/>
    <x v="0"/>
  </r>
  <r>
    <s v="ORD11758"/>
    <d v="2025-10-05T00:00:00"/>
    <x v="1"/>
    <x v="1"/>
    <x v="1"/>
    <x v="1"/>
    <n v="6"/>
    <n v="45"/>
    <n v="63"/>
    <x v="558"/>
    <n v="314.27"/>
    <x v="1492"/>
    <n v="6373.08"/>
    <n v="270"/>
    <n v="14.086613421580171"/>
    <x v="9"/>
    <x v="1"/>
  </r>
  <r>
    <s v="ORD10023"/>
    <d v="2025-10-06T00:00:00"/>
    <x v="3"/>
    <x v="3"/>
    <x v="2"/>
    <x v="3"/>
    <n v="10"/>
    <n v="4500"/>
    <n v="5220"/>
    <x v="1072"/>
    <n v="42350.559999999998"/>
    <x v="1493"/>
    <n v="985014"/>
    <n v="45000"/>
    <n v="-6.2559739469796858"/>
    <x v="9"/>
    <x v="2"/>
  </r>
  <r>
    <s v="ORD10656"/>
    <d v="2025-10-06T00:00:00"/>
    <x v="16"/>
    <x v="16"/>
    <x v="0"/>
    <x v="1"/>
    <n v="7"/>
    <n v="1100"/>
    <n v="1298"/>
    <x v="1073"/>
    <n v="8717.85"/>
    <x v="1494"/>
    <n v="36798.299999999996"/>
    <n v="7700"/>
    <n v="11.675470442827072"/>
    <x v="9"/>
    <x v="1"/>
  </r>
  <r>
    <s v="ORD10749"/>
    <d v="2025-10-06T00:00:00"/>
    <x v="17"/>
    <x v="17"/>
    <x v="0"/>
    <x v="0"/>
    <n v="6"/>
    <n v="8500"/>
    <n v="9520"/>
    <x v="529"/>
    <n v="50054.1"/>
    <x v="1495"/>
    <n v="706574.39999999991"/>
    <n v="51000"/>
    <n v="-1.8897552847818662"/>
    <x v="9"/>
    <x v="2"/>
  </r>
  <r>
    <s v="ORD11046"/>
    <d v="2025-10-06T00:00:00"/>
    <x v="15"/>
    <x v="15"/>
    <x v="0"/>
    <x v="3"/>
    <n v="2"/>
    <n v="550"/>
    <n v="742.5"/>
    <x v="32"/>
    <n v="1221.0999999999999"/>
    <x v="1496"/>
    <n v="26388.45"/>
    <n v="1100"/>
    <n v="9.9172876914257628"/>
    <x v="9"/>
    <x v="0"/>
  </r>
  <r>
    <s v="ORD11780"/>
    <d v="2025-10-06T00:00:00"/>
    <x v="6"/>
    <x v="6"/>
    <x v="4"/>
    <x v="0"/>
    <n v="2"/>
    <n v="1800"/>
    <n v="2124"/>
    <x v="1074"/>
    <n v="3940.29"/>
    <x v="1497"/>
    <n v="30755.52"/>
    <n v="3600"/>
    <n v="8.6361663735410357"/>
    <x v="9"/>
    <x v="0"/>
  </r>
  <r>
    <s v="ORD11808"/>
    <d v="2025-10-06T00:00:00"/>
    <x v="5"/>
    <x v="5"/>
    <x v="3"/>
    <x v="0"/>
    <n v="9"/>
    <n v="2500"/>
    <n v="2875"/>
    <x v="1075"/>
    <n v="21420.18"/>
    <x v="1498"/>
    <n v="445567.49999999994"/>
    <n v="22500"/>
    <n v="-5.0411341081167382"/>
    <x v="9"/>
    <x v="2"/>
  </r>
  <r>
    <s v="ORD10517"/>
    <d v="2025-10-07T00:00:00"/>
    <x v="16"/>
    <x v="16"/>
    <x v="0"/>
    <x v="3"/>
    <n v="1"/>
    <n v="1100"/>
    <n v="1298"/>
    <x v="232"/>
    <n v="1138.71"/>
    <x v="662"/>
    <n v="15926.46"/>
    <n v="1100"/>
    <n v="3.3994607933538825"/>
    <x v="9"/>
    <x v="0"/>
  </r>
  <r>
    <s v="ORD11156"/>
    <d v="2025-10-07T00:00:00"/>
    <x v="5"/>
    <x v="5"/>
    <x v="3"/>
    <x v="1"/>
    <n v="7"/>
    <n v="2500"/>
    <n v="2875"/>
    <x v="1076"/>
    <n v="19489.52"/>
    <x v="1499"/>
    <n v="63595"/>
    <n v="17500"/>
    <n v="10.208152894478674"/>
    <x v="9"/>
    <x v="1"/>
  </r>
  <r>
    <s v="ORD11494"/>
    <d v="2025-10-07T00:00:00"/>
    <x v="15"/>
    <x v="15"/>
    <x v="0"/>
    <x v="2"/>
    <n v="2"/>
    <n v="550"/>
    <n v="742.5"/>
    <x v="611"/>
    <n v="1330.22"/>
    <x v="1500"/>
    <n v="15473.7"/>
    <n v="1100"/>
    <n v="17.306911638676308"/>
    <x v="9"/>
    <x v="1"/>
  </r>
  <r>
    <s v="ORD11795"/>
    <d v="2025-10-07T00:00:00"/>
    <x v="18"/>
    <x v="18"/>
    <x v="1"/>
    <x v="2"/>
    <n v="9"/>
    <n v="80"/>
    <n v="116"/>
    <x v="1077"/>
    <n v="953.8"/>
    <x v="1501"/>
    <n v="9020.16"/>
    <n v="720"/>
    <n v="24.512476410148881"/>
    <x v="9"/>
    <x v="1"/>
  </r>
  <r>
    <s v="ORD11994"/>
    <d v="2025-10-07T00:00:00"/>
    <x v="19"/>
    <x v="19"/>
    <x v="0"/>
    <x v="3"/>
    <n v="8"/>
    <n v="350"/>
    <n v="455"/>
    <x v="1078"/>
    <n v="3386.31"/>
    <x v="1502"/>
    <n v="25370.799999999999"/>
    <n v="2800"/>
    <n v="17.314126586166061"/>
    <x v="9"/>
    <x v="1"/>
  </r>
  <r>
    <s v="ORD10091"/>
    <d v="2025-10-08T00:00:00"/>
    <x v="12"/>
    <x v="12"/>
    <x v="2"/>
    <x v="2"/>
    <n v="10"/>
    <n v="6500"/>
    <n v="8125"/>
    <x v="1079"/>
    <n v="70915.78"/>
    <x v="1503"/>
    <n v="1033500"/>
    <n v="65000"/>
    <n v="8.341979739911201"/>
    <x v="9"/>
    <x v="0"/>
  </r>
  <r>
    <s v="ORD10363"/>
    <d v="2025-10-08T00:00:00"/>
    <x v="5"/>
    <x v="5"/>
    <x v="3"/>
    <x v="3"/>
    <n v="7"/>
    <n v="2500"/>
    <n v="2875"/>
    <x v="1080"/>
    <n v="19451"/>
    <x v="1504"/>
    <n v="67418.75"/>
    <n v="17500"/>
    <n v="10.030332630713074"/>
    <x v="9"/>
    <x v="1"/>
  </r>
  <r>
    <s v="ORD10719"/>
    <d v="2025-10-08T00:00:00"/>
    <x v="6"/>
    <x v="6"/>
    <x v="4"/>
    <x v="0"/>
    <n v="10"/>
    <n v="1800"/>
    <n v="2124"/>
    <x v="1081"/>
    <n v="16476.98"/>
    <x v="1505"/>
    <n v="476200.80000000005"/>
    <n v="18000"/>
    <n v="-9.2433200744311161"/>
    <x v="9"/>
    <x v="2"/>
  </r>
  <r>
    <s v="ORD10810"/>
    <d v="2025-10-08T00:00:00"/>
    <x v="3"/>
    <x v="3"/>
    <x v="2"/>
    <x v="3"/>
    <n v="10"/>
    <n v="4500"/>
    <n v="5220"/>
    <x v="1082"/>
    <n v="40229.58"/>
    <x v="1506"/>
    <n v="1196946"/>
    <n v="45000"/>
    <n v="-11.857991060309354"/>
    <x v="9"/>
    <x v="2"/>
  </r>
  <r>
    <s v="ORD11341"/>
    <d v="2025-10-08T00:00:00"/>
    <x v="14"/>
    <x v="14"/>
    <x v="3"/>
    <x v="2"/>
    <n v="7"/>
    <n v="1200"/>
    <n v="1464"/>
    <x v="863"/>
    <n v="9349.9"/>
    <x v="1507"/>
    <n v="89772.479999999996"/>
    <n v="8400"/>
    <n v="10.159466946170548"/>
    <x v="9"/>
    <x v="1"/>
  </r>
  <r>
    <s v="ORD11425"/>
    <d v="2025-10-08T00:00:00"/>
    <x v="4"/>
    <x v="4"/>
    <x v="3"/>
    <x v="1"/>
    <n v="6"/>
    <n v="180"/>
    <n v="243"/>
    <x v="1083"/>
    <n v="1414.43"/>
    <x v="1508"/>
    <n v="4359.42"/>
    <n v="1080"/>
    <n v="23.644153475251514"/>
    <x v="9"/>
    <x v="1"/>
  </r>
  <r>
    <s v="ORD10197"/>
    <d v="2025-10-09T00:00:00"/>
    <x v="11"/>
    <x v="11"/>
    <x v="0"/>
    <x v="0"/>
    <n v="7"/>
    <n v="900"/>
    <n v="1152"/>
    <x v="242"/>
    <n v="7197.84"/>
    <x v="1509"/>
    <n v="86607.360000000001"/>
    <n v="6300"/>
    <n v="12.473742122636791"/>
    <x v="9"/>
    <x v="1"/>
  </r>
  <r>
    <s v="ORD11268"/>
    <d v="2025-10-09T00:00:00"/>
    <x v="19"/>
    <x v="19"/>
    <x v="0"/>
    <x v="2"/>
    <n v="2"/>
    <n v="350"/>
    <n v="455"/>
    <x v="9"/>
    <n v="910"/>
    <x v="1453"/>
    <n v="0"/>
    <n v="700"/>
    <n v="23.076923076923077"/>
    <x v="9"/>
    <x v="1"/>
  </r>
  <r>
    <s v="ORD11603"/>
    <d v="2025-10-09T00:00:00"/>
    <x v="1"/>
    <x v="1"/>
    <x v="1"/>
    <x v="3"/>
    <n v="3"/>
    <n v="45"/>
    <n v="63"/>
    <x v="9"/>
    <n v="189"/>
    <x v="1510"/>
    <n v="0"/>
    <n v="135"/>
    <n v="28.571428571428569"/>
    <x v="9"/>
    <x v="1"/>
  </r>
  <r>
    <s v="ORD11770"/>
    <d v="2025-10-09T00:00:00"/>
    <x v="1"/>
    <x v="1"/>
    <x v="1"/>
    <x v="3"/>
    <n v="6"/>
    <n v="45"/>
    <n v="63"/>
    <x v="212"/>
    <n v="338.29"/>
    <x v="1511"/>
    <n v="3972.7799999999997"/>
    <n v="270"/>
    <n v="20.186821957492093"/>
    <x v="9"/>
    <x v="1"/>
  </r>
  <r>
    <s v="ORD10345"/>
    <d v="2025-10-10T00:00:00"/>
    <x v="7"/>
    <x v="7"/>
    <x v="5"/>
    <x v="1"/>
    <n v="1"/>
    <n v="300"/>
    <n v="405"/>
    <x v="120"/>
    <n v="336.13"/>
    <x v="1512"/>
    <n v="6885"/>
    <n v="300"/>
    <n v="10.748817421830841"/>
    <x v="9"/>
    <x v="1"/>
  </r>
  <r>
    <s v="ORD10681"/>
    <d v="2025-10-10T00:00:00"/>
    <x v="4"/>
    <x v="4"/>
    <x v="3"/>
    <x v="2"/>
    <n v="6"/>
    <n v="180"/>
    <n v="243"/>
    <x v="1084"/>
    <n v="1348.39"/>
    <x v="1513"/>
    <n v="10964.16"/>
    <n v="1080"/>
    <n v="19.904478674567443"/>
    <x v="9"/>
    <x v="1"/>
  </r>
  <r>
    <s v="ORD10713"/>
    <d v="2025-10-10T00:00:00"/>
    <x v="16"/>
    <x v="16"/>
    <x v="0"/>
    <x v="0"/>
    <n v="10"/>
    <n v="1100"/>
    <n v="1298"/>
    <x v="9"/>
    <n v="12980"/>
    <x v="1514"/>
    <n v="0"/>
    <n v="11000"/>
    <n v="15.254237288135593"/>
    <x v="9"/>
    <x v="1"/>
  </r>
  <r>
    <s v="ORD10922"/>
    <d v="2025-10-10T00:00:00"/>
    <x v="19"/>
    <x v="19"/>
    <x v="0"/>
    <x v="0"/>
    <n v="7"/>
    <n v="350"/>
    <n v="455"/>
    <x v="1085"/>
    <n v="3060.29"/>
    <x v="1515"/>
    <n v="12485.199999999999"/>
    <n v="2450"/>
    <n v="19.942227697375085"/>
    <x v="9"/>
    <x v="1"/>
  </r>
  <r>
    <s v="ORD11521"/>
    <d v="2025-10-10T00:00:00"/>
    <x v="12"/>
    <x v="12"/>
    <x v="2"/>
    <x v="1"/>
    <n v="9"/>
    <n v="6500"/>
    <n v="8125"/>
    <x v="766"/>
    <n v="65935.820000000007"/>
    <x v="1516"/>
    <n v="718818.75"/>
    <n v="58500"/>
    <n v="11.277360317957672"/>
    <x v="9"/>
    <x v="1"/>
  </r>
  <r>
    <s v="ORD11796"/>
    <d v="2025-10-10T00:00:00"/>
    <x v="9"/>
    <x v="9"/>
    <x v="2"/>
    <x v="3"/>
    <n v="6"/>
    <n v="3000"/>
    <n v="3600"/>
    <x v="622"/>
    <n v="19175.23"/>
    <x v="1517"/>
    <n v="242568"/>
    <n v="18000"/>
    <n v="6.1288964982427858"/>
    <x v="9"/>
    <x v="0"/>
  </r>
  <r>
    <s v="ORD11934"/>
    <d v="2025-10-10T00:00:00"/>
    <x v="11"/>
    <x v="11"/>
    <x v="0"/>
    <x v="1"/>
    <n v="3"/>
    <n v="900"/>
    <n v="1152"/>
    <x v="1086"/>
    <n v="2482.0100000000002"/>
    <x v="1518"/>
    <n v="97390.080000000002"/>
    <n v="2700"/>
    <n v="-8.7828010362569042"/>
    <x v="9"/>
    <x v="2"/>
  </r>
  <r>
    <s v="ORD11965"/>
    <d v="2025-10-10T00:00:00"/>
    <x v="12"/>
    <x v="12"/>
    <x v="2"/>
    <x v="2"/>
    <n v="1"/>
    <n v="6500"/>
    <n v="8125"/>
    <x v="484"/>
    <n v="6365.22"/>
    <x v="1519"/>
    <n v="175987.5"/>
    <n v="6500"/>
    <n v="-2.1174444873861389"/>
    <x v="9"/>
    <x v="2"/>
  </r>
  <r>
    <s v="ORD10227"/>
    <d v="2025-10-11T00:00:00"/>
    <x v="16"/>
    <x v="16"/>
    <x v="0"/>
    <x v="0"/>
    <n v="7"/>
    <n v="1100"/>
    <n v="1298"/>
    <x v="272"/>
    <n v="8567.92"/>
    <x v="1520"/>
    <n v="51790.200000000004"/>
    <n v="7700"/>
    <n v="10.129879830810745"/>
    <x v="9"/>
    <x v="1"/>
  </r>
  <r>
    <s v="ORD10645"/>
    <d v="2025-10-11T00:00:00"/>
    <x v="19"/>
    <x v="19"/>
    <x v="0"/>
    <x v="0"/>
    <n v="10"/>
    <n v="350"/>
    <n v="455"/>
    <x v="468"/>
    <n v="3524.48"/>
    <x v="1521"/>
    <n v="102557"/>
    <n v="3500"/>
    <n v="0.69457054657708373"/>
    <x v="9"/>
    <x v="0"/>
  </r>
  <r>
    <s v="ORD10821"/>
    <d v="2025-10-11T00:00:00"/>
    <x v="15"/>
    <x v="15"/>
    <x v="0"/>
    <x v="2"/>
    <n v="10"/>
    <n v="550"/>
    <n v="742.5"/>
    <x v="1087"/>
    <n v="7084.91"/>
    <x v="1522"/>
    <n v="34006.5"/>
    <n v="5500"/>
    <n v="22.370220652061921"/>
    <x v="9"/>
    <x v="1"/>
  </r>
  <r>
    <s v="ORD11048"/>
    <d v="2025-10-11T00:00:00"/>
    <x v="12"/>
    <x v="12"/>
    <x v="2"/>
    <x v="2"/>
    <n v="10"/>
    <n v="6500"/>
    <n v="8125"/>
    <x v="392"/>
    <n v="66757.990000000005"/>
    <x v="1523"/>
    <n v="1449500"/>
    <n v="65000"/>
    <n v="2.6333776676020348"/>
    <x v="9"/>
    <x v="0"/>
  </r>
  <r>
    <s v="ORD11174"/>
    <d v="2025-10-11T00:00:00"/>
    <x v="5"/>
    <x v="5"/>
    <x v="3"/>
    <x v="0"/>
    <n v="4"/>
    <n v="2500"/>
    <n v="2875"/>
    <x v="895"/>
    <n v="9717.6"/>
    <x v="1524"/>
    <n v="178250"/>
    <n v="10000"/>
    <n v="-2.9060673417304681"/>
    <x v="9"/>
    <x v="2"/>
  </r>
  <r>
    <s v="ORD10340"/>
    <d v="2025-10-12T00:00:00"/>
    <x v="3"/>
    <x v="3"/>
    <x v="2"/>
    <x v="0"/>
    <n v="7"/>
    <n v="4500"/>
    <n v="5220"/>
    <x v="744"/>
    <n v="34546.26"/>
    <x v="1525"/>
    <n v="199508.4"/>
    <n v="31500"/>
    <n v="8.8179154559712103"/>
    <x v="9"/>
    <x v="0"/>
  </r>
  <r>
    <s v="ORD11012"/>
    <d v="2025-10-12T00:00:00"/>
    <x v="4"/>
    <x v="4"/>
    <x v="3"/>
    <x v="1"/>
    <n v="10"/>
    <n v="180"/>
    <n v="243"/>
    <x v="1088"/>
    <n v="2204.16"/>
    <x v="1526"/>
    <n v="22574.699999999997"/>
    <n v="1800"/>
    <n v="18.336236933797913"/>
    <x v="9"/>
    <x v="1"/>
  </r>
  <r>
    <s v="ORD11128"/>
    <d v="2025-10-12T00:00:00"/>
    <x v="19"/>
    <x v="19"/>
    <x v="0"/>
    <x v="0"/>
    <n v="10"/>
    <n v="350"/>
    <n v="455"/>
    <x v="855"/>
    <n v="3917.23"/>
    <x v="574"/>
    <n v="63290.5"/>
    <n v="3500"/>
    <n v="10.651148898583948"/>
    <x v="9"/>
    <x v="1"/>
  </r>
  <r>
    <s v="ORD11665"/>
    <d v="2025-10-12T00:00:00"/>
    <x v="9"/>
    <x v="9"/>
    <x v="2"/>
    <x v="0"/>
    <n v="8"/>
    <n v="3000"/>
    <n v="3600"/>
    <x v="507"/>
    <n v="24376.78"/>
    <x v="1527"/>
    <n v="442368"/>
    <n v="24000"/>
    <n v="1.5456512303922012"/>
    <x v="9"/>
    <x v="0"/>
  </r>
  <r>
    <s v="ORD10001"/>
    <d v="2025-10-13T00:00:00"/>
    <x v="12"/>
    <x v="12"/>
    <x v="2"/>
    <x v="1"/>
    <n v="10"/>
    <n v="6500"/>
    <n v="8125"/>
    <x v="52"/>
    <n v="70680.75"/>
    <x v="1528"/>
    <n v="1057062.5"/>
    <n v="65000"/>
    <n v="8.0371954174227067"/>
    <x v="9"/>
    <x v="0"/>
  </r>
  <r>
    <s v="ORD10034"/>
    <d v="2025-10-13T00:00:00"/>
    <x v="14"/>
    <x v="14"/>
    <x v="3"/>
    <x v="1"/>
    <n v="3"/>
    <n v="1200"/>
    <n v="1464"/>
    <x v="1089"/>
    <n v="4196.97"/>
    <x v="1529"/>
    <n v="19500.480000000003"/>
    <n v="3600"/>
    <n v="14.223832908026504"/>
    <x v="9"/>
    <x v="1"/>
  </r>
  <r>
    <s v="ORD10735"/>
    <d v="2025-10-13T00:00:00"/>
    <x v="6"/>
    <x v="6"/>
    <x v="4"/>
    <x v="2"/>
    <n v="1"/>
    <n v="1800"/>
    <n v="2124"/>
    <x v="120"/>
    <n v="1762.84"/>
    <x v="1530"/>
    <n v="36108"/>
    <n v="1800"/>
    <n v="-2.1079621519820293"/>
    <x v="9"/>
    <x v="2"/>
  </r>
  <r>
    <s v="ORD10834"/>
    <d v="2025-10-13T00:00:00"/>
    <x v="11"/>
    <x v="11"/>
    <x v="0"/>
    <x v="2"/>
    <n v="9"/>
    <n v="900"/>
    <n v="1152"/>
    <x v="1063"/>
    <n v="9263.68"/>
    <x v="1531"/>
    <n v="110419.2"/>
    <n v="8100"/>
    <n v="12.561746519741614"/>
    <x v="9"/>
    <x v="1"/>
  </r>
  <r>
    <s v="ORD11261"/>
    <d v="2025-10-13T00:00:00"/>
    <x v="10"/>
    <x v="10"/>
    <x v="4"/>
    <x v="0"/>
    <n v="5"/>
    <n v="3200"/>
    <n v="3840"/>
    <x v="1090"/>
    <n v="16448"/>
    <x v="1532"/>
    <n v="275136"/>
    <n v="16000"/>
    <n v="2.7237354085603114"/>
    <x v="9"/>
    <x v="0"/>
  </r>
  <r>
    <s v="ORD10008"/>
    <d v="2025-10-14T00:00:00"/>
    <x v="13"/>
    <x v="13"/>
    <x v="6"/>
    <x v="1"/>
    <n v="5"/>
    <n v="900"/>
    <n v="1170"/>
    <x v="1061"/>
    <n v="5323.19"/>
    <x v="1533"/>
    <n v="52708.5"/>
    <n v="4500"/>
    <n v="15.464223520107307"/>
    <x v="9"/>
    <x v="1"/>
  </r>
  <r>
    <s v="ORD10128"/>
    <d v="2025-10-14T00:00:00"/>
    <x v="3"/>
    <x v="3"/>
    <x v="2"/>
    <x v="2"/>
    <n v="8"/>
    <n v="4500"/>
    <n v="5220"/>
    <x v="1091"/>
    <n v="29772.02"/>
    <x v="1534"/>
    <n v="1198929.6000000001"/>
    <n v="36000"/>
    <n v="-20.91890305058239"/>
    <x v="9"/>
    <x v="2"/>
  </r>
  <r>
    <s v="ORD11242"/>
    <d v="2025-10-14T00:00:00"/>
    <x v="11"/>
    <x v="11"/>
    <x v="0"/>
    <x v="3"/>
    <n v="3"/>
    <n v="900"/>
    <n v="1152"/>
    <x v="1092"/>
    <n v="2628.82"/>
    <x v="1535"/>
    <n v="82702.080000000002"/>
    <n v="2700"/>
    <n v="-2.7076787303809318"/>
    <x v="9"/>
    <x v="2"/>
  </r>
  <r>
    <s v="ORD11858"/>
    <d v="2025-10-14T00:00:00"/>
    <x v="14"/>
    <x v="14"/>
    <x v="3"/>
    <x v="2"/>
    <n v="2"/>
    <n v="1200"/>
    <n v="1464"/>
    <x v="1093"/>
    <n v="2909.84"/>
    <x v="1536"/>
    <n v="1815.36"/>
    <n v="2400"/>
    <n v="17.521238281142605"/>
    <x v="9"/>
    <x v="1"/>
  </r>
  <r>
    <s v="ORD10038"/>
    <d v="2025-10-15T00:00:00"/>
    <x v="18"/>
    <x v="18"/>
    <x v="1"/>
    <x v="2"/>
    <n v="5"/>
    <n v="80"/>
    <n v="116"/>
    <x v="1094"/>
    <n v="490.52"/>
    <x v="1537"/>
    <n v="8949.4"/>
    <n v="400"/>
    <n v="18.45388567234771"/>
    <x v="9"/>
    <x v="1"/>
  </r>
  <r>
    <s v="ORD10111"/>
    <d v="2025-10-15T00:00:00"/>
    <x v="15"/>
    <x v="15"/>
    <x v="0"/>
    <x v="0"/>
    <n v="2"/>
    <n v="550"/>
    <n v="742.5"/>
    <x v="203"/>
    <n v="1402.35"/>
    <x v="1538"/>
    <n v="8271.4500000000007"/>
    <n v="1100"/>
    <n v="21.560238171640464"/>
    <x v="9"/>
    <x v="1"/>
  </r>
  <r>
    <s v="ORD10295"/>
    <d v="2025-10-15T00:00:00"/>
    <x v="11"/>
    <x v="11"/>
    <x v="0"/>
    <x v="1"/>
    <n v="10"/>
    <n v="900"/>
    <n v="1152"/>
    <x v="1095"/>
    <n v="10730.07"/>
    <x v="1539"/>
    <n v="79027.199999999997"/>
    <n v="9000"/>
    <n v="16.123566761447037"/>
    <x v="9"/>
    <x v="1"/>
  </r>
  <r>
    <s v="ORD10296"/>
    <d v="2025-10-15T00:00:00"/>
    <x v="15"/>
    <x v="15"/>
    <x v="0"/>
    <x v="3"/>
    <n v="9"/>
    <n v="550"/>
    <n v="742.5"/>
    <x v="1096"/>
    <n v="6019.9"/>
    <x v="1540"/>
    <n v="66290.399999999994"/>
    <n v="4950"/>
    <n v="17.772720477084338"/>
    <x v="9"/>
    <x v="1"/>
  </r>
  <r>
    <s v="ORD10311"/>
    <d v="2025-10-15T00:00:00"/>
    <x v="8"/>
    <x v="8"/>
    <x v="2"/>
    <x v="2"/>
    <n v="3"/>
    <n v="900"/>
    <n v="1170"/>
    <x v="9"/>
    <n v="3510"/>
    <x v="928"/>
    <n v="0"/>
    <n v="2700"/>
    <n v="23.076923076923077"/>
    <x v="9"/>
    <x v="1"/>
  </r>
  <r>
    <s v="ORD11059"/>
    <d v="2025-10-15T00:00:00"/>
    <x v="15"/>
    <x v="15"/>
    <x v="0"/>
    <x v="0"/>
    <n v="4"/>
    <n v="550"/>
    <n v="742.5"/>
    <x v="24"/>
    <n v="2729.89"/>
    <x v="1541"/>
    <n v="23997.599999999999"/>
    <n v="2200"/>
    <n v="19.410672224888181"/>
    <x v="9"/>
    <x v="1"/>
  </r>
  <r>
    <s v="ORD11573"/>
    <d v="2025-10-15T00:00:00"/>
    <x v="14"/>
    <x v="14"/>
    <x v="3"/>
    <x v="1"/>
    <n v="4"/>
    <n v="1200"/>
    <n v="1464"/>
    <x v="1097"/>
    <n v="5162.3100000000004"/>
    <x v="1542"/>
    <n v="69393.599999999991"/>
    <n v="4800"/>
    <n v="7.0183696833394347"/>
    <x v="9"/>
    <x v="0"/>
  </r>
  <r>
    <s v="ORD10094"/>
    <d v="2025-10-16T00:00:00"/>
    <x v="18"/>
    <x v="18"/>
    <x v="1"/>
    <x v="3"/>
    <n v="1"/>
    <n v="80"/>
    <n v="116"/>
    <x v="442"/>
    <n v="105.12"/>
    <x v="1543"/>
    <n v="1088.0800000000002"/>
    <n v="80"/>
    <n v="23.896499238964992"/>
    <x v="9"/>
    <x v="1"/>
  </r>
  <r>
    <s v="ORD10589"/>
    <d v="2025-10-16T00:00:00"/>
    <x v="2"/>
    <x v="2"/>
    <x v="0"/>
    <x v="0"/>
    <n v="8"/>
    <n v="6500"/>
    <n v="7150"/>
    <x v="1098"/>
    <n v="50414.29"/>
    <x v="1544"/>
    <n v="678392"/>
    <n v="52000"/>
    <n v="-3.1453581911001822"/>
    <x v="9"/>
    <x v="2"/>
  </r>
  <r>
    <s v="ORD10759"/>
    <d v="2025-10-16T00:00:00"/>
    <x v="4"/>
    <x v="4"/>
    <x v="3"/>
    <x v="2"/>
    <n v="1"/>
    <n v="180"/>
    <n v="243"/>
    <x v="201"/>
    <n v="207.8"/>
    <x v="1545"/>
    <n v="3521.07"/>
    <n v="180"/>
    <n v="13.378248315688163"/>
    <x v="9"/>
    <x v="1"/>
  </r>
  <r>
    <s v="ORD11923"/>
    <d v="2025-10-16T00:00:00"/>
    <x v="12"/>
    <x v="12"/>
    <x v="2"/>
    <x v="0"/>
    <n v="8"/>
    <n v="6500"/>
    <n v="8125"/>
    <x v="457"/>
    <n v="54671.23"/>
    <x v="1546"/>
    <n v="1032850"/>
    <n v="52000"/>
    <n v="4.8859884805957359"/>
    <x v="9"/>
    <x v="0"/>
  </r>
  <r>
    <s v="ORD11982"/>
    <d v="2025-10-16T00:00:00"/>
    <x v="4"/>
    <x v="4"/>
    <x v="3"/>
    <x v="2"/>
    <n v="2"/>
    <n v="180"/>
    <n v="243"/>
    <x v="1099"/>
    <n v="410.32"/>
    <x v="1547"/>
    <n v="7567.02"/>
    <n v="360"/>
    <n v="12.26359914213297"/>
    <x v="9"/>
    <x v="1"/>
  </r>
  <r>
    <s v="ORD10230"/>
    <d v="2025-10-17T00:00:00"/>
    <x v="11"/>
    <x v="11"/>
    <x v="0"/>
    <x v="2"/>
    <n v="1"/>
    <n v="900"/>
    <n v="1152"/>
    <x v="630"/>
    <n v="992.51"/>
    <x v="1548"/>
    <n v="15943.68"/>
    <n v="900"/>
    <n v="9.32081288853513"/>
    <x v="9"/>
    <x v="0"/>
  </r>
  <r>
    <s v="ORD11075"/>
    <d v="2025-10-17T00:00:00"/>
    <x v="0"/>
    <x v="0"/>
    <x v="0"/>
    <x v="2"/>
    <n v="9"/>
    <n v="500"/>
    <n v="610"/>
    <x v="1100"/>
    <n v="4767.17"/>
    <x v="1549"/>
    <n v="72303.3"/>
    <n v="4500"/>
    <n v="5.6043732445035532"/>
    <x v="9"/>
    <x v="0"/>
  </r>
  <r>
    <s v="ORD11295"/>
    <d v="2025-10-17T00:00:00"/>
    <x v="14"/>
    <x v="14"/>
    <x v="3"/>
    <x v="1"/>
    <n v="10"/>
    <n v="1200"/>
    <n v="1464"/>
    <x v="1101"/>
    <n v="13922.9"/>
    <x v="1550"/>
    <n v="71736"/>
    <n v="12000"/>
    <n v="13.811059477551375"/>
    <x v="9"/>
    <x v="1"/>
  </r>
  <r>
    <s v="ORD11304"/>
    <d v="2025-10-17T00:00:00"/>
    <x v="0"/>
    <x v="0"/>
    <x v="0"/>
    <x v="1"/>
    <n v="4"/>
    <n v="500"/>
    <n v="610"/>
    <x v="684"/>
    <n v="2039.91"/>
    <x v="1551"/>
    <n v="40016"/>
    <n v="2000"/>
    <n v="1.9564588633812274"/>
    <x v="9"/>
    <x v="0"/>
  </r>
  <r>
    <s v="ORD11322"/>
    <d v="2025-10-17T00:00:00"/>
    <x v="6"/>
    <x v="6"/>
    <x v="4"/>
    <x v="2"/>
    <n v="7"/>
    <n v="1800"/>
    <n v="2124"/>
    <x v="1102"/>
    <n v="12017.57"/>
    <x v="1552"/>
    <n v="285019.56"/>
    <n v="12600"/>
    <n v="-4.8464872682247737"/>
    <x v="9"/>
    <x v="2"/>
  </r>
  <r>
    <s v="ORD11367"/>
    <d v="2025-10-17T00:00:00"/>
    <x v="3"/>
    <x v="3"/>
    <x v="2"/>
    <x v="2"/>
    <n v="10"/>
    <n v="4500"/>
    <n v="5220"/>
    <x v="1103"/>
    <n v="42872.22"/>
    <x v="1553"/>
    <n v="932814"/>
    <n v="45000"/>
    <n v="-4.963073990570118"/>
    <x v="9"/>
    <x v="2"/>
  </r>
  <r>
    <s v="ORD11804"/>
    <d v="2025-10-17T00:00:00"/>
    <x v="17"/>
    <x v="17"/>
    <x v="0"/>
    <x v="2"/>
    <n v="8"/>
    <n v="8500"/>
    <n v="9520"/>
    <x v="27"/>
    <n v="73113.600000000006"/>
    <x v="156"/>
    <n v="304640"/>
    <n v="68000"/>
    <n v="6.9940476190476195"/>
    <x v="9"/>
    <x v="0"/>
  </r>
  <r>
    <s v="ORD10072"/>
    <d v="2025-10-18T00:00:00"/>
    <x v="10"/>
    <x v="10"/>
    <x v="4"/>
    <x v="0"/>
    <n v="3"/>
    <n v="3200"/>
    <n v="3840"/>
    <x v="692"/>
    <n v="9996.7000000000007"/>
    <x v="1554"/>
    <n v="152294.39999999999"/>
    <n v="9600"/>
    <n v="3.968309542148909"/>
    <x v="9"/>
    <x v="0"/>
  </r>
  <r>
    <s v="ORD10930"/>
    <d v="2025-10-18T00:00:00"/>
    <x v="0"/>
    <x v="0"/>
    <x v="0"/>
    <x v="3"/>
    <n v="5"/>
    <n v="500"/>
    <n v="610"/>
    <x v="394"/>
    <n v="2907.48"/>
    <x v="1555"/>
    <n v="14243.5"/>
    <n v="2500"/>
    <n v="14.014885742980177"/>
    <x v="9"/>
    <x v="1"/>
  </r>
  <r>
    <s v="ORD10044"/>
    <d v="2025-10-19T00:00:00"/>
    <x v="8"/>
    <x v="8"/>
    <x v="2"/>
    <x v="3"/>
    <n v="9"/>
    <n v="900"/>
    <n v="1170"/>
    <x v="1104"/>
    <n v="8788.74"/>
    <x v="1556"/>
    <n v="174166.19999999998"/>
    <n v="8100"/>
    <n v="7.8366182183111572"/>
    <x v="9"/>
    <x v="0"/>
  </r>
  <r>
    <s v="ORD10276"/>
    <d v="2025-10-19T00:00:00"/>
    <x v="19"/>
    <x v="19"/>
    <x v="0"/>
    <x v="3"/>
    <n v="8"/>
    <n v="350"/>
    <n v="455"/>
    <x v="741"/>
    <n v="3504.33"/>
    <x v="1557"/>
    <n v="13577.2"/>
    <n v="2800"/>
    <n v="20.098849138066335"/>
    <x v="9"/>
    <x v="1"/>
  </r>
  <r>
    <s v="ORD11275"/>
    <d v="2025-10-19T00:00:00"/>
    <x v="11"/>
    <x v="11"/>
    <x v="0"/>
    <x v="1"/>
    <n v="9"/>
    <n v="900"/>
    <n v="1152"/>
    <x v="541"/>
    <n v="9737.7199999999993"/>
    <x v="1558"/>
    <n v="63037.440000000002"/>
    <n v="8100"/>
    <n v="16.818310651774748"/>
    <x v="9"/>
    <x v="1"/>
  </r>
  <r>
    <s v="ORD11465"/>
    <d v="2025-10-19T00:00:00"/>
    <x v="13"/>
    <x v="13"/>
    <x v="6"/>
    <x v="1"/>
    <n v="8"/>
    <n v="900"/>
    <n v="1170"/>
    <x v="9"/>
    <n v="9360"/>
    <x v="1093"/>
    <n v="0"/>
    <n v="7200"/>
    <n v="23.076923076923077"/>
    <x v="9"/>
    <x v="1"/>
  </r>
  <r>
    <s v="ORD11881"/>
    <d v="2025-10-19T00:00:00"/>
    <x v="8"/>
    <x v="8"/>
    <x v="2"/>
    <x v="0"/>
    <n v="7"/>
    <n v="900"/>
    <n v="1170"/>
    <x v="449"/>
    <n v="7659.04"/>
    <x v="1559"/>
    <n v="53071.200000000004"/>
    <n v="6300"/>
    <n v="17.744260377279659"/>
    <x v="9"/>
    <x v="1"/>
  </r>
  <r>
    <s v="ORD10413"/>
    <d v="2025-10-20T00:00:00"/>
    <x v="7"/>
    <x v="7"/>
    <x v="5"/>
    <x v="2"/>
    <n v="8"/>
    <n v="300"/>
    <n v="405"/>
    <x v="1105"/>
    <n v="2606.08"/>
    <x v="1560"/>
    <n v="63406.8"/>
    <n v="2400"/>
    <n v="7.9076620825147357"/>
    <x v="9"/>
    <x v="0"/>
  </r>
  <r>
    <s v="ORD11432"/>
    <d v="2025-10-20T00:00:00"/>
    <x v="5"/>
    <x v="5"/>
    <x v="3"/>
    <x v="1"/>
    <n v="6"/>
    <n v="2500"/>
    <n v="2875"/>
    <x v="1106"/>
    <n v="16931.490000000002"/>
    <x v="1561"/>
    <n v="31912.5"/>
    <n v="15000"/>
    <n v="11.407678828029901"/>
    <x v="9"/>
    <x v="1"/>
  </r>
  <r>
    <s v="ORD10621"/>
    <d v="2025-10-21T00:00:00"/>
    <x v="16"/>
    <x v="16"/>
    <x v="0"/>
    <x v="3"/>
    <n v="1"/>
    <n v="1100"/>
    <n v="1298"/>
    <x v="1107"/>
    <n v="1271.97"/>
    <x v="1562"/>
    <n v="2608.9799999999996"/>
    <n v="1100"/>
    <n v="13.519972955336998"/>
    <x v="9"/>
    <x v="1"/>
  </r>
  <r>
    <s v="ORD10777"/>
    <d v="2025-10-21T00:00:00"/>
    <x v="5"/>
    <x v="5"/>
    <x v="3"/>
    <x v="1"/>
    <n v="3"/>
    <n v="2500"/>
    <n v="2875"/>
    <x v="676"/>
    <n v="7168.27"/>
    <x v="1563"/>
    <n v="145676.25"/>
    <n v="7500"/>
    <n v="-4.6277553719377202"/>
    <x v="9"/>
    <x v="2"/>
  </r>
  <r>
    <s v="ORD11047"/>
    <d v="2025-10-21T00:00:00"/>
    <x v="8"/>
    <x v="8"/>
    <x v="2"/>
    <x v="1"/>
    <n v="8"/>
    <n v="900"/>
    <n v="1170"/>
    <x v="1108"/>
    <n v="7755.73"/>
    <x v="1564"/>
    <n v="160430.39999999999"/>
    <n v="7200"/>
    <n v="7.1654118954630972"/>
    <x v="9"/>
    <x v="0"/>
  </r>
  <r>
    <s v="ORD11089"/>
    <d v="2025-10-21T00:00:00"/>
    <x v="14"/>
    <x v="14"/>
    <x v="3"/>
    <x v="3"/>
    <n v="2"/>
    <n v="1200"/>
    <n v="1464"/>
    <x v="1109"/>
    <n v="2556.7600000000002"/>
    <x v="1565"/>
    <n v="37127.040000000001"/>
    <n v="2400"/>
    <n v="6.1311972965784811"/>
    <x v="9"/>
    <x v="0"/>
  </r>
  <r>
    <s v="ORD11237"/>
    <d v="2025-10-21T00:00:00"/>
    <x v="8"/>
    <x v="8"/>
    <x v="2"/>
    <x v="2"/>
    <n v="3"/>
    <n v="900"/>
    <n v="1170"/>
    <x v="5"/>
    <n v="2981.71"/>
    <x v="1566"/>
    <n v="52825.5"/>
    <n v="2700"/>
    <n v="9.4479342390775756"/>
    <x v="9"/>
    <x v="0"/>
  </r>
  <r>
    <s v="ORD11383"/>
    <d v="2025-10-21T00:00:00"/>
    <x v="5"/>
    <x v="5"/>
    <x v="3"/>
    <x v="2"/>
    <n v="7"/>
    <n v="2500"/>
    <n v="2875"/>
    <x v="889"/>
    <n v="19681.080000000002"/>
    <x v="1567"/>
    <n v="44476.25"/>
    <n v="17500"/>
    <n v="11.08211541236558"/>
    <x v="9"/>
    <x v="1"/>
  </r>
  <r>
    <s v="ORD11619"/>
    <d v="2025-10-21T00:00:00"/>
    <x v="14"/>
    <x v="14"/>
    <x v="3"/>
    <x v="1"/>
    <n v="8"/>
    <n v="1200"/>
    <n v="1464"/>
    <x v="214"/>
    <n v="10565.37"/>
    <x v="1568"/>
    <n v="114660.48"/>
    <n v="9600"/>
    <n v="9.1371149330312136"/>
    <x v="9"/>
    <x v="0"/>
  </r>
  <r>
    <s v="ORD10361"/>
    <d v="2025-10-22T00:00:00"/>
    <x v="5"/>
    <x v="5"/>
    <x v="3"/>
    <x v="3"/>
    <n v="5"/>
    <n v="2500"/>
    <n v="2875"/>
    <x v="744"/>
    <n v="13589.86"/>
    <x v="1569"/>
    <n v="78487.5"/>
    <n v="12500"/>
    <n v="8.0196558316274036"/>
    <x v="9"/>
    <x v="0"/>
  </r>
  <r>
    <s v="ORD10515"/>
    <d v="2025-10-22T00:00:00"/>
    <x v="19"/>
    <x v="19"/>
    <x v="0"/>
    <x v="3"/>
    <n v="6"/>
    <n v="350"/>
    <n v="455"/>
    <x v="222"/>
    <n v="2495.16"/>
    <x v="1570"/>
    <n v="23478"/>
    <n v="2100"/>
    <n v="15.837060549223297"/>
    <x v="9"/>
    <x v="1"/>
  </r>
  <r>
    <s v="ORD10944"/>
    <d v="2025-10-22T00:00:00"/>
    <x v="0"/>
    <x v="0"/>
    <x v="0"/>
    <x v="0"/>
    <n v="10"/>
    <n v="500"/>
    <n v="610"/>
    <x v="611"/>
    <n v="5464.27"/>
    <x v="1571"/>
    <n v="63562"/>
    <n v="5000"/>
    <n v="8.4964688787340279"/>
    <x v="9"/>
    <x v="0"/>
  </r>
  <r>
    <s v="ORD11323"/>
    <d v="2025-10-22T00:00:00"/>
    <x v="1"/>
    <x v="1"/>
    <x v="1"/>
    <x v="3"/>
    <n v="6"/>
    <n v="45"/>
    <n v="63"/>
    <x v="514"/>
    <n v="328.85"/>
    <x v="1572"/>
    <n v="4914"/>
    <n v="270"/>
    <n v="17.8956971263494"/>
    <x v="9"/>
    <x v="1"/>
  </r>
  <r>
    <s v="ORD11332"/>
    <d v="2025-10-22T00:00:00"/>
    <x v="3"/>
    <x v="3"/>
    <x v="2"/>
    <x v="0"/>
    <n v="4"/>
    <n v="4500"/>
    <n v="5220"/>
    <x v="278"/>
    <n v="17194.07"/>
    <x v="1573"/>
    <n v="368531.99999999994"/>
    <n v="18000"/>
    <n v="-4.6872555479883466"/>
    <x v="9"/>
    <x v="2"/>
  </r>
  <r>
    <s v="ORD11032"/>
    <d v="2025-10-23T00:00:00"/>
    <x v="8"/>
    <x v="8"/>
    <x v="2"/>
    <x v="0"/>
    <n v="2"/>
    <n v="900"/>
    <n v="1170"/>
    <x v="101"/>
    <n v="1889.57"/>
    <x v="1574"/>
    <n v="45045"/>
    <n v="1800"/>
    <n v="4.7402319046132186"/>
    <x v="9"/>
    <x v="0"/>
  </r>
  <r>
    <s v="ORD10521"/>
    <d v="2025-10-24T00:00:00"/>
    <x v="9"/>
    <x v="9"/>
    <x v="2"/>
    <x v="0"/>
    <n v="1"/>
    <n v="3000"/>
    <n v="3600"/>
    <x v="1110"/>
    <n v="2785.3"/>
    <x v="1575"/>
    <n v="81468"/>
    <n v="3000"/>
    <n v="-7.7083258535884811"/>
    <x v="9"/>
    <x v="2"/>
  </r>
  <r>
    <s v="ORD10665"/>
    <d v="2025-10-24T00:00:00"/>
    <x v="14"/>
    <x v="14"/>
    <x v="3"/>
    <x v="3"/>
    <n v="9"/>
    <n v="1200"/>
    <n v="1464"/>
    <x v="560"/>
    <n v="11300.69"/>
    <x v="1576"/>
    <n v="187494.48"/>
    <n v="10800"/>
    <n v="4.4306144138101295"/>
    <x v="9"/>
    <x v="0"/>
  </r>
  <r>
    <s v="ORD11251"/>
    <d v="2025-10-25T00:00:00"/>
    <x v="19"/>
    <x v="19"/>
    <x v="0"/>
    <x v="0"/>
    <n v="6"/>
    <n v="350"/>
    <n v="455"/>
    <x v="335"/>
    <n v="2649.28"/>
    <x v="1577"/>
    <n v="8080.8"/>
    <n v="2100"/>
    <n v="20.733180335789346"/>
    <x v="9"/>
    <x v="1"/>
  </r>
  <r>
    <s v="ORD11433"/>
    <d v="2025-10-25T00:00:00"/>
    <x v="12"/>
    <x v="12"/>
    <x v="2"/>
    <x v="0"/>
    <n v="3"/>
    <n v="6500"/>
    <n v="8125"/>
    <x v="1111"/>
    <n v="20788.55"/>
    <x v="1578"/>
    <n v="358556.25"/>
    <n v="19500"/>
    <n v="6.1983640032614105"/>
    <x v="9"/>
    <x v="0"/>
  </r>
  <r>
    <s v="ORD11671"/>
    <d v="2025-10-26T00:00:00"/>
    <x v="16"/>
    <x v="16"/>
    <x v="0"/>
    <x v="0"/>
    <n v="4"/>
    <n v="1100"/>
    <n v="1298"/>
    <x v="968"/>
    <n v="4807.21"/>
    <x v="1579"/>
    <n v="38472.720000000001"/>
    <n v="4400"/>
    <n v="8.470817792440938"/>
    <x v="9"/>
    <x v="0"/>
  </r>
  <r>
    <s v="ORD10005"/>
    <d v="2025-10-27T00:00:00"/>
    <x v="8"/>
    <x v="8"/>
    <x v="2"/>
    <x v="2"/>
    <n v="10"/>
    <n v="900"/>
    <n v="1170"/>
    <x v="1112"/>
    <n v="11027.37"/>
    <x v="1580"/>
    <n v="67275"/>
    <n v="9000"/>
    <n v="18.384891411098021"/>
    <x v="9"/>
    <x v="1"/>
  </r>
  <r>
    <s v="ORD11151"/>
    <d v="2025-10-27T00:00:00"/>
    <x v="4"/>
    <x v="4"/>
    <x v="3"/>
    <x v="3"/>
    <n v="4"/>
    <n v="180"/>
    <n v="243"/>
    <x v="9"/>
    <n v="972"/>
    <x v="994"/>
    <n v="0"/>
    <n v="720"/>
    <n v="25.925925925925924"/>
    <x v="9"/>
    <x v="1"/>
  </r>
  <r>
    <s v="ORD10470"/>
    <d v="2025-10-28T00:00:00"/>
    <x v="10"/>
    <x v="10"/>
    <x v="4"/>
    <x v="3"/>
    <n v="4"/>
    <n v="3200"/>
    <n v="3840"/>
    <x v="306"/>
    <n v="13401.91"/>
    <x v="1581"/>
    <n v="195840"/>
    <n v="12800"/>
    <n v="4.491225504424369"/>
    <x v="9"/>
    <x v="0"/>
  </r>
  <r>
    <s v="ORD10549"/>
    <d v="2025-10-28T00:00:00"/>
    <x v="15"/>
    <x v="15"/>
    <x v="0"/>
    <x v="1"/>
    <n v="7"/>
    <n v="550"/>
    <n v="742.5"/>
    <x v="699"/>
    <n v="4984.38"/>
    <x v="1582"/>
    <n v="21309.749999999996"/>
    <n v="3850"/>
    <n v="22.758698173092743"/>
    <x v="9"/>
    <x v="1"/>
  </r>
  <r>
    <s v="ORD10880"/>
    <d v="2025-10-28T00:00:00"/>
    <x v="10"/>
    <x v="10"/>
    <x v="4"/>
    <x v="2"/>
    <n v="6"/>
    <n v="3200"/>
    <n v="3840"/>
    <x v="1113"/>
    <n v="20057.419999999998"/>
    <x v="1583"/>
    <n v="298368"/>
    <n v="19200"/>
    <n v="4.2748269717640657"/>
    <x v="9"/>
    <x v="0"/>
  </r>
  <r>
    <s v="ORD10982"/>
    <d v="2025-10-28T00:00:00"/>
    <x v="6"/>
    <x v="6"/>
    <x v="4"/>
    <x v="0"/>
    <n v="2"/>
    <n v="1800"/>
    <n v="2124"/>
    <x v="27"/>
    <n v="4078.08"/>
    <x v="1584"/>
    <n v="16992"/>
    <n v="3600"/>
    <n v="11.72316384180791"/>
    <x v="9"/>
    <x v="1"/>
  </r>
  <r>
    <s v="ORD11039"/>
    <d v="2025-10-28T00:00:00"/>
    <x v="14"/>
    <x v="14"/>
    <x v="3"/>
    <x v="0"/>
    <n v="6"/>
    <n v="1200"/>
    <n v="1464"/>
    <x v="9"/>
    <n v="8784"/>
    <x v="1585"/>
    <n v="0"/>
    <n v="7200"/>
    <n v="18.032786885245901"/>
    <x v="9"/>
    <x v="1"/>
  </r>
  <r>
    <s v="ORD11584"/>
    <d v="2025-10-28T00:00:00"/>
    <x v="17"/>
    <x v="17"/>
    <x v="0"/>
    <x v="2"/>
    <n v="5"/>
    <n v="8500"/>
    <n v="9520"/>
    <x v="319"/>
    <n v="38784.76"/>
    <x v="1586"/>
    <n v="881552"/>
    <n v="42500"/>
    <n v="-9.5791233463865701"/>
    <x v="9"/>
    <x v="2"/>
  </r>
  <r>
    <s v="ORD10325"/>
    <d v="2025-10-29T00:00:00"/>
    <x v="15"/>
    <x v="15"/>
    <x v="0"/>
    <x v="1"/>
    <n v="8"/>
    <n v="550"/>
    <n v="742.5"/>
    <x v="9"/>
    <n v="5940"/>
    <x v="1587"/>
    <n v="0"/>
    <n v="4400"/>
    <n v="25.925925925925924"/>
    <x v="9"/>
    <x v="1"/>
  </r>
  <r>
    <s v="ORD10382"/>
    <d v="2025-10-29T00:00:00"/>
    <x v="16"/>
    <x v="16"/>
    <x v="0"/>
    <x v="1"/>
    <n v="9"/>
    <n v="1100"/>
    <n v="1298"/>
    <x v="1114"/>
    <n v="10377.86"/>
    <x v="1588"/>
    <n v="130371.12"/>
    <n v="9900"/>
    <n v="4.6046101990198363"/>
    <x v="9"/>
    <x v="0"/>
  </r>
  <r>
    <s v="ORD10501"/>
    <d v="2025-10-29T00:00:00"/>
    <x v="3"/>
    <x v="3"/>
    <x v="2"/>
    <x v="0"/>
    <n v="7"/>
    <n v="4500"/>
    <n v="5220"/>
    <x v="1115"/>
    <n v="31607.01"/>
    <x v="1589"/>
    <n v="493290"/>
    <n v="31500"/>
    <n v="0.33856413498144877"/>
    <x v="9"/>
    <x v="0"/>
  </r>
  <r>
    <s v="ORD10698"/>
    <d v="2025-10-29T00:00:00"/>
    <x v="9"/>
    <x v="9"/>
    <x v="2"/>
    <x v="3"/>
    <n v="7"/>
    <n v="3000"/>
    <n v="3600"/>
    <x v="1116"/>
    <n v="20825.189999999999"/>
    <x v="1590"/>
    <n v="437472"/>
    <n v="21000"/>
    <n v="-0.83941611096945579"/>
    <x v="9"/>
    <x v="2"/>
  </r>
  <r>
    <s v="ORD10784"/>
    <d v="2025-10-29T00:00:00"/>
    <x v="10"/>
    <x v="10"/>
    <x v="4"/>
    <x v="1"/>
    <n v="8"/>
    <n v="3200"/>
    <n v="3840"/>
    <x v="1117"/>
    <n v="26041.55"/>
    <x v="1591"/>
    <n v="467865.60000000003"/>
    <n v="25600"/>
    <n v="1.6955595961069907"/>
    <x v="9"/>
    <x v="0"/>
  </r>
  <r>
    <s v="ORD10938"/>
    <d v="2025-10-29T00:00:00"/>
    <x v="7"/>
    <x v="7"/>
    <x v="5"/>
    <x v="3"/>
    <n v="6"/>
    <n v="300"/>
    <n v="405"/>
    <x v="91"/>
    <n v="2368.15"/>
    <x v="1592"/>
    <n v="6196.5"/>
    <n v="1800"/>
    <n v="23.991301226695942"/>
    <x v="9"/>
    <x v="1"/>
  </r>
  <r>
    <s v="ORD11625"/>
    <d v="2025-10-29T00:00:00"/>
    <x v="11"/>
    <x v="11"/>
    <x v="0"/>
    <x v="0"/>
    <n v="7"/>
    <n v="900"/>
    <n v="1152"/>
    <x v="1068"/>
    <n v="7339.58"/>
    <x v="1593"/>
    <n v="72414.720000000001"/>
    <n v="6300"/>
    <n v="14.16402573444257"/>
    <x v="9"/>
    <x v="1"/>
  </r>
  <r>
    <s v="ORD10009"/>
    <d v="2025-10-30T00:00:00"/>
    <x v="13"/>
    <x v="13"/>
    <x v="6"/>
    <x v="3"/>
    <n v="2"/>
    <n v="900"/>
    <n v="1170"/>
    <x v="9"/>
    <n v="2340"/>
    <x v="1461"/>
    <n v="0"/>
    <n v="1800"/>
    <n v="23.076923076923077"/>
    <x v="9"/>
    <x v="1"/>
  </r>
  <r>
    <s v="ORD10467"/>
    <d v="2025-10-30T00:00:00"/>
    <x v="4"/>
    <x v="4"/>
    <x v="3"/>
    <x v="3"/>
    <n v="10"/>
    <n v="180"/>
    <n v="243"/>
    <x v="616"/>
    <n v="2051.81"/>
    <x v="1594"/>
    <n v="37810.800000000003"/>
    <n v="1800"/>
    <n v="12.272578845019764"/>
    <x v="9"/>
    <x v="1"/>
  </r>
  <r>
    <s v="ORD10776"/>
    <d v="2025-10-30T00:00:00"/>
    <x v="7"/>
    <x v="7"/>
    <x v="5"/>
    <x v="1"/>
    <n v="5"/>
    <n v="300"/>
    <n v="405"/>
    <x v="187"/>
    <n v="1728.27"/>
    <x v="1595"/>
    <n v="29666.25"/>
    <n v="1500"/>
    <n v="13.208005693554828"/>
    <x v="9"/>
    <x v="1"/>
  </r>
  <r>
    <s v="ORD11264"/>
    <d v="2025-10-30T00:00:00"/>
    <x v="9"/>
    <x v="9"/>
    <x v="2"/>
    <x v="0"/>
    <n v="9"/>
    <n v="3000"/>
    <n v="3600"/>
    <x v="1118"/>
    <n v="30600.12"/>
    <x v="1596"/>
    <n v="180144"/>
    <n v="27000"/>
    <n v="11.765051901757248"/>
    <x v="9"/>
    <x v="1"/>
  </r>
  <r>
    <s v="ORD11440"/>
    <d v="2025-10-30T00:00:00"/>
    <x v="2"/>
    <x v="2"/>
    <x v="0"/>
    <x v="2"/>
    <n v="6"/>
    <n v="6500"/>
    <n v="7150"/>
    <x v="28"/>
    <n v="40813.54"/>
    <x v="1597"/>
    <n v="208494"/>
    <n v="39000"/>
    <n v="4.4434763561308328"/>
    <x v="9"/>
    <x v="0"/>
  </r>
  <r>
    <s v="ORD11487"/>
    <d v="2025-10-30T00:00:00"/>
    <x v="9"/>
    <x v="9"/>
    <x v="2"/>
    <x v="3"/>
    <n v="7"/>
    <n v="3000"/>
    <n v="3600"/>
    <x v="161"/>
    <n v="23936.09"/>
    <x v="1598"/>
    <n v="126503.99999999999"/>
    <n v="21000"/>
    <n v="12.266372661533275"/>
    <x v="9"/>
    <x v="1"/>
  </r>
  <r>
    <s v="ORD11774"/>
    <d v="2025-10-30T00:00:00"/>
    <x v="8"/>
    <x v="8"/>
    <x v="2"/>
    <x v="0"/>
    <n v="7"/>
    <n v="900"/>
    <n v="1170"/>
    <x v="1119"/>
    <n v="7529.53"/>
    <x v="1599"/>
    <n v="66011.400000000009"/>
    <n v="6300"/>
    <n v="16.329438889279942"/>
    <x v="9"/>
    <x v="1"/>
  </r>
  <r>
    <s v="ORD11832"/>
    <d v="2025-10-30T00:00:00"/>
    <x v="11"/>
    <x v="11"/>
    <x v="0"/>
    <x v="2"/>
    <n v="4"/>
    <n v="900"/>
    <n v="1152"/>
    <x v="1120"/>
    <n v="4481.4799999999996"/>
    <x v="1600"/>
    <n v="12672"/>
    <n v="3600"/>
    <n v="19.669394932031384"/>
    <x v="9"/>
    <x v="1"/>
  </r>
  <r>
    <s v="ORD10870"/>
    <d v="2025-10-31T00:00:00"/>
    <x v="13"/>
    <x v="13"/>
    <x v="6"/>
    <x v="1"/>
    <n v="10"/>
    <n v="900"/>
    <n v="1170"/>
    <x v="9"/>
    <n v="11700"/>
    <x v="538"/>
    <n v="0"/>
    <n v="9000"/>
    <n v="23.076923076923077"/>
    <x v="9"/>
    <x v="1"/>
  </r>
  <r>
    <s v="ORD11201"/>
    <d v="2025-10-31T00:00:00"/>
    <x v="19"/>
    <x v="19"/>
    <x v="0"/>
    <x v="3"/>
    <n v="7"/>
    <n v="350"/>
    <n v="455"/>
    <x v="95"/>
    <n v="2584.59"/>
    <x v="1601"/>
    <n v="60037.250000000007"/>
    <n v="2450"/>
    <n v="5.2074023346062619"/>
    <x v="9"/>
    <x v="0"/>
  </r>
  <r>
    <s v="ORD11435"/>
    <d v="2025-10-31T00:00:00"/>
    <x v="18"/>
    <x v="18"/>
    <x v="1"/>
    <x v="1"/>
    <n v="5"/>
    <n v="80"/>
    <n v="116"/>
    <x v="1121"/>
    <n v="518.33000000000004"/>
    <x v="1602"/>
    <n v="6165.4000000000005"/>
    <n v="400"/>
    <n v="22.829085717593038"/>
    <x v="9"/>
    <x v="1"/>
  </r>
  <r>
    <s v="ORD10443"/>
    <d v="2025-11-01T00:00:00"/>
    <x v="0"/>
    <x v="0"/>
    <x v="0"/>
    <x v="1"/>
    <n v="4"/>
    <n v="500"/>
    <n v="610"/>
    <x v="96"/>
    <n v="1946.94"/>
    <x v="1603"/>
    <n v="49312.4"/>
    <n v="2000"/>
    <n v="-2.7253022692019271"/>
    <x v="10"/>
    <x v="2"/>
  </r>
  <r>
    <s v="ORD10580"/>
    <d v="2025-11-01T00:00:00"/>
    <x v="0"/>
    <x v="0"/>
    <x v="0"/>
    <x v="2"/>
    <n v="6"/>
    <n v="500"/>
    <n v="610"/>
    <x v="1032"/>
    <n v="3197.44"/>
    <x v="1604"/>
    <n v="46262.400000000001"/>
    <n v="3000"/>
    <n v="6.1749399519615693"/>
    <x v="10"/>
    <x v="0"/>
  </r>
  <r>
    <s v="ORD10956"/>
    <d v="2025-11-01T00:00:00"/>
    <x v="13"/>
    <x v="13"/>
    <x v="6"/>
    <x v="0"/>
    <n v="10"/>
    <n v="900"/>
    <n v="1170"/>
    <x v="1122"/>
    <n v="10954.69"/>
    <x v="1605"/>
    <n v="74529"/>
    <n v="9000"/>
    <n v="17.84340770939205"/>
    <x v="10"/>
    <x v="1"/>
  </r>
  <r>
    <s v="ORD11088"/>
    <d v="2025-11-01T00:00:00"/>
    <x v="0"/>
    <x v="0"/>
    <x v="0"/>
    <x v="2"/>
    <n v="9"/>
    <n v="500"/>
    <n v="610"/>
    <x v="1123"/>
    <n v="4021.93"/>
    <x v="1606"/>
    <n v="146802.6"/>
    <n v="4500"/>
    <n v="-11.886581815198175"/>
    <x v="10"/>
    <x v="2"/>
  </r>
  <r>
    <s v="ORD11138"/>
    <d v="2025-11-01T00:00:00"/>
    <x v="4"/>
    <x v="4"/>
    <x v="3"/>
    <x v="3"/>
    <n v="8"/>
    <n v="180"/>
    <n v="243"/>
    <x v="1124"/>
    <n v="1735.55"/>
    <x v="1607"/>
    <n v="20839.68"/>
    <n v="1440"/>
    <n v="17.029183832214574"/>
    <x v="10"/>
    <x v="1"/>
  </r>
  <r>
    <s v="ORD11110"/>
    <d v="2025-11-02T00:00:00"/>
    <x v="4"/>
    <x v="4"/>
    <x v="3"/>
    <x v="0"/>
    <n v="2"/>
    <n v="180"/>
    <n v="243"/>
    <x v="934"/>
    <n v="457.1"/>
    <x v="1608"/>
    <n v="2891.7000000000003"/>
    <n v="360"/>
    <n v="21.242616495296431"/>
    <x v="10"/>
    <x v="1"/>
  </r>
  <r>
    <s v="ORD11387"/>
    <d v="2025-11-02T00:00:00"/>
    <x v="8"/>
    <x v="8"/>
    <x v="2"/>
    <x v="1"/>
    <n v="3"/>
    <n v="900"/>
    <n v="1170"/>
    <x v="1125"/>
    <n v="2966.84"/>
    <x v="1609"/>
    <n v="54299.700000000004"/>
    <n v="2700"/>
    <n v="8.9940812446913192"/>
    <x v="10"/>
    <x v="0"/>
  </r>
  <r>
    <s v="ORD11839"/>
    <d v="2025-11-02T00:00:00"/>
    <x v="18"/>
    <x v="18"/>
    <x v="1"/>
    <x v="3"/>
    <n v="4"/>
    <n v="80"/>
    <n v="116"/>
    <x v="9"/>
    <n v="464"/>
    <x v="1610"/>
    <n v="0"/>
    <n v="320"/>
    <n v="31.03448275862069"/>
    <x v="10"/>
    <x v="1"/>
  </r>
  <r>
    <s v="ORD10660"/>
    <d v="2025-11-03T00:00:00"/>
    <x v="5"/>
    <x v="5"/>
    <x v="3"/>
    <x v="3"/>
    <n v="1"/>
    <n v="2500"/>
    <n v="2875"/>
    <x v="1024"/>
    <n v="2490.5100000000002"/>
    <x v="1611"/>
    <n v="38438.75"/>
    <n v="2500"/>
    <n v="-0.38104645233305623"/>
    <x v="10"/>
    <x v="2"/>
  </r>
  <r>
    <s v="ORD10745"/>
    <d v="2025-11-03T00:00:00"/>
    <x v="13"/>
    <x v="13"/>
    <x v="6"/>
    <x v="0"/>
    <n v="1"/>
    <n v="900"/>
    <n v="1170"/>
    <x v="1126"/>
    <n v="894.99"/>
    <x v="1612"/>
    <n v="27506.7"/>
    <n v="900"/>
    <n v="-0.55978279086917171"/>
    <x v="10"/>
    <x v="2"/>
  </r>
  <r>
    <s v="ORD10894"/>
    <d v="2025-11-03T00:00:00"/>
    <x v="15"/>
    <x v="15"/>
    <x v="0"/>
    <x v="1"/>
    <n v="2"/>
    <n v="550"/>
    <n v="742.5"/>
    <x v="1127"/>
    <n v="1307.8699999999999"/>
    <x v="1613"/>
    <n v="17716.05"/>
    <n v="1100"/>
    <n v="15.893781492044317"/>
    <x v="10"/>
    <x v="1"/>
  </r>
  <r>
    <s v="ORD10961"/>
    <d v="2025-11-03T00:00:00"/>
    <x v="15"/>
    <x v="15"/>
    <x v="0"/>
    <x v="0"/>
    <n v="3"/>
    <n v="550"/>
    <n v="742.5"/>
    <x v="1088"/>
    <n v="2020.63"/>
    <x v="1614"/>
    <n v="20693.474999999999"/>
    <n v="1650"/>
    <n v="18.342299183917884"/>
    <x v="10"/>
    <x v="1"/>
  </r>
  <r>
    <s v="ORD11015"/>
    <d v="2025-11-03T00:00:00"/>
    <x v="4"/>
    <x v="4"/>
    <x v="3"/>
    <x v="1"/>
    <n v="6"/>
    <n v="180"/>
    <n v="243"/>
    <x v="926"/>
    <n v="1309.45"/>
    <x v="1615"/>
    <n v="14857.019999999999"/>
    <n v="1080"/>
    <n v="17.522624002443774"/>
    <x v="10"/>
    <x v="1"/>
  </r>
  <r>
    <s v="ORD11402"/>
    <d v="2025-11-03T00:00:00"/>
    <x v="0"/>
    <x v="0"/>
    <x v="0"/>
    <x v="2"/>
    <n v="7"/>
    <n v="500"/>
    <n v="610"/>
    <x v="1128"/>
    <n v="3880.11"/>
    <x v="1616"/>
    <n v="38985.100000000006"/>
    <n v="3500"/>
    <n v="9.7963717523472269"/>
    <x v="10"/>
    <x v="0"/>
  </r>
  <r>
    <s v="ORD11545"/>
    <d v="2025-11-03T00:00:00"/>
    <x v="8"/>
    <x v="8"/>
    <x v="2"/>
    <x v="0"/>
    <n v="10"/>
    <n v="900"/>
    <n v="1170"/>
    <x v="114"/>
    <n v="11428.24"/>
    <x v="1617"/>
    <n v="27143.999999999996"/>
    <n v="9000"/>
    <n v="21.247716183769327"/>
    <x v="10"/>
    <x v="1"/>
  </r>
  <r>
    <s v="ORD10154"/>
    <d v="2025-11-04T00:00:00"/>
    <x v="15"/>
    <x v="15"/>
    <x v="0"/>
    <x v="1"/>
    <n v="2"/>
    <n v="550"/>
    <n v="742.5"/>
    <x v="9"/>
    <n v="1485"/>
    <x v="1476"/>
    <n v="0"/>
    <n v="1100"/>
    <n v="25.925925925925924"/>
    <x v="10"/>
    <x v="1"/>
  </r>
  <r>
    <s v="ORD10156"/>
    <d v="2025-11-04T00:00:00"/>
    <x v="1"/>
    <x v="1"/>
    <x v="1"/>
    <x v="1"/>
    <n v="10"/>
    <n v="45"/>
    <n v="63"/>
    <x v="534"/>
    <n v="583.76"/>
    <x v="1618"/>
    <n v="4624.2"/>
    <n v="450"/>
    <n v="22.913526106619159"/>
    <x v="10"/>
    <x v="1"/>
  </r>
  <r>
    <s v="ORD10193"/>
    <d v="2025-11-04T00:00:00"/>
    <x v="15"/>
    <x v="15"/>
    <x v="0"/>
    <x v="1"/>
    <n v="10"/>
    <n v="550"/>
    <n v="742.5"/>
    <x v="1129"/>
    <n v="6303.73"/>
    <x v="1619"/>
    <n v="112117.5"/>
    <n v="5500"/>
    <n v="12.750070196534432"/>
    <x v="10"/>
    <x v="1"/>
  </r>
  <r>
    <s v="ORD10838"/>
    <d v="2025-11-04T00:00:00"/>
    <x v="1"/>
    <x v="1"/>
    <x v="1"/>
    <x v="1"/>
    <n v="8"/>
    <n v="45"/>
    <n v="63"/>
    <x v="1130"/>
    <n v="485.23"/>
    <x v="1620"/>
    <n v="1874.88"/>
    <n v="360"/>
    <n v="25.808379531356263"/>
    <x v="10"/>
    <x v="1"/>
  </r>
  <r>
    <s v="ORD10890"/>
    <d v="2025-11-04T00:00:00"/>
    <x v="15"/>
    <x v="15"/>
    <x v="0"/>
    <x v="0"/>
    <n v="6"/>
    <n v="550"/>
    <n v="742.5"/>
    <x v="1131"/>
    <n v="4262.8599999999997"/>
    <x v="1621"/>
    <n v="19201.05"/>
    <n v="3300"/>
    <n v="22.587183252558145"/>
    <x v="10"/>
    <x v="1"/>
  </r>
  <r>
    <s v="ORD11204"/>
    <d v="2025-11-04T00:00:00"/>
    <x v="16"/>
    <x v="16"/>
    <x v="0"/>
    <x v="2"/>
    <n v="10"/>
    <n v="1100"/>
    <n v="1298"/>
    <x v="671"/>
    <n v="11801.24"/>
    <x v="1622"/>
    <n v="117858.4"/>
    <n v="11000"/>
    <n v="6.7894560232653518"/>
    <x v="10"/>
    <x v="0"/>
  </r>
  <r>
    <s v="ORD11607"/>
    <d v="2025-11-04T00:00:00"/>
    <x v="7"/>
    <x v="7"/>
    <x v="5"/>
    <x v="3"/>
    <n v="6"/>
    <n v="300"/>
    <n v="405"/>
    <x v="1132"/>
    <n v="2220.61"/>
    <x v="1623"/>
    <n v="20946.599999999999"/>
    <n v="1800"/>
    <n v="18.941191834676058"/>
    <x v="10"/>
    <x v="1"/>
  </r>
  <r>
    <s v="ORD11901"/>
    <d v="2025-11-04T00:00:00"/>
    <x v="2"/>
    <x v="2"/>
    <x v="0"/>
    <x v="1"/>
    <n v="3"/>
    <n v="6500"/>
    <n v="7150"/>
    <x v="1127"/>
    <n v="18891.16"/>
    <x v="1624"/>
    <n v="255898.5"/>
    <n v="19500"/>
    <n v="-3.2228830839397897"/>
    <x v="10"/>
    <x v="2"/>
  </r>
  <r>
    <s v="ORD10842"/>
    <d v="2025-11-05T00:00:00"/>
    <x v="19"/>
    <x v="19"/>
    <x v="0"/>
    <x v="1"/>
    <n v="10"/>
    <n v="350"/>
    <n v="455"/>
    <x v="9"/>
    <n v="4550"/>
    <x v="1625"/>
    <n v="0"/>
    <n v="3500"/>
    <n v="23.076923076923077"/>
    <x v="10"/>
    <x v="1"/>
  </r>
  <r>
    <s v="ORD11142"/>
    <d v="2025-11-05T00:00:00"/>
    <x v="1"/>
    <x v="1"/>
    <x v="1"/>
    <x v="0"/>
    <n v="6"/>
    <n v="45"/>
    <n v="63"/>
    <x v="1133"/>
    <n v="365.27"/>
    <x v="1626"/>
    <n v="1273.8600000000001"/>
    <n v="270"/>
    <n v="26.082076272346484"/>
    <x v="10"/>
    <x v="1"/>
  </r>
  <r>
    <s v="ORD10093"/>
    <d v="2025-11-06T00:00:00"/>
    <x v="12"/>
    <x v="12"/>
    <x v="2"/>
    <x v="0"/>
    <n v="8"/>
    <n v="6500"/>
    <n v="8125"/>
    <x v="27"/>
    <n v="62400"/>
    <x v="1627"/>
    <n v="260000"/>
    <n v="52000"/>
    <n v="16.666666666666664"/>
    <x v="10"/>
    <x v="1"/>
  </r>
  <r>
    <s v="ORD10101"/>
    <d v="2025-11-06T00:00:00"/>
    <x v="11"/>
    <x v="11"/>
    <x v="0"/>
    <x v="3"/>
    <n v="7"/>
    <n v="900"/>
    <n v="1152"/>
    <x v="1134"/>
    <n v="6330.71"/>
    <x v="1628"/>
    <n v="173295.35999999999"/>
    <n v="6300"/>
    <n v="0.48509566857429892"/>
    <x v="10"/>
    <x v="0"/>
  </r>
  <r>
    <s v="ORD10415"/>
    <d v="2025-11-06T00:00:00"/>
    <x v="11"/>
    <x v="11"/>
    <x v="0"/>
    <x v="2"/>
    <n v="10"/>
    <n v="900"/>
    <n v="1152"/>
    <x v="1135"/>
    <n v="10496.19"/>
    <x v="1629"/>
    <n v="102412.8"/>
    <n v="9000"/>
    <n v="14.254600955203745"/>
    <x v="10"/>
    <x v="1"/>
  </r>
  <r>
    <s v="ORD10951"/>
    <d v="2025-11-06T00:00:00"/>
    <x v="17"/>
    <x v="17"/>
    <x v="0"/>
    <x v="0"/>
    <n v="3"/>
    <n v="8500"/>
    <n v="9520"/>
    <x v="292"/>
    <n v="25359.119999999999"/>
    <x v="1630"/>
    <n v="320157.60000000003"/>
    <n v="25500"/>
    <n v="-0.55553978213755051"/>
    <x v="10"/>
    <x v="2"/>
  </r>
  <r>
    <s v="ORD11185"/>
    <d v="2025-11-06T00:00:00"/>
    <x v="18"/>
    <x v="18"/>
    <x v="1"/>
    <x v="2"/>
    <n v="4"/>
    <n v="80"/>
    <n v="116"/>
    <x v="939"/>
    <n v="389.46"/>
    <x v="1631"/>
    <n v="7451.8399999999992"/>
    <n v="320"/>
    <n v="17.834950957736353"/>
    <x v="10"/>
    <x v="1"/>
  </r>
  <r>
    <s v="ORD11455"/>
    <d v="2025-11-06T00:00:00"/>
    <x v="11"/>
    <x v="11"/>
    <x v="0"/>
    <x v="1"/>
    <n v="10"/>
    <n v="900"/>
    <n v="1152"/>
    <x v="1136"/>
    <n v="10690.42"/>
    <x v="1632"/>
    <n v="82944"/>
    <n v="9000"/>
    <n v="15.812475094523885"/>
    <x v="10"/>
    <x v="1"/>
  </r>
  <r>
    <s v="ORD11472"/>
    <d v="2025-11-06T00:00:00"/>
    <x v="10"/>
    <x v="10"/>
    <x v="4"/>
    <x v="0"/>
    <n v="4"/>
    <n v="3200"/>
    <n v="3840"/>
    <x v="74"/>
    <n v="14123.84"/>
    <x v="1633"/>
    <n v="123648.00000000001"/>
    <n v="12800"/>
    <n v="9.3730883385821411"/>
    <x v="10"/>
    <x v="0"/>
  </r>
  <r>
    <s v="ORD11853"/>
    <d v="2025-11-06T00:00:00"/>
    <x v="3"/>
    <x v="3"/>
    <x v="2"/>
    <x v="3"/>
    <n v="10"/>
    <n v="4500"/>
    <n v="5220"/>
    <x v="1137"/>
    <n v="47778.94"/>
    <x v="1634"/>
    <n v="442134.00000000006"/>
    <n v="45000"/>
    <n v="5.8162445629810957"/>
    <x v="10"/>
    <x v="0"/>
  </r>
  <r>
    <s v="ORD11991"/>
    <d v="2025-11-06T00:00:00"/>
    <x v="7"/>
    <x v="7"/>
    <x v="5"/>
    <x v="2"/>
    <n v="9"/>
    <n v="300"/>
    <n v="405"/>
    <x v="248"/>
    <n v="3342.96"/>
    <x v="1635"/>
    <n v="30217.049999999996"/>
    <n v="2700"/>
    <n v="19.233254361404263"/>
    <x v="10"/>
    <x v="1"/>
  </r>
  <r>
    <s v="ORD10010"/>
    <d v="2025-11-07T00:00:00"/>
    <x v="0"/>
    <x v="0"/>
    <x v="0"/>
    <x v="0"/>
    <n v="10"/>
    <n v="500"/>
    <n v="610"/>
    <x v="1138"/>
    <n v="4578.37"/>
    <x v="1636"/>
    <n v="152134"/>
    <n v="5000"/>
    <n v="-9.2091726968331518"/>
    <x v="10"/>
    <x v="2"/>
  </r>
  <r>
    <s v="ORD10059"/>
    <d v="2025-11-07T00:00:00"/>
    <x v="19"/>
    <x v="19"/>
    <x v="0"/>
    <x v="3"/>
    <n v="5"/>
    <n v="350"/>
    <n v="455"/>
    <x v="9"/>
    <n v="2275"/>
    <x v="1637"/>
    <n v="0"/>
    <n v="1750"/>
    <n v="23.076923076923077"/>
    <x v="10"/>
    <x v="1"/>
  </r>
  <r>
    <s v="ORD10900"/>
    <d v="2025-11-07T00:00:00"/>
    <x v="5"/>
    <x v="5"/>
    <x v="3"/>
    <x v="2"/>
    <n v="3"/>
    <n v="2500"/>
    <n v="2875"/>
    <x v="9"/>
    <n v="8625"/>
    <x v="249"/>
    <n v="0"/>
    <n v="7500"/>
    <n v="13.043478260869565"/>
    <x v="10"/>
    <x v="1"/>
  </r>
  <r>
    <s v="ORD11038"/>
    <d v="2025-11-07T00:00:00"/>
    <x v="3"/>
    <x v="3"/>
    <x v="2"/>
    <x v="1"/>
    <n v="5"/>
    <n v="4500"/>
    <n v="5220"/>
    <x v="663"/>
    <n v="21192.22"/>
    <x v="1638"/>
    <n v="490680"/>
    <n v="22500"/>
    <n v="-6.1710382395048748"/>
    <x v="10"/>
    <x v="2"/>
  </r>
  <r>
    <s v="ORD11660"/>
    <d v="2025-11-07T00:00:00"/>
    <x v="3"/>
    <x v="3"/>
    <x v="2"/>
    <x v="2"/>
    <n v="4"/>
    <n v="4500"/>
    <n v="5220"/>
    <x v="1139"/>
    <n v="19534.150000000001"/>
    <x v="1639"/>
    <n v="134676"/>
    <n v="18000"/>
    <n v="7.8536818853136676"/>
    <x v="10"/>
    <x v="0"/>
  </r>
  <r>
    <s v="ORD10402"/>
    <d v="2025-11-08T00:00:00"/>
    <x v="1"/>
    <x v="1"/>
    <x v="1"/>
    <x v="3"/>
    <n v="10"/>
    <n v="45"/>
    <n v="63"/>
    <x v="482"/>
    <n v="546.33000000000004"/>
    <x v="1640"/>
    <n v="8366.4"/>
    <n v="450"/>
    <n v="17.632200318488824"/>
    <x v="10"/>
    <x v="1"/>
  </r>
  <r>
    <s v="ORD10933"/>
    <d v="2025-11-08T00:00:00"/>
    <x v="3"/>
    <x v="3"/>
    <x v="2"/>
    <x v="0"/>
    <n v="7"/>
    <n v="4500"/>
    <n v="5220"/>
    <x v="1140"/>
    <n v="32352.99"/>
    <x v="1641"/>
    <n v="418748.4"/>
    <n v="31500"/>
    <n v="2.6365105667204172"/>
    <x v="10"/>
    <x v="0"/>
  </r>
  <r>
    <s v="ORD11569"/>
    <d v="2025-11-08T00:00:00"/>
    <x v="19"/>
    <x v="19"/>
    <x v="0"/>
    <x v="1"/>
    <n v="1"/>
    <n v="350"/>
    <n v="455"/>
    <x v="1141"/>
    <n v="368.22"/>
    <x v="1642"/>
    <n v="8676.85"/>
    <n v="350"/>
    <n v="4.9481288360219429"/>
    <x v="10"/>
    <x v="0"/>
  </r>
  <r>
    <s v="ORD11766"/>
    <d v="2025-11-08T00:00:00"/>
    <x v="3"/>
    <x v="3"/>
    <x v="2"/>
    <x v="2"/>
    <n v="9"/>
    <n v="4500"/>
    <n v="5220"/>
    <x v="1142"/>
    <n v="35393.519999999997"/>
    <x v="1643"/>
    <n v="1158526.8"/>
    <n v="40500"/>
    <n v="-14.427725753188719"/>
    <x v="10"/>
    <x v="2"/>
  </r>
  <r>
    <s v="ORD10468"/>
    <d v="2025-11-09T00:00:00"/>
    <x v="2"/>
    <x v="2"/>
    <x v="0"/>
    <x v="3"/>
    <n v="3"/>
    <n v="6500"/>
    <n v="7150"/>
    <x v="1143"/>
    <n v="16825.86"/>
    <x v="1644"/>
    <n v="462462"/>
    <n v="19500"/>
    <n v="-15.893036076610645"/>
    <x v="10"/>
    <x v="2"/>
  </r>
  <r>
    <s v="ORD10518"/>
    <d v="2025-11-09T00:00:00"/>
    <x v="17"/>
    <x v="17"/>
    <x v="0"/>
    <x v="3"/>
    <n v="2"/>
    <n v="8500"/>
    <n v="9520"/>
    <x v="398"/>
    <n v="16542.47"/>
    <x v="1645"/>
    <n v="249804.79999999999"/>
    <n v="17000"/>
    <n v="-2.765790114777297"/>
    <x v="10"/>
    <x v="2"/>
  </r>
  <r>
    <s v="ORD10571"/>
    <d v="2025-11-09T00:00:00"/>
    <x v="9"/>
    <x v="9"/>
    <x v="2"/>
    <x v="2"/>
    <n v="10"/>
    <n v="3000"/>
    <n v="3600"/>
    <x v="499"/>
    <n v="31738.5"/>
    <x v="1646"/>
    <n v="426240"/>
    <n v="30000"/>
    <n v="5.4775745545630699"/>
    <x v="10"/>
    <x v="0"/>
  </r>
  <r>
    <s v="ORD10782"/>
    <d v="2025-11-09T00:00:00"/>
    <x v="2"/>
    <x v="2"/>
    <x v="0"/>
    <x v="2"/>
    <n v="3"/>
    <n v="6500"/>
    <n v="7150"/>
    <x v="1144"/>
    <n v="18152.27"/>
    <x v="1647"/>
    <n v="329686.5"/>
    <n v="19500"/>
    <n v="-7.4245810579062557"/>
    <x v="10"/>
    <x v="2"/>
  </r>
  <r>
    <s v="ORD11071"/>
    <d v="2025-11-09T00:00:00"/>
    <x v="6"/>
    <x v="6"/>
    <x v="4"/>
    <x v="2"/>
    <n v="6"/>
    <n v="1800"/>
    <n v="2124"/>
    <x v="50"/>
    <n v="10732.73"/>
    <x v="1648"/>
    <n v="201100.31999999998"/>
    <n v="10800"/>
    <n v="-0.62677436216135129"/>
    <x v="10"/>
    <x v="2"/>
  </r>
  <r>
    <s v="ORD11340"/>
    <d v="2025-11-09T00:00:00"/>
    <x v="14"/>
    <x v="14"/>
    <x v="3"/>
    <x v="1"/>
    <n v="6"/>
    <n v="1200"/>
    <n v="1464"/>
    <x v="1145"/>
    <n v="7057.88"/>
    <x v="1649"/>
    <n v="172605.59999999998"/>
    <n v="7200"/>
    <n v="-2.0136358226549618"/>
    <x v="10"/>
    <x v="2"/>
  </r>
  <r>
    <s v="ORD11480"/>
    <d v="2025-11-09T00:00:00"/>
    <x v="6"/>
    <x v="6"/>
    <x v="4"/>
    <x v="1"/>
    <n v="1"/>
    <n v="1800"/>
    <n v="2124"/>
    <x v="936"/>
    <n v="1684.74"/>
    <x v="1650"/>
    <n v="43924.32"/>
    <n v="1800"/>
    <n v="-6.8414117311870086"/>
    <x v="10"/>
    <x v="2"/>
  </r>
  <r>
    <s v="ORD11536"/>
    <d v="2025-11-09T00:00:00"/>
    <x v="14"/>
    <x v="14"/>
    <x v="3"/>
    <x v="1"/>
    <n v="6"/>
    <n v="1200"/>
    <n v="1464"/>
    <x v="1146"/>
    <n v="8394.7000000000007"/>
    <x v="1651"/>
    <n v="38913.119999999995"/>
    <n v="7200"/>
    <n v="14.231598508582795"/>
    <x v="10"/>
    <x v="1"/>
  </r>
  <r>
    <s v="ORD11816"/>
    <d v="2025-11-09T00:00:00"/>
    <x v="13"/>
    <x v="13"/>
    <x v="6"/>
    <x v="3"/>
    <n v="10"/>
    <n v="900"/>
    <n v="1170"/>
    <x v="1125"/>
    <n v="9889.9"/>
    <x v="1652"/>
    <n v="180999"/>
    <n v="9000"/>
    <n v="8.9980687367920815"/>
    <x v="10"/>
    <x v="0"/>
  </r>
  <r>
    <s v="ORD11822"/>
    <d v="2025-11-09T00:00:00"/>
    <x v="12"/>
    <x v="12"/>
    <x v="2"/>
    <x v="1"/>
    <n v="9"/>
    <n v="6500"/>
    <n v="8125"/>
    <x v="515"/>
    <n v="52339.9"/>
    <x v="1653"/>
    <n v="2078212.5000000002"/>
    <n v="58500"/>
    <n v="-11.769414920548186"/>
    <x v="10"/>
    <x v="2"/>
  </r>
  <r>
    <s v="ORD11892"/>
    <d v="2025-11-09T00:00:00"/>
    <x v="7"/>
    <x v="7"/>
    <x v="5"/>
    <x v="0"/>
    <n v="3"/>
    <n v="300"/>
    <n v="405"/>
    <x v="391"/>
    <n v="1143.44"/>
    <x v="1654"/>
    <n v="7156.3499999999995"/>
    <n v="900"/>
    <n v="21.290142027565938"/>
    <x v="10"/>
    <x v="1"/>
  </r>
  <r>
    <s v="ORD11949"/>
    <d v="2025-11-09T00:00:00"/>
    <x v="19"/>
    <x v="19"/>
    <x v="0"/>
    <x v="1"/>
    <n v="8"/>
    <n v="350"/>
    <n v="455"/>
    <x v="352"/>
    <n v="3192.83"/>
    <x v="1655"/>
    <n v="44699.199999999997"/>
    <n v="2800"/>
    <n v="12.303505040982451"/>
    <x v="10"/>
    <x v="1"/>
  </r>
  <r>
    <s v="ORD10180"/>
    <d v="2025-11-10T00:00:00"/>
    <x v="7"/>
    <x v="7"/>
    <x v="5"/>
    <x v="3"/>
    <n v="3"/>
    <n v="300"/>
    <n v="405"/>
    <x v="1147"/>
    <n v="1002.56"/>
    <x v="1656"/>
    <n v="21238.2"/>
    <n v="900"/>
    <n v="10.229811682093841"/>
    <x v="10"/>
    <x v="1"/>
  </r>
  <r>
    <s v="ORD10224"/>
    <d v="2025-11-10T00:00:00"/>
    <x v="9"/>
    <x v="9"/>
    <x v="2"/>
    <x v="2"/>
    <n v="6"/>
    <n v="3000"/>
    <n v="3600"/>
    <x v="1148"/>
    <n v="20038.61"/>
    <x v="1657"/>
    <n v="156168"/>
    <n v="18000"/>
    <n v="10.173410231547996"/>
    <x v="10"/>
    <x v="1"/>
  </r>
  <r>
    <s v="ORD10253"/>
    <d v="2025-11-10T00:00:00"/>
    <x v="9"/>
    <x v="9"/>
    <x v="2"/>
    <x v="3"/>
    <n v="6"/>
    <n v="3000"/>
    <n v="3600"/>
    <x v="1001"/>
    <n v="20122.689999999999"/>
    <x v="1658"/>
    <n v="147744"/>
    <n v="18000"/>
    <n v="10.548738762064119"/>
    <x v="10"/>
    <x v="1"/>
  </r>
  <r>
    <s v="ORD10391"/>
    <d v="2025-11-10T00:00:00"/>
    <x v="9"/>
    <x v="9"/>
    <x v="2"/>
    <x v="2"/>
    <n v="10"/>
    <n v="3000"/>
    <n v="3600"/>
    <x v="8"/>
    <n v="33591.24"/>
    <x v="1659"/>
    <n v="240840"/>
    <n v="30000"/>
    <n v="10.691001582555453"/>
    <x v="10"/>
    <x v="1"/>
  </r>
  <r>
    <s v="ORD10450"/>
    <d v="2025-11-10T00:00:00"/>
    <x v="16"/>
    <x v="16"/>
    <x v="0"/>
    <x v="0"/>
    <n v="5"/>
    <n v="1100"/>
    <n v="1298"/>
    <x v="1136"/>
    <n v="6022.81"/>
    <x v="1660"/>
    <n v="46728"/>
    <n v="5500"/>
    <n v="8.6804996338918201"/>
    <x v="10"/>
    <x v="0"/>
  </r>
  <r>
    <s v="ORD10573"/>
    <d v="2025-11-10T00:00:00"/>
    <x v="7"/>
    <x v="7"/>
    <x v="5"/>
    <x v="2"/>
    <n v="2"/>
    <n v="300"/>
    <n v="405"/>
    <x v="784"/>
    <n v="716.74"/>
    <x v="1661"/>
    <n v="9323.1"/>
    <n v="600"/>
    <n v="16.287635683790494"/>
    <x v="10"/>
    <x v="1"/>
  </r>
  <r>
    <s v="ORD10747"/>
    <d v="2025-11-10T00:00:00"/>
    <x v="10"/>
    <x v="10"/>
    <x v="4"/>
    <x v="3"/>
    <n v="4"/>
    <n v="3200"/>
    <n v="3840"/>
    <x v="433"/>
    <n v="14497.04"/>
    <x v="1662"/>
    <n v="86323.199999999997"/>
    <n v="12800"/>
    <n v="11.706113799782575"/>
    <x v="10"/>
    <x v="1"/>
  </r>
  <r>
    <s v="ORD11838"/>
    <d v="2025-11-10T00:00:00"/>
    <x v="6"/>
    <x v="6"/>
    <x v="4"/>
    <x v="1"/>
    <n v="2"/>
    <n v="1800"/>
    <n v="2124"/>
    <x v="547"/>
    <n v="4005.06"/>
    <x v="584"/>
    <n v="24298.559999999998"/>
    <n v="3600"/>
    <n v="10.113706161705442"/>
    <x v="10"/>
    <x v="1"/>
  </r>
  <r>
    <s v="ORD11922"/>
    <d v="2025-11-10T00:00:00"/>
    <x v="0"/>
    <x v="0"/>
    <x v="0"/>
    <x v="0"/>
    <n v="6"/>
    <n v="500"/>
    <n v="610"/>
    <x v="1149"/>
    <n v="3602.89"/>
    <x v="1663"/>
    <n v="5709.6"/>
    <n v="3000"/>
    <n v="16.733511153546182"/>
    <x v="10"/>
    <x v="1"/>
  </r>
  <r>
    <s v="ORD10304"/>
    <d v="2025-11-11T00:00:00"/>
    <x v="6"/>
    <x v="6"/>
    <x v="4"/>
    <x v="2"/>
    <n v="9"/>
    <n v="1800"/>
    <n v="2124"/>
    <x v="705"/>
    <n v="17428.66"/>
    <x v="1664"/>
    <n v="168794.28"/>
    <n v="16200"/>
    <n v="7.0496526984862875"/>
    <x v="10"/>
    <x v="0"/>
  </r>
  <r>
    <s v="ORD11112"/>
    <d v="2025-11-11T00:00:00"/>
    <x v="6"/>
    <x v="6"/>
    <x v="4"/>
    <x v="0"/>
    <n v="10"/>
    <n v="1800"/>
    <n v="2124"/>
    <x v="27"/>
    <n v="20390.400000000001"/>
    <x v="1665"/>
    <n v="84960"/>
    <n v="18000"/>
    <n v="11.72316384180791"/>
    <x v="10"/>
    <x v="1"/>
  </r>
  <r>
    <s v="ORD11753"/>
    <d v="2025-11-11T00:00:00"/>
    <x v="2"/>
    <x v="2"/>
    <x v="0"/>
    <x v="1"/>
    <n v="8"/>
    <n v="6500"/>
    <n v="7150"/>
    <x v="847"/>
    <n v="48642.15"/>
    <x v="1666"/>
    <n v="855712"/>
    <n v="52000"/>
    <n v="-6.9031693705973103"/>
    <x v="10"/>
    <x v="2"/>
  </r>
  <r>
    <s v="ORD11929"/>
    <d v="2025-11-11T00:00:00"/>
    <x v="15"/>
    <x v="15"/>
    <x v="0"/>
    <x v="2"/>
    <n v="1"/>
    <n v="550"/>
    <n v="742.5"/>
    <x v="1150"/>
    <n v="735.52"/>
    <x v="1667"/>
    <n v="697.94999999999993"/>
    <n v="550"/>
    <n v="25.222971503154234"/>
    <x v="10"/>
    <x v="1"/>
  </r>
  <r>
    <s v="ORD10063"/>
    <d v="2025-11-12T00:00:00"/>
    <x v="9"/>
    <x v="9"/>
    <x v="2"/>
    <x v="3"/>
    <n v="2"/>
    <n v="3000"/>
    <n v="3600"/>
    <x v="993"/>
    <n v="5675.65"/>
    <x v="1668"/>
    <n v="152424"/>
    <n v="6000"/>
    <n v="-5.7147639477416687"/>
    <x v="10"/>
    <x v="2"/>
  </r>
  <r>
    <s v="ORD10120"/>
    <d v="2025-11-12T00:00:00"/>
    <x v="5"/>
    <x v="5"/>
    <x v="3"/>
    <x v="3"/>
    <n v="3"/>
    <n v="2500"/>
    <n v="2875"/>
    <x v="735"/>
    <n v="7753.75"/>
    <x v="1669"/>
    <n v="87112.5"/>
    <n v="7500"/>
    <n v="3.2726100274060941"/>
    <x v="10"/>
    <x v="0"/>
  </r>
  <r>
    <s v="ORD10524"/>
    <d v="2025-11-12T00:00:00"/>
    <x v="2"/>
    <x v="2"/>
    <x v="0"/>
    <x v="1"/>
    <n v="6"/>
    <n v="6500"/>
    <n v="7150"/>
    <x v="27"/>
    <n v="41184"/>
    <x v="40"/>
    <n v="171600"/>
    <n v="39000"/>
    <n v="5.3030303030303028"/>
    <x v="10"/>
    <x v="0"/>
  </r>
  <r>
    <s v="ORD10675"/>
    <d v="2025-11-12T00:00:00"/>
    <x v="1"/>
    <x v="1"/>
    <x v="1"/>
    <x v="2"/>
    <n v="5"/>
    <n v="45"/>
    <n v="63"/>
    <x v="730"/>
    <n v="283.55"/>
    <x v="1670"/>
    <n v="3143.7000000000003"/>
    <n v="225"/>
    <n v="20.648915535178979"/>
    <x v="10"/>
    <x v="1"/>
  </r>
  <r>
    <s v="ORD11412"/>
    <d v="2025-11-12T00:00:00"/>
    <x v="12"/>
    <x v="12"/>
    <x v="2"/>
    <x v="3"/>
    <n v="6"/>
    <n v="6500"/>
    <n v="8125"/>
    <x v="1151"/>
    <n v="37263.980000000003"/>
    <x v="1671"/>
    <n v="1148550"/>
    <n v="39000"/>
    <n v="-4.6587079533640798"/>
    <x v="10"/>
    <x v="2"/>
  </r>
  <r>
    <s v="ORD10832"/>
    <d v="2025-11-13T00:00:00"/>
    <x v="10"/>
    <x v="10"/>
    <x v="4"/>
    <x v="2"/>
    <n v="8"/>
    <n v="3200"/>
    <n v="3840"/>
    <x v="1147"/>
    <n v="25351.279999999999"/>
    <x v="1672"/>
    <n v="536985.59999999998"/>
    <n v="25600"/>
    <n v="-0.98109444572423954"/>
    <x v="10"/>
    <x v="2"/>
  </r>
  <r>
    <s v="ORD11827"/>
    <d v="2025-11-13T00:00:00"/>
    <x v="4"/>
    <x v="4"/>
    <x v="3"/>
    <x v="1"/>
    <n v="10"/>
    <n v="180"/>
    <n v="243"/>
    <x v="1152"/>
    <n v="2273.02"/>
    <x v="1673"/>
    <n v="15697.8"/>
    <n v="1800"/>
    <n v="20.810199646285557"/>
    <x v="10"/>
    <x v="1"/>
  </r>
  <r>
    <s v="ORD10948"/>
    <d v="2025-11-14T00:00:00"/>
    <x v="13"/>
    <x v="13"/>
    <x v="6"/>
    <x v="2"/>
    <n v="1"/>
    <n v="900"/>
    <n v="1170"/>
    <x v="1153"/>
    <n v="1009.8"/>
    <x v="1674"/>
    <n v="16017.3"/>
    <n v="900"/>
    <n v="10.873440285204991"/>
    <x v="10"/>
    <x v="1"/>
  </r>
  <r>
    <s v="ORD11814"/>
    <d v="2025-11-14T00:00:00"/>
    <x v="5"/>
    <x v="5"/>
    <x v="3"/>
    <x v="3"/>
    <n v="7"/>
    <n v="2500"/>
    <n v="2875"/>
    <x v="1154"/>
    <n v="16691.099999999999"/>
    <x v="1675"/>
    <n v="343332.5"/>
    <n v="17500"/>
    <n v="-4.846295331044689"/>
    <x v="10"/>
    <x v="2"/>
  </r>
  <r>
    <s v="ORD11975"/>
    <d v="2025-11-14T00:00:00"/>
    <x v="8"/>
    <x v="8"/>
    <x v="2"/>
    <x v="2"/>
    <n v="3"/>
    <n v="900"/>
    <n v="1170"/>
    <x v="9"/>
    <n v="3510"/>
    <x v="928"/>
    <n v="0"/>
    <n v="2700"/>
    <n v="23.076923076923077"/>
    <x v="10"/>
    <x v="1"/>
  </r>
  <r>
    <s v="ORD10444"/>
    <d v="2025-11-15T00:00:00"/>
    <x v="14"/>
    <x v="14"/>
    <x v="3"/>
    <x v="3"/>
    <n v="10"/>
    <n v="1200"/>
    <n v="1464"/>
    <x v="1155"/>
    <n v="14368.32"/>
    <x v="1676"/>
    <n v="27230.400000000001"/>
    <n v="12000"/>
    <n v="16.482929110710231"/>
    <x v="10"/>
    <x v="1"/>
  </r>
  <r>
    <s v="ORD10462"/>
    <d v="2025-11-15T00:00:00"/>
    <x v="4"/>
    <x v="4"/>
    <x v="3"/>
    <x v="3"/>
    <n v="10"/>
    <n v="180"/>
    <n v="243"/>
    <x v="1156"/>
    <n v="2136.4699999999998"/>
    <x v="1677"/>
    <n v="29354.400000000001"/>
    <n v="1800"/>
    <n v="15.748875481518581"/>
    <x v="10"/>
    <x v="1"/>
  </r>
  <r>
    <s v="ORD10627"/>
    <d v="2025-11-15T00:00:00"/>
    <x v="1"/>
    <x v="1"/>
    <x v="1"/>
    <x v="0"/>
    <n v="10"/>
    <n v="45"/>
    <n v="63"/>
    <x v="1157"/>
    <n v="625.80999999999995"/>
    <x v="1678"/>
    <n v="415.8"/>
    <n v="450"/>
    <n v="28.093191224173474"/>
    <x v="10"/>
    <x v="1"/>
  </r>
  <r>
    <s v="ORD11996"/>
    <d v="2025-11-15T00:00:00"/>
    <x v="19"/>
    <x v="19"/>
    <x v="0"/>
    <x v="1"/>
    <n v="1"/>
    <n v="350"/>
    <n v="455"/>
    <x v="288"/>
    <n v="362.01"/>
    <x v="1679"/>
    <n v="9300.2000000000007"/>
    <n v="350"/>
    <n v="3.3175879119361347"/>
    <x v="10"/>
    <x v="0"/>
  </r>
  <r>
    <s v="ORD10264"/>
    <d v="2025-11-16T00:00:00"/>
    <x v="11"/>
    <x v="11"/>
    <x v="0"/>
    <x v="0"/>
    <n v="8"/>
    <n v="900"/>
    <n v="1152"/>
    <x v="1158"/>
    <n v="7819.54"/>
    <x v="1680"/>
    <n v="139622.39999999999"/>
    <n v="7200"/>
    <n v="7.9229724510648953"/>
    <x v="10"/>
    <x v="0"/>
  </r>
  <r>
    <s v="ORD10378"/>
    <d v="2025-11-16T00:00:00"/>
    <x v="11"/>
    <x v="11"/>
    <x v="0"/>
    <x v="3"/>
    <n v="10"/>
    <n v="900"/>
    <n v="1152"/>
    <x v="1159"/>
    <n v="9606.75"/>
    <x v="1681"/>
    <n v="191347.19999999998"/>
    <n v="9000"/>
    <n v="6.3158716527441632"/>
    <x v="10"/>
    <x v="0"/>
  </r>
  <r>
    <s v="ORD10504"/>
    <d v="2025-11-16T00:00:00"/>
    <x v="1"/>
    <x v="1"/>
    <x v="1"/>
    <x v="2"/>
    <n v="9"/>
    <n v="45"/>
    <n v="63"/>
    <x v="9"/>
    <n v="567"/>
    <x v="1682"/>
    <n v="0"/>
    <n v="405"/>
    <n v="28.571428571428569"/>
    <x v="10"/>
    <x v="1"/>
  </r>
  <r>
    <s v="ORD10836"/>
    <d v="2025-11-16T00:00:00"/>
    <x v="17"/>
    <x v="17"/>
    <x v="0"/>
    <x v="0"/>
    <n v="3"/>
    <n v="8500"/>
    <n v="9520"/>
    <x v="965"/>
    <n v="25549.62"/>
    <x v="1683"/>
    <n v="301022.39999999997"/>
    <n v="25500"/>
    <n v="0.1942103248502326"/>
    <x v="10"/>
    <x v="0"/>
  </r>
  <r>
    <s v="ORD11252"/>
    <d v="2025-11-16T00:00:00"/>
    <x v="11"/>
    <x v="11"/>
    <x v="0"/>
    <x v="0"/>
    <n v="9"/>
    <n v="900"/>
    <n v="1152"/>
    <x v="9"/>
    <n v="10368"/>
    <x v="1684"/>
    <n v="0"/>
    <n v="8100"/>
    <n v="21.875"/>
    <x v="10"/>
    <x v="1"/>
  </r>
  <r>
    <s v="ORD11390"/>
    <d v="2025-11-16T00:00:00"/>
    <x v="15"/>
    <x v="15"/>
    <x v="0"/>
    <x v="1"/>
    <n v="6"/>
    <n v="550"/>
    <n v="742.5"/>
    <x v="489"/>
    <n v="4115.37"/>
    <x v="1685"/>
    <n v="33947.1"/>
    <n v="3300"/>
    <n v="19.81279933517521"/>
    <x v="10"/>
    <x v="1"/>
  </r>
  <r>
    <s v="ORD11651"/>
    <d v="2025-11-16T00:00:00"/>
    <x v="12"/>
    <x v="12"/>
    <x v="2"/>
    <x v="0"/>
    <n v="2"/>
    <n v="6500"/>
    <n v="8125"/>
    <x v="27"/>
    <n v="15600"/>
    <x v="1686"/>
    <n v="65000"/>
    <n v="13000"/>
    <n v="16.666666666666664"/>
    <x v="10"/>
    <x v="1"/>
  </r>
  <r>
    <s v="ORD11938"/>
    <d v="2025-11-16T00:00:00"/>
    <x v="4"/>
    <x v="4"/>
    <x v="3"/>
    <x v="0"/>
    <n v="5"/>
    <n v="180"/>
    <n v="243"/>
    <x v="335"/>
    <n v="1179.08"/>
    <x v="1687"/>
    <n v="3596.4"/>
    <n v="900"/>
    <n v="23.669301489296739"/>
    <x v="10"/>
    <x v="1"/>
  </r>
  <r>
    <s v="ORD10032"/>
    <d v="2025-11-17T00:00:00"/>
    <x v="18"/>
    <x v="18"/>
    <x v="1"/>
    <x v="2"/>
    <n v="6"/>
    <n v="80"/>
    <n v="116"/>
    <x v="1160"/>
    <n v="674.81"/>
    <x v="1688"/>
    <n v="2115.84"/>
    <n v="480"/>
    <n v="28.868866792134085"/>
    <x v="10"/>
    <x v="1"/>
  </r>
  <r>
    <s v="ORD10098"/>
    <d v="2025-11-17T00:00:00"/>
    <x v="15"/>
    <x v="15"/>
    <x v="0"/>
    <x v="1"/>
    <n v="2"/>
    <n v="550"/>
    <n v="742.5"/>
    <x v="1161"/>
    <n v="1077.72"/>
    <x v="1689"/>
    <n v="40733.550000000003"/>
    <n v="1100"/>
    <n v="-2.0673273206398695"/>
    <x v="10"/>
    <x v="2"/>
  </r>
  <r>
    <s v="ORD11037"/>
    <d v="2025-11-17T00:00:00"/>
    <x v="5"/>
    <x v="5"/>
    <x v="3"/>
    <x v="0"/>
    <n v="7"/>
    <n v="2500"/>
    <n v="2875"/>
    <x v="162"/>
    <n v="16338.39"/>
    <x v="1690"/>
    <n v="378752.5"/>
    <n v="17500"/>
    <n v="-7.1096968550756836"/>
    <x v="10"/>
    <x v="2"/>
  </r>
  <r>
    <s v="ORD11080"/>
    <d v="2025-11-17T00:00:00"/>
    <x v="14"/>
    <x v="14"/>
    <x v="3"/>
    <x v="1"/>
    <n v="9"/>
    <n v="1200"/>
    <n v="1464"/>
    <x v="1162"/>
    <n v="12378.54"/>
    <x v="1691"/>
    <n v="79714.8"/>
    <n v="10800"/>
    <n v="12.75223087698549"/>
    <x v="10"/>
    <x v="1"/>
  </r>
  <r>
    <s v="ORD11095"/>
    <d v="2025-11-17T00:00:00"/>
    <x v="13"/>
    <x v="13"/>
    <x v="6"/>
    <x v="1"/>
    <n v="10"/>
    <n v="900"/>
    <n v="1170"/>
    <x v="9"/>
    <n v="11700"/>
    <x v="538"/>
    <n v="0"/>
    <n v="9000"/>
    <n v="23.076923076923077"/>
    <x v="10"/>
    <x v="1"/>
  </r>
  <r>
    <s v="ORD11333"/>
    <d v="2025-11-17T00:00:00"/>
    <x v="4"/>
    <x v="4"/>
    <x v="3"/>
    <x v="0"/>
    <n v="7"/>
    <n v="180"/>
    <n v="243"/>
    <x v="167"/>
    <n v="1500.48"/>
    <x v="1692"/>
    <n v="20054.789999999997"/>
    <n v="1260"/>
    <n v="16.026871401151631"/>
    <x v="10"/>
    <x v="1"/>
  </r>
  <r>
    <s v="ORD11512"/>
    <d v="2025-11-17T00:00:00"/>
    <x v="2"/>
    <x v="2"/>
    <x v="0"/>
    <x v="3"/>
    <n v="9"/>
    <n v="6500"/>
    <n v="7150"/>
    <x v="254"/>
    <n v="54428.04"/>
    <x v="1693"/>
    <n v="992277"/>
    <n v="58500"/>
    <n v="-7.4813643849750981"/>
    <x v="10"/>
    <x v="2"/>
  </r>
  <r>
    <s v="ORD11591"/>
    <d v="2025-11-17T00:00:00"/>
    <x v="8"/>
    <x v="8"/>
    <x v="2"/>
    <x v="0"/>
    <n v="10"/>
    <n v="900"/>
    <n v="1170"/>
    <x v="1163"/>
    <n v="11244.03"/>
    <x v="1694"/>
    <n v="45630"/>
    <n v="9000"/>
    <n v="19.957524126136271"/>
    <x v="10"/>
    <x v="1"/>
  </r>
  <r>
    <s v="ORD11681"/>
    <d v="2025-11-17T00:00:00"/>
    <x v="12"/>
    <x v="12"/>
    <x v="2"/>
    <x v="1"/>
    <n v="7"/>
    <n v="6500"/>
    <n v="8125"/>
    <x v="1129"/>
    <n v="48288.82"/>
    <x v="1695"/>
    <n v="858812.5"/>
    <n v="45500"/>
    <n v="5.7752912578936488"/>
    <x v="10"/>
    <x v="0"/>
  </r>
  <r>
    <s v="ORD11877"/>
    <d v="2025-11-17T00:00:00"/>
    <x v="2"/>
    <x v="2"/>
    <x v="0"/>
    <x v="2"/>
    <n v="9"/>
    <n v="6500"/>
    <n v="7150"/>
    <x v="27"/>
    <n v="61776"/>
    <x v="1696"/>
    <n v="257400"/>
    <n v="58500"/>
    <n v="5.3030303030303028"/>
    <x v="10"/>
    <x v="0"/>
  </r>
  <r>
    <s v="ORD11318"/>
    <d v="2025-11-18T00:00:00"/>
    <x v="8"/>
    <x v="8"/>
    <x v="2"/>
    <x v="3"/>
    <n v="4"/>
    <n v="900"/>
    <n v="1170"/>
    <x v="176"/>
    <n v="3823.25"/>
    <x v="1697"/>
    <n v="85690.799999999988"/>
    <n v="3600"/>
    <n v="5.8392728699404959"/>
    <x v="10"/>
    <x v="0"/>
  </r>
  <r>
    <s v="ORD11703"/>
    <d v="2025-11-18T00:00:00"/>
    <x v="15"/>
    <x v="15"/>
    <x v="0"/>
    <x v="3"/>
    <n v="1"/>
    <n v="550"/>
    <n v="742.5"/>
    <x v="1164"/>
    <n v="731.48"/>
    <x v="1698"/>
    <n v="1098.9000000000001"/>
    <n v="550"/>
    <n v="24.809974298682121"/>
    <x v="10"/>
    <x v="1"/>
  </r>
  <r>
    <s v="ORD10054"/>
    <d v="2025-11-19T00:00:00"/>
    <x v="17"/>
    <x v="17"/>
    <x v="0"/>
    <x v="0"/>
    <n v="9"/>
    <n v="8500"/>
    <n v="9520"/>
    <x v="1165"/>
    <n v="73476.23"/>
    <x v="1699"/>
    <n v="1220083.2"/>
    <n v="76500"/>
    <n v="-4.115303683926081"/>
    <x v="10"/>
    <x v="2"/>
  </r>
  <r>
    <s v="ORD11238"/>
    <d v="2025-11-19T00:00:00"/>
    <x v="14"/>
    <x v="14"/>
    <x v="3"/>
    <x v="0"/>
    <n v="10"/>
    <n v="1200"/>
    <n v="1464"/>
    <x v="204"/>
    <n v="13470.4"/>
    <x v="1700"/>
    <n v="116973.6"/>
    <n v="12000"/>
    <n v="10.915785722769925"/>
    <x v="10"/>
    <x v="1"/>
  </r>
  <r>
    <s v="ORD11249"/>
    <d v="2025-11-19T00:00:00"/>
    <x v="7"/>
    <x v="7"/>
    <x v="5"/>
    <x v="0"/>
    <n v="6"/>
    <n v="300"/>
    <n v="405"/>
    <x v="1166"/>
    <n v="2311.13"/>
    <x v="1701"/>
    <n v="11882.699999999999"/>
    <n v="1800"/>
    <n v="22.11602116713469"/>
    <x v="10"/>
    <x v="1"/>
  </r>
  <r>
    <s v="ORD11726"/>
    <d v="2025-11-19T00:00:00"/>
    <x v="6"/>
    <x v="6"/>
    <x v="4"/>
    <x v="2"/>
    <n v="6"/>
    <n v="1800"/>
    <n v="2124"/>
    <x v="1065"/>
    <n v="10745.56"/>
    <x v="1702"/>
    <n v="199825.91999999998"/>
    <n v="10800"/>
    <n v="-0.50662785373679919"/>
    <x v="10"/>
    <x v="2"/>
  </r>
  <r>
    <s v="ORD11803"/>
    <d v="2025-11-19T00:00:00"/>
    <x v="19"/>
    <x v="19"/>
    <x v="0"/>
    <x v="0"/>
    <n v="2"/>
    <n v="350"/>
    <n v="455"/>
    <x v="1167"/>
    <n v="875.04"/>
    <x v="1703"/>
    <n v="3494.4"/>
    <n v="700"/>
    <n v="20.00365697568111"/>
    <x v="10"/>
    <x v="1"/>
  </r>
  <r>
    <s v="ORD10277"/>
    <d v="2025-11-20T00:00:00"/>
    <x v="15"/>
    <x v="15"/>
    <x v="0"/>
    <x v="2"/>
    <n v="10"/>
    <n v="550"/>
    <n v="742.5"/>
    <x v="1133"/>
    <n v="7175.13"/>
    <x v="1704"/>
    <n v="25022.25"/>
    <n v="5500"/>
    <n v="23.34633658205496"/>
    <x v="10"/>
    <x v="1"/>
  </r>
  <r>
    <s v="ORD10875"/>
    <d v="2025-11-20T00:00:00"/>
    <x v="16"/>
    <x v="16"/>
    <x v="0"/>
    <x v="2"/>
    <n v="4"/>
    <n v="1100"/>
    <n v="1298"/>
    <x v="1168"/>
    <n v="4728.3599999999997"/>
    <x v="1705"/>
    <n v="46364.56"/>
    <n v="4400"/>
    <n v="6.944479692747592"/>
    <x v="10"/>
    <x v="0"/>
  </r>
  <r>
    <s v="ORD10998"/>
    <d v="2025-11-20T00:00:00"/>
    <x v="13"/>
    <x v="13"/>
    <x v="6"/>
    <x v="3"/>
    <n v="8"/>
    <n v="900"/>
    <n v="1170"/>
    <x v="352"/>
    <n v="8210.84"/>
    <x v="1706"/>
    <n v="114940.79999999999"/>
    <n v="7200"/>
    <n v="12.311042475556704"/>
    <x v="10"/>
    <x v="1"/>
  </r>
  <r>
    <s v="ORD11154"/>
    <d v="2025-11-20T00:00:00"/>
    <x v="13"/>
    <x v="13"/>
    <x v="6"/>
    <x v="1"/>
    <n v="5"/>
    <n v="900"/>
    <n v="1170"/>
    <x v="33"/>
    <n v="5460.96"/>
    <x v="1707"/>
    <n v="38902.5"/>
    <n v="4500"/>
    <n v="17.596906038498723"/>
    <x v="10"/>
    <x v="1"/>
  </r>
  <r>
    <s v="ORD11744"/>
    <d v="2025-11-20T00:00:00"/>
    <x v="13"/>
    <x v="13"/>
    <x v="6"/>
    <x v="2"/>
    <n v="7"/>
    <n v="900"/>
    <n v="1170"/>
    <x v="1146"/>
    <n v="7827.03"/>
    <x v="1708"/>
    <n v="36281.699999999997"/>
    <n v="6300"/>
    <n v="19.50969908126071"/>
    <x v="10"/>
    <x v="1"/>
  </r>
  <r>
    <s v="ORD11792"/>
    <d v="2025-11-20T00:00:00"/>
    <x v="17"/>
    <x v="17"/>
    <x v="0"/>
    <x v="3"/>
    <n v="3"/>
    <n v="8500"/>
    <n v="9520"/>
    <x v="27"/>
    <n v="27417.599999999999"/>
    <x v="36"/>
    <n v="114240"/>
    <n v="25500"/>
    <n v="6.9940476190476195"/>
    <x v="10"/>
    <x v="0"/>
  </r>
  <r>
    <s v="ORD11869"/>
    <d v="2025-11-20T00:00:00"/>
    <x v="3"/>
    <x v="3"/>
    <x v="2"/>
    <x v="1"/>
    <n v="5"/>
    <n v="4500"/>
    <n v="5220"/>
    <x v="1169"/>
    <n v="20150.25"/>
    <x v="1709"/>
    <n v="595080"/>
    <n v="22500"/>
    <n v="-11.661145643354301"/>
    <x v="10"/>
    <x v="2"/>
  </r>
  <r>
    <s v="ORD10485"/>
    <d v="2025-11-21T00:00:00"/>
    <x v="16"/>
    <x v="16"/>
    <x v="0"/>
    <x v="1"/>
    <n v="2"/>
    <n v="1100"/>
    <n v="1298"/>
    <x v="1170"/>
    <n v="2339.66"/>
    <x v="1710"/>
    <n v="25622.519999999997"/>
    <n v="2200"/>
    <n v="5.9692433943393484"/>
    <x v="10"/>
    <x v="0"/>
  </r>
  <r>
    <s v="ORD10714"/>
    <d v="2025-11-21T00:00:00"/>
    <x v="18"/>
    <x v="18"/>
    <x v="1"/>
    <x v="1"/>
    <n v="8"/>
    <n v="80"/>
    <n v="116"/>
    <x v="1097"/>
    <n v="818.01"/>
    <x v="1711"/>
    <n v="10996.8"/>
    <n v="640"/>
    <n v="21.761347660786541"/>
    <x v="10"/>
    <x v="1"/>
  </r>
  <r>
    <s v="ORD10753"/>
    <d v="2025-11-21T00:00:00"/>
    <x v="16"/>
    <x v="16"/>
    <x v="0"/>
    <x v="0"/>
    <n v="9"/>
    <n v="1100"/>
    <n v="1298"/>
    <x v="1171"/>
    <n v="9185.1"/>
    <x v="1712"/>
    <n v="249644.34000000003"/>
    <n v="9900"/>
    <n v="-7.7832576673090115"/>
    <x v="10"/>
    <x v="2"/>
  </r>
  <r>
    <s v="ORD10869"/>
    <d v="2025-11-21T00:00:00"/>
    <x v="8"/>
    <x v="8"/>
    <x v="2"/>
    <x v="0"/>
    <n v="3"/>
    <n v="900"/>
    <n v="1170"/>
    <x v="1172"/>
    <n v="3254.75"/>
    <x v="1713"/>
    <n v="25517.699999999997"/>
    <n v="2700"/>
    <n v="17.044319840233506"/>
    <x v="10"/>
    <x v="1"/>
  </r>
  <r>
    <s v="ORD11091"/>
    <d v="2025-11-21T00:00:00"/>
    <x v="15"/>
    <x v="15"/>
    <x v="0"/>
    <x v="3"/>
    <n v="9"/>
    <n v="550"/>
    <n v="742.5"/>
    <x v="1173"/>
    <n v="6172.64"/>
    <x v="1714"/>
    <n v="50987.474999999999"/>
    <n v="4950"/>
    <n v="19.807408175432233"/>
    <x v="10"/>
    <x v="1"/>
  </r>
  <r>
    <s v="ORD11099"/>
    <d v="2025-11-21T00:00:00"/>
    <x v="7"/>
    <x v="7"/>
    <x v="5"/>
    <x v="0"/>
    <n v="3"/>
    <n v="300"/>
    <n v="405"/>
    <x v="1018"/>
    <n v="1132.8499999999999"/>
    <x v="1715"/>
    <n v="8213.4"/>
    <n v="900"/>
    <n v="20.554354062762062"/>
    <x v="10"/>
    <x v="1"/>
  </r>
  <r>
    <s v="ORD11239"/>
    <d v="2025-11-21T00:00:00"/>
    <x v="14"/>
    <x v="14"/>
    <x v="3"/>
    <x v="3"/>
    <n v="8"/>
    <n v="1200"/>
    <n v="1464"/>
    <x v="1174"/>
    <n v="10400.75"/>
    <x v="1716"/>
    <n v="131174.39999999999"/>
    <n v="9600"/>
    <n v="7.6989640170180031"/>
    <x v="10"/>
    <x v="0"/>
  </r>
  <r>
    <s v="ORD11389"/>
    <d v="2025-11-21T00:00:00"/>
    <x v="10"/>
    <x v="10"/>
    <x v="4"/>
    <x v="1"/>
    <n v="9"/>
    <n v="3200"/>
    <n v="3840"/>
    <x v="1174"/>
    <n v="30690.44"/>
    <x v="1717"/>
    <n v="387072"/>
    <n v="28800"/>
    <n v="6.1597031518609704"/>
    <x v="10"/>
    <x v="0"/>
  </r>
  <r>
    <s v="ORD10520"/>
    <d v="2025-11-22T00:00:00"/>
    <x v="8"/>
    <x v="8"/>
    <x v="2"/>
    <x v="3"/>
    <n v="2"/>
    <n v="900"/>
    <n v="1170"/>
    <x v="683"/>
    <n v="1965.49"/>
    <x v="1718"/>
    <n v="37440"/>
    <n v="1800"/>
    <n v="8.4197833619097544"/>
    <x v="10"/>
    <x v="0"/>
  </r>
  <r>
    <s v="ORD11469"/>
    <d v="2025-11-22T00:00:00"/>
    <x v="0"/>
    <x v="0"/>
    <x v="0"/>
    <x v="3"/>
    <n v="10"/>
    <n v="500"/>
    <n v="610"/>
    <x v="976"/>
    <n v="5036.37"/>
    <x v="1719"/>
    <n v="106384.00000000001"/>
    <n v="5000"/>
    <n v="0.72214710198019605"/>
    <x v="10"/>
    <x v="0"/>
  </r>
  <r>
    <s v="ORD11820"/>
    <d v="2025-11-22T00:00:00"/>
    <x v="15"/>
    <x v="15"/>
    <x v="0"/>
    <x v="0"/>
    <n v="8"/>
    <n v="550"/>
    <n v="742.5"/>
    <x v="1013"/>
    <n v="5494.93"/>
    <x v="1720"/>
    <n v="44490.6"/>
    <n v="4400"/>
    <n v="19.926186502830792"/>
    <x v="10"/>
    <x v="1"/>
  </r>
  <r>
    <s v="ORD10587"/>
    <d v="2025-11-23T00:00:00"/>
    <x v="18"/>
    <x v="18"/>
    <x v="1"/>
    <x v="3"/>
    <n v="5"/>
    <n v="80"/>
    <n v="116"/>
    <x v="1016"/>
    <n v="544.07000000000005"/>
    <x v="1721"/>
    <n v="3590.2000000000003"/>
    <n v="400"/>
    <n v="26.480048523167969"/>
    <x v="10"/>
    <x v="1"/>
  </r>
  <r>
    <s v="ORD10823"/>
    <d v="2025-11-23T00:00:00"/>
    <x v="4"/>
    <x v="4"/>
    <x v="3"/>
    <x v="0"/>
    <n v="8"/>
    <n v="180"/>
    <n v="243"/>
    <x v="1175"/>
    <n v="1821.69"/>
    <x v="1722"/>
    <n v="12227.76"/>
    <n v="1440"/>
    <n v="20.952522108591474"/>
    <x v="10"/>
    <x v="1"/>
  </r>
  <r>
    <s v="ORD11270"/>
    <d v="2025-11-23T00:00:00"/>
    <x v="1"/>
    <x v="1"/>
    <x v="1"/>
    <x v="2"/>
    <n v="9"/>
    <n v="45"/>
    <n v="63"/>
    <x v="1128"/>
    <n v="515.25"/>
    <x v="1723"/>
    <n v="5176.71"/>
    <n v="405"/>
    <n v="21.397379912663755"/>
    <x v="10"/>
    <x v="1"/>
  </r>
  <r>
    <s v="ORD11724"/>
    <d v="2025-11-23T00:00:00"/>
    <x v="2"/>
    <x v="2"/>
    <x v="0"/>
    <x v="1"/>
    <n v="9"/>
    <n v="6500"/>
    <n v="7150"/>
    <x v="1176"/>
    <n v="58070.13"/>
    <x v="1724"/>
    <n v="628056"/>
    <n v="58500"/>
    <n v="-0.74026009585306596"/>
    <x v="10"/>
    <x v="2"/>
  </r>
  <r>
    <s v="ORD11775"/>
    <d v="2025-11-23T00:00:00"/>
    <x v="3"/>
    <x v="3"/>
    <x v="2"/>
    <x v="2"/>
    <n v="5"/>
    <n v="4500"/>
    <n v="5220"/>
    <x v="720"/>
    <n v="22198.98"/>
    <x v="1725"/>
    <n v="390195"/>
    <n v="22500"/>
    <n v="-1.3560082490276579"/>
    <x v="10"/>
    <x v="2"/>
  </r>
  <r>
    <s v="ORD10803"/>
    <d v="2025-11-24T00:00:00"/>
    <x v="0"/>
    <x v="0"/>
    <x v="0"/>
    <x v="1"/>
    <n v="4"/>
    <n v="500"/>
    <n v="610"/>
    <x v="187"/>
    <n v="2082.4299999999998"/>
    <x v="1726"/>
    <n v="35746"/>
    <n v="2000"/>
    <n v="3.9583563433104603"/>
    <x v="10"/>
    <x v="0"/>
  </r>
  <r>
    <s v="ORD11228"/>
    <d v="2025-11-24T00:00:00"/>
    <x v="12"/>
    <x v="12"/>
    <x v="2"/>
    <x v="0"/>
    <n v="1"/>
    <n v="6500"/>
    <n v="8125"/>
    <x v="1118"/>
    <n v="7673.65"/>
    <x v="1727"/>
    <n v="45175"/>
    <n v="6500"/>
    <n v="15.294546923563104"/>
    <x v="10"/>
    <x v="1"/>
  </r>
  <r>
    <s v="ORD11234"/>
    <d v="2025-11-24T00:00:00"/>
    <x v="18"/>
    <x v="18"/>
    <x v="1"/>
    <x v="2"/>
    <n v="10"/>
    <n v="80"/>
    <n v="116"/>
    <x v="231"/>
    <n v="1036.8699999999999"/>
    <x v="1728"/>
    <n v="12307.599999999999"/>
    <n v="800"/>
    <n v="22.84471534522168"/>
    <x v="10"/>
    <x v="1"/>
  </r>
  <r>
    <s v="ORD11950"/>
    <d v="2025-11-24T00:00:00"/>
    <x v="11"/>
    <x v="11"/>
    <x v="0"/>
    <x v="1"/>
    <n v="8"/>
    <n v="900"/>
    <n v="1152"/>
    <x v="1177"/>
    <n v="7494.12"/>
    <x v="1729"/>
    <n v="172154.88"/>
    <n v="7200"/>
    <n v="3.9246769467262332"/>
    <x v="10"/>
    <x v="0"/>
  </r>
  <r>
    <s v="ORD11958"/>
    <d v="2025-11-24T00:00:00"/>
    <x v="13"/>
    <x v="13"/>
    <x v="6"/>
    <x v="0"/>
    <n v="1"/>
    <n v="900"/>
    <n v="1170"/>
    <x v="1103"/>
    <n v="960.93"/>
    <x v="1730"/>
    <n v="20907.900000000001"/>
    <n v="900"/>
    <n v="6.3407324154725107"/>
    <x v="10"/>
    <x v="0"/>
  </r>
  <r>
    <s v="ORD10140"/>
    <d v="2025-11-25T00:00:00"/>
    <x v="2"/>
    <x v="2"/>
    <x v="0"/>
    <x v="1"/>
    <n v="5"/>
    <n v="6500"/>
    <n v="7150"/>
    <x v="1178"/>
    <n v="29954.58"/>
    <x v="1731"/>
    <n v="579507.5"/>
    <n v="32500"/>
    <n v="-8.4975986977617453"/>
    <x v="10"/>
    <x v="2"/>
  </r>
  <r>
    <s v="ORD10274"/>
    <d v="2025-11-25T00:00:00"/>
    <x v="5"/>
    <x v="5"/>
    <x v="3"/>
    <x v="0"/>
    <n v="5"/>
    <n v="2500"/>
    <n v="2875"/>
    <x v="474"/>
    <n v="12695.36"/>
    <x v="1732"/>
    <n v="167900"/>
    <n v="12500"/>
    <n v="1.5388299347163059"/>
    <x v="10"/>
    <x v="0"/>
  </r>
  <r>
    <s v="ORD10548"/>
    <d v="2025-11-25T00:00:00"/>
    <x v="4"/>
    <x v="4"/>
    <x v="3"/>
    <x v="3"/>
    <n v="7"/>
    <n v="180"/>
    <n v="243"/>
    <x v="1179"/>
    <n v="1562.54"/>
    <x v="1733"/>
    <n v="13846.140000000001"/>
    <n v="1260"/>
    <n v="19.362064331153125"/>
    <x v="10"/>
    <x v="1"/>
  </r>
  <r>
    <s v="ORD11227"/>
    <d v="2025-11-25T00:00:00"/>
    <x v="9"/>
    <x v="9"/>
    <x v="2"/>
    <x v="1"/>
    <n v="1"/>
    <n v="3000"/>
    <n v="3600"/>
    <x v="280"/>
    <n v="3342.05"/>
    <x v="1734"/>
    <n v="25812"/>
    <n v="3000"/>
    <n v="10.234736164928711"/>
    <x v="10"/>
    <x v="1"/>
  </r>
  <r>
    <s v="ORD11453"/>
    <d v="2025-11-25T00:00:00"/>
    <x v="7"/>
    <x v="7"/>
    <x v="5"/>
    <x v="0"/>
    <n v="2"/>
    <n v="300"/>
    <n v="405"/>
    <x v="418"/>
    <n v="741.53"/>
    <x v="1735"/>
    <n v="6844.4999999999991"/>
    <n v="600"/>
    <n v="19.086213639367255"/>
    <x v="10"/>
    <x v="1"/>
  </r>
  <r>
    <s v="ORD10605"/>
    <d v="2025-11-26T00:00:00"/>
    <x v="15"/>
    <x v="15"/>
    <x v="0"/>
    <x v="2"/>
    <n v="4"/>
    <n v="550"/>
    <n v="742.5"/>
    <x v="301"/>
    <n v="2822.74"/>
    <x v="1736"/>
    <n v="14731.2"/>
    <n v="2200"/>
    <n v="22.06154303974153"/>
    <x v="10"/>
    <x v="1"/>
  </r>
  <r>
    <s v="ORD10613"/>
    <d v="2025-11-26T00:00:00"/>
    <x v="15"/>
    <x v="15"/>
    <x v="0"/>
    <x v="3"/>
    <n v="7"/>
    <n v="550"/>
    <n v="742.5"/>
    <x v="9"/>
    <n v="5197.5"/>
    <x v="1267"/>
    <n v="0"/>
    <n v="3850"/>
    <n v="25.925925925925924"/>
    <x v="10"/>
    <x v="1"/>
  </r>
  <r>
    <s v="ORD10053"/>
    <d v="2025-11-27T00:00:00"/>
    <x v="19"/>
    <x v="19"/>
    <x v="0"/>
    <x v="0"/>
    <n v="10"/>
    <n v="350"/>
    <n v="455"/>
    <x v="1180"/>
    <n v="4125.2299999999996"/>
    <x v="1737"/>
    <n v="42497"/>
    <n v="3500"/>
    <n v="15.156245833565645"/>
    <x v="10"/>
    <x v="1"/>
  </r>
  <r>
    <s v="ORD11016"/>
    <d v="2025-11-27T00:00:00"/>
    <x v="12"/>
    <x v="12"/>
    <x v="2"/>
    <x v="2"/>
    <n v="8"/>
    <n v="6500"/>
    <n v="8125"/>
    <x v="1181"/>
    <n v="54275.83"/>
    <x v="1738"/>
    <n v="1072500"/>
    <n v="52000"/>
    <n v="4.1930818929899365"/>
    <x v="10"/>
    <x v="0"/>
  </r>
  <r>
    <s v="ORD11547"/>
    <d v="2025-11-27T00:00:00"/>
    <x v="5"/>
    <x v="5"/>
    <x v="3"/>
    <x v="1"/>
    <n v="10"/>
    <n v="2500"/>
    <n v="2875"/>
    <x v="1182"/>
    <n v="22654.67"/>
    <x v="1739"/>
    <n v="609500"/>
    <n v="25000"/>
    <n v="-10.352523342869263"/>
    <x v="10"/>
    <x v="2"/>
  </r>
  <r>
    <s v="ORD11571"/>
    <d v="2025-11-27T00:00:00"/>
    <x v="12"/>
    <x v="12"/>
    <x v="2"/>
    <x v="3"/>
    <n v="4"/>
    <n v="6500"/>
    <n v="8125"/>
    <x v="1183"/>
    <n v="25946.98"/>
    <x v="1740"/>
    <n v="655200"/>
    <n v="26000"/>
    <n v="-0.20433977287530186"/>
    <x v="10"/>
    <x v="2"/>
  </r>
  <r>
    <s v="ORD11637"/>
    <d v="2025-11-27T00:00:00"/>
    <x v="7"/>
    <x v="7"/>
    <x v="5"/>
    <x v="3"/>
    <n v="8"/>
    <n v="300"/>
    <n v="405"/>
    <x v="1184"/>
    <n v="2333.2399999999998"/>
    <x v="1741"/>
    <n v="90687.599999999991"/>
    <n v="2400"/>
    <n v="-2.8612573074351553"/>
    <x v="10"/>
    <x v="2"/>
  </r>
  <r>
    <s v="ORD11964"/>
    <d v="2025-11-27T00:00:00"/>
    <x v="1"/>
    <x v="1"/>
    <x v="1"/>
    <x v="1"/>
    <n v="5"/>
    <n v="45"/>
    <n v="63"/>
    <x v="1104"/>
    <n v="262.91000000000003"/>
    <x v="1742"/>
    <n v="5210.0999999999995"/>
    <n v="225"/>
    <n v="14.419383058841426"/>
    <x v="10"/>
    <x v="1"/>
  </r>
  <r>
    <s v="ORD10882"/>
    <d v="2025-11-28T00:00:00"/>
    <x v="14"/>
    <x v="14"/>
    <x v="3"/>
    <x v="1"/>
    <n v="10"/>
    <n v="1200"/>
    <n v="1464"/>
    <x v="1185"/>
    <n v="13360.64"/>
    <x v="1743"/>
    <n v="127953.60000000001"/>
    <n v="12000"/>
    <n v="10.183943284154054"/>
    <x v="10"/>
    <x v="1"/>
  </r>
  <r>
    <s v="ORD10977"/>
    <d v="2025-11-28T00:00:00"/>
    <x v="6"/>
    <x v="6"/>
    <x v="4"/>
    <x v="3"/>
    <n v="5"/>
    <n v="1800"/>
    <n v="2124"/>
    <x v="329"/>
    <n v="9117.07"/>
    <x v="1744"/>
    <n v="150273"/>
    <n v="9000"/>
    <n v="1.2840748178965391"/>
    <x v="10"/>
    <x v="0"/>
  </r>
  <r>
    <s v="ORD11007"/>
    <d v="2025-11-28T00:00:00"/>
    <x v="5"/>
    <x v="5"/>
    <x v="3"/>
    <x v="2"/>
    <n v="10"/>
    <n v="2500"/>
    <n v="2875"/>
    <x v="14"/>
    <n v="24879.37"/>
    <x v="1745"/>
    <n v="386975"/>
    <n v="25000"/>
    <n v="-0.48485954427302619"/>
    <x v="10"/>
    <x v="2"/>
  </r>
  <r>
    <s v="ORD11654"/>
    <d v="2025-11-28T00:00:00"/>
    <x v="5"/>
    <x v="5"/>
    <x v="3"/>
    <x v="3"/>
    <n v="3"/>
    <n v="2500"/>
    <n v="2875"/>
    <x v="9"/>
    <n v="8625"/>
    <x v="249"/>
    <n v="0"/>
    <n v="7500"/>
    <n v="13.043478260869565"/>
    <x v="10"/>
    <x v="1"/>
  </r>
  <r>
    <s v="ORD11833"/>
    <d v="2025-11-28T00:00:00"/>
    <x v="8"/>
    <x v="8"/>
    <x v="2"/>
    <x v="2"/>
    <n v="5"/>
    <n v="900"/>
    <n v="1170"/>
    <x v="916"/>
    <n v="5695.69"/>
    <x v="1746"/>
    <n v="15444"/>
    <n v="4500"/>
    <n v="20.992891115913963"/>
    <x v="10"/>
    <x v="1"/>
  </r>
  <r>
    <s v="ORD10007"/>
    <d v="2025-11-29T00:00:00"/>
    <x v="5"/>
    <x v="5"/>
    <x v="3"/>
    <x v="3"/>
    <n v="9"/>
    <n v="2500"/>
    <n v="2875"/>
    <x v="1186"/>
    <n v="21337.89"/>
    <x v="1747"/>
    <n v="453588.75000000006"/>
    <n v="22500"/>
    <n v="-5.4462273448780545"/>
    <x v="10"/>
    <x v="2"/>
  </r>
  <r>
    <s v="ORD10242"/>
    <d v="2025-11-29T00:00:00"/>
    <x v="17"/>
    <x v="17"/>
    <x v="0"/>
    <x v="0"/>
    <n v="10"/>
    <n v="8500"/>
    <n v="9520"/>
    <x v="516"/>
    <n v="86093.47"/>
    <x v="1748"/>
    <n v="911064"/>
    <n v="85000"/>
    <n v="1.2700963267016652"/>
    <x v="10"/>
    <x v="0"/>
  </r>
  <r>
    <s v="ORD10789"/>
    <d v="2025-11-29T00:00:00"/>
    <x v="17"/>
    <x v="17"/>
    <x v="0"/>
    <x v="0"/>
    <n v="8"/>
    <n v="8500"/>
    <n v="9520"/>
    <x v="1187"/>
    <n v="64394.78"/>
    <x v="1749"/>
    <n v="1176672"/>
    <n v="68000"/>
    <n v="-5.5986215031715307"/>
    <x v="10"/>
    <x v="2"/>
  </r>
  <r>
    <s v="ORD10969"/>
    <d v="2025-11-29T00:00:00"/>
    <x v="0"/>
    <x v="0"/>
    <x v="0"/>
    <x v="0"/>
    <n v="5"/>
    <n v="500"/>
    <n v="610"/>
    <x v="331"/>
    <n v="2807.94"/>
    <x v="1750"/>
    <n v="24217"/>
    <n v="2500"/>
    <n v="10.966758548971844"/>
    <x v="10"/>
    <x v="1"/>
  </r>
  <r>
    <s v="ORD11638"/>
    <d v="2025-11-29T00:00:00"/>
    <x v="2"/>
    <x v="2"/>
    <x v="0"/>
    <x v="0"/>
    <n v="1"/>
    <n v="6500"/>
    <n v="7150"/>
    <x v="32"/>
    <n v="5879.29"/>
    <x v="1751"/>
    <n v="127055.5"/>
    <n v="6500"/>
    <n v="-10.557567325306287"/>
    <x v="10"/>
    <x v="2"/>
  </r>
  <r>
    <s v="ORD10117"/>
    <d v="2025-11-30T00:00:00"/>
    <x v="3"/>
    <x v="3"/>
    <x v="2"/>
    <x v="0"/>
    <n v="10"/>
    <n v="4500"/>
    <n v="5220"/>
    <x v="1188"/>
    <n v="43613.06"/>
    <x v="1752"/>
    <n v="858690"/>
    <n v="45000"/>
    <n v="-3.1801024738919952"/>
    <x v="10"/>
    <x v="2"/>
  </r>
  <r>
    <s v="ORD10305"/>
    <d v="2025-11-30T00:00:00"/>
    <x v="14"/>
    <x v="14"/>
    <x v="3"/>
    <x v="3"/>
    <n v="3"/>
    <n v="1200"/>
    <n v="1464"/>
    <x v="372"/>
    <n v="3909.28"/>
    <x v="1753"/>
    <n v="48268.08"/>
    <n v="3600"/>
    <n v="7.9114312609994668"/>
    <x v="10"/>
    <x v="0"/>
  </r>
  <r>
    <s v="ORD10808"/>
    <d v="2025-11-30T00:00:00"/>
    <x v="5"/>
    <x v="5"/>
    <x v="3"/>
    <x v="2"/>
    <n v="10"/>
    <n v="2500"/>
    <n v="2875"/>
    <x v="656"/>
    <n v="24001.439999999999"/>
    <x v="1754"/>
    <n v="474950"/>
    <n v="25000"/>
    <n v="-4.1604170416441679"/>
    <x v="10"/>
    <x v="2"/>
  </r>
  <r>
    <s v="ORD10844"/>
    <d v="2025-11-30T00:00:00"/>
    <x v="8"/>
    <x v="8"/>
    <x v="2"/>
    <x v="0"/>
    <n v="8"/>
    <n v="900"/>
    <n v="1170"/>
    <x v="224"/>
    <n v="9136.65"/>
    <x v="1755"/>
    <n v="22370.400000000001"/>
    <n v="7200"/>
    <n v="21.196499811199949"/>
    <x v="10"/>
    <x v="1"/>
  </r>
  <r>
    <s v="ORD11970"/>
    <d v="2025-11-30T00:00:00"/>
    <x v="16"/>
    <x v="16"/>
    <x v="0"/>
    <x v="1"/>
    <n v="1"/>
    <n v="1100"/>
    <n v="1298"/>
    <x v="63"/>
    <n v="1139.5899999999999"/>
    <x v="1756"/>
    <n v="15835.599999999999"/>
    <n v="1100"/>
    <n v="3.4740564589018863"/>
    <x v="10"/>
    <x v="0"/>
  </r>
  <r>
    <s v="ORD11063"/>
    <d v="2025-12-01T00:00:00"/>
    <x v="16"/>
    <x v="16"/>
    <x v="0"/>
    <x v="2"/>
    <n v="5"/>
    <n v="1100"/>
    <n v="1298"/>
    <x v="1189"/>
    <n v="6054.15"/>
    <x v="1757"/>
    <n v="43612.799999999996"/>
    <n v="5500"/>
    <n v="9.1532254734355778"/>
    <x v="11"/>
    <x v="0"/>
  </r>
  <r>
    <s v="ORD11357"/>
    <d v="2025-12-01T00:00:00"/>
    <x v="11"/>
    <x v="11"/>
    <x v="0"/>
    <x v="3"/>
    <n v="7"/>
    <n v="900"/>
    <n v="1152"/>
    <x v="215"/>
    <n v="7701.71"/>
    <x v="1758"/>
    <n v="36207.360000000001"/>
    <n v="6300"/>
    <n v="18.19998415936201"/>
    <x v="11"/>
    <x v="1"/>
  </r>
  <r>
    <s v="ORD10078"/>
    <d v="2025-12-02T00:00:00"/>
    <x v="18"/>
    <x v="18"/>
    <x v="1"/>
    <x v="2"/>
    <n v="6"/>
    <n v="80"/>
    <n v="116"/>
    <x v="616"/>
    <n v="587.69000000000005"/>
    <x v="1759"/>
    <n v="10829.76"/>
    <n v="480"/>
    <n v="18.324286613690891"/>
    <x v="11"/>
    <x v="1"/>
  </r>
  <r>
    <s v="ORD10100"/>
    <d v="2025-12-02T00:00:00"/>
    <x v="16"/>
    <x v="16"/>
    <x v="0"/>
    <x v="0"/>
    <n v="8"/>
    <n v="1100"/>
    <n v="1298"/>
    <x v="1190"/>
    <n v="8197.17"/>
    <x v="1760"/>
    <n v="218687.03999999998"/>
    <n v="8800"/>
    <n v="-7.3541234352831522"/>
    <x v="11"/>
    <x v="2"/>
  </r>
  <r>
    <s v="ORD10432"/>
    <d v="2025-12-02T00:00:00"/>
    <x v="19"/>
    <x v="19"/>
    <x v="0"/>
    <x v="3"/>
    <n v="8"/>
    <n v="350"/>
    <n v="455"/>
    <x v="484"/>
    <n v="2851.68"/>
    <x v="1761"/>
    <n v="78842.399999999994"/>
    <n v="2800"/>
    <n v="1.8122650507770857"/>
    <x v="11"/>
    <x v="0"/>
  </r>
  <r>
    <s v="ORD10541"/>
    <d v="2025-12-02T00:00:00"/>
    <x v="2"/>
    <x v="2"/>
    <x v="0"/>
    <x v="3"/>
    <n v="4"/>
    <n v="6500"/>
    <n v="7150"/>
    <x v="418"/>
    <n v="26183.48"/>
    <x v="1762"/>
    <n v="241669.99999999997"/>
    <n v="26000"/>
    <n v="0.70074718868538477"/>
    <x v="11"/>
    <x v="0"/>
  </r>
  <r>
    <s v="ORD10678"/>
    <d v="2025-12-02T00:00:00"/>
    <x v="16"/>
    <x v="16"/>
    <x v="0"/>
    <x v="1"/>
    <n v="6"/>
    <n v="1100"/>
    <n v="1298"/>
    <x v="1191"/>
    <n v="7501.51"/>
    <x v="1763"/>
    <n v="28659.84"/>
    <n v="6600"/>
    <n v="12.017713766961585"/>
    <x v="11"/>
    <x v="1"/>
  </r>
  <r>
    <s v="ORD11673"/>
    <d v="2025-12-02T00:00:00"/>
    <x v="17"/>
    <x v="17"/>
    <x v="0"/>
    <x v="1"/>
    <n v="2"/>
    <n v="8500"/>
    <n v="9520"/>
    <x v="1192"/>
    <n v="16141.62"/>
    <x v="1764"/>
    <n v="289788.79999999999"/>
    <n v="17000"/>
    <n v="-5.3178057716635623"/>
    <x v="11"/>
    <x v="2"/>
  </r>
  <r>
    <s v="ORD11935"/>
    <d v="2025-12-02T00:00:00"/>
    <x v="7"/>
    <x v="7"/>
    <x v="5"/>
    <x v="3"/>
    <n v="6"/>
    <n v="300"/>
    <n v="405"/>
    <x v="625"/>
    <n v="2072.8000000000002"/>
    <x v="1765"/>
    <n v="35721"/>
    <n v="1800"/>
    <n v="13.160941721343111"/>
    <x v="11"/>
    <x v="1"/>
  </r>
  <r>
    <s v="ORD10269"/>
    <d v="2025-12-03T00:00:00"/>
    <x v="5"/>
    <x v="5"/>
    <x v="3"/>
    <x v="2"/>
    <n v="3"/>
    <n v="2500"/>
    <n v="2875"/>
    <x v="1193"/>
    <n v="6756.01"/>
    <x v="1766"/>
    <n v="186903.75000000003"/>
    <n v="7500"/>
    <n v="-11.012269075978278"/>
    <x v="11"/>
    <x v="2"/>
  </r>
  <r>
    <s v="ORD10496"/>
    <d v="2025-12-03T00:00:00"/>
    <x v="16"/>
    <x v="16"/>
    <x v="0"/>
    <x v="3"/>
    <n v="2"/>
    <n v="1100"/>
    <n v="1298"/>
    <x v="1032"/>
    <n v="2267.81"/>
    <x v="1767"/>
    <n v="32813.440000000002"/>
    <n v="2200"/>
    <n v="2.9901094006993532"/>
    <x v="11"/>
    <x v="0"/>
  </r>
  <r>
    <s v="ORD11230"/>
    <d v="2025-12-03T00:00:00"/>
    <x v="12"/>
    <x v="12"/>
    <x v="2"/>
    <x v="2"/>
    <n v="5"/>
    <n v="6500"/>
    <n v="8125"/>
    <x v="1194"/>
    <n v="37515.11"/>
    <x v="1768"/>
    <n v="311187.5"/>
    <n v="32500"/>
    <n v="13.368240157099365"/>
    <x v="11"/>
    <x v="1"/>
  </r>
  <r>
    <s v="ORD11231"/>
    <d v="2025-12-03T00:00:00"/>
    <x v="6"/>
    <x v="6"/>
    <x v="4"/>
    <x v="3"/>
    <n v="10"/>
    <n v="1800"/>
    <n v="2124"/>
    <x v="401"/>
    <n v="18374.04"/>
    <x v="1769"/>
    <n v="286527.59999999998"/>
    <n v="18000"/>
    <n v="2.0356981915789882"/>
    <x v="11"/>
    <x v="0"/>
  </r>
  <r>
    <s v="ORD11344"/>
    <d v="2025-12-03T00:00:00"/>
    <x v="11"/>
    <x v="11"/>
    <x v="0"/>
    <x v="1"/>
    <n v="3"/>
    <n v="900"/>
    <n v="1152"/>
    <x v="962"/>
    <n v="3061.19"/>
    <x v="1770"/>
    <n v="39467.519999999997"/>
    <n v="2700"/>
    <n v="11.799006268803963"/>
    <x v="11"/>
    <x v="1"/>
  </r>
  <r>
    <s v="ORD11496"/>
    <d v="2025-12-03T00:00:00"/>
    <x v="3"/>
    <x v="3"/>
    <x v="2"/>
    <x v="0"/>
    <n v="1"/>
    <n v="4500"/>
    <n v="5220"/>
    <x v="1032"/>
    <n v="4560.0600000000004"/>
    <x v="1771"/>
    <n v="65980.800000000003"/>
    <n v="4500"/>
    <n v="1.3170879330535123"/>
    <x v="11"/>
    <x v="0"/>
  </r>
  <r>
    <s v="ORD11904"/>
    <d v="2025-12-03T00:00:00"/>
    <x v="15"/>
    <x v="15"/>
    <x v="0"/>
    <x v="2"/>
    <n v="7"/>
    <n v="550"/>
    <n v="742.5"/>
    <x v="1195"/>
    <n v="4745.63"/>
    <x v="1772"/>
    <n v="45166.274999999994"/>
    <n v="3850"/>
    <n v="18.872731333879798"/>
    <x v="11"/>
    <x v="1"/>
  </r>
  <r>
    <s v="ORD11913"/>
    <d v="2025-12-03T00:00:00"/>
    <x v="1"/>
    <x v="1"/>
    <x v="1"/>
    <x v="1"/>
    <n v="4"/>
    <n v="45"/>
    <n v="63"/>
    <x v="14"/>
    <n v="218.08"/>
    <x v="1773"/>
    <n v="3391.92"/>
    <n v="180"/>
    <n v="17.461482024944971"/>
    <x v="11"/>
    <x v="1"/>
  </r>
  <r>
    <s v="ORD10187"/>
    <d v="2025-12-04T00:00:00"/>
    <x v="2"/>
    <x v="2"/>
    <x v="0"/>
    <x v="1"/>
    <n v="4"/>
    <n v="6500"/>
    <n v="7150"/>
    <x v="1196"/>
    <n v="24885.07"/>
    <x v="1774"/>
    <n v="371514"/>
    <n v="26000"/>
    <n v="-4.4803169129120395"/>
    <x v="11"/>
    <x v="2"/>
  </r>
  <r>
    <s v="ORD10554"/>
    <d v="2025-12-04T00:00:00"/>
    <x v="10"/>
    <x v="10"/>
    <x v="4"/>
    <x v="0"/>
    <n v="9"/>
    <n v="3200"/>
    <n v="3840"/>
    <x v="897"/>
    <n v="30151.4"/>
    <x v="1775"/>
    <n v="440985.59999999998"/>
    <n v="28800"/>
    <n v="4.4820472681202199"/>
    <x v="11"/>
    <x v="0"/>
  </r>
  <r>
    <s v="ORD10746"/>
    <d v="2025-12-04T00:00:00"/>
    <x v="3"/>
    <x v="3"/>
    <x v="2"/>
    <x v="3"/>
    <n v="9"/>
    <n v="4500"/>
    <n v="5220"/>
    <x v="1176"/>
    <n v="42393.2"/>
    <x v="1776"/>
    <n v="458524.8"/>
    <n v="40500"/>
    <n v="4.4658105545228954"/>
    <x v="11"/>
    <x v="0"/>
  </r>
  <r>
    <s v="ORD10996"/>
    <d v="2025-12-04T00:00:00"/>
    <x v="11"/>
    <x v="11"/>
    <x v="0"/>
    <x v="3"/>
    <n v="3"/>
    <n v="900"/>
    <n v="1152"/>
    <x v="499"/>
    <n v="3046.76"/>
    <x v="1777"/>
    <n v="40919.040000000001"/>
    <n v="2700"/>
    <n v="11.381270595649147"/>
    <x v="11"/>
    <x v="1"/>
  </r>
  <r>
    <s v="ORD11164"/>
    <d v="2025-12-04T00:00:00"/>
    <x v="12"/>
    <x v="12"/>
    <x v="2"/>
    <x v="3"/>
    <n v="2"/>
    <n v="6500"/>
    <n v="8125"/>
    <x v="855"/>
    <n v="13989.31"/>
    <x v="1778"/>
    <n v="226037.5"/>
    <n v="13000"/>
    <n v="7.0718999007098997"/>
    <x v="11"/>
    <x v="0"/>
  </r>
  <r>
    <s v="ORD11368"/>
    <d v="2025-12-04T00:00:00"/>
    <x v="17"/>
    <x v="17"/>
    <x v="0"/>
    <x v="3"/>
    <n v="5"/>
    <n v="8500"/>
    <n v="9520"/>
    <x v="597"/>
    <n v="42032.12"/>
    <x v="1779"/>
    <n v="556920"/>
    <n v="42500"/>
    <n v="-1.1131487062751058"/>
    <x v="11"/>
    <x v="2"/>
  </r>
  <r>
    <s v="ORD11401"/>
    <d v="2025-12-04T00:00:00"/>
    <x v="1"/>
    <x v="1"/>
    <x v="1"/>
    <x v="3"/>
    <n v="10"/>
    <n v="45"/>
    <n v="63"/>
    <x v="1197"/>
    <n v="483.38"/>
    <x v="1780"/>
    <n v="14660.1"/>
    <n v="450"/>
    <n v="6.9055401547436803"/>
    <x v="11"/>
    <x v="0"/>
  </r>
  <r>
    <s v="ORD11995"/>
    <d v="2025-12-04T00:00:00"/>
    <x v="7"/>
    <x v="7"/>
    <x v="5"/>
    <x v="1"/>
    <n v="4"/>
    <n v="300"/>
    <n v="405"/>
    <x v="1198"/>
    <n v="1509.75"/>
    <x v="1781"/>
    <n v="11032.199999999999"/>
    <n v="1200"/>
    <n v="20.516641828117237"/>
    <x v="11"/>
    <x v="1"/>
  </r>
  <r>
    <s v="ORD11585"/>
    <d v="2025-12-05T00:00:00"/>
    <x v="18"/>
    <x v="18"/>
    <x v="1"/>
    <x v="1"/>
    <n v="7"/>
    <n v="80"/>
    <n v="116"/>
    <x v="873"/>
    <n v="698.34"/>
    <x v="1782"/>
    <n v="11368"/>
    <n v="560"/>
    <n v="19.809834750980897"/>
    <x v="11"/>
    <x v="1"/>
  </r>
  <r>
    <s v="ORD11919"/>
    <d v="2025-12-05T00:00:00"/>
    <x v="0"/>
    <x v="0"/>
    <x v="0"/>
    <x v="2"/>
    <n v="2"/>
    <n v="500"/>
    <n v="610"/>
    <x v="1199"/>
    <n v="1061.01"/>
    <x v="1783"/>
    <n v="15896.599999999999"/>
    <n v="1000"/>
    <n v="5.7501814309007457"/>
    <x v="11"/>
    <x v="0"/>
  </r>
  <r>
    <s v="ORD11930"/>
    <d v="2025-12-05T00:00:00"/>
    <x v="14"/>
    <x v="14"/>
    <x v="3"/>
    <x v="0"/>
    <n v="8"/>
    <n v="1200"/>
    <n v="1464"/>
    <x v="247"/>
    <n v="10609.77"/>
    <x v="1784"/>
    <n v="110209.92"/>
    <n v="9600"/>
    <n v="9.5173599427697297"/>
    <x v="11"/>
    <x v="0"/>
  </r>
  <r>
    <s v="ORD11932"/>
    <d v="2025-12-05T00:00:00"/>
    <x v="3"/>
    <x v="3"/>
    <x v="2"/>
    <x v="2"/>
    <n v="3"/>
    <n v="4500"/>
    <n v="5220"/>
    <x v="1144"/>
    <n v="13253.1"/>
    <x v="1785"/>
    <n v="240694.19999999998"/>
    <n v="13500"/>
    <n v="-1.8629603639903118"/>
    <x v="11"/>
    <x v="2"/>
  </r>
  <r>
    <s v="ORD10932"/>
    <d v="2025-12-06T00:00:00"/>
    <x v="2"/>
    <x v="2"/>
    <x v="0"/>
    <x v="2"/>
    <n v="2"/>
    <n v="6500"/>
    <n v="7150"/>
    <x v="1154"/>
    <n v="11860.12"/>
    <x v="1786"/>
    <n v="243957.99999999997"/>
    <n v="13000"/>
    <n v="-9.6110326033800675"/>
    <x v="11"/>
    <x v="2"/>
  </r>
  <r>
    <s v="ORD10995"/>
    <d v="2025-12-06T00:00:00"/>
    <x v="18"/>
    <x v="18"/>
    <x v="1"/>
    <x v="0"/>
    <n v="4"/>
    <n v="80"/>
    <n v="116"/>
    <x v="432"/>
    <n v="391.98"/>
    <x v="1787"/>
    <n v="7201.28"/>
    <n v="320"/>
    <n v="18.36318179498954"/>
    <x v="11"/>
    <x v="1"/>
  </r>
  <r>
    <s v="ORD11429"/>
    <d v="2025-12-06T00:00:00"/>
    <x v="11"/>
    <x v="11"/>
    <x v="0"/>
    <x v="3"/>
    <n v="4"/>
    <n v="900"/>
    <n v="1152"/>
    <x v="1200"/>
    <n v="4214.08"/>
    <x v="1788"/>
    <n v="39398.400000000001"/>
    <n v="3600"/>
    <n v="14.572101146632244"/>
    <x v="11"/>
    <x v="1"/>
  </r>
  <r>
    <s v="ORD11513"/>
    <d v="2025-12-06T00:00:00"/>
    <x v="12"/>
    <x v="12"/>
    <x v="2"/>
    <x v="2"/>
    <n v="2"/>
    <n v="6500"/>
    <n v="8125"/>
    <x v="1201"/>
    <n v="11813.82"/>
    <x v="1789"/>
    <n v="443625"/>
    <n v="13000"/>
    <n v="-10.040613451026003"/>
    <x v="11"/>
    <x v="2"/>
  </r>
  <r>
    <s v="ORD11900"/>
    <d v="2025-12-06T00:00:00"/>
    <x v="0"/>
    <x v="0"/>
    <x v="0"/>
    <x v="1"/>
    <n v="1"/>
    <n v="500"/>
    <n v="610"/>
    <x v="806"/>
    <n v="540.38"/>
    <x v="1790"/>
    <n v="6960.1"/>
    <n v="500"/>
    <n v="7.4725193382434592"/>
    <x v="11"/>
    <x v="0"/>
  </r>
  <r>
    <s v="ORD10050"/>
    <d v="2025-12-07T00:00:00"/>
    <x v="14"/>
    <x v="14"/>
    <x v="3"/>
    <x v="0"/>
    <n v="4"/>
    <n v="1200"/>
    <n v="1464"/>
    <x v="1202"/>
    <n v="5037.2700000000004"/>
    <x v="1791"/>
    <n v="81866.880000000005"/>
    <n v="4800"/>
    <n v="4.7102895020517064"/>
    <x v="11"/>
    <x v="0"/>
  </r>
  <r>
    <s v="ORD10582"/>
    <d v="2025-12-07T00:00:00"/>
    <x v="14"/>
    <x v="14"/>
    <x v="3"/>
    <x v="3"/>
    <n v="10"/>
    <n v="1200"/>
    <n v="1464"/>
    <x v="1203"/>
    <n v="10936.01"/>
    <x v="1792"/>
    <n v="370392"/>
    <n v="12000"/>
    <n v="-9.729233971073544"/>
    <x v="11"/>
    <x v="2"/>
  </r>
  <r>
    <s v="ORD10606"/>
    <d v="2025-12-07T00:00:00"/>
    <x v="15"/>
    <x v="15"/>
    <x v="0"/>
    <x v="0"/>
    <n v="2"/>
    <n v="550"/>
    <n v="742.5"/>
    <x v="9"/>
    <n v="1485"/>
    <x v="1476"/>
    <n v="0"/>
    <n v="1100"/>
    <n v="25.925925925925924"/>
    <x v="11"/>
    <x v="1"/>
  </r>
  <r>
    <s v="ORD10945"/>
    <d v="2025-12-07T00:00:00"/>
    <x v="13"/>
    <x v="13"/>
    <x v="6"/>
    <x v="0"/>
    <n v="6"/>
    <n v="900"/>
    <n v="1170"/>
    <x v="204"/>
    <n v="6459.39"/>
    <x v="1793"/>
    <n v="56089.8"/>
    <n v="5400"/>
    <n v="16.400774686154577"/>
    <x v="11"/>
    <x v="1"/>
  </r>
  <r>
    <s v="ORD11149"/>
    <d v="2025-12-07T00:00:00"/>
    <x v="1"/>
    <x v="1"/>
    <x v="1"/>
    <x v="0"/>
    <n v="3"/>
    <n v="45"/>
    <n v="63"/>
    <x v="875"/>
    <n v="151.62"/>
    <x v="1794"/>
    <n v="3738.42"/>
    <n v="135"/>
    <n v="10.961614562722596"/>
    <x v="11"/>
    <x v="1"/>
  </r>
  <r>
    <s v="ORD11172"/>
    <d v="2025-12-07T00:00:00"/>
    <x v="3"/>
    <x v="3"/>
    <x v="2"/>
    <x v="3"/>
    <n v="4"/>
    <n v="4500"/>
    <n v="5220"/>
    <x v="1204"/>
    <n v="20012.5"/>
    <x v="1795"/>
    <n v="86652.000000000015"/>
    <n v="18000"/>
    <n v="10.056214865708931"/>
    <x v="11"/>
    <x v="1"/>
  </r>
  <r>
    <s v="ORD10062"/>
    <d v="2025-12-08T00:00:00"/>
    <x v="6"/>
    <x v="6"/>
    <x v="4"/>
    <x v="2"/>
    <n v="4"/>
    <n v="1800"/>
    <n v="2124"/>
    <x v="996"/>
    <n v="7160.25"/>
    <x v="1796"/>
    <n v="133557.12"/>
    <n v="7200"/>
    <n v="-0.55514821409866966"/>
    <x v="11"/>
    <x v="2"/>
  </r>
  <r>
    <s v="ORD10535"/>
    <d v="2025-12-08T00:00:00"/>
    <x v="5"/>
    <x v="5"/>
    <x v="3"/>
    <x v="3"/>
    <n v="4"/>
    <n v="2500"/>
    <n v="2875"/>
    <x v="994"/>
    <n v="9778.4500000000007"/>
    <x v="1797"/>
    <n v="172155"/>
    <n v="10000"/>
    <n v="-2.2656965060924787"/>
    <x v="11"/>
    <x v="2"/>
  </r>
  <r>
    <s v="ORD10906"/>
    <d v="2025-12-08T00:00:00"/>
    <x v="12"/>
    <x v="12"/>
    <x v="2"/>
    <x v="1"/>
    <n v="1"/>
    <n v="6500"/>
    <n v="8125"/>
    <x v="1205"/>
    <n v="7566.11"/>
    <x v="1798"/>
    <n v="55900"/>
    <n v="6500"/>
    <n v="14.090596092311635"/>
    <x v="11"/>
    <x v="1"/>
  </r>
  <r>
    <s v="ORD11141"/>
    <d v="2025-12-08T00:00:00"/>
    <x v="7"/>
    <x v="7"/>
    <x v="5"/>
    <x v="1"/>
    <n v="4"/>
    <n v="300"/>
    <n v="405"/>
    <x v="771"/>
    <n v="1433.4"/>
    <x v="1799"/>
    <n v="18662.399999999998"/>
    <n v="1200"/>
    <n v="16.282963583089156"/>
    <x v="11"/>
    <x v="1"/>
  </r>
  <r>
    <s v="ORD11688"/>
    <d v="2025-12-08T00:00:00"/>
    <x v="15"/>
    <x v="15"/>
    <x v="0"/>
    <x v="0"/>
    <n v="8"/>
    <n v="550"/>
    <n v="742.5"/>
    <x v="417"/>
    <n v="5073.1400000000003"/>
    <x v="1800"/>
    <n v="86664.6"/>
    <n v="4400"/>
    <n v="13.268705377734499"/>
    <x v="11"/>
    <x v="1"/>
  </r>
  <r>
    <s v="ORD11831"/>
    <d v="2025-12-08T00:00:00"/>
    <x v="13"/>
    <x v="13"/>
    <x v="6"/>
    <x v="0"/>
    <n v="9"/>
    <n v="900"/>
    <n v="1170"/>
    <x v="192"/>
    <n v="8497.76"/>
    <x v="1801"/>
    <n v="203229"/>
    <n v="8100"/>
    <n v="4.6807629304663818"/>
    <x v="11"/>
    <x v="0"/>
  </r>
  <r>
    <s v="ORD10235"/>
    <d v="2025-12-09T00:00:00"/>
    <x v="2"/>
    <x v="2"/>
    <x v="0"/>
    <x v="1"/>
    <n v="5"/>
    <n v="6500"/>
    <n v="7150"/>
    <x v="955"/>
    <n v="32317.41"/>
    <x v="1802"/>
    <n v="343200"/>
    <n v="32500"/>
    <n v="-0.56498958301423297"/>
    <x v="11"/>
    <x v="2"/>
  </r>
  <r>
    <s v="ORD10771"/>
    <d v="2025-12-09T00:00:00"/>
    <x v="19"/>
    <x v="19"/>
    <x v="0"/>
    <x v="2"/>
    <n v="8"/>
    <n v="350"/>
    <n v="455"/>
    <x v="1206"/>
    <n v="3096.05"/>
    <x v="1803"/>
    <n v="54381.599999999999"/>
    <n v="2800"/>
    <n v="9.5621840732546293"/>
    <x v="11"/>
    <x v="0"/>
  </r>
  <r>
    <s v="ORD10881"/>
    <d v="2025-12-09T00:00:00"/>
    <x v="1"/>
    <x v="1"/>
    <x v="1"/>
    <x v="2"/>
    <n v="10"/>
    <n v="45"/>
    <n v="63"/>
    <x v="1139"/>
    <n v="589.37"/>
    <x v="1804"/>
    <n v="4063.5"/>
    <n v="450"/>
    <n v="23.64728438841475"/>
    <x v="11"/>
    <x v="1"/>
  </r>
  <r>
    <s v="ORD10990"/>
    <d v="2025-12-09T00:00:00"/>
    <x v="3"/>
    <x v="3"/>
    <x v="2"/>
    <x v="2"/>
    <n v="3"/>
    <n v="4500"/>
    <n v="5220"/>
    <x v="1207"/>
    <n v="14474.34"/>
    <x v="1805"/>
    <n v="118546.20000000001"/>
    <n v="13500"/>
    <n v="6.7314986382798798"/>
    <x v="11"/>
    <x v="0"/>
  </r>
  <r>
    <s v="ORD11143"/>
    <d v="2025-12-09T00:00:00"/>
    <x v="17"/>
    <x v="17"/>
    <x v="0"/>
    <x v="3"/>
    <n v="5"/>
    <n v="8500"/>
    <n v="9520"/>
    <x v="1208"/>
    <n v="44512.7"/>
    <x v="1806"/>
    <n v="308924"/>
    <n v="42500"/>
    <n v="4.5216309053371289"/>
    <x v="11"/>
    <x v="0"/>
  </r>
  <r>
    <s v="ORD11385"/>
    <d v="2025-12-09T00:00:00"/>
    <x v="8"/>
    <x v="8"/>
    <x v="2"/>
    <x v="3"/>
    <n v="3"/>
    <n v="900"/>
    <n v="1170"/>
    <x v="1209"/>
    <n v="2905.78"/>
    <x v="1807"/>
    <n v="60407.100000000006"/>
    <n v="2700"/>
    <n v="7.081747413775302"/>
    <x v="11"/>
    <x v="0"/>
  </r>
  <r>
    <s v="ORD11458"/>
    <d v="2025-12-09T00:00:00"/>
    <x v="12"/>
    <x v="12"/>
    <x v="2"/>
    <x v="1"/>
    <n v="3"/>
    <n v="6500"/>
    <n v="8125"/>
    <x v="1210"/>
    <n v="22243.09"/>
    <x v="1808"/>
    <n v="213281.25"/>
    <n v="19500"/>
    <n v="12.332324330837128"/>
    <x v="11"/>
    <x v="1"/>
  </r>
  <r>
    <s v="ORD11751"/>
    <d v="2025-12-09T00:00:00"/>
    <x v="7"/>
    <x v="7"/>
    <x v="5"/>
    <x v="3"/>
    <n v="5"/>
    <n v="300"/>
    <n v="405"/>
    <x v="361"/>
    <n v="1837.5"/>
    <x v="1809"/>
    <n v="18751.5"/>
    <n v="1500"/>
    <n v="18.367346938775512"/>
    <x v="11"/>
    <x v="1"/>
  </r>
  <r>
    <s v="ORD11837"/>
    <d v="2025-12-09T00:00:00"/>
    <x v="19"/>
    <x v="19"/>
    <x v="0"/>
    <x v="3"/>
    <n v="2"/>
    <n v="350"/>
    <n v="455"/>
    <x v="324"/>
    <n v="772.88"/>
    <x v="248"/>
    <n v="13713.7"/>
    <n v="700"/>
    <n v="9.4296656660801155"/>
    <x v="11"/>
    <x v="0"/>
  </r>
  <r>
    <s v="ORD10236"/>
    <d v="2025-12-10T00:00:00"/>
    <x v="15"/>
    <x v="15"/>
    <x v="0"/>
    <x v="2"/>
    <n v="6"/>
    <n v="550"/>
    <n v="742.5"/>
    <x v="1029"/>
    <n v="4040.78"/>
    <x v="1810"/>
    <n v="41431.5"/>
    <n v="3300"/>
    <n v="18.332599151648939"/>
    <x v="11"/>
    <x v="1"/>
  </r>
  <r>
    <s v="ORD10620"/>
    <d v="2025-12-10T00:00:00"/>
    <x v="4"/>
    <x v="4"/>
    <x v="3"/>
    <x v="0"/>
    <n v="7"/>
    <n v="180"/>
    <n v="243"/>
    <x v="1211"/>
    <n v="1626.07"/>
    <x v="1811"/>
    <n v="7501.41"/>
    <n v="1260"/>
    <n v="22.512560959860277"/>
    <x v="11"/>
    <x v="1"/>
  </r>
  <r>
    <s v="ORD10811"/>
    <d v="2025-12-10T00:00:00"/>
    <x v="13"/>
    <x v="13"/>
    <x v="6"/>
    <x v="1"/>
    <n v="1"/>
    <n v="900"/>
    <n v="1170"/>
    <x v="9"/>
    <n v="1170"/>
    <x v="239"/>
    <n v="0"/>
    <n v="900"/>
    <n v="23.076923076923077"/>
    <x v="11"/>
    <x v="1"/>
  </r>
  <r>
    <s v="ORD10954"/>
    <d v="2025-12-10T00:00:00"/>
    <x v="3"/>
    <x v="3"/>
    <x v="2"/>
    <x v="2"/>
    <n v="1"/>
    <n v="4500"/>
    <n v="5220"/>
    <x v="1212"/>
    <n v="3953.22"/>
    <x v="1812"/>
    <n v="126689.4"/>
    <n v="4500"/>
    <n v="-13.831256545297252"/>
    <x v="11"/>
    <x v="2"/>
  </r>
  <r>
    <s v="ORD10959"/>
    <d v="2025-12-10T00:00:00"/>
    <x v="8"/>
    <x v="8"/>
    <x v="2"/>
    <x v="2"/>
    <n v="1"/>
    <n v="900"/>
    <n v="1170"/>
    <x v="938"/>
    <n v="1038.05"/>
    <x v="1813"/>
    <n v="13197.599999999999"/>
    <n v="900"/>
    <n v="13.298974037859448"/>
    <x v="11"/>
    <x v="1"/>
  </r>
  <r>
    <s v="ORD11100"/>
    <d v="2025-12-10T00:00:00"/>
    <x v="2"/>
    <x v="2"/>
    <x v="0"/>
    <x v="0"/>
    <n v="4"/>
    <n v="6500"/>
    <n v="7150"/>
    <x v="1213"/>
    <n v="25060.51"/>
    <x v="1814"/>
    <n v="354068"/>
    <n v="26000"/>
    <n v="-3.7488861958515614"/>
    <x v="11"/>
    <x v="2"/>
  </r>
  <r>
    <s v="ORD10131"/>
    <d v="2025-12-11T00:00:00"/>
    <x v="10"/>
    <x v="10"/>
    <x v="4"/>
    <x v="0"/>
    <n v="10"/>
    <n v="3200"/>
    <n v="3840"/>
    <x v="1214"/>
    <n v="31573.95"/>
    <x v="1815"/>
    <n v="682752"/>
    <n v="32000"/>
    <n v="-1.3493718714319873"/>
    <x v="11"/>
    <x v="2"/>
  </r>
  <r>
    <s v="ORD10337"/>
    <d v="2025-12-11T00:00:00"/>
    <x v="2"/>
    <x v="2"/>
    <x v="0"/>
    <x v="0"/>
    <n v="3"/>
    <n v="6500"/>
    <n v="7150"/>
    <x v="782"/>
    <n v="19110.669999999998"/>
    <x v="1816"/>
    <n v="234019.5"/>
    <n v="19500"/>
    <n v="-2.0372388827811898"/>
    <x v="11"/>
    <x v="2"/>
  </r>
  <r>
    <s v="ORD10581"/>
    <d v="2025-12-11T00:00:00"/>
    <x v="8"/>
    <x v="8"/>
    <x v="2"/>
    <x v="1"/>
    <n v="8"/>
    <n v="900"/>
    <n v="1170"/>
    <x v="295"/>
    <n v="7699.99"/>
    <x v="1817"/>
    <n v="166046.39999999999"/>
    <n v="7200"/>
    <n v="6.4933850563442297"/>
    <x v="11"/>
    <x v="0"/>
  </r>
  <r>
    <s v="ORD11510"/>
    <d v="2025-12-12T00:00:00"/>
    <x v="6"/>
    <x v="6"/>
    <x v="4"/>
    <x v="0"/>
    <n v="2"/>
    <n v="1800"/>
    <n v="2124"/>
    <x v="925"/>
    <n v="3765.82"/>
    <x v="1818"/>
    <n v="48214.799999999996"/>
    <n v="3600"/>
    <n v="4.4032906511729184"/>
    <x v="11"/>
    <x v="0"/>
  </r>
  <r>
    <s v="ORD11734"/>
    <d v="2025-12-12T00:00:00"/>
    <x v="16"/>
    <x v="16"/>
    <x v="0"/>
    <x v="2"/>
    <n v="5"/>
    <n v="1100"/>
    <n v="1298"/>
    <x v="9"/>
    <n v="6490"/>
    <x v="203"/>
    <n v="0"/>
    <n v="5500"/>
    <n v="15.254237288135593"/>
    <x v="11"/>
    <x v="1"/>
  </r>
  <r>
    <s v="ORD10084"/>
    <d v="2025-12-13T00:00:00"/>
    <x v="4"/>
    <x v="4"/>
    <x v="3"/>
    <x v="0"/>
    <n v="2"/>
    <n v="180"/>
    <n v="243"/>
    <x v="692"/>
    <n v="421.77"/>
    <x v="1819"/>
    <n v="6424.92"/>
    <n v="360"/>
    <n v="14.645422860800911"/>
    <x v="11"/>
    <x v="1"/>
  </r>
  <r>
    <s v="ORD10289"/>
    <d v="2025-12-13T00:00:00"/>
    <x v="17"/>
    <x v="17"/>
    <x v="0"/>
    <x v="0"/>
    <n v="1"/>
    <n v="8500"/>
    <n v="9520"/>
    <x v="884"/>
    <n v="8853.07"/>
    <x v="1820"/>
    <n v="66735.199999999997"/>
    <n v="8500"/>
    <n v="3.9881080800219584"/>
    <x v="11"/>
    <x v="0"/>
  </r>
  <r>
    <s v="ORD10758"/>
    <d v="2025-12-13T00:00:00"/>
    <x v="7"/>
    <x v="7"/>
    <x v="5"/>
    <x v="1"/>
    <n v="8"/>
    <n v="300"/>
    <n v="405"/>
    <x v="1215"/>
    <n v="2733.48"/>
    <x v="1821"/>
    <n v="50641.200000000004"/>
    <n v="2400"/>
    <n v="12.199833179683042"/>
    <x v="11"/>
    <x v="1"/>
  </r>
  <r>
    <s v="ORD10909"/>
    <d v="2025-12-13T00:00:00"/>
    <x v="1"/>
    <x v="1"/>
    <x v="1"/>
    <x v="3"/>
    <n v="5"/>
    <n v="45"/>
    <n v="63"/>
    <x v="1216"/>
    <n v="308.52999999999997"/>
    <x v="1822"/>
    <n v="645.75"/>
    <n v="225"/>
    <n v="27.073542281139602"/>
    <x v="11"/>
    <x v="1"/>
  </r>
  <r>
    <s v="ORD10988"/>
    <d v="2025-12-13T00:00:00"/>
    <x v="8"/>
    <x v="8"/>
    <x v="2"/>
    <x v="2"/>
    <n v="7"/>
    <n v="900"/>
    <n v="1170"/>
    <x v="1112"/>
    <n v="7719.42"/>
    <x v="1823"/>
    <n v="47092.5"/>
    <n v="6300"/>
    <n v="18.387650885688302"/>
    <x v="11"/>
    <x v="1"/>
  </r>
  <r>
    <s v="ORD10024"/>
    <d v="2025-12-14T00:00:00"/>
    <x v="3"/>
    <x v="3"/>
    <x v="2"/>
    <x v="2"/>
    <n v="6"/>
    <n v="4500"/>
    <n v="5220"/>
    <x v="1217"/>
    <n v="20671.2"/>
    <x v="1824"/>
    <n v="1064880"/>
    <n v="27000"/>
    <n v="-30.616509926854757"/>
    <x v="11"/>
    <x v="2"/>
  </r>
  <r>
    <s v="ORD10339"/>
    <d v="2025-12-14T00:00:00"/>
    <x v="17"/>
    <x v="17"/>
    <x v="0"/>
    <x v="2"/>
    <n v="8"/>
    <n v="8500"/>
    <n v="9520"/>
    <x v="27"/>
    <n v="73113.600000000006"/>
    <x v="156"/>
    <n v="304640"/>
    <n v="68000"/>
    <n v="6.9940476190476195"/>
    <x v="11"/>
    <x v="0"/>
  </r>
  <r>
    <s v="ORD10901"/>
    <d v="2025-12-14T00:00:00"/>
    <x v="12"/>
    <x v="12"/>
    <x v="2"/>
    <x v="3"/>
    <n v="8"/>
    <n v="6500"/>
    <n v="8125"/>
    <x v="1218"/>
    <n v="55177.31"/>
    <x v="1825"/>
    <n v="982150"/>
    <n v="52000"/>
    <n v="5.7583633562419045"/>
    <x v="11"/>
    <x v="0"/>
  </r>
  <r>
    <s v="ORD10122"/>
    <d v="2025-12-15T00:00:00"/>
    <x v="4"/>
    <x v="4"/>
    <x v="3"/>
    <x v="1"/>
    <n v="8"/>
    <n v="180"/>
    <n v="243"/>
    <x v="793"/>
    <n v="1727.67"/>
    <x v="1826"/>
    <n v="21636.720000000001"/>
    <n v="1440"/>
    <n v="16.650749275035164"/>
    <x v="11"/>
    <x v="1"/>
  </r>
  <r>
    <s v="ORD10503"/>
    <d v="2025-12-15T00:00:00"/>
    <x v="18"/>
    <x v="18"/>
    <x v="1"/>
    <x v="3"/>
    <n v="9"/>
    <n v="80"/>
    <n v="116"/>
    <x v="757"/>
    <n v="901.96"/>
    <x v="1827"/>
    <n v="14208.84"/>
    <n v="720"/>
    <n v="20.173843629429243"/>
    <x v="11"/>
    <x v="1"/>
  </r>
  <r>
    <s v="ORD11246"/>
    <d v="2025-12-15T00:00:00"/>
    <x v="4"/>
    <x v="4"/>
    <x v="3"/>
    <x v="1"/>
    <n v="2"/>
    <n v="180"/>
    <n v="243"/>
    <x v="1219"/>
    <n v="426.27"/>
    <x v="1828"/>
    <n v="5972.94"/>
    <n v="360"/>
    <n v="15.546484622422408"/>
    <x v="11"/>
    <x v="1"/>
  </r>
  <r>
    <s v="ORD11378"/>
    <d v="2025-12-15T00:00:00"/>
    <x v="10"/>
    <x v="10"/>
    <x v="4"/>
    <x v="1"/>
    <n v="3"/>
    <n v="3200"/>
    <n v="3840"/>
    <x v="136"/>
    <n v="10533.96"/>
    <x v="1829"/>
    <n v="98611.200000000012"/>
    <n v="9600"/>
    <n v="8.8661813790825121"/>
    <x v="11"/>
    <x v="0"/>
  </r>
  <r>
    <s v="ORD11709"/>
    <d v="2025-12-15T00:00:00"/>
    <x v="15"/>
    <x v="15"/>
    <x v="0"/>
    <x v="0"/>
    <n v="8"/>
    <n v="550"/>
    <n v="742.5"/>
    <x v="9"/>
    <n v="5940"/>
    <x v="1587"/>
    <n v="0"/>
    <n v="4400"/>
    <n v="25.925925925925924"/>
    <x v="11"/>
    <x v="1"/>
  </r>
  <r>
    <s v="ORD11740"/>
    <d v="2025-12-15T00:00:00"/>
    <x v="7"/>
    <x v="7"/>
    <x v="5"/>
    <x v="0"/>
    <n v="3"/>
    <n v="300"/>
    <n v="405"/>
    <x v="1220"/>
    <n v="1101.21"/>
    <x v="1830"/>
    <n v="11384.55"/>
    <n v="900"/>
    <n v="18.271719290598522"/>
    <x v="11"/>
    <x v="1"/>
  </r>
  <r>
    <s v="ORD10261"/>
    <d v="2025-12-16T00:00:00"/>
    <x v="2"/>
    <x v="2"/>
    <x v="0"/>
    <x v="3"/>
    <n v="3"/>
    <n v="6500"/>
    <n v="7150"/>
    <x v="681"/>
    <n v="20184.009999999998"/>
    <x v="1831"/>
    <n v="126555.00000000001"/>
    <n v="19500"/>
    <n v="3.3888706951690968"/>
    <x v="11"/>
    <x v="0"/>
  </r>
  <r>
    <s v="ORD10457"/>
    <d v="2025-12-16T00:00:00"/>
    <x v="14"/>
    <x v="14"/>
    <x v="3"/>
    <x v="1"/>
    <n v="8"/>
    <n v="1200"/>
    <n v="1464"/>
    <x v="1221"/>
    <n v="9590.41"/>
    <x v="1832"/>
    <n v="212104.32000000001"/>
    <n v="9600"/>
    <n v="-9.9995724896015922E-2"/>
    <x v="11"/>
    <x v="2"/>
  </r>
  <r>
    <s v="ORD10492"/>
    <d v="2025-12-16T00:00:00"/>
    <x v="10"/>
    <x v="10"/>
    <x v="4"/>
    <x v="1"/>
    <n v="9"/>
    <n v="3200"/>
    <n v="3840"/>
    <x v="891"/>
    <n v="32052.959999999999"/>
    <x v="1833"/>
    <n v="250560"/>
    <n v="28800"/>
    <n v="10.148703895053686"/>
    <x v="11"/>
    <x v="1"/>
  </r>
  <r>
    <s v="ORD10756"/>
    <d v="2025-12-16T00:00:00"/>
    <x v="4"/>
    <x v="4"/>
    <x v="3"/>
    <x v="1"/>
    <n v="9"/>
    <n v="180"/>
    <n v="243"/>
    <x v="1222"/>
    <n v="1842.14"/>
    <x v="1834"/>
    <n v="34488.99"/>
    <n v="1620"/>
    <n v="12.058801176892093"/>
    <x v="11"/>
    <x v="1"/>
  </r>
  <r>
    <s v="ORD11031"/>
    <d v="2025-12-16T00:00:00"/>
    <x v="9"/>
    <x v="9"/>
    <x v="2"/>
    <x v="3"/>
    <n v="2"/>
    <n v="3000"/>
    <n v="3600"/>
    <x v="546"/>
    <n v="6115.81"/>
    <x v="1835"/>
    <n v="108432"/>
    <n v="6000"/>
    <n v="1.893616708171117"/>
    <x v="11"/>
    <x v="0"/>
  </r>
  <r>
    <s v="ORD10294"/>
    <d v="2025-12-17T00:00:00"/>
    <x v="6"/>
    <x v="6"/>
    <x v="4"/>
    <x v="1"/>
    <n v="5"/>
    <n v="1800"/>
    <n v="2124"/>
    <x v="1223"/>
    <n v="9882.86"/>
    <x v="1836"/>
    <n v="73702.8"/>
    <n v="9000"/>
    <n v="8.9332440204556161"/>
    <x v="11"/>
    <x v="0"/>
  </r>
  <r>
    <s v="ORD11590"/>
    <d v="2025-12-17T00:00:00"/>
    <x v="8"/>
    <x v="8"/>
    <x v="2"/>
    <x v="3"/>
    <n v="9"/>
    <n v="900"/>
    <n v="1170"/>
    <x v="9"/>
    <n v="10530"/>
    <x v="1474"/>
    <n v="0"/>
    <n v="8100"/>
    <n v="23.076923076923077"/>
    <x v="11"/>
    <x v="1"/>
  </r>
  <r>
    <s v="ORD11641"/>
    <d v="2025-12-17T00:00:00"/>
    <x v="5"/>
    <x v="5"/>
    <x v="3"/>
    <x v="2"/>
    <n v="9"/>
    <n v="2500"/>
    <n v="2875"/>
    <x v="1224"/>
    <n v="23416.720000000001"/>
    <x v="1837"/>
    <n v="245812.5"/>
    <n v="22500"/>
    <n v="3.9148095890457757"/>
    <x v="11"/>
    <x v="0"/>
  </r>
  <r>
    <s v="ORD11811"/>
    <d v="2025-12-17T00:00:00"/>
    <x v="14"/>
    <x v="14"/>
    <x v="3"/>
    <x v="0"/>
    <n v="10"/>
    <n v="1200"/>
    <n v="1464"/>
    <x v="1225"/>
    <n v="13454.1"/>
    <x v="1838"/>
    <n v="118584"/>
    <n v="12000"/>
    <n v="10.807857827725377"/>
    <x v="11"/>
    <x v="1"/>
  </r>
  <r>
    <s v="ORD10262"/>
    <d v="2025-12-18T00:00:00"/>
    <x v="8"/>
    <x v="8"/>
    <x v="2"/>
    <x v="0"/>
    <n v="3"/>
    <n v="900"/>
    <n v="1170"/>
    <x v="443"/>
    <n v="2932.01"/>
    <x v="1839"/>
    <n v="57809.7"/>
    <n v="2700"/>
    <n v="7.9130016609765983"/>
    <x v="11"/>
    <x v="0"/>
  </r>
  <r>
    <s v="ORD11205"/>
    <d v="2025-12-18T00:00:00"/>
    <x v="7"/>
    <x v="7"/>
    <x v="5"/>
    <x v="1"/>
    <n v="3"/>
    <n v="300"/>
    <n v="405"/>
    <x v="222"/>
    <n v="1110.52"/>
    <x v="1840"/>
    <n v="10449"/>
    <n v="900"/>
    <n v="18.956885062853441"/>
    <x v="11"/>
    <x v="1"/>
  </r>
  <r>
    <s v="ORD11233"/>
    <d v="2025-12-18T00:00:00"/>
    <x v="12"/>
    <x v="12"/>
    <x v="2"/>
    <x v="2"/>
    <n v="2"/>
    <n v="6500"/>
    <n v="8125"/>
    <x v="1226"/>
    <n v="15544.5"/>
    <x v="1841"/>
    <n v="70525"/>
    <n v="13000"/>
    <n v="16.369133777220238"/>
    <x v="11"/>
    <x v="1"/>
  </r>
  <r>
    <s v="ORD11679"/>
    <d v="2025-12-18T00:00:00"/>
    <x v="2"/>
    <x v="2"/>
    <x v="0"/>
    <x v="1"/>
    <n v="2"/>
    <n v="6500"/>
    <n v="7150"/>
    <x v="1222"/>
    <n v="12045.59"/>
    <x v="1842"/>
    <n v="225511"/>
    <n v="13000"/>
    <n v="-7.9233146736689521"/>
    <x v="11"/>
    <x v="2"/>
  </r>
  <r>
    <s v="ORD11917"/>
    <d v="2025-12-18T00:00:00"/>
    <x v="4"/>
    <x v="4"/>
    <x v="3"/>
    <x v="2"/>
    <n v="7"/>
    <n v="180"/>
    <n v="243"/>
    <x v="63"/>
    <n v="1493.44"/>
    <x v="1843"/>
    <n v="20752.199999999997"/>
    <n v="1260"/>
    <n v="15.631026355260339"/>
    <x v="11"/>
    <x v="1"/>
  </r>
  <r>
    <s v="ORD10353"/>
    <d v="2025-12-19T00:00:00"/>
    <x v="3"/>
    <x v="3"/>
    <x v="2"/>
    <x v="1"/>
    <n v="10"/>
    <n v="4500"/>
    <n v="5220"/>
    <x v="1227"/>
    <n v="44212.31"/>
    <x v="1844"/>
    <n v="798660"/>
    <n v="45000"/>
    <n v="-1.7816078825105501"/>
    <x v="11"/>
    <x v="2"/>
  </r>
  <r>
    <s v="ORD10717"/>
    <d v="2025-12-19T00:00:00"/>
    <x v="19"/>
    <x v="19"/>
    <x v="0"/>
    <x v="2"/>
    <n v="8"/>
    <n v="350"/>
    <n v="455"/>
    <x v="1228"/>
    <n v="3623.43"/>
    <x v="1845"/>
    <n v="1674.4"/>
    <n v="2800"/>
    <n v="22.725152686818841"/>
    <x v="11"/>
    <x v="1"/>
  </r>
  <r>
    <s v="ORD10942"/>
    <d v="2025-12-19T00:00:00"/>
    <x v="5"/>
    <x v="5"/>
    <x v="3"/>
    <x v="3"/>
    <n v="1"/>
    <n v="2500"/>
    <n v="2875"/>
    <x v="1229"/>
    <n v="2291.2800000000002"/>
    <x v="1846"/>
    <n v="58362.5"/>
    <n v="2500"/>
    <n v="-9.109318808700813"/>
    <x v="11"/>
    <x v="2"/>
  </r>
  <r>
    <s v="ORD10380"/>
    <d v="2025-12-20T00:00:00"/>
    <x v="9"/>
    <x v="9"/>
    <x v="2"/>
    <x v="0"/>
    <n v="8"/>
    <n v="3000"/>
    <n v="3600"/>
    <x v="1230"/>
    <n v="23938.52"/>
    <x v="1847"/>
    <n v="486144"/>
    <n v="24000"/>
    <n v="-0.2568245655955339"/>
    <x v="11"/>
    <x v="2"/>
  </r>
  <r>
    <s v="ORD10594"/>
    <d v="2025-12-20T00:00:00"/>
    <x v="11"/>
    <x v="11"/>
    <x v="0"/>
    <x v="1"/>
    <n v="8"/>
    <n v="900"/>
    <n v="1152"/>
    <x v="1231"/>
    <n v="7265.46"/>
    <x v="1848"/>
    <n v="195010.56"/>
    <n v="7200"/>
    <n v="0.9009752995680933"/>
    <x v="11"/>
    <x v="0"/>
  </r>
  <r>
    <s v="ORD10798"/>
    <d v="2025-12-20T00:00:00"/>
    <x v="0"/>
    <x v="0"/>
    <x v="0"/>
    <x v="3"/>
    <n v="6"/>
    <n v="500"/>
    <n v="610"/>
    <x v="1232"/>
    <n v="3117.15"/>
    <x v="1849"/>
    <n v="54277.8"/>
    <n v="3000"/>
    <n v="3.758240700640008"/>
    <x v="11"/>
    <x v="0"/>
  </r>
  <r>
    <s v="ORD11058"/>
    <d v="2025-12-20T00:00:00"/>
    <x v="8"/>
    <x v="8"/>
    <x v="2"/>
    <x v="3"/>
    <n v="4"/>
    <n v="900"/>
    <n v="1170"/>
    <x v="329"/>
    <n v="4017.59"/>
    <x v="1850"/>
    <n v="66222"/>
    <n v="3600"/>
    <n v="10.394042199428014"/>
    <x v="11"/>
    <x v="1"/>
  </r>
  <r>
    <s v="ORD11145"/>
    <d v="2025-12-20T00:00:00"/>
    <x v="19"/>
    <x v="19"/>
    <x v="0"/>
    <x v="3"/>
    <n v="10"/>
    <n v="350"/>
    <n v="455"/>
    <x v="222"/>
    <n v="4158.72"/>
    <x v="1851"/>
    <n v="39130"/>
    <n v="3500"/>
    <n v="15.839489073561094"/>
    <x v="11"/>
    <x v="1"/>
  </r>
  <r>
    <s v="ORD11159"/>
    <d v="2025-12-20T00:00:00"/>
    <x v="13"/>
    <x v="13"/>
    <x v="6"/>
    <x v="1"/>
    <n v="9"/>
    <n v="900"/>
    <n v="1170"/>
    <x v="1233"/>
    <n v="7987.79"/>
    <x v="1852"/>
    <n v="254194.2"/>
    <n v="8100"/>
    <n v="-1.4047690287300991"/>
    <x v="11"/>
    <x v="2"/>
  </r>
  <r>
    <s v="ORD11183"/>
    <d v="2025-12-20T00:00:00"/>
    <x v="19"/>
    <x v="19"/>
    <x v="0"/>
    <x v="1"/>
    <n v="4"/>
    <n v="350"/>
    <n v="455"/>
    <x v="387"/>
    <n v="1631.18"/>
    <x v="1853"/>
    <n v="18873.399999999998"/>
    <n v="1400"/>
    <n v="14.172562194239752"/>
    <x v="11"/>
    <x v="1"/>
  </r>
  <r>
    <s v="ORD11370"/>
    <d v="2025-12-20T00:00:00"/>
    <x v="16"/>
    <x v="16"/>
    <x v="0"/>
    <x v="0"/>
    <n v="1"/>
    <n v="1100"/>
    <n v="1298"/>
    <x v="1163"/>
    <n v="1247.3599999999999"/>
    <x v="788"/>
    <n v="5062.2"/>
    <n v="1100"/>
    <n v="11.813750641354542"/>
    <x v="11"/>
    <x v="1"/>
  </r>
  <r>
    <s v="ORD11668"/>
    <d v="2025-12-20T00:00:00"/>
    <x v="6"/>
    <x v="6"/>
    <x v="4"/>
    <x v="1"/>
    <n v="7"/>
    <n v="1800"/>
    <n v="2124"/>
    <x v="1234"/>
    <n v="13756.23"/>
    <x v="1854"/>
    <n v="111212.64"/>
    <n v="12600"/>
    <n v="8.4051371633070993"/>
    <x v="11"/>
    <x v="0"/>
  </r>
  <r>
    <s v="ORD11759"/>
    <d v="2025-12-20T00:00:00"/>
    <x v="8"/>
    <x v="8"/>
    <x v="2"/>
    <x v="1"/>
    <n v="5"/>
    <n v="900"/>
    <n v="1170"/>
    <x v="1144"/>
    <n v="4950.71"/>
    <x v="1855"/>
    <n v="89914.5"/>
    <n v="4500"/>
    <n v="9.1039467066339981"/>
    <x v="11"/>
    <x v="0"/>
  </r>
  <r>
    <s v="ORD10787"/>
    <d v="2025-12-21T00:00:00"/>
    <x v="15"/>
    <x v="15"/>
    <x v="0"/>
    <x v="0"/>
    <n v="3"/>
    <n v="550"/>
    <n v="742.5"/>
    <x v="935"/>
    <n v="1834.95"/>
    <x v="1441"/>
    <n v="39248.550000000003"/>
    <n v="1650"/>
    <n v="10.079293713725168"/>
    <x v="11"/>
    <x v="1"/>
  </r>
  <r>
    <s v="ORD10928"/>
    <d v="2025-12-21T00:00:00"/>
    <x v="10"/>
    <x v="10"/>
    <x v="4"/>
    <x v="1"/>
    <n v="7"/>
    <n v="3200"/>
    <n v="3840"/>
    <x v="27"/>
    <n v="25804.799999999999"/>
    <x v="115"/>
    <n v="107520"/>
    <n v="22400"/>
    <n v="13.194444444444445"/>
    <x v="11"/>
    <x v="1"/>
  </r>
  <r>
    <s v="ORD11299"/>
    <d v="2025-12-21T00:00:00"/>
    <x v="6"/>
    <x v="6"/>
    <x v="4"/>
    <x v="0"/>
    <n v="2"/>
    <n v="1800"/>
    <n v="2124"/>
    <x v="860"/>
    <n v="3507.38"/>
    <x v="1856"/>
    <n v="74042.64"/>
    <n v="3600"/>
    <n v="-2.6407175726610745"/>
    <x v="11"/>
    <x v="2"/>
  </r>
  <r>
    <s v="ORD11439"/>
    <d v="2025-12-21T00:00:00"/>
    <x v="0"/>
    <x v="0"/>
    <x v="0"/>
    <x v="1"/>
    <n v="9"/>
    <n v="500"/>
    <n v="610"/>
    <x v="902"/>
    <n v="5284.55"/>
    <x v="1857"/>
    <n v="20532.600000000002"/>
    <n v="4500"/>
    <n v="14.84610799405815"/>
    <x v="11"/>
    <x v="1"/>
  </r>
  <r>
    <s v="ORD11647"/>
    <d v="2025-12-21T00:00:00"/>
    <x v="3"/>
    <x v="3"/>
    <x v="2"/>
    <x v="1"/>
    <n v="7"/>
    <n v="4500"/>
    <n v="5220"/>
    <x v="904"/>
    <n v="31315.96"/>
    <x v="1858"/>
    <n v="522522"/>
    <n v="31500"/>
    <n v="-0.58768755612154311"/>
    <x v="11"/>
    <x v="2"/>
  </r>
  <r>
    <s v="ORD10452"/>
    <d v="2025-12-22T00:00:00"/>
    <x v="11"/>
    <x v="11"/>
    <x v="0"/>
    <x v="2"/>
    <n v="6"/>
    <n v="900"/>
    <n v="1152"/>
    <x v="1235"/>
    <n v="5960.73"/>
    <x v="1859"/>
    <n v="95109.119999999995"/>
    <n v="5400"/>
    <n v="9.4070692683614254"/>
    <x v="11"/>
    <x v="0"/>
  </r>
  <r>
    <s v="ORD10509"/>
    <d v="2025-12-22T00:00:00"/>
    <x v="6"/>
    <x v="6"/>
    <x v="4"/>
    <x v="2"/>
    <n v="1"/>
    <n v="1800"/>
    <n v="2124"/>
    <x v="1236"/>
    <n v="1693.38"/>
    <x v="1860"/>
    <n v="43053.479999999996"/>
    <n v="1800"/>
    <n v="-6.2962831732983737"/>
    <x v="11"/>
    <x v="2"/>
  </r>
  <r>
    <s v="ORD11474"/>
    <d v="2025-12-22T00:00:00"/>
    <x v="12"/>
    <x v="12"/>
    <x v="2"/>
    <x v="0"/>
    <n v="6"/>
    <n v="6500"/>
    <n v="8125"/>
    <x v="1237"/>
    <n v="38112.089999999997"/>
    <x v="1861"/>
    <n v="1063725"/>
    <n v="39000"/>
    <n v="-2.3297331634134997"/>
    <x v="11"/>
    <x v="2"/>
  </r>
  <r>
    <s v="ORD11497"/>
    <d v="2025-12-22T00:00:00"/>
    <x v="19"/>
    <x v="19"/>
    <x v="0"/>
    <x v="1"/>
    <n v="4"/>
    <n v="350"/>
    <n v="455"/>
    <x v="1238"/>
    <n v="1367.65"/>
    <x v="1862"/>
    <n v="45227"/>
    <n v="1400"/>
    <n v="-2.3653712572661134"/>
    <x v="11"/>
    <x v="2"/>
  </r>
  <r>
    <s v="ORD10872"/>
    <d v="2025-12-23T00:00:00"/>
    <x v="16"/>
    <x v="16"/>
    <x v="0"/>
    <x v="3"/>
    <n v="9"/>
    <n v="1100"/>
    <n v="1298"/>
    <x v="438"/>
    <n v="10358.92"/>
    <x v="1863"/>
    <n v="132357.06"/>
    <n v="9900"/>
    <n v="4.4301915643715759"/>
    <x v="11"/>
    <x v="0"/>
  </r>
  <r>
    <s v="ORD11040"/>
    <d v="2025-12-23T00:00:00"/>
    <x v="19"/>
    <x v="19"/>
    <x v="0"/>
    <x v="1"/>
    <n v="8"/>
    <n v="350"/>
    <n v="455"/>
    <x v="1239"/>
    <n v="3130.59"/>
    <x v="1864"/>
    <n v="50923.6"/>
    <n v="2800"/>
    <n v="10.559990289370374"/>
    <x v="11"/>
    <x v="1"/>
  </r>
  <r>
    <s v="ORD11121"/>
    <d v="2025-12-23T00:00:00"/>
    <x v="10"/>
    <x v="10"/>
    <x v="4"/>
    <x v="0"/>
    <n v="6"/>
    <n v="3200"/>
    <n v="3840"/>
    <x v="1240"/>
    <n v="21922.09"/>
    <x v="1865"/>
    <n v="111743.99999999999"/>
    <n v="19200"/>
    <n v="12.41710986498094"/>
    <x v="11"/>
    <x v="1"/>
  </r>
  <r>
    <s v="ORD11656"/>
    <d v="2025-12-23T00:00:00"/>
    <x v="11"/>
    <x v="11"/>
    <x v="0"/>
    <x v="2"/>
    <n v="9"/>
    <n v="900"/>
    <n v="1152"/>
    <x v="1113"/>
    <n v="9025.5300000000007"/>
    <x v="1866"/>
    <n v="134265.60000000001"/>
    <n v="8100"/>
    <n v="10.254577847505907"/>
    <x v="11"/>
    <x v="1"/>
  </r>
  <r>
    <s v="ORD11821"/>
    <d v="2025-12-23T00:00:00"/>
    <x v="7"/>
    <x v="7"/>
    <x v="5"/>
    <x v="1"/>
    <n v="4"/>
    <n v="300"/>
    <n v="405"/>
    <x v="268"/>
    <n v="1446.21"/>
    <x v="1867"/>
    <n v="17382.600000000002"/>
    <n v="1200"/>
    <n v="17.024498516812912"/>
    <x v="11"/>
    <x v="1"/>
  </r>
  <r>
    <s v="ORD11842"/>
    <d v="2025-12-23T00:00:00"/>
    <x v="9"/>
    <x v="9"/>
    <x v="2"/>
    <x v="3"/>
    <n v="9"/>
    <n v="3000"/>
    <n v="3600"/>
    <x v="1241"/>
    <n v="24339.62"/>
    <x v="1868"/>
    <n v="806112"/>
    <n v="27000"/>
    <n v="-10.93024459708081"/>
    <x v="11"/>
    <x v="2"/>
  </r>
  <r>
    <s v="ORD11874"/>
    <d v="2025-12-23T00:00:00"/>
    <x v="6"/>
    <x v="6"/>
    <x v="4"/>
    <x v="0"/>
    <n v="7"/>
    <n v="1800"/>
    <n v="2124"/>
    <x v="27"/>
    <n v="14273.28"/>
    <x v="201"/>
    <n v="59472"/>
    <n v="12600"/>
    <n v="11.723163841807908"/>
    <x v="11"/>
    <x v="1"/>
  </r>
  <r>
    <s v="ORD11297"/>
    <d v="2025-12-24T00:00:00"/>
    <x v="9"/>
    <x v="9"/>
    <x v="2"/>
    <x v="1"/>
    <n v="2"/>
    <n v="3000"/>
    <n v="3600"/>
    <x v="1242"/>
    <n v="5625.36"/>
    <x v="1869"/>
    <n v="157464"/>
    <n v="6000"/>
    <n v="-6.6598404368787074"/>
    <x v="11"/>
    <x v="2"/>
  </r>
  <r>
    <s v="ORD11309"/>
    <d v="2025-12-24T00:00:00"/>
    <x v="17"/>
    <x v="17"/>
    <x v="0"/>
    <x v="2"/>
    <n v="9"/>
    <n v="8500"/>
    <n v="9520"/>
    <x v="382"/>
    <n v="75103.16"/>
    <x v="1870"/>
    <n v="1057291.2"/>
    <n v="76500"/>
    <n v="-1.859895109606573"/>
    <x v="11"/>
    <x v="2"/>
  </r>
  <r>
    <s v="ORD11316"/>
    <d v="2025-12-24T00:00:00"/>
    <x v="2"/>
    <x v="2"/>
    <x v="0"/>
    <x v="1"/>
    <n v="7"/>
    <n v="6500"/>
    <n v="7150"/>
    <x v="1243"/>
    <n v="40499.89"/>
    <x v="1871"/>
    <n v="954953.99999999988"/>
    <n v="45500"/>
    <n v="-12.345984149586577"/>
    <x v="11"/>
    <x v="2"/>
  </r>
  <r>
    <s v="ORD11661"/>
    <d v="2025-12-24T00:00:00"/>
    <x v="15"/>
    <x v="15"/>
    <x v="0"/>
    <x v="2"/>
    <n v="9"/>
    <n v="550"/>
    <n v="742.5"/>
    <x v="1244"/>
    <n v="5002.41"/>
    <x v="1872"/>
    <n v="167998.05000000002"/>
    <n v="4950"/>
    <n v="1.0476950110046956"/>
    <x v="11"/>
    <x v="0"/>
  </r>
  <r>
    <s v="ORD10153"/>
    <d v="2025-12-25T00:00:00"/>
    <x v="16"/>
    <x v="16"/>
    <x v="0"/>
    <x v="1"/>
    <n v="2"/>
    <n v="1100"/>
    <n v="1298"/>
    <x v="1245"/>
    <n v="2275.89"/>
    <x v="1873"/>
    <n v="32008.68"/>
    <n v="2200"/>
    <n v="3.334519682409959"/>
    <x v="11"/>
    <x v="0"/>
  </r>
  <r>
    <s v="ORD10416"/>
    <d v="2025-12-25T00:00:00"/>
    <x v="15"/>
    <x v="15"/>
    <x v="0"/>
    <x v="0"/>
    <n v="5"/>
    <n v="550"/>
    <n v="742.5"/>
    <x v="344"/>
    <n v="3573.28"/>
    <x v="1874"/>
    <n v="13921.875"/>
    <n v="2750"/>
    <n v="23.039896117852503"/>
    <x v="11"/>
    <x v="1"/>
  </r>
  <r>
    <s v="ORD10482"/>
    <d v="2025-12-25T00:00:00"/>
    <x v="5"/>
    <x v="5"/>
    <x v="3"/>
    <x v="3"/>
    <n v="5"/>
    <n v="2500"/>
    <n v="2875"/>
    <x v="732"/>
    <n v="12824.73"/>
    <x v="1875"/>
    <n v="154962.5"/>
    <n v="12500"/>
    <n v="2.5320611038205096"/>
    <x v="11"/>
    <x v="0"/>
  </r>
  <r>
    <s v="ORD11153"/>
    <d v="2025-12-25T00:00:00"/>
    <x v="19"/>
    <x v="19"/>
    <x v="0"/>
    <x v="3"/>
    <n v="10"/>
    <n v="350"/>
    <n v="455"/>
    <x v="118"/>
    <n v="3992.64"/>
    <x v="1876"/>
    <n v="55737.5"/>
    <n v="3500"/>
    <n v="12.338703213913602"/>
    <x v="11"/>
    <x v="1"/>
  </r>
  <r>
    <s v="ORD11436"/>
    <d v="2025-12-25T00:00:00"/>
    <x v="19"/>
    <x v="19"/>
    <x v="0"/>
    <x v="2"/>
    <n v="5"/>
    <n v="350"/>
    <n v="455"/>
    <x v="1246"/>
    <n v="2089.64"/>
    <x v="1877"/>
    <n v="18541.25"/>
    <n v="1750"/>
    <n v="16.253517352271203"/>
    <x v="11"/>
    <x v="1"/>
  </r>
  <r>
    <s v="ORD11732"/>
    <d v="2025-12-25T00:00:00"/>
    <x v="11"/>
    <x v="11"/>
    <x v="0"/>
    <x v="2"/>
    <n v="7"/>
    <n v="900"/>
    <n v="1152"/>
    <x v="1247"/>
    <n v="7519.97"/>
    <x v="1878"/>
    <n v="54432"/>
    <n v="6300"/>
    <n v="16.22307003884324"/>
    <x v="11"/>
    <x v="1"/>
  </r>
  <r>
    <s v="ORD10029"/>
    <d v="2025-12-26T00:00:00"/>
    <x v="16"/>
    <x v="16"/>
    <x v="0"/>
    <x v="1"/>
    <n v="6"/>
    <n v="1100"/>
    <n v="1298"/>
    <x v="1248"/>
    <n v="6805.68"/>
    <x v="1879"/>
    <n v="98206.68"/>
    <n v="6600"/>
    <n v="3.0221814719469617"/>
    <x v="11"/>
    <x v="0"/>
  </r>
  <r>
    <s v="ORD10273"/>
    <d v="2025-12-26T00:00:00"/>
    <x v="10"/>
    <x v="10"/>
    <x v="4"/>
    <x v="1"/>
    <n v="1"/>
    <n v="3200"/>
    <n v="3840"/>
    <x v="1206"/>
    <n v="3266.37"/>
    <x v="1880"/>
    <n v="57369.599999999999"/>
    <n v="3200"/>
    <n v="2.0319192253174014"/>
    <x v="11"/>
    <x v="0"/>
  </r>
  <r>
    <s v="ORD10326"/>
    <d v="2025-12-26T00:00:00"/>
    <x v="8"/>
    <x v="8"/>
    <x v="2"/>
    <x v="0"/>
    <n v="4"/>
    <n v="900"/>
    <n v="1170"/>
    <x v="9"/>
    <n v="4680"/>
    <x v="1881"/>
    <n v="0"/>
    <n v="3600"/>
    <n v="23.076923076923077"/>
    <x v="11"/>
    <x v="1"/>
  </r>
  <r>
    <s v="ORD11067"/>
    <d v="2025-12-26T00:00:00"/>
    <x v="3"/>
    <x v="3"/>
    <x v="2"/>
    <x v="3"/>
    <n v="3"/>
    <n v="4500"/>
    <n v="5220"/>
    <x v="147"/>
    <n v="13919.2"/>
    <x v="1882"/>
    <n v="174139.19999999998"/>
    <n v="13500"/>
    <n v="3.0116673372032872"/>
    <x v="11"/>
    <x v="0"/>
  </r>
  <r>
    <s v="ORD11588"/>
    <d v="2025-12-26T00:00:00"/>
    <x v="14"/>
    <x v="14"/>
    <x v="3"/>
    <x v="0"/>
    <n v="7"/>
    <n v="1200"/>
    <n v="1464"/>
    <x v="357"/>
    <n v="9680.94"/>
    <x v="1883"/>
    <n v="56671.44"/>
    <n v="8400"/>
    <n v="13.231566356159629"/>
    <x v="11"/>
    <x v="1"/>
  </r>
  <r>
    <s v="ORD11702"/>
    <d v="2025-12-26T00:00:00"/>
    <x v="18"/>
    <x v="18"/>
    <x v="1"/>
    <x v="3"/>
    <n v="4"/>
    <n v="80"/>
    <n v="116"/>
    <x v="1014"/>
    <n v="425.42"/>
    <x v="1884"/>
    <n v="3860.48"/>
    <n v="320"/>
    <n v="24.780217197122841"/>
    <x v="11"/>
    <x v="1"/>
  </r>
  <r>
    <s v="ORD10049"/>
    <d v="2025-12-27T00:00:00"/>
    <x v="0"/>
    <x v="0"/>
    <x v="0"/>
    <x v="2"/>
    <n v="2"/>
    <n v="500"/>
    <n v="610"/>
    <x v="1249"/>
    <n v="1015.96"/>
    <x v="1885"/>
    <n v="20398.399999999998"/>
    <n v="1000"/>
    <n v="1.5709279892909169"/>
    <x v="11"/>
    <x v="0"/>
  </r>
  <r>
    <s v="ORD10851"/>
    <d v="2025-12-27T00:00:00"/>
    <x v="18"/>
    <x v="18"/>
    <x v="1"/>
    <x v="3"/>
    <n v="10"/>
    <n v="80"/>
    <n v="116"/>
    <x v="1191"/>
    <n v="1117.29"/>
    <x v="1886"/>
    <n v="4268.8"/>
    <n v="800"/>
    <n v="28.398177733623324"/>
    <x v="11"/>
    <x v="1"/>
  </r>
  <r>
    <s v="ORD10887"/>
    <d v="2025-12-27T00:00:00"/>
    <x v="6"/>
    <x v="6"/>
    <x v="4"/>
    <x v="0"/>
    <n v="9"/>
    <n v="1800"/>
    <n v="2124"/>
    <x v="247"/>
    <n v="17317.25"/>
    <x v="1887"/>
    <n v="179881.56"/>
    <n v="16200"/>
    <n v="6.4516594724913015"/>
    <x v="11"/>
    <x v="0"/>
  </r>
  <r>
    <s v="ORD10910"/>
    <d v="2025-12-27T00:00:00"/>
    <x v="2"/>
    <x v="2"/>
    <x v="0"/>
    <x v="3"/>
    <n v="10"/>
    <n v="6500"/>
    <n v="7150"/>
    <x v="27"/>
    <n v="68640"/>
    <x v="1888"/>
    <n v="286000"/>
    <n v="65000"/>
    <n v="5.3030303030303028"/>
    <x v="11"/>
    <x v="0"/>
  </r>
  <r>
    <s v="ORD11373"/>
    <d v="2025-12-27T00:00:00"/>
    <x v="17"/>
    <x v="17"/>
    <x v="0"/>
    <x v="3"/>
    <n v="6"/>
    <n v="8500"/>
    <n v="9520"/>
    <x v="321"/>
    <n v="51999.71"/>
    <x v="1889"/>
    <n v="511795.20000000007"/>
    <n v="51000"/>
    <n v="1.9225299525708894"/>
    <x v="11"/>
    <x v="0"/>
  </r>
  <r>
    <s v="ORD11445"/>
    <d v="2025-12-27T00:00:00"/>
    <x v="7"/>
    <x v="7"/>
    <x v="5"/>
    <x v="0"/>
    <n v="4"/>
    <n v="300"/>
    <n v="405"/>
    <x v="1250"/>
    <n v="1373.61"/>
    <x v="1890"/>
    <n v="24640.2"/>
    <n v="1200"/>
    <n v="12.638958656387187"/>
    <x v="11"/>
    <x v="1"/>
  </r>
  <r>
    <s v="ORD11608"/>
    <d v="2025-12-27T00:00:00"/>
    <x v="7"/>
    <x v="7"/>
    <x v="5"/>
    <x v="2"/>
    <n v="3"/>
    <n v="300"/>
    <n v="405"/>
    <x v="9"/>
    <n v="1215"/>
    <x v="647"/>
    <n v="0"/>
    <n v="900"/>
    <n v="25.925925925925924"/>
    <x v="11"/>
    <x v="1"/>
  </r>
  <r>
    <s v="ORD11998"/>
    <d v="2025-12-27T00:00:00"/>
    <x v="4"/>
    <x v="4"/>
    <x v="3"/>
    <x v="2"/>
    <n v="2"/>
    <n v="180"/>
    <n v="243"/>
    <x v="14"/>
    <n v="420.59"/>
    <x v="1891"/>
    <n v="6541.56"/>
    <n v="360"/>
    <n v="14.405953541453673"/>
    <x v="11"/>
    <x v="1"/>
  </r>
  <r>
    <s v="ORD10368"/>
    <d v="2025-12-28T00:00:00"/>
    <x v="15"/>
    <x v="15"/>
    <x v="0"/>
    <x v="3"/>
    <n v="7"/>
    <n v="550"/>
    <n v="742.5"/>
    <x v="817"/>
    <n v="4930.42"/>
    <x v="1892"/>
    <n v="26715.149999999998"/>
    <n v="3850"/>
    <n v="21.91334612467092"/>
    <x v="11"/>
    <x v="1"/>
  </r>
  <r>
    <s v="ORD10379"/>
    <d v="2025-12-28T00:00:00"/>
    <x v="7"/>
    <x v="7"/>
    <x v="5"/>
    <x v="1"/>
    <n v="6"/>
    <n v="300"/>
    <n v="405"/>
    <x v="1018"/>
    <n v="2265.65"/>
    <x v="1893"/>
    <n v="16426.8"/>
    <n v="1800"/>
    <n v="20.552600798887735"/>
    <x v="11"/>
    <x v="1"/>
  </r>
  <r>
    <s v="ORD10924"/>
    <d v="2025-12-28T00:00:00"/>
    <x v="16"/>
    <x v="16"/>
    <x v="0"/>
    <x v="3"/>
    <n v="8"/>
    <n v="1100"/>
    <n v="1298"/>
    <x v="1251"/>
    <n v="8410.48"/>
    <x v="1894"/>
    <n v="197399.84000000003"/>
    <n v="8800"/>
    <n v="-4.6313646783536733"/>
    <x v="11"/>
    <x v="2"/>
  </r>
  <r>
    <s v="ORD11581"/>
    <d v="2025-12-28T00:00:00"/>
    <x v="11"/>
    <x v="11"/>
    <x v="0"/>
    <x v="1"/>
    <n v="9"/>
    <n v="900"/>
    <n v="1152"/>
    <x v="9"/>
    <n v="10368"/>
    <x v="1684"/>
    <n v="0"/>
    <n v="8100"/>
    <n v="21.875"/>
    <x v="11"/>
    <x v="1"/>
  </r>
  <r>
    <s v="ORD11677"/>
    <d v="2025-12-28T00:00:00"/>
    <x v="6"/>
    <x v="6"/>
    <x v="4"/>
    <x v="2"/>
    <n v="7"/>
    <n v="1800"/>
    <n v="2124"/>
    <x v="1252"/>
    <n v="11264.38"/>
    <x v="1895"/>
    <n v="360400.31999999995"/>
    <n v="12600"/>
    <n v="-11.857021868935529"/>
    <x v="11"/>
    <x v="2"/>
  </r>
  <r>
    <s v="ORD11781"/>
    <d v="2025-12-28T00:00:00"/>
    <x v="0"/>
    <x v="0"/>
    <x v="0"/>
    <x v="1"/>
    <n v="1"/>
    <n v="500"/>
    <n v="610"/>
    <x v="1253"/>
    <n v="532.61"/>
    <x v="1896"/>
    <n v="7740.9"/>
    <n v="500"/>
    <n v="6.1226788832353876"/>
    <x v="11"/>
    <x v="0"/>
  </r>
  <r>
    <s v="ORD10556"/>
    <d v="2025-12-29T00:00:00"/>
    <x v="9"/>
    <x v="9"/>
    <x v="2"/>
    <x v="3"/>
    <n v="3"/>
    <n v="3000"/>
    <n v="3600"/>
    <x v="1254"/>
    <n v="9237.0400000000009"/>
    <x v="1897"/>
    <n v="156276"/>
    <n v="9000"/>
    <n v="2.5661900349029558"/>
    <x v="11"/>
    <x v="0"/>
  </r>
  <r>
    <s v="ORD10683"/>
    <d v="2025-12-29T00:00:00"/>
    <x v="4"/>
    <x v="4"/>
    <x v="3"/>
    <x v="1"/>
    <n v="7"/>
    <n v="180"/>
    <n v="243"/>
    <x v="1057"/>
    <n v="1285.23"/>
    <x v="1898"/>
    <n v="41572.44"/>
    <n v="1260"/>
    <n v="1.9630727574052893"/>
    <x v="11"/>
    <x v="0"/>
  </r>
  <r>
    <s v="ORD10950"/>
    <d v="2025-12-29T00:00:00"/>
    <x v="8"/>
    <x v="8"/>
    <x v="2"/>
    <x v="3"/>
    <n v="6"/>
    <n v="900"/>
    <n v="1170"/>
    <x v="470"/>
    <n v="6137.9"/>
    <x v="1899"/>
    <n v="88241.400000000009"/>
    <n v="5400"/>
    <n v="12.022027077664999"/>
    <x v="11"/>
    <x v="1"/>
  </r>
  <r>
    <s v="ORD11107"/>
    <d v="2025-12-29T00:00:00"/>
    <x v="11"/>
    <x v="11"/>
    <x v="0"/>
    <x v="3"/>
    <n v="7"/>
    <n v="900"/>
    <n v="1152"/>
    <x v="1255"/>
    <n v="6719.65"/>
    <x v="1900"/>
    <n v="134426.88"/>
    <n v="6300"/>
    <n v="6.2451169331736027"/>
    <x v="11"/>
    <x v="0"/>
  </r>
  <r>
    <s v="ORD10031"/>
    <d v="2025-12-30T00:00:00"/>
    <x v="12"/>
    <x v="12"/>
    <x v="2"/>
    <x v="2"/>
    <n v="9"/>
    <n v="6500"/>
    <n v="8125"/>
    <x v="1256"/>
    <n v="58988.41"/>
    <x v="1901"/>
    <n v="1413506.2499999998"/>
    <n v="58500"/>
    <n v="0.82797620752958068"/>
    <x v="11"/>
    <x v="0"/>
  </r>
  <r>
    <s v="ORD10373"/>
    <d v="2025-12-30T00:00:00"/>
    <x v="10"/>
    <x v="10"/>
    <x v="4"/>
    <x v="2"/>
    <n v="10"/>
    <n v="3200"/>
    <n v="3840"/>
    <x v="620"/>
    <n v="32418.31"/>
    <x v="1902"/>
    <n v="598272"/>
    <n v="32000"/>
    <n v="1.2903510392737931"/>
    <x v="11"/>
    <x v="0"/>
  </r>
  <r>
    <s v="ORD10525"/>
    <d v="2025-12-30T00:00:00"/>
    <x v="4"/>
    <x v="4"/>
    <x v="3"/>
    <x v="1"/>
    <n v="4"/>
    <n v="180"/>
    <n v="243"/>
    <x v="480"/>
    <n v="930.91"/>
    <x v="1903"/>
    <n v="4111.5600000000004"/>
    <n v="720"/>
    <n v="22.656325530932101"/>
    <x v="11"/>
    <x v="1"/>
  </r>
  <r>
    <s v="ORD10533"/>
    <d v="2025-12-30T00:00:00"/>
    <x v="12"/>
    <x v="12"/>
    <x v="2"/>
    <x v="3"/>
    <n v="6"/>
    <n v="6500"/>
    <n v="8125"/>
    <x v="1257"/>
    <n v="39914.61"/>
    <x v="1904"/>
    <n v="883350"/>
    <n v="39000"/>
    <n v="2.2914166015902451"/>
    <x v="11"/>
    <x v="0"/>
  </r>
  <r>
    <s v="ORD10728"/>
    <d v="2025-12-30T00:00:00"/>
    <x v="15"/>
    <x v="15"/>
    <x v="0"/>
    <x v="3"/>
    <n v="1"/>
    <n v="550"/>
    <n v="742.5"/>
    <x v="1258"/>
    <n v="640.67999999999995"/>
    <x v="1905"/>
    <n v="10179.675000000001"/>
    <n v="550"/>
    <n v="14.15371168133858"/>
    <x v="11"/>
    <x v="1"/>
  </r>
  <r>
    <s v="ORD10729"/>
    <d v="2025-12-30T00:00:00"/>
    <x v="8"/>
    <x v="8"/>
    <x v="2"/>
    <x v="1"/>
    <n v="7"/>
    <n v="900"/>
    <n v="1170"/>
    <x v="678"/>
    <n v="6891.82"/>
    <x v="1906"/>
    <n v="129811.5"/>
    <n v="6300"/>
    <n v="8.5872817339976972"/>
    <x v="11"/>
    <x v="0"/>
  </r>
  <r>
    <s v="ORD11057"/>
    <d v="2025-12-30T00:00:00"/>
    <x v="12"/>
    <x v="12"/>
    <x v="2"/>
    <x v="0"/>
    <n v="1"/>
    <n v="6500"/>
    <n v="8125"/>
    <x v="1259"/>
    <n v="6822.66"/>
    <x v="1907"/>
    <n v="130243.75000000001"/>
    <n v="6500"/>
    <n v="4.729240501505279"/>
    <x v="11"/>
    <x v="0"/>
  </r>
  <r>
    <s v="ORD11422"/>
    <d v="2025-12-30T00:00:00"/>
    <x v="6"/>
    <x v="6"/>
    <x v="4"/>
    <x v="3"/>
    <n v="8"/>
    <n v="1800"/>
    <n v="2124"/>
    <x v="1260"/>
    <n v="14239.19"/>
    <x v="1908"/>
    <n v="275270.39999999997"/>
    <n v="14400"/>
    <n v="-1.1293479474604946"/>
    <x v="11"/>
    <x v="2"/>
  </r>
  <r>
    <s v="ORD11710"/>
    <d v="2025-12-30T00:00:00"/>
    <x v="2"/>
    <x v="2"/>
    <x v="0"/>
    <x v="1"/>
    <n v="6"/>
    <n v="6500"/>
    <n v="7150"/>
    <x v="963"/>
    <n v="36361.949999999997"/>
    <x v="1909"/>
    <n v="653796"/>
    <n v="39000"/>
    <n v="-7.2549739494169057"/>
    <x v="11"/>
    <x v="2"/>
  </r>
  <r>
    <s v="ORD10497"/>
    <d v="2025-12-31T00:00:00"/>
    <x v="11"/>
    <x v="11"/>
    <x v="0"/>
    <x v="0"/>
    <n v="8"/>
    <n v="900"/>
    <n v="1152"/>
    <x v="459"/>
    <n v="8367.7800000000007"/>
    <x v="1910"/>
    <n v="84787.199999999997"/>
    <n v="7200"/>
    <n v="13.955672830786659"/>
    <x v="11"/>
    <x v="1"/>
  </r>
  <r>
    <s v="ORD10679"/>
    <d v="2025-12-31T00:00:00"/>
    <x v="0"/>
    <x v="0"/>
    <x v="0"/>
    <x v="1"/>
    <n v="2"/>
    <n v="500"/>
    <n v="610"/>
    <x v="1261"/>
    <n v="1122"/>
    <x v="1911"/>
    <n v="9796.5999999999985"/>
    <n v="1000"/>
    <n v="10.873440285204991"/>
    <x v="11"/>
    <x v="1"/>
  </r>
  <r>
    <s v="ORD11098"/>
    <d v="2025-12-31T00:00:00"/>
    <x v="11"/>
    <x v="11"/>
    <x v="0"/>
    <x v="0"/>
    <n v="9"/>
    <n v="900"/>
    <n v="1152"/>
    <x v="1262"/>
    <n v="9063.2999999999993"/>
    <x v="1912"/>
    <n v="130429.44"/>
    <n v="8100"/>
    <n v="10.628578994406011"/>
    <x v="11"/>
    <x v="1"/>
  </r>
  <r>
    <s v="ORD11140"/>
    <d v="2025-12-31T00:00:00"/>
    <x v="17"/>
    <x v="17"/>
    <x v="0"/>
    <x v="2"/>
    <n v="10"/>
    <n v="8500"/>
    <n v="9520"/>
    <x v="663"/>
    <n v="77297.710000000006"/>
    <x v="1913"/>
    <n v="1789760"/>
    <n v="85000"/>
    <n v="-9.9644478471613187"/>
    <x v="11"/>
    <x v="2"/>
  </r>
  <r>
    <s v="ORD11224"/>
    <d v="2025-12-31T00:00:00"/>
    <x v="10"/>
    <x v="10"/>
    <x v="4"/>
    <x v="3"/>
    <n v="7"/>
    <n v="3200"/>
    <n v="3840"/>
    <x v="348"/>
    <n v="23956.49"/>
    <x v="1914"/>
    <n v="292454.40000000002"/>
    <n v="22400"/>
    <n v="6.4971537984070276"/>
    <x v="11"/>
    <x v="0"/>
  </r>
  <r>
    <s v="ORD11749"/>
    <d v="2025-12-31T00:00:00"/>
    <x v="13"/>
    <x v="13"/>
    <x v="6"/>
    <x v="3"/>
    <n v="5"/>
    <n v="900"/>
    <n v="1170"/>
    <x v="162"/>
    <n v="4749.24"/>
    <x v="1915"/>
    <n v="110097"/>
    <n v="4500"/>
    <n v="5.2479975743487381"/>
    <x v="11"/>
    <x v="0"/>
  </r>
  <r>
    <s v="ORD11809"/>
    <d v="2025-12-31T00:00:00"/>
    <x v="17"/>
    <x v="17"/>
    <x v="0"/>
    <x v="0"/>
    <n v="6"/>
    <n v="8500"/>
    <n v="9520"/>
    <x v="1263"/>
    <n v="46679.839999999997"/>
    <x v="1916"/>
    <n v="1044153.6000000001"/>
    <n v="51000"/>
    <n v="-9.2548731957950157"/>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CF320-BC03-43A5-899B-689034E63F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showAll="0"/>
    <pivotField numFmtId="14" showAll="0"/>
    <pivotField showAll="0">
      <items count="21">
        <item x="15"/>
        <item x="19"/>
        <item x="11"/>
        <item x="0"/>
        <item x="16"/>
        <item x="17"/>
        <item x="12"/>
        <item x="8"/>
        <item x="18"/>
        <item x="1"/>
        <item x="13"/>
        <item x="7"/>
        <item x="10"/>
        <item x="6"/>
        <item x="3"/>
        <item x="9"/>
        <item x="4"/>
        <item x="14"/>
        <item x="5"/>
        <item x="2"/>
        <item t="default"/>
      </items>
    </pivotField>
    <pivotField showAll="0"/>
    <pivotField showAll="0">
      <items count="8">
        <item h="1" x="3"/>
        <item h="1" x="4"/>
        <item h="1" x="6"/>
        <item h="1" x="0"/>
        <item x="2"/>
        <item h="1" x="5"/>
        <item h="1" x="1"/>
        <item t="default"/>
      </items>
    </pivotField>
    <pivotField showAll="0">
      <items count="5">
        <item h="1" x="3"/>
        <item h="1" x="0"/>
        <item x="1"/>
        <item h="1" x="2"/>
        <item t="default"/>
      </items>
    </pivotField>
    <pivotField dataField="1" showAll="0"/>
    <pivotField showAll="0"/>
    <pivotField showAll="0"/>
    <pivotField dataField="1" showAll="0">
      <items count="1265">
        <item x="9"/>
        <item x="922"/>
        <item x="466"/>
        <item x="1005"/>
        <item x="456"/>
        <item x="552"/>
        <item x="834"/>
        <item x="41"/>
        <item x="1228"/>
        <item x="619"/>
        <item x="691"/>
        <item x="966"/>
        <item x="303"/>
        <item x="1093"/>
        <item x="299"/>
        <item x="1157"/>
        <item x="913"/>
        <item x="892"/>
        <item x="141"/>
        <item x="64"/>
        <item x="910"/>
        <item x="673"/>
        <item x="1150"/>
        <item x="800"/>
        <item x="360"/>
        <item x="169"/>
        <item x="981"/>
        <item x="431"/>
        <item x="156"/>
        <item x="886"/>
        <item x="496"/>
        <item x="59"/>
        <item x="854"/>
        <item x="312"/>
        <item x="485"/>
        <item x="894"/>
        <item x="967"/>
        <item x="600"/>
        <item x="1164"/>
        <item x="351"/>
        <item x="1149"/>
        <item x="1003"/>
        <item x="927"/>
        <item x="178"/>
        <item x="1106"/>
        <item x="1155"/>
        <item x="958"/>
        <item x="105"/>
        <item x="1107"/>
        <item x="574"/>
        <item x="1216"/>
        <item x="1025"/>
        <item x="889"/>
        <item x="898"/>
        <item x="139"/>
        <item x="365"/>
        <item x="999"/>
        <item x="114"/>
        <item x="469"/>
        <item x="234"/>
        <item x="224"/>
        <item x="112"/>
        <item x="182"/>
        <item x="759"/>
        <item x="400"/>
        <item x="138"/>
        <item x="91"/>
        <item x="853"/>
        <item x="916"/>
        <item x="763"/>
        <item x="1028"/>
        <item x="477"/>
        <item x="119"/>
        <item x="1120"/>
        <item x="252"/>
        <item x="335"/>
        <item x="1083"/>
        <item x="453"/>
        <item x="838"/>
        <item x="1160"/>
        <item x="1049"/>
        <item x="969"/>
        <item x="726"/>
        <item x="403"/>
        <item x="1076"/>
        <item x="723"/>
        <item x="973"/>
        <item x="390"/>
        <item x="762"/>
        <item x="971"/>
        <item x="51"/>
        <item x="1080"/>
        <item x="1133"/>
        <item x="339"/>
        <item x="47"/>
        <item x="573"/>
        <item x="874"/>
        <item x="359"/>
        <item x="245"/>
        <item x="604"/>
        <item x="517"/>
        <item x="819"/>
        <item x="159"/>
        <item x="596"/>
        <item x="1191"/>
        <item x="1130"/>
        <item x="741"/>
        <item x="902"/>
        <item x="344"/>
        <item x="774"/>
        <item x="599"/>
        <item x="451"/>
        <item x="155"/>
        <item x="1069"/>
        <item x="425"/>
        <item x="1167"/>
        <item x="1163"/>
        <item x="1085"/>
        <item x="998"/>
        <item x="364"/>
        <item x="662"/>
        <item x="27"/>
        <item x="831"/>
        <item x="729"/>
        <item x="570"/>
        <item x="1073"/>
        <item x="322"/>
        <item x="699"/>
        <item x="627"/>
        <item x="520"/>
        <item x="1204"/>
        <item x="512"/>
        <item x="575"/>
        <item x="202"/>
        <item x="480"/>
        <item x="649"/>
        <item x="305"/>
        <item x="1131"/>
        <item x="226"/>
        <item x="350"/>
        <item x="1226"/>
        <item x="850"/>
        <item x="554"/>
        <item x="386"/>
        <item x="1211"/>
        <item x="134"/>
        <item x="1146"/>
        <item x="1089"/>
        <item x="497"/>
        <item x="639"/>
        <item x="97"/>
        <item x="215"/>
        <item x="445"/>
        <item x="406"/>
        <item x="410"/>
        <item x="276"/>
        <item x="1087"/>
        <item x="946"/>
        <item x="758"/>
        <item x="188"/>
        <item x="263"/>
        <item x="394"/>
        <item x="807"/>
        <item x="635"/>
        <item x="682"/>
        <item x="1048"/>
        <item x="158"/>
        <item x="502"/>
        <item x="369"/>
        <item x="1240"/>
        <item x="28"/>
        <item x="1166"/>
        <item x="1101"/>
        <item x="908"/>
        <item x="557"/>
        <item x="301"/>
        <item x="246"/>
        <item x="407"/>
        <item x="184"/>
        <item x="161"/>
        <item x="531"/>
        <item x="817"/>
        <item x="40"/>
        <item x="1021"/>
        <item x="75"/>
        <item x="896"/>
        <item x="405"/>
        <item x="67"/>
        <item x="48"/>
        <item x="1033"/>
        <item x="665"/>
        <item x="578"/>
        <item x="810"/>
        <item x="287"/>
        <item x="88"/>
        <item x="1058"/>
        <item x="744"/>
        <item x="429"/>
        <item x="165"/>
        <item x="777"/>
        <item x="357"/>
        <item x="385"/>
        <item x="1118"/>
        <item x="203"/>
        <item x="217"/>
        <item x="1034"/>
        <item x="462"/>
        <item x="433"/>
        <item x="127"/>
        <item x="633"/>
        <item x="700"/>
        <item x="272"/>
        <item x="82"/>
        <item x="547"/>
        <item x="1112"/>
        <item x="650"/>
        <item x="153"/>
        <item x="355"/>
        <item x="653"/>
        <item x="300"/>
        <item x="332"/>
        <item x="880"/>
        <item x="883"/>
        <item x="391"/>
        <item x="681"/>
        <item x="363"/>
        <item x="934"/>
        <item x="140"/>
        <item x="211"/>
        <item x="911"/>
        <item x="1162"/>
        <item x="513"/>
        <item x="463"/>
        <item x="541"/>
        <item x="695"/>
        <item x="330"/>
        <item x="536"/>
        <item x="1"/>
        <item x="509"/>
        <item x="783"/>
        <item x="296"/>
        <item x="779"/>
        <item x="1016"/>
        <item x="702"/>
        <item x="870"/>
        <item x="813"/>
        <item x="1175"/>
        <item x="92"/>
        <item x="1122"/>
        <item x="862"/>
        <item x="197"/>
        <item x="792"/>
        <item x="1139"/>
        <item x="1152"/>
        <item x="171"/>
        <item x="449"/>
        <item x="1208"/>
        <item x="624"/>
        <item x="849"/>
        <item x="551"/>
        <item x="733"/>
        <item x="227"/>
        <item x="833"/>
        <item x="765"/>
        <item x="528"/>
        <item x="33"/>
        <item x="6"/>
        <item x="991"/>
        <item x="707"/>
        <item x="8"/>
        <item x="1189"/>
        <item x="501"/>
        <item x="1247"/>
        <item x="1018"/>
        <item x="1198"/>
        <item x="697"/>
        <item x="561"/>
        <item x="1001"/>
        <item x="1095"/>
        <item x="661"/>
        <item x="1205"/>
        <item x="191"/>
        <item x="414"/>
        <item x="1223"/>
        <item x="708"/>
        <item x="1078"/>
        <item x="467"/>
        <item x="751"/>
        <item x="884"/>
        <item x="487"/>
        <item x="45"/>
        <item x="1019"/>
        <item x="235"/>
        <item x="1006"/>
        <item x="957"/>
        <item x="921"/>
        <item x="992"/>
        <item x="376"/>
        <item x="1008"/>
        <item x="280"/>
        <item x="987"/>
        <item x="1136"/>
        <item x="282"/>
        <item x="1148"/>
        <item x="1074"/>
        <item x="891"/>
        <item x="643"/>
        <item x="1172"/>
        <item x="606"/>
        <item x="483"/>
        <item x="236"/>
        <item x="534"/>
        <item x="318"/>
        <item x="890"/>
        <item x="104"/>
        <item x="530"/>
        <item x="157"/>
        <item x="968"/>
        <item x="258"/>
        <item x="277"/>
        <item x="1234"/>
        <item x="1013"/>
        <item x="1084"/>
        <item x="948"/>
        <item x="79"/>
        <item x="1047"/>
        <item x="471"/>
        <item x="1207"/>
        <item x="756"/>
        <item x="727"/>
        <item x="489"/>
        <item x="1173"/>
        <item x="605"/>
        <item x="1194"/>
        <item x="307"/>
        <item x="972"/>
        <item x="253"/>
        <item x="3"/>
        <item x="920"/>
        <item x="712"/>
        <item x="423"/>
        <item x="460"/>
        <item x="789"/>
        <item x="710"/>
        <item x="607"/>
        <item x="977"/>
        <item x="39"/>
        <item x="402"/>
        <item x="728"/>
        <item x="326"/>
        <item x="1000"/>
        <item x="325"/>
        <item x="331"/>
        <item x="899"/>
        <item x="974"/>
        <item x="204"/>
        <item x="646"/>
        <item x="1261"/>
        <item x="74"/>
        <item x="1119"/>
        <item x="44"/>
        <item x="24"/>
        <item x="1225"/>
        <item x="788"/>
        <item x="1179"/>
        <item x="1246"/>
        <item x="522"/>
        <item x="567"/>
        <item x="144"/>
        <item x="580"/>
        <item x="422"/>
        <item x="66"/>
        <item x="172"/>
        <item x="409"/>
        <item x="248"/>
        <item x="262"/>
        <item x="1014"/>
        <item x="143"/>
        <item x="581"/>
        <item x="116"/>
        <item x="562"/>
        <item x="929"/>
        <item x="7"/>
        <item x="990"/>
        <item x="418"/>
        <item x="87"/>
        <item x="1137"/>
        <item x="685"/>
        <item x="320"/>
        <item x="123"/>
        <item x="704"/>
        <item x="1200"/>
        <item x="136"/>
        <item x="284"/>
        <item x="222"/>
        <item x="577"/>
        <item x="1132"/>
        <item x="1077"/>
        <item x="818"/>
        <item x="441"/>
        <item x="1195"/>
        <item x="754"/>
        <item x="30"/>
        <item x="452"/>
        <item x="1185"/>
        <item x="1210"/>
        <item x="863"/>
        <item x="76"/>
        <item x="266"/>
        <item x="183"/>
        <item x="115"/>
        <item x="705"/>
        <item x="657"/>
        <item x="213"/>
        <item x="1135"/>
        <item x="1168"/>
        <item x="321"/>
        <item x="1068"/>
        <item x="55"/>
        <item x="1061"/>
        <item x="150"/>
        <item x="876"/>
        <item x="173"/>
        <item x="671"/>
        <item x="982"/>
        <item x="669"/>
        <item x="995"/>
        <item x="1128"/>
        <item x="219"/>
        <item x="932"/>
        <item x="591"/>
        <item x="459"/>
        <item x="698"/>
        <item x="828"/>
        <item x="437"/>
        <item x="361"/>
        <item x="1022"/>
        <item x="323"/>
        <item x="1088"/>
        <item x="1029"/>
        <item x="106"/>
        <item x="179"/>
        <item x="1180"/>
        <item x="1220"/>
        <item x="442"/>
        <item x="523"/>
        <item x="247"/>
        <item x="113"/>
        <item x="675"/>
        <item x="440"/>
        <item x="914"/>
        <item x="543"/>
        <item x="1224"/>
        <item x="590"/>
        <item x="486"/>
        <item x="412"/>
        <item x="0"/>
        <item x="516"/>
        <item x="955"/>
        <item x="893"/>
        <item x="941"/>
        <item x="594"/>
        <item x="49"/>
        <item x="816"/>
        <item x="621"/>
        <item x="274"/>
        <item x="940"/>
        <item x="1176"/>
        <item x="285"/>
        <item x="214"/>
        <item x="241"/>
        <item x="384"/>
        <item x="766"/>
        <item x="85"/>
        <item x="1170"/>
        <item x="841"/>
        <item x="89"/>
        <item x="1096"/>
        <item x="686"/>
        <item x="209"/>
        <item x="1026"/>
        <item x="302"/>
        <item x="595"/>
        <item x="730"/>
        <item x="760"/>
        <item x="256"/>
        <item x="434"/>
        <item x="86"/>
        <item x="945"/>
        <item x="798"/>
        <item x="660"/>
        <item x="835"/>
        <item x="735"/>
        <item x="130"/>
        <item x="867"/>
        <item x="65"/>
        <item x="618"/>
        <item x="612"/>
        <item x="926"/>
        <item x="271"/>
        <item x="1056"/>
        <item x="637"/>
        <item x="824"/>
        <item x="78"/>
        <item x="524"/>
        <item x="975"/>
        <item x="181"/>
        <item x="791"/>
        <item x="943"/>
        <item x="1053"/>
        <item x="387"/>
        <item x="189"/>
        <item x="611"/>
        <item x="21"/>
        <item x="770"/>
        <item x="378"/>
        <item x="237"/>
        <item x="212"/>
        <item x="842"/>
        <item x="965"/>
        <item x="420"/>
        <item x="396"/>
        <item x="231"/>
        <item x="1121"/>
        <item x="133"/>
        <item x="1063"/>
        <item x="866"/>
        <item x="34"/>
        <item x="416"/>
        <item x="985"/>
        <item x="980"/>
        <item x="1124"/>
        <item x="268"/>
        <item x="242"/>
        <item x="745"/>
        <item x="809"/>
        <item x="732"/>
        <item x="505"/>
        <item x="644"/>
        <item x="944"/>
        <item x="942"/>
        <item x="389"/>
        <item x="238"/>
        <item x="368"/>
        <item x="348"/>
        <item x="652"/>
        <item x="411"/>
        <item x="782"/>
        <item x="61"/>
        <item x="1070"/>
        <item x="843"/>
        <item x="790"/>
        <item x="220"/>
        <item x="495"/>
        <item x="372"/>
        <item x="776"/>
        <item x="333"/>
        <item x="121"/>
        <item x="626"/>
        <item x="207"/>
        <item x="174"/>
        <item x="428"/>
        <item x="556"/>
        <item x="601"/>
        <item x="147"/>
        <item x="793"/>
        <item x="734"/>
        <item x="1114"/>
        <item x="472"/>
        <item x="218"/>
        <item x="1174"/>
        <item x="292"/>
        <item x="328"/>
        <item x="622"/>
        <item x="265"/>
        <item x="960"/>
        <item x="444"/>
        <item x="938"/>
        <item x="311"/>
        <item x="933"/>
        <item x="749"/>
        <item x="438"/>
        <item x="925"/>
        <item x="354"/>
        <item x="806"/>
        <item x="962"/>
        <item x="1140"/>
        <item x="458"/>
        <item x="94"/>
        <item x="784"/>
        <item x="771"/>
        <item x="1010"/>
        <item x="1004"/>
        <item x="239"/>
        <item x="1035"/>
        <item x="585"/>
        <item x="492"/>
        <item x="917"/>
        <item x="474"/>
        <item x="903"/>
        <item x="597"/>
        <item x="1059"/>
        <item x="488"/>
        <item x="225"/>
        <item x="690"/>
        <item x="812"/>
        <item x="167"/>
        <item x="111"/>
        <item x="549"/>
        <item x="499"/>
        <item x="1097"/>
        <item x="1098"/>
        <item x="275"/>
        <item x="198"/>
        <item x="146"/>
        <item x="1127"/>
        <item x="128"/>
        <item x="393"/>
        <item x="327"/>
        <item x="548"/>
        <item x="703"/>
        <item x="752"/>
        <item x="1156"/>
        <item x="490"/>
        <item x="659"/>
        <item x="1020"/>
        <item x="714"/>
        <item x="244"/>
        <item x="1009"/>
        <item x="166"/>
        <item x="63"/>
        <item x="740"/>
        <item x="15"/>
        <item x="118"/>
        <item x="232"/>
        <item x="352"/>
        <item x="1219"/>
        <item x="755"/>
        <item x="1245"/>
        <item x="382"/>
        <item x="632"/>
        <item x="529"/>
        <item x="1213"/>
        <item x="821"/>
        <item x="13"/>
        <item x="475"/>
        <item x="107"/>
        <item x="545"/>
        <item x="830"/>
        <item x="559"/>
        <item x="525"/>
        <item x="628"/>
        <item x="1067"/>
        <item x="716"/>
        <item x="216"/>
        <item x="1050"/>
        <item x="470"/>
        <item x="1262"/>
        <item x="122"/>
        <item x="1248"/>
        <item x="42"/>
        <item x="1032"/>
        <item x="950"/>
        <item x="1051"/>
        <item x="1012"/>
        <item x="1109"/>
        <item x="1253"/>
        <item x="1079"/>
        <item x="154"/>
        <item x="306"/>
        <item x="897"/>
        <item x="293"/>
        <item x="413"/>
        <item x="550"/>
        <item x="881"/>
        <item x="1043"/>
        <item x="918"/>
        <item x="31"/>
        <item x="1046"/>
        <item x="840"/>
        <item x="1113"/>
        <item x="857"/>
        <item x="233"/>
        <item x="375"/>
        <item x="1196"/>
        <item x="514"/>
        <item x="52"/>
        <item x="1199"/>
        <item x="137"/>
        <item x="421"/>
        <item x="269"/>
        <item x="864"/>
        <item x="398"/>
        <item x="473"/>
        <item x="373"/>
        <item x="1100"/>
        <item x="997"/>
        <item x="125"/>
        <item x="747"/>
        <item x="692"/>
        <item x="108"/>
        <item x="647"/>
        <item x="482"/>
        <item x="343"/>
        <item x="493"/>
        <item x="23"/>
        <item x="526"/>
        <item x="1024"/>
        <item x="297"/>
        <item x="928"/>
        <item x="291"/>
        <item x="491"/>
        <item x="14"/>
        <item x="401"/>
        <item x="1115"/>
        <item x="383"/>
        <item x="553"/>
        <item x="56"/>
        <item x="757"/>
        <item x="424"/>
        <item x="811"/>
        <item x="1153"/>
        <item x="1258"/>
        <item x="229"/>
        <item x="98"/>
        <item x="1235"/>
        <item x="638"/>
        <item x="46"/>
        <item x="540"/>
        <item x="670"/>
        <item x="566"/>
        <item x="1037"/>
        <item x="630"/>
        <item x="478"/>
        <item x="399"/>
        <item x="448"/>
        <item x="855"/>
        <item x="746"/>
        <item x="168"/>
        <item x="694"/>
        <item x="1202"/>
        <item x="1239"/>
        <item x="873"/>
        <item x="872"/>
        <item x="80"/>
        <item x="38"/>
        <item x="869"/>
        <item x="748"/>
        <item x="959"/>
        <item x="250"/>
        <item x="381"/>
        <item x="724"/>
        <item x="395"/>
        <item x="329"/>
        <item x="772"/>
        <item x="193"/>
        <item x="347"/>
        <item x="560"/>
        <item x="1165"/>
        <item x="923"/>
        <item x="124"/>
        <item x="1040"/>
        <item x="904"/>
        <item x="882"/>
        <item x="1090"/>
        <item x="583"/>
        <item x="979"/>
        <item x="83"/>
        <item x="535"/>
        <item x="569"/>
        <item x="713"/>
        <item x="1254"/>
        <item x="201"/>
        <item x="801"/>
        <item x="35"/>
        <item x="68"/>
        <item x="617"/>
        <item x="542"/>
        <item x="417"/>
        <item x="286"/>
        <item x="718"/>
        <item x="187"/>
        <item x="952"/>
        <item x="103"/>
        <item x="753"/>
        <item x="625"/>
        <item x="1111"/>
        <item x="43"/>
        <item x="636"/>
        <item x="844"/>
        <item x="787"/>
        <item x="70"/>
        <item x="1232"/>
        <item x="126"/>
        <item x="1062"/>
        <item x="654"/>
        <item x="1206"/>
        <item x="720"/>
        <item x="847"/>
        <item x="994"/>
        <item x="1007"/>
        <item x="589"/>
        <item x="270"/>
        <item x="845"/>
        <item x="937"/>
        <item x="5"/>
        <item x="546"/>
        <item x="324"/>
        <item x="1129"/>
        <item x="1218"/>
        <item x="510"/>
        <item x="1158"/>
        <item x="719"/>
        <item x="814"/>
        <item x="426"/>
        <item x="1250"/>
        <item x="1192"/>
        <item x="1117"/>
        <item x="963"/>
        <item x="175"/>
        <item x="37"/>
        <item x="815"/>
        <item x="1227"/>
        <item x="117"/>
        <item x="454"/>
        <item x="778"/>
        <item x="507"/>
        <item x="1144"/>
        <item x="254"/>
        <item x="1094"/>
        <item x="498"/>
        <item x="1187"/>
        <item x="667"/>
        <item x="1125"/>
        <item x="1027"/>
        <item x="895"/>
        <item x="432"/>
        <item x="210"/>
        <item x="616"/>
        <item x="1099"/>
        <item x="620"/>
        <item x="131"/>
        <item x="93"/>
        <item x="582"/>
        <item x="1215"/>
        <item x="58"/>
        <item x="294"/>
        <item x="1065"/>
        <item x="802"/>
        <item x="996"/>
        <item x="1222"/>
        <item x="50"/>
        <item x="518"/>
        <item x="827"/>
        <item x="678"/>
        <item x="457"/>
        <item x="317"/>
        <item x="634"/>
        <item x="696"/>
        <item x="494"/>
        <item x="683"/>
        <item x="1259"/>
        <item x="679"/>
        <item x="939"/>
        <item x="479"/>
        <item x="177"/>
        <item x="615"/>
        <item x="255"/>
        <item x="1066"/>
        <item x="761"/>
        <item x="796"/>
        <item x="1260"/>
        <item x="1178"/>
        <item x="397"/>
        <item x="949"/>
        <item x="346"/>
        <item x="18"/>
        <item x="388"/>
        <item x="22"/>
        <item x="308"/>
        <item x="750"/>
        <item x="298"/>
        <item x="684"/>
        <item x="651"/>
        <item x="221"/>
        <item x="1188"/>
        <item x="839"/>
        <item x="443"/>
        <item x="345"/>
        <item x="1181"/>
        <item x="656"/>
        <item x="336"/>
        <item x="1104"/>
        <item x="906"/>
        <item x="856"/>
        <item x="1159"/>
        <item x="249"/>
        <item x="1255"/>
        <item x="576"/>
        <item x="701"/>
        <item x="20"/>
        <item x="1249"/>
        <item x="163"/>
        <item x="455"/>
        <item x="878"/>
        <item x="919"/>
        <item x="568"/>
        <item x="781"/>
        <item x="930"/>
        <item x="12"/>
        <item x="558"/>
        <item x="259"/>
        <item x="1230"/>
        <item x="676"/>
        <item x="10"/>
        <item x="120"/>
        <item x="564"/>
        <item x="404"/>
        <item x="836"/>
        <item x="135"/>
        <item x="1154"/>
        <item x="951"/>
        <item x="54"/>
        <item x="310"/>
        <item x="36"/>
        <item x="1108"/>
        <item x="142"/>
        <item x="519"/>
        <item x="865"/>
        <item x="1209"/>
        <item x="1075"/>
        <item x="340"/>
        <item x="527"/>
        <item x="316"/>
        <item x="283"/>
        <item x="77"/>
        <item x="664"/>
        <item x="427"/>
        <item x="436"/>
        <item x="313"/>
        <item x="1116"/>
        <item x="820"/>
        <item x="674"/>
        <item x="129"/>
        <item x="795"/>
        <item x="860"/>
        <item x="976"/>
        <item x="859"/>
        <item x="1147"/>
        <item x="1186"/>
        <item x="374"/>
        <item x="62"/>
        <item x="826"/>
        <item x="935"/>
        <item x="278"/>
        <item x="71"/>
        <item x="693"/>
        <item x="648"/>
        <item x="180"/>
        <item x="295"/>
        <item x="450"/>
        <item x="379"/>
        <item x="32"/>
        <item x="1214"/>
        <item x="775"/>
        <item x="1044"/>
        <item x="984"/>
        <item x="392"/>
        <item x="500"/>
        <item x="206"/>
        <item x="1103"/>
        <item x="565"/>
        <item x="315"/>
        <item x="1042"/>
        <item x="160"/>
        <item x="887"/>
        <item x="4"/>
        <item x="688"/>
        <item x="25"/>
        <item x="900"/>
        <item x="447"/>
        <item x="145"/>
        <item x="1221"/>
        <item x="1257"/>
        <item x="1041"/>
        <item x="721"/>
        <item x="362"/>
        <item x="60"/>
        <item x="680"/>
        <item x="1263"/>
        <item x="314"/>
        <item x="176"/>
        <item x="430"/>
        <item x="742"/>
        <item x="631"/>
        <item x="199"/>
        <item x="666"/>
        <item x="152"/>
        <item x="572"/>
        <item x="319"/>
        <item x="907"/>
        <item x="26"/>
        <item x="81"/>
        <item x="1031"/>
        <item x="185"/>
        <item x="228"/>
        <item x="1177"/>
        <item x="868"/>
        <item x="260"/>
        <item x="613"/>
        <item x="970"/>
        <item x="663"/>
        <item x="162"/>
        <item x="151"/>
        <item x="439"/>
        <item x="95"/>
        <item x="1072"/>
        <item x="341"/>
        <item x="956"/>
        <item x="773"/>
        <item x="1251"/>
        <item x="435"/>
        <item x="1141"/>
        <item x="1243"/>
        <item x="481"/>
        <item x="476"/>
        <item x="1102"/>
        <item x="1064"/>
        <item x="101"/>
        <item x="739"/>
        <item x="768"/>
        <item x="73"/>
        <item x="192"/>
        <item x="279"/>
        <item x="1256"/>
        <item x="29"/>
        <item x="603"/>
        <item x="506"/>
        <item x="645"/>
        <item x="852"/>
        <item x="579"/>
        <item x="464"/>
        <item x="230"/>
        <item x="767"/>
        <item x="598"/>
        <item x="1105"/>
        <item x="736"/>
        <item x="408"/>
        <item x="504"/>
        <item x="1145"/>
        <item x="586"/>
        <item x="915"/>
        <item x="794"/>
        <item x="57"/>
        <item x="804"/>
        <item x="837"/>
        <item x="875"/>
        <item x="532"/>
        <item x="267"/>
        <item x="338"/>
        <item x="371"/>
        <item x="16"/>
        <item x="223"/>
        <item x="353"/>
        <item x="677"/>
        <item x="84"/>
        <item x="309"/>
        <item x="797"/>
        <item x="1183"/>
        <item x="465"/>
        <item x="769"/>
        <item x="96"/>
        <item x="584"/>
        <item x="1236"/>
        <item x="861"/>
        <item x="205"/>
        <item x="1229"/>
        <item x="602"/>
        <item x="356"/>
        <item x="877"/>
        <item x="288"/>
        <item x="1017"/>
        <item x="72"/>
        <item x="722"/>
        <item x="983"/>
        <item x="273"/>
        <item x="194"/>
        <item x="717"/>
        <item x="871"/>
        <item x="936"/>
        <item x="725"/>
        <item x="1030"/>
        <item x="99"/>
        <item x="593"/>
        <item x="978"/>
        <item x="240"/>
        <item x="629"/>
        <item x="592"/>
        <item x="11"/>
        <item x="964"/>
        <item x="715"/>
        <item x="588"/>
        <item x="731"/>
        <item x="885"/>
        <item x="1190"/>
        <item x="743"/>
        <item x="461"/>
        <item x="2"/>
        <item x="1231"/>
        <item x="993"/>
        <item x="924"/>
        <item x="1182"/>
        <item x="614"/>
        <item x="1015"/>
        <item x="1071"/>
        <item x="668"/>
        <item x="912"/>
        <item x="905"/>
        <item x="190"/>
        <item x="1171"/>
        <item x="901"/>
        <item x="846"/>
        <item x="538"/>
        <item x="1134"/>
        <item x="102"/>
        <item x="1143"/>
        <item x="261"/>
        <item x="1052"/>
        <item x="539"/>
        <item x="19"/>
        <item x="484"/>
        <item x="1193"/>
        <item x="1023"/>
        <item x="537"/>
        <item x="1055"/>
        <item x="1002"/>
        <item x="1237"/>
        <item x="738"/>
        <item x="1242"/>
        <item x="289"/>
        <item x="1036"/>
        <item x="931"/>
        <item x="446"/>
        <item x="164"/>
        <item x="764"/>
        <item x="148"/>
        <item x="200"/>
        <item x="1011"/>
        <item x="989"/>
        <item x="785"/>
        <item x="511"/>
        <item x="672"/>
        <item x="533"/>
        <item x="1081"/>
        <item x="377"/>
        <item x="642"/>
        <item x="468"/>
        <item x="17"/>
        <item x="687"/>
        <item x="1110"/>
        <item x="822"/>
        <item x="737"/>
        <item x="1169"/>
        <item x="170"/>
        <item x="195"/>
        <item x="1082"/>
        <item x="587"/>
        <item x="641"/>
        <item x="571"/>
        <item x="786"/>
        <item x="281"/>
        <item x="290"/>
        <item x="100"/>
        <item x="1039"/>
        <item x="1197"/>
        <item x="808"/>
        <item x="848"/>
        <item x="508"/>
        <item x="251"/>
        <item x="90"/>
        <item x="370"/>
        <item x="1126"/>
        <item x="986"/>
        <item x="1151"/>
        <item x="623"/>
        <item x="888"/>
        <item x="711"/>
        <item x="825"/>
        <item x="109"/>
        <item x="503"/>
        <item x="858"/>
        <item x="1092"/>
        <item x="257"/>
        <item x="988"/>
        <item x="1233"/>
        <item x="243"/>
        <item x="1252"/>
        <item x="1212"/>
        <item x="780"/>
        <item x="1057"/>
        <item x="367"/>
        <item x="366"/>
        <item x="1142"/>
        <item x="832"/>
        <item x="829"/>
        <item x="544"/>
        <item x="608"/>
        <item x="1238"/>
        <item x="1241"/>
        <item x="1138"/>
        <item x="851"/>
        <item x="1244"/>
        <item x="1203"/>
        <item x="208"/>
        <item x="1038"/>
        <item x="358"/>
        <item x="954"/>
        <item x="879"/>
        <item x="823"/>
        <item x="419"/>
        <item x="1045"/>
        <item x="149"/>
        <item x="709"/>
        <item x="640"/>
        <item x="1060"/>
        <item x="555"/>
        <item x="909"/>
        <item x="1123"/>
        <item x="264"/>
        <item x="349"/>
        <item x="947"/>
        <item x="1201"/>
        <item x="380"/>
        <item x="1161"/>
        <item x="521"/>
        <item x="1054"/>
        <item x="334"/>
        <item x="805"/>
        <item x="304"/>
        <item x="961"/>
        <item x="1184"/>
        <item x="110"/>
        <item x="186"/>
        <item x="803"/>
        <item x="337"/>
        <item x="1086"/>
        <item x="563"/>
        <item x="53"/>
        <item x="515"/>
        <item x="1091"/>
        <item x="342"/>
        <item x="689"/>
        <item x="658"/>
        <item x="69"/>
        <item x="196"/>
        <item x="415"/>
        <item x="655"/>
        <item x="610"/>
        <item x="706"/>
        <item x="609"/>
        <item x="132"/>
        <item x="953"/>
        <item x="799"/>
        <item x="1217"/>
        <item t="default"/>
      </items>
    </pivotField>
    <pivotField dataField="1" showAll="0"/>
    <pivotField dataField="1" showAll="0"/>
    <pivotField showAll="0"/>
    <pivotField showAll="0"/>
    <pivotField dataField="1" showAll="0"/>
    <pivotField showAll="0"/>
    <pivotField showAll="0">
      <items count="4">
        <item h="1" x="1"/>
        <item h="1" x="2"/>
        <item x="0"/>
        <item t="default"/>
      </items>
    </pivotField>
  </pivotFields>
  <rowItems count="1">
    <i/>
  </rowItems>
  <colFields count="1">
    <field x="-2"/>
  </colFields>
  <colItems count="5">
    <i>
      <x/>
    </i>
    <i i="1">
      <x v="1"/>
    </i>
    <i i="2">
      <x v="2"/>
    </i>
    <i i="3">
      <x v="3"/>
    </i>
    <i i="4">
      <x v="4"/>
    </i>
  </colItems>
  <dataFields count="5">
    <dataField name="Sum of Sales" fld="10" baseField="0" baseItem="0"/>
    <dataField name="Sum of Profit" fld="11" baseField="0" baseItem="0"/>
    <dataField name="Sum of Profit Margin" fld="14" baseField="0" baseItem="0"/>
    <dataField name="Sum of Quantity" fld="6" baseField="0" baseItem="0"/>
    <dataField name="Average of Discount_%"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0E986-3378-407A-8023-ECC5347D0B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numFmtId="14" showAll="0"/>
    <pivotField showAll="0"/>
    <pivotField showAll="0"/>
    <pivotField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D40B5-B105-46D7-8F5C-2E22160540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5" firstHeaderRow="0" firstDataRow="1" firstDataCol="1"/>
  <pivotFields count="17">
    <pivotField showAll="0"/>
    <pivotField numFmtId="14" showAll="0"/>
    <pivotField showAll="0"/>
    <pivotField showAll="0"/>
    <pivotField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showAll="0"/>
    <pivotField dataField="1" showAll="0"/>
    <pivotField dataField="1" showAll="0"/>
    <pivotField showAll="0"/>
    <pivotField showAll="0"/>
    <pivotField showAll="0"/>
    <pivotField axis="axisRow" showAll="0">
      <items count="13">
        <item x="0"/>
        <item x="1"/>
        <item x="2"/>
        <item x="3"/>
        <item x="4"/>
        <item x="5"/>
        <item x="6"/>
        <item x="7"/>
        <item x="8"/>
        <item x="9"/>
        <item x="10"/>
        <item x="11"/>
        <item t="default"/>
      </items>
    </pivotField>
    <pivotField showAll="0">
      <items count="4">
        <item h="1" x="1"/>
        <item h="1" x="2"/>
        <item x="0"/>
        <item t="default"/>
      </items>
    </pivotField>
  </pivotFields>
  <rowFields count="1">
    <field x="15"/>
  </rowFields>
  <rowItems count="12">
    <i>
      <x/>
    </i>
    <i>
      <x v="2"/>
    </i>
    <i>
      <x v="3"/>
    </i>
    <i>
      <x v="4"/>
    </i>
    <i>
      <x v="5"/>
    </i>
    <i>
      <x v="6"/>
    </i>
    <i>
      <x v="7"/>
    </i>
    <i>
      <x v="8"/>
    </i>
    <i>
      <x v="9"/>
    </i>
    <i>
      <x v="10"/>
    </i>
    <i>
      <x v="11"/>
    </i>
    <i t="grand">
      <x/>
    </i>
  </rowItems>
  <colFields count="1">
    <field x="-2"/>
  </colFields>
  <colItems count="2">
    <i>
      <x/>
    </i>
    <i i="1">
      <x v="1"/>
    </i>
  </colItems>
  <dataFields count="2">
    <dataField name="Sum of Sales" fld="10" baseField="0" baseItem="0"/>
    <dataField name="Sum of Profit" fld="11" baseField="0" baseItem="0"/>
  </dataFields>
  <chartFormats count="5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6"/>
          </reference>
        </references>
      </pivotArea>
    </chartFormat>
    <chartFormat chart="0" format="4">
      <pivotArea type="data" outline="0" fieldPosition="0">
        <references count="2">
          <reference field="4294967294" count="1" selected="0">
            <x v="0"/>
          </reference>
          <reference field="15" count="1" selected="0">
            <x v="11"/>
          </reference>
        </references>
      </pivotArea>
    </chartFormat>
    <chartFormat chart="0" format="5">
      <pivotArea type="data" outline="0" fieldPosition="0">
        <references count="2">
          <reference field="4294967294" count="1" selected="0">
            <x v="0"/>
          </reference>
          <reference field="15" count="1" selected="0">
            <x v="10"/>
          </reference>
        </references>
      </pivotArea>
    </chartFormat>
    <chartFormat chart="0" format="6">
      <pivotArea type="data" outline="0" fieldPosition="0">
        <references count="2">
          <reference field="4294967294" count="1" selected="0">
            <x v="1"/>
          </reference>
          <reference field="15" count="1" selected="0">
            <x v="0"/>
          </reference>
        </references>
      </pivotArea>
    </chartFormat>
    <chartFormat chart="0" format="7">
      <pivotArea type="data" outline="0" fieldPosition="0">
        <references count="2">
          <reference field="4294967294" count="1" selected="0">
            <x v="1"/>
          </reference>
          <reference field="15" count="1" selected="0">
            <x v="1"/>
          </reference>
        </references>
      </pivotArea>
    </chartFormat>
    <chartFormat chart="0" format="8">
      <pivotArea type="data" outline="0" fieldPosition="0">
        <references count="2">
          <reference field="4294967294" count="1" selected="0">
            <x v="1"/>
          </reference>
          <reference field="15" count="1" selected="0">
            <x v="2"/>
          </reference>
        </references>
      </pivotArea>
    </chartFormat>
    <chartFormat chart="0" format="9">
      <pivotArea type="data" outline="0" fieldPosition="0">
        <references count="2">
          <reference field="4294967294" count="1" selected="0">
            <x v="1"/>
          </reference>
          <reference field="15" count="1" selected="0">
            <x v="3"/>
          </reference>
        </references>
      </pivotArea>
    </chartFormat>
    <chartFormat chart="0" format="10">
      <pivotArea type="data" outline="0" fieldPosition="0">
        <references count="2">
          <reference field="4294967294" count="1" selected="0">
            <x v="1"/>
          </reference>
          <reference field="15" count="1" selected="0">
            <x v="4"/>
          </reference>
        </references>
      </pivotArea>
    </chartFormat>
    <chartFormat chart="0" format="11">
      <pivotArea type="data" outline="0" fieldPosition="0">
        <references count="2">
          <reference field="4294967294" count="1" selected="0">
            <x v="1"/>
          </reference>
          <reference field="15" count="1" selected="0">
            <x v="5"/>
          </reference>
        </references>
      </pivotArea>
    </chartFormat>
    <chartFormat chart="0" format="12">
      <pivotArea type="data" outline="0" fieldPosition="0">
        <references count="2">
          <reference field="4294967294" count="1" selected="0">
            <x v="1"/>
          </reference>
          <reference field="15" count="1" selected="0">
            <x v="6"/>
          </reference>
        </references>
      </pivotArea>
    </chartFormat>
    <chartFormat chart="0" format="13">
      <pivotArea type="data" outline="0" fieldPosition="0">
        <references count="2">
          <reference field="4294967294" count="1" selected="0">
            <x v="1"/>
          </reference>
          <reference field="15" count="1" selected="0">
            <x v="7"/>
          </reference>
        </references>
      </pivotArea>
    </chartFormat>
    <chartFormat chart="0" format="14">
      <pivotArea type="data" outline="0" fieldPosition="0">
        <references count="2">
          <reference field="4294967294" count="1" selected="0">
            <x v="1"/>
          </reference>
          <reference field="15" count="1" selected="0">
            <x v="8"/>
          </reference>
        </references>
      </pivotArea>
    </chartFormat>
    <chartFormat chart="0" format="15">
      <pivotArea type="data" outline="0" fieldPosition="0">
        <references count="2">
          <reference field="4294967294" count="1" selected="0">
            <x v="1"/>
          </reference>
          <reference field="15" count="1" selected="0">
            <x v="9"/>
          </reference>
        </references>
      </pivotArea>
    </chartFormat>
    <chartFormat chart="0" format="16">
      <pivotArea type="data" outline="0" fieldPosition="0">
        <references count="2">
          <reference field="4294967294" count="1" selected="0">
            <x v="1"/>
          </reference>
          <reference field="15" count="1" selected="0">
            <x v="10"/>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5" count="1" selected="0">
            <x v="0"/>
          </reference>
        </references>
      </pivotArea>
    </chartFormat>
    <chartFormat chart="3" format="19">
      <pivotArea type="data" outline="0" fieldPosition="0">
        <references count="2">
          <reference field="4294967294" count="1" selected="0">
            <x v="0"/>
          </reference>
          <reference field="15" count="1" selected="0">
            <x v="6"/>
          </reference>
        </references>
      </pivotArea>
    </chartFormat>
    <chartFormat chart="3" format="20">
      <pivotArea type="data" outline="0" fieldPosition="0">
        <references count="2">
          <reference field="4294967294" count="1" selected="0">
            <x v="0"/>
          </reference>
          <reference field="15" count="1" selected="0">
            <x v="10"/>
          </reference>
        </references>
      </pivotArea>
    </chartFormat>
    <chartFormat chart="3" format="21">
      <pivotArea type="data" outline="0" fieldPosition="0">
        <references count="2">
          <reference field="4294967294" count="1" selected="0">
            <x v="0"/>
          </reference>
          <reference field="15" count="1" selected="0">
            <x v="11"/>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15" count="1" selected="0">
            <x v="0"/>
          </reference>
        </references>
      </pivotArea>
    </chartFormat>
    <chartFormat chart="3" format="24">
      <pivotArea type="data" outline="0" fieldPosition="0">
        <references count="2">
          <reference field="4294967294" count="1" selected="0">
            <x v="1"/>
          </reference>
          <reference field="15" count="1" selected="0">
            <x v="1"/>
          </reference>
        </references>
      </pivotArea>
    </chartFormat>
    <chartFormat chart="3" format="25">
      <pivotArea type="data" outline="0" fieldPosition="0">
        <references count="2">
          <reference field="4294967294" count="1" selected="0">
            <x v="1"/>
          </reference>
          <reference field="15" count="1" selected="0">
            <x v="2"/>
          </reference>
        </references>
      </pivotArea>
    </chartFormat>
    <chartFormat chart="3" format="26">
      <pivotArea type="data" outline="0" fieldPosition="0">
        <references count="2">
          <reference field="4294967294" count="1" selected="0">
            <x v="1"/>
          </reference>
          <reference field="15" count="1" selected="0">
            <x v="3"/>
          </reference>
        </references>
      </pivotArea>
    </chartFormat>
    <chartFormat chart="3" format="27">
      <pivotArea type="data" outline="0" fieldPosition="0">
        <references count="2">
          <reference field="4294967294" count="1" selected="0">
            <x v="1"/>
          </reference>
          <reference field="15" count="1" selected="0">
            <x v="4"/>
          </reference>
        </references>
      </pivotArea>
    </chartFormat>
    <chartFormat chart="3" format="28">
      <pivotArea type="data" outline="0" fieldPosition="0">
        <references count="2">
          <reference field="4294967294" count="1" selected="0">
            <x v="1"/>
          </reference>
          <reference field="15" count="1" selected="0">
            <x v="5"/>
          </reference>
        </references>
      </pivotArea>
    </chartFormat>
    <chartFormat chart="3" format="29">
      <pivotArea type="data" outline="0" fieldPosition="0">
        <references count="2">
          <reference field="4294967294" count="1" selected="0">
            <x v="1"/>
          </reference>
          <reference field="15" count="1" selected="0">
            <x v="6"/>
          </reference>
        </references>
      </pivotArea>
    </chartFormat>
    <chartFormat chart="3" format="30">
      <pivotArea type="data" outline="0" fieldPosition="0">
        <references count="2">
          <reference field="4294967294" count="1" selected="0">
            <x v="1"/>
          </reference>
          <reference field="15" count="1" selected="0">
            <x v="7"/>
          </reference>
        </references>
      </pivotArea>
    </chartFormat>
    <chartFormat chart="3" format="31">
      <pivotArea type="data" outline="0" fieldPosition="0">
        <references count="2">
          <reference field="4294967294" count="1" selected="0">
            <x v="1"/>
          </reference>
          <reference field="15" count="1" selected="0">
            <x v="8"/>
          </reference>
        </references>
      </pivotArea>
    </chartFormat>
    <chartFormat chart="3" format="32">
      <pivotArea type="data" outline="0" fieldPosition="0">
        <references count="2">
          <reference field="4294967294" count="1" selected="0">
            <x v="1"/>
          </reference>
          <reference field="15" count="1" selected="0">
            <x v="9"/>
          </reference>
        </references>
      </pivotArea>
    </chartFormat>
    <chartFormat chart="3" format="33">
      <pivotArea type="data" outline="0" fieldPosition="0">
        <references count="2">
          <reference field="4294967294" count="1" selected="0">
            <x v="1"/>
          </reference>
          <reference field="15" count="1" selected="0">
            <x v="10"/>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15" count="1" selected="0">
            <x v="0"/>
          </reference>
        </references>
      </pivotArea>
    </chartFormat>
    <chartFormat chart="4" format="36">
      <pivotArea type="data" outline="0" fieldPosition="0">
        <references count="2">
          <reference field="4294967294" count="1" selected="0">
            <x v="0"/>
          </reference>
          <reference field="15" count="1" selected="0">
            <x v="6"/>
          </reference>
        </references>
      </pivotArea>
    </chartFormat>
    <chartFormat chart="4" format="37">
      <pivotArea type="data" outline="0" fieldPosition="0">
        <references count="2">
          <reference field="4294967294" count="1" selected="0">
            <x v="0"/>
          </reference>
          <reference field="15" count="1" selected="0">
            <x v="10"/>
          </reference>
        </references>
      </pivotArea>
    </chartFormat>
    <chartFormat chart="4" format="38">
      <pivotArea type="data" outline="0" fieldPosition="0">
        <references count="2">
          <reference field="4294967294" count="1" selected="0">
            <x v="0"/>
          </reference>
          <reference field="15" count="1" selected="0">
            <x v="11"/>
          </reference>
        </references>
      </pivotArea>
    </chartFormat>
    <chartFormat chart="4" format="39" series="1">
      <pivotArea type="data" outline="0" fieldPosition="0">
        <references count="1">
          <reference field="4294967294" count="1" selected="0">
            <x v="1"/>
          </reference>
        </references>
      </pivotArea>
    </chartFormat>
    <chartFormat chart="4" format="40">
      <pivotArea type="data" outline="0" fieldPosition="0">
        <references count="2">
          <reference field="4294967294" count="1" selected="0">
            <x v="1"/>
          </reference>
          <reference field="15" count="1" selected="0">
            <x v="0"/>
          </reference>
        </references>
      </pivotArea>
    </chartFormat>
    <chartFormat chart="4" format="41">
      <pivotArea type="data" outline="0" fieldPosition="0">
        <references count="2">
          <reference field="4294967294" count="1" selected="0">
            <x v="1"/>
          </reference>
          <reference field="15" count="1" selected="0">
            <x v="1"/>
          </reference>
        </references>
      </pivotArea>
    </chartFormat>
    <chartFormat chart="4" format="42">
      <pivotArea type="data" outline="0" fieldPosition="0">
        <references count="2">
          <reference field="4294967294" count="1" selected="0">
            <x v="1"/>
          </reference>
          <reference field="15" count="1" selected="0">
            <x v="2"/>
          </reference>
        </references>
      </pivotArea>
    </chartFormat>
    <chartFormat chart="4" format="43">
      <pivotArea type="data" outline="0" fieldPosition="0">
        <references count="2">
          <reference field="4294967294" count="1" selected="0">
            <x v="1"/>
          </reference>
          <reference field="15" count="1" selected="0">
            <x v="3"/>
          </reference>
        </references>
      </pivotArea>
    </chartFormat>
    <chartFormat chart="4" format="44">
      <pivotArea type="data" outline="0" fieldPosition="0">
        <references count="2">
          <reference field="4294967294" count="1" selected="0">
            <x v="1"/>
          </reference>
          <reference field="15" count="1" selected="0">
            <x v="4"/>
          </reference>
        </references>
      </pivotArea>
    </chartFormat>
    <chartFormat chart="4" format="45">
      <pivotArea type="data" outline="0" fieldPosition="0">
        <references count="2">
          <reference field="4294967294" count="1" selected="0">
            <x v="1"/>
          </reference>
          <reference field="15" count="1" selected="0">
            <x v="5"/>
          </reference>
        </references>
      </pivotArea>
    </chartFormat>
    <chartFormat chart="4" format="46">
      <pivotArea type="data" outline="0" fieldPosition="0">
        <references count="2">
          <reference field="4294967294" count="1" selected="0">
            <x v="1"/>
          </reference>
          <reference field="15" count="1" selected="0">
            <x v="6"/>
          </reference>
        </references>
      </pivotArea>
    </chartFormat>
    <chartFormat chart="4" format="47">
      <pivotArea type="data" outline="0" fieldPosition="0">
        <references count="2">
          <reference field="4294967294" count="1" selected="0">
            <x v="1"/>
          </reference>
          <reference field="15" count="1" selected="0">
            <x v="7"/>
          </reference>
        </references>
      </pivotArea>
    </chartFormat>
    <chartFormat chart="4" format="48">
      <pivotArea type="data" outline="0" fieldPosition="0">
        <references count="2">
          <reference field="4294967294" count="1" selected="0">
            <x v="1"/>
          </reference>
          <reference field="15" count="1" selected="0">
            <x v="8"/>
          </reference>
        </references>
      </pivotArea>
    </chartFormat>
    <chartFormat chart="4" format="49">
      <pivotArea type="data" outline="0" fieldPosition="0">
        <references count="2">
          <reference field="4294967294" count="1" selected="0">
            <x v="1"/>
          </reference>
          <reference field="15" count="1" selected="0">
            <x v="9"/>
          </reference>
        </references>
      </pivotArea>
    </chartFormat>
    <chartFormat chart="4" format="50">
      <pivotArea type="data" outline="0" fieldPosition="0">
        <references count="2">
          <reference field="4294967294" count="1" selected="0">
            <x v="1"/>
          </reference>
          <reference field="15" count="1" selected="0">
            <x v="10"/>
          </reference>
        </references>
      </pivotArea>
    </chartFormat>
    <chartFormat chart="4" format="5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9CC05C-7E87-4D89-9723-F5AC06E5BC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pivotField numFmtId="14" showAll="0"/>
    <pivotField showAll="0"/>
    <pivotField axis="axisRow" showAll="0">
      <items count="21">
        <item x="13"/>
        <item x="6"/>
        <item x="9"/>
        <item x="10"/>
        <item x="8"/>
        <item x="16"/>
        <item x="11"/>
        <item x="15"/>
        <item x="17"/>
        <item x="18"/>
        <item x="12"/>
        <item x="1"/>
        <item x="4"/>
        <item x="14"/>
        <item x="2"/>
        <item x="5"/>
        <item x="3"/>
        <item x="0"/>
        <item x="7"/>
        <item x="19"/>
        <item t="default"/>
      </items>
    </pivotField>
    <pivotField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showAll="0"/>
    <pivotField showAll="0"/>
    <pivotField dataField="1" showAll="0"/>
    <pivotField showAll="0"/>
    <pivotField showAll="0"/>
    <pivotField showAll="0"/>
    <pivotField showAll="0"/>
    <pivotField showAll="0">
      <items count="4">
        <item h="1" x="1"/>
        <item h="1" x="2"/>
        <item x="0"/>
        <item t="default"/>
      </items>
    </pivotField>
  </pivotFields>
  <rowFields count="1">
    <field x="3"/>
  </rowFields>
  <rowItems count="5">
    <i>
      <x v="2"/>
    </i>
    <i>
      <x v="4"/>
    </i>
    <i>
      <x v="10"/>
    </i>
    <i>
      <x v="16"/>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2D7C0-3B48-4DF4-A5CB-4CEDFDCC81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 firstHeaderRow="0" firstDataRow="1" firstDataCol="0"/>
  <pivotFields count="17">
    <pivotField showAll="0"/>
    <pivotField numFmtId="14" showAll="0"/>
    <pivotField showAll="0"/>
    <pivotField showAll="0"/>
    <pivotField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dataField="1" showAll="0"/>
    <pivotField showAll="0"/>
    <pivotField showAll="0"/>
    <pivotField showAll="0"/>
    <pivotField showAll="0"/>
    <pivotField dataField="1" showAll="0"/>
    <pivotField showAll="0"/>
    <pivotField showAll="0">
      <items count="4">
        <item h="1" x="1"/>
        <item h="1" x="2"/>
        <item x="0"/>
        <item t="default"/>
      </items>
    </pivotField>
  </pivotFields>
  <rowItems count="1">
    <i/>
  </rowItems>
  <colFields count="1">
    <field x="-2"/>
  </colFields>
  <colItems count="2">
    <i>
      <x/>
    </i>
    <i i="1">
      <x v="1"/>
    </i>
  </colItems>
  <dataFields count="2">
    <dataField name="Sum of Discount_%" fld="9" baseField="0" baseItem="0"/>
    <dataField name="Sum of Profit Margin" fld="14"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65891-A3B1-4920-AAEF-2CACEE9F1B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7">
    <pivotField showAll="0"/>
    <pivotField numFmtId="14" showAll="0"/>
    <pivotField showAll="0"/>
    <pivotField showAll="0"/>
    <pivotField showAll="0">
      <items count="8">
        <item h="1" x="3"/>
        <item h="1" x="4"/>
        <item h="1" x="6"/>
        <item h="1" x="0"/>
        <item x="2"/>
        <item h="1" x="5"/>
        <item h="1" x="1"/>
        <item t="default"/>
      </items>
    </pivotField>
    <pivotField axis="axisRow" showAll="0">
      <items count="5">
        <item h="1" x="3"/>
        <item h="1" x="0"/>
        <item x="1"/>
        <item h="1" x="2"/>
        <item t="default"/>
      </items>
    </pivotField>
    <pivotField showAll="0"/>
    <pivotField showAll="0"/>
    <pivotField showAll="0"/>
    <pivotField showAll="0"/>
    <pivotField showAll="0"/>
    <pivotField dataField="1" showAll="0"/>
    <pivotField showAll="0"/>
    <pivotField showAll="0"/>
    <pivotField showAll="0"/>
    <pivotField showAll="0"/>
    <pivotField showAll="0">
      <items count="4">
        <item h="1" x="1"/>
        <item h="1" x="2"/>
        <item x="0"/>
        <item t="default"/>
      </items>
    </pivotField>
  </pivotFields>
  <rowFields count="1">
    <field x="5"/>
  </rowFields>
  <rowItems count="2">
    <i>
      <x v="2"/>
    </i>
    <i t="grand">
      <x/>
    </i>
  </rowItems>
  <colItems count="1">
    <i/>
  </colItems>
  <dataFields count="1">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24A3B-F1FF-4ACB-9B60-05E29D7517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7">
    <pivotField showAll="0"/>
    <pivotField numFmtId="14" showAll="0"/>
    <pivotField showAll="0"/>
    <pivotField showAll="0"/>
    <pivotField axis="axisRow"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showAll="0"/>
    <pivotField showAll="0"/>
    <pivotField dataField="1" showAll="0"/>
    <pivotField showAll="0"/>
    <pivotField showAll="0"/>
    <pivotField showAll="0"/>
    <pivotField showAll="0"/>
    <pivotField showAll="0">
      <items count="4">
        <item h="1" x="1"/>
        <item h="1" x="2"/>
        <item x="0"/>
        <item t="default"/>
      </items>
    </pivotField>
  </pivotFields>
  <rowFields count="1">
    <field x="4"/>
  </rowFields>
  <rowItems count="2">
    <i>
      <x v="4"/>
    </i>
    <i t="grand">
      <x/>
    </i>
  </rowItems>
  <colItems count="1">
    <i/>
  </colItems>
  <dataFields count="1">
    <dataField name="Sum of Profit" fld="1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CFB647-79C6-4120-97D1-0EE24FC590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17">
    <pivotField showAll="0"/>
    <pivotField numFmtId="14" showAll="0"/>
    <pivotField showAll="0"/>
    <pivotField axis="axisRow" showAll="0">
      <items count="21">
        <item x="13"/>
        <item x="6"/>
        <item x="9"/>
        <item x="10"/>
        <item x="8"/>
        <item x="16"/>
        <item x="11"/>
        <item x="15"/>
        <item x="17"/>
        <item x="18"/>
        <item x="12"/>
        <item x="1"/>
        <item x="4"/>
        <item x="14"/>
        <item x="2"/>
        <item x="5"/>
        <item x="3"/>
        <item x="0"/>
        <item x="7"/>
        <item x="19"/>
        <item t="default"/>
      </items>
    </pivotField>
    <pivotField showAll="0">
      <items count="8">
        <item h="1" x="3"/>
        <item h="1" x="4"/>
        <item h="1" x="6"/>
        <item h="1" x="0"/>
        <item x="2"/>
        <item h="1" x="5"/>
        <item h="1" x="1"/>
        <item t="default"/>
      </items>
    </pivotField>
    <pivotField showAll="0">
      <items count="5">
        <item h="1" x="3"/>
        <item h="1" x="0"/>
        <item x="1"/>
        <item h="1" x="2"/>
        <item t="default"/>
      </items>
    </pivotField>
    <pivotField showAll="0"/>
    <pivotField showAll="0"/>
    <pivotField showAll="0"/>
    <pivotField showAll="0"/>
    <pivotField dataField="1" showAll="0"/>
    <pivotField dataField="1" showAll="0"/>
    <pivotField showAll="0"/>
    <pivotField showAll="0"/>
    <pivotField showAll="0"/>
    <pivotField showAll="0"/>
    <pivotField showAll="0">
      <items count="4">
        <item h="1" x="1"/>
        <item h="1" x="2"/>
        <item x="0"/>
        <item t="default"/>
      </items>
    </pivotField>
  </pivotFields>
  <rowFields count="1">
    <field x="3"/>
  </rowFields>
  <rowItems count="5">
    <i>
      <x v="2"/>
    </i>
    <i>
      <x v="4"/>
    </i>
    <i>
      <x v="10"/>
    </i>
    <i>
      <x v="16"/>
    </i>
    <i t="grand">
      <x/>
    </i>
  </rowItems>
  <colFields count="1">
    <field x="-2"/>
  </colFields>
  <colItems count="2">
    <i>
      <x/>
    </i>
    <i i="1">
      <x v="1"/>
    </i>
  </colItems>
  <dataFields count="2">
    <dataField name="Sum of Sales" fld="10" baseField="0" baseItem="0"/>
    <dataField name="Sum of Profit"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0398A1-5A35-47FA-BE51-05138E819017}" sourceName="Category">
  <pivotTables>
    <pivotTable tabId="4" name="PivotTable2"/>
    <pivotTable tabId="8" name="PivotTable2"/>
    <pivotTable tabId="2" name="PivotTable1"/>
    <pivotTable tabId="5" name="PivotTable3"/>
    <pivotTable tabId="10" name="PivotTable4"/>
    <pivotTable tabId="9" name="PivotTable3"/>
    <pivotTable tabId="11" name="PivotTable5"/>
    <pivotTable tabId="6" name="PivotTable4"/>
  </pivotTables>
  <data>
    <tabular pivotCacheId="5630888">
      <items count="7">
        <i x="3"/>
        <i x="4"/>
        <i x="6"/>
        <i x="0"/>
        <i x="2" s="1"/>
        <i x="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DAF7D3-A1BB-4E6A-B7EE-9186B112E95E}" sourceName="Region">
  <pivotTables>
    <pivotTable tabId="4" name="PivotTable2"/>
    <pivotTable tabId="8" name="PivotTable2"/>
    <pivotTable tabId="2" name="PivotTable1"/>
    <pivotTable tabId="5" name="PivotTable3"/>
    <pivotTable tabId="10" name="PivotTable4"/>
    <pivotTable tabId="9" name="PivotTable3"/>
    <pivotTable tabId="11" name="PivotTable5"/>
    <pivotTable tabId="6" name="PivotTable4"/>
  </pivotTables>
  <data>
    <tabular pivotCacheId="5630888">
      <items count="4">
        <i x="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tatus" xr10:uid="{CABB528B-CF4C-4B18-BC7F-EFA410732832}" sourceName="Profit Status">
  <pivotTables>
    <pivotTable tabId="4" name="PivotTable2"/>
    <pivotTable tabId="8" name="PivotTable2"/>
    <pivotTable tabId="2" name="PivotTable1"/>
    <pivotTable tabId="5" name="PivotTable3"/>
    <pivotTable tabId="10" name="PivotTable4"/>
    <pivotTable tabId="9" name="PivotTable3"/>
    <pivotTable tabId="11" name="PivotTable5"/>
    <pivotTable tabId="6" name="PivotTable4"/>
  </pivotTables>
  <data>
    <tabular pivotCacheId="5630888">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584AA8-CF82-4113-8C53-4B6645254A0F}" cache="Slicer_Category" caption="Category" rowHeight="241300"/>
  <slicer name="Region" xr10:uid="{301A9A4A-DC77-42B2-B770-176CF8637239}" cache="Slicer_Region" caption="Region" rowHeight="241300"/>
  <slicer name="Profit Status" xr10:uid="{C9643066-8574-472E-8ED7-073772594454}" cache="Slicer_Profit_Status" caption="Profit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63B5057-CFCB-48A5-90BF-78F7555F01E2}" cache="Slicer_Category" caption="Category" startItem="1" style="SlicerStyleDark5" rowHeight="640080"/>
  <slicer name="Region 1" xr10:uid="{E4FCD271-2EAD-491E-8DE0-1ABCB4F54348}" cache="Slicer_Region" caption="Region" style="SlicerStyleDark5" rowHeight="640080"/>
  <slicer name="Profit Status 1" xr10:uid="{7254A196-B370-4C27-8F59-4A9464551C65}" cache="Slicer_Profit_Status" caption="Profit Status" style="SlicerStyleDark5"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2612D-EC77-4CCB-A5F8-B3FF2A2415B8}" name="Table1" displayName="Table1" ref="A1:Q2001" totalsRowShown="0">
  <autoFilter ref="A1:Q2001" xr:uid="{AED2612D-EC77-4CCB-A5F8-B3FF2A2415B8}"/>
  <tableColumns count="17">
    <tableColumn id="1" xr3:uid="{74250F19-06CF-434D-92D3-DCC898D990F0}" name="Order_ID"/>
    <tableColumn id="2" xr3:uid="{9171C2D7-5B4D-49A3-B44B-9F6B43A2161F}" name="Order_Date" dataDxfId="19"/>
    <tableColumn id="3" xr3:uid="{B24EC996-2792-4E17-928F-C54415AEAE24}" name="Product_ID"/>
    <tableColumn id="4" xr3:uid="{764DDAA3-E0F6-4F1C-9C03-B12905671D17}" name="Product_Name"/>
    <tableColumn id="5" xr3:uid="{163B7EA8-CDF7-4FCD-84B6-EA11195376A8}" name="Category"/>
    <tableColumn id="6" xr3:uid="{D4862F55-68B0-4C18-BCED-991438C4E472}" name="Region"/>
    <tableColumn id="7" xr3:uid="{B6D7D7E1-0F57-4BDE-9D3F-D261D4C0DF87}" name="Quantity"/>
    <tableColumn id="8" xr3:uid="{13910932-1DFB-4508-8D5D-DAEAF07FA854}" name="Cost_Price"/>
    <tableColumn id="9" xr3:uid="{C9B6EE8C-359A-4AFF-8F34-E5378D419FAC}" name="Selling_Price"/>
    <tableColumn id="10" xr3:uid="{BECDBD55-EF8F-4721-A8D4-E6E7EB46E0C3}" name="Discount_%"/>
    <tableColumn id="11" xr3:uid="{505F3944-8FD7-4E4D-8EB3-7CEEBDB806AF}" name="Sales"/>
    <tableColumn id="12" xr3:uid="{68C91376-BF69-461B-9F84-C2394C79DEA1}" name="Profit"/>
    <tableColumn id="13" xr3:uid="{2419342C-5DF1-4B0B-B3E8-BE9032BD3192}" name="Discount_Amount"/>
    <tableColumn id="14" xr3:uid="{6B2143DA-E59A-48EF-994A-F5DCF5BFB570}" name="Total_Cost"/>
    <tableColumn id="15" xr3:uid="{75940B1D-74E4-4B88-A292-00E9CEA93C36}" name="Profit Margin"/>
    <tableColumn id="16" xr3:uid="{A6016249-CB8B-480A-9D5D-F99F9BDB243F}" name="Month"/>
    <tableColumn id="17" xr3:uid="{F288D02A-5C7E-4E83-85B4-95F5A1B3B4CA}" name="Profit 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600F30-05DB-4891-9DE6-8EA0502E5E2C}" name="Table2" displayName="Table2" ref="A1:Q2001" totalsRowShown="0" headerRowDxfId="0" dataDxfId="1">
  <autoFilter ref="A1:Q2001" xr:uid="{00000000-0001-0000-0000-000000000000}"/>
  <tableColumns count="17">
    <tableColumn id="1" xr3:uid="{48FB5C83-D84F-410F-821F-E195746BCF98}" name="Order_ID" dataDxfId="18"/>
    <tableColumn id="2" xr3:uid="{11EA0B85-506A-44B2-B9A2-3843BEC2423F}" name="Order_Date" dataDxfId="17"/>
    <tableColumn id="3" xr3:uid="{0EA40DD0-FF70-4B8C-9BF1-406D51E2F370}" name="Product_ID" dataDxfId="16"/>
    <tableColumn id="4" xr3:uid="{4B37C78D-8826-4699-BDD1-2B83B3AEF40A}" name="Product_Name" dataDxfId="15"/>
    <tableColumn id="5" xr3:uid="{9B773D22-7BD6-4EED-974C-D24F4C37D8A7}" name="Category" dataDxfId="14"/>
    <tableColumn id="6" xr3:uid="{E8536D00-BCE1-4506-B37D-5AB0B98A46EF}" name="Region" dataDxfId="13"/>
    <tableColumn id="7" xr3:uid="{D64BE4DB-3124-4457-9757-D7405E920FD9}" name="Quantity" dataDxfId="12"/>
    <tableColumn id="8" xr3:uid="{E87A0B69-17C4-49DD-8D09-E490117729F0}" name="Cost_Price" dataDxfId="11"/>
    <tableColumn id="9" xr3:uid="{8730D721-0E4A-4AD9-B007-12CFECA373BD}" name="Selling_Price" dataDxfId="10"/>
    <tableColumn id="10" xr3:uid="{9735F1B7-21DF-40B8-9A8D-93D069645976}" name="Discount_%" dataDxfId="9"/>
    <tableColumn id="11" xr3:uid="{454B0C14-E954-4F03-BD5F-0594A1EB3750}" name="Sales" dataDxfId="8"/>
    <tableColumn id="12" xr3:uid="{AADD6589-D264-4B95-BCF3-3A06AE669207}" name="Profit" dataDxfId="7"/>
    <tableColumn id="13" xr3:uid="{2E151C0D-3546-4AC7-9BEF-75DEA174ADD5}" name="Discount_Amount" dataDxfId="6">
      <calculatedColumnFormula>G2*I2*J2</calculatedColumnFormula>
    </tableColumn>
    <tableColumn id="14" xr3:uid="{3AF06392-DFA7-4F84-9808-545FE696A863}" name="Total_Cost" dataDxfId="5">
      <calculatedColumnFormula>G2*H2</calculatedColumnFormula>
    </tableColumn>
    <tableColumn id="15" xr3:uid="{F7F290C2-8B08-4653-AF9D-29B5A39907F8}" name="Profit Margin" dataDxfId="4">
      <calculatedColumnFormula>IFERROR(L2/K2*100,0)</calculatedColumnFormula>
    </tableColumn>
    <tableColumn id="16" xr3:uid="{1133B340-D3EA-4C93-8B34-D655D47EB85E}" name="Month" dataDxfId="3">
      <calculatedColumnFormula>TEXT(B2,"mmm")</calculatedColumnFormula>
    </tableColumn>
    <tableColumn id="17" xr3:uid="{FA120989-26E4-4AB2-A7EA-C62CBCBF8EC4}" name="Profit Status" dataDxfId="2">
      <calculatedColumnFormula>IF(L2&lt;0,"loss",IF(O2&lt;10,"low profit","good profit"))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FFAA-C2B0-470F-A1D1-1F2FE6525FFB}">
  <dimension ref="A1:Q2001"/>
  <sheetViews>
    <sheetView topLeftCell="A2" workbookViewId="0">
      <selection activeCell="A2" sqref="A2:Q2001"/>
    </sheetView>
  </sheetViews>
  <sheetFormatPr defaultRowHeight="15" x14ac:dyDescent="0.25"/>
  <cols>
    <col min="1" max="1" width="11.140625" customWidth="1"/>
    <col min="2" max="2" width="13.42578125" customWidth="1"/>
    <col min="3" max="3" width="12.85546875" customWidth="1"/>
    <col min="4" max="4" width="16.28515625" customWidth="1"/>
    <col min="5" max="5" width="11" customWidth="1"/>
    <col min="6" max="6" width="9.28515625" customWidth="1"/>
    <col min="7" max="7" width="10.85546875" customWidth="1"/>
    <col min="8" max="8" width="12.42578125" customWidth="1"/>
    <col min="9" max="9" width="14.5703125" customWidth="1"/>
    <col min="10" max="10" width="13.42578125" customWidth="1"/>
    <col min="13" max="13" width="19" customWidth="1"/>
    <col min="14" max="14" width="12.42578125" customWidth="1"/>
    <col min="15" max="15" width="14.85546875" customWidth="1"/>
    <col min="17" max="17" width="14" customWidth="1"/>
  </cols>
  <sheetData>
    <row r="1" spans="1:17" x14ac:dyDescent="0.25">
      <c r="A1" t="s">
        <v>0</v>
      </c>
      <c r="B1" t="s">
        <v>1</v>
      </c>
      <c r="C1" t="s">
        <v>2</v>
      </c>
      <c r="D1" t="s">
        <v>3</v>
      </c>
      <c r="E1" t="s">
        <v>4</v>
      </c>
      <c r="F1" t="s">
        <v>5</v>
      </c>
      <c r="G1" t="s">
        <v>6</v>
      </c>
      <c r="H1" t="s">
        <v>7</v>
      </c>
      <c r="I1" t="s">
        <v>8</v>
      </c>
      <c r="J1" t="s">
        <v>9</v>
      </c>
      <c r="K1" t="s">
        <v>10</v>
      </c>
      <c r="L1" t="s">
        <v>11</v>
      </c>
      <c r="M1" t="s">
        <v>2063</v>
      </c>
      <c r="N1" t="s">
        <v>2064</v>
      </c>
      <c r="O1" t="s">
        <v>2065</v>
      </c>
      <c r="P1" t="s">
        <v>2066</v>
      </c>
      <c r="Q1" t="s">
        <v>2067</v>
      </c>
    </row>
    <row r="2" spans="1:17" x14ac:dyDescent="0.25">
      <c r="A2" t="s">
        <v>780</v>
      </c>
      <c r="B2" s="18">
        <v>45658</v>
      </c>
      <c r="C2" t="s">
        <v>2018</v>
      </c>
      <c r="D2" t="s">
        <v>2038</v>
      </c>
      <c r="E2" t="s">
        <v>2053</v>
      </c>
      <c r="F2" t="s">
        <v>2062</v>
      </c>
      <c r="G2">
        <v>8</v>
      </c>
      <c r="H2">
        <v>500</v>
      </c>
      <c r="I2">
        <v>610</v>
      </c>
      <c r="J2">
        <v>9.56</v>
      </c>
      <c r="K2">
        <v>4413.3</v>
      </c>
      <c r="L2">
        <v>413.3</v>
      </c>
      <c r="M2">
        <v>46652.800000000003</v>
      </c>
      <c r="N2">
        <v>4000</v>
      </c>
      <c r="O2">
        <v>9.3648743570570776</v>
      </c>
      <c r="P2" t="s">
        <v>2075</v>
      </c>
      <c r="Q2" t="s">
        <v>2091</v>
      </c>
    </row>
    <row r="3" spans="1:17" x14ac:dyDescent="0.25">
      <c r="A3" t="s">
        <v>984</v>
      </c>
      <c r="B3" s="18">
        <v>45658</v>
      </c>
      <c r="C3" t="s">
        <v>2025</v>
      </c>
      <c r="D3" t="s">
        <v>2045</v>
      </c>
      <c r="E3" t="s">
        <v>2057</v>
      </c>
      <c r="F3" t="s">
        <v>2062</v>
      </c>
      <c r="G3">
        <v>7</v>
      </c>
      <c r="H3">
        <v>45</v>
      </c>
      <c r="I3">
        <v>63</v>
      </c>
      <c r="J3">
        <v>6.13</v>
      </c>
      <c r="K3">
        <v>413.97</v>
      </c>
      <c r="L3">
        <v>98.97</v>
      </c>
      <c r="M3">
        <v>2703.33</v>
      </c>
      <c r="N3">
        <v>315</v>
      </c>
      <c r="O3">
        <v>23.907529531125444</v>
      </c>
      <c r="P3" t="s">
        <v>2075</v>
      </c>
      <c r="Q3" t="s">
        <v>2092</v>
      </c>
    </row>
    <row r="4" spans="1:17" x14ac:dyDescent="0.25">
      <c r="A4" t="s">
        <v>1289</v>
      </c>
      <c r="B4" s="18">
        <v>45658</v>
      </c>
      <c r="C4" t="s">
        <v>2013</v>
      </c>
      <c r="D4" t="s">
        <v>2033</v>
      </c>
      <c r="E4" t="s">
        <v>2053</v>
      </c>
      <c r="F4" t="s">
        <v>2062</v>
      </c>
      <c r="G4">
        <v>2</v>
      </c>
      <c r="H4">
        <v>6500</v>
      </c>
      <c r="I4">
        <v>7150</v>
      </c>
      <c r="J4">
        <v>21.13</v>
      </c>
      <c r="K4">
        <v>11278.53</v>
      </c>
      <c r="L4">
        <v>-1721.47</v>
      </c>
      <c r="M4">
        <v>302159</v>
      </c>
      <c r="N4">
        <v>13000</v>
      </c>
      <c r="O4">
        <v>-15.26324795873221</v>
      </c>
      <c r="P4" t="s">
        <v>2075</v>
      </c>
      <c r="Q4" t="s">
        <v>2093</v>
      </c>
    </row>
    <row r="5" spans="1:17" x14ac:dyDescent="0.25">
      <c r="A5" t="s">
        <v>1900</v>
      </c>
      <c r="B5" s="18">
        <v>45658</v>
      </c>
      <c r="C5" t="s">
        <v>2018</v>
      </c>
      <c r="D5" t="s">
        <v>2038</v>
      </c>
      <c r="E5" t="s">
        <v>2053</v>
      </c>
      <c r="F5" t="s">
        <v>2059</v>
      </c>
      <c r="G5">
        <v>5</v>
      </c>
      <c r="H5">
        <v>500</v>
      </c>
      <c r="I5">
        <v>610</v>
      </c>
      <c r="J5">
        <v>7.74</v>
      </c>
      <c r="K5">
        <v>2814.03</v>
      </c>
      <c r="L5">
        <v>314.02999999999997</v>
      </c>
      <c r="M5">
        <v>23607</v>
      </c>
      <c r="N5">
        <v>2500</v>
      </c>
      <c r="O5">
        <v>11.159440375546811</v>
      </c>
      <c r="P5" t="s">
        <v>2075</v>
      </c>
      <c r="Q5" t="s">
        <v>2092</v>
      </c>
    </row>
    <row r="6" spans="1:17" x14ac:dyDescent="0.25">
      <c r="A6" t="s">
        <v>619</v>
      </c>
      <c r="B6" s="18">
        <v>45659</v>
      </c>
      <c r="C6" t="s">
        <v>2014</v>
      </c>
      <c r="D6" t="s">
        <v>2034</v>
      </c>
      <c r="E6" t="s">
        <v>2052</v>
      </c>
      <c r="F6" t="s">
        <v>2059</v>
      </c>
      <c r="G6">
        <v>8</v>
      </c>
      <c r="H6">
        <v>4500</v>
      </c>
      <c r="I6">
        <v>5220</v>
      </c>
      <c r="J6">
        <v>17.989999999999998</v>
      </c>
      <c r="K6">
        <v>34246.379999999997</v>
      </c>
      <c r="L6">
        <v>-1753.62</v>
      </c>
      <c r="M6">
        <v>751262.39999999991</v>
      </c>
      <c r="N6">
        <v>36000</v>
      </c>
      <c r="O6">
        <v>-5.1205996079001634</v>
      </c>
      <c r="P6" t="s">
        <v>2075</v>
      </c>
      <c r="Q6" t="s">
        <v>2093</v>
      </c>
    </row>
    <row r="7" spans="1:17" x14ac:dyDescent="0.25">
      <c r="A7" t="s">
        <v>861</v>
      </c>
      <c r="B7" s="18">
        <v>45659</v>
      </c>
      <c r="C7" t="s">
        <v>2024</v>
      </c>
      <c r="D7" t="s">
        <v>2044</v>
      </c>
      <c r="E7" t="s">
        <v>2055</v>
      </c>
      <c r="F7" t="s">
        <v>2062</v>
      </c>
      <c r="G7">
        <v>3</v>
      </c>
      <c r="H7">
        <v>180</v>
      </c>
      <c r="I7">
        <v>243</v>
      </c>
      <c r="J7">
        <v>15.05</v>
      </c>
      <c r="K7">
        <v>619.27</v>
      </c>
      <c r="L7">
        <v>79.27</v>
      </c>
      <c r="M7">
        <v>10971.45</v>
      </c>
      <c r="N7">
        <v>540</v>
      </c>
      <c r="O7">
        <v>12.800555492757601</v>
      </c>
      <c r="P7" t="s">
        <v>2075</v>
      </c>
      <c r="Q7" t="s">
        <v>2092</v>
      </c>
    </row>
    <row r="8" spans="1:17" x14ac:dyDescent="0.25">
      <c r="A8" t="s">
        <v>1039</v>
      </c>
      <c r="B8" s="18">
        <v>45659</v>
      </c>
      <c r="C8" t="s">
        <v>2017</v>
      </c>
      <c r="D8" t="s">
        <v>2037</v>
      </c>
      <c r="E8" t="s">
        <v>2055</v>
      </c>
      <c r="F8" t="s">
        <v>2059</v>
      </c>
      <c r="G8">
        <v>3</v>
      </c>
      <c r="H8">
        <v>2500</v>
      </c>
      <c r="I8">
        <v>2875</v>
      </c>
      <c r="J8">
        <v>6.66</v>
      </c>
      <c r="K8">
        <v>8050.51</v>
      </c>
      <c r="L8">
        <v>550.51</v>
      </c>
      <c r="M8">
        <v>57442.5</v>
      </c>
      <c r="N8">
        <v>7500</v>
      </c>
      <c r="O8">
        <v>6.8382003127752151</v>
      </c>
      <c r="P8" t="s">
        <v>2075</v>
      </c>
      <c r="Q8" t="s">
        <v>2091</v>
      </c>
    </row>
    <row r="9" spans="1:17" x14ac:dyDescent="0.25">
      <c r="A9" t="s">
        <v>1958</v>
      </c>
      <c r="B9" s="18">
        <v>45659</v>
      </c>
      <c r="C9" t="s">
        <v>2030</v>
      </c>
      <c r="D9" t="s">
        <v>2050</v>
      </c>
      <c r="E9" t="s">
        <v>2058</v>
      </c>
      <c r="F9" t="s">
        <v>2059</v>
      </c>
      <c r="G9">
        <v>9</v>
      </c>
      <c r="H9">
        <v>1800</v>
      </c>
      <c r="I9">
        <v>2124</v>
      </c>
      <c r="J9">
        <v>8.42</v>
      </c>
      <c r="K9">
        <v>17506.7</v>
      </c>
      <c r="L9">
        <v>1306.7</v>
      </c>
      <c r="M9">
        <v>160956.72</v>
      </c>
      <c r="N9">
        <v>16200</v>
      </c>
      <c r="O9">
        <v>7.4639994973353048</v>
      </c>
      <c r="P9" t="s">
        <v>2075</v>
      </c>
      <c r="Q9" t="s">
        <v>2091</v>
      </c>
    </row>
    <row r="10" spans="1:17" x14ac:dyDescent="0.25">
      <c r="A10" t="s">
        <v>30</v>
      </c>
      <c r="B10" s="18">
        <v>45660</v>
      </c>
      <c r="C10" t="s">
        <v>2021</v>
      </c>
      <c r="D10" t="s">
        <v>2041</v>
      </c>
      <c r="E10" t="s">
        <v>2056</v>
      </c>
      <c r="F10" t="s">
        <v>2061</v>
      </c>
      <c r="G10">
        <v>9</v>
      </c>
      <c r="H10">
        <v>300</v>
      </c>
      <c r="I10">
        <v>405</v>
      </c>
      <c r="J10">
        <v>6.69</v>
      </c>
      <c r="K10">
        <v>3401.3</v>
      </c>
      <c r="L10">
        <v>701.3</v>
      </c>
      <c r="M10">
        <v>24385.050000000003</v>
      </c>
      <c r="N10">
        <v>2700</v>
      </c>
      <c r="O10">
        <v>20.618587010848792</v>
      </c>
      <c r="P10" t="s">
        <v>2075</v>
      </c>
      <c r="Q10" t="s">
        <v>2092</v>
      </c>
    </row>
    <row r="11" spans="1:17" x14ac:dyDescent="0.25">
      <c r="A11" t="s">
        <v>366</v>
      </c>
      <c r="B11" s="18">
        <v>45660</v>
      </c>
      <c r="C11" t="s">
        <v>2016</v>
      </c>
      <c r="D11" t="s">
        <v>2036</v>
      </c>
      <c r="E11" t="s">
        <v>2052</v>
      </c>
      <c r="F11" t="s">
        <v>2062</v>
      </c>
      <c r="G11">
        <v>5</v>
      </c>
      <c r="H11">
        <v>900</v>
      </c>
      <c r="I11">
        <v>1170</v>
      </c>
      <c r="J11">
        <v>0</v>
      </c>
      <c r="K11">
        <v>5850</v>
      </c>
      <c r="L11">
        <v>1350</v>
      </c>
      <c r="M11">
        <v>0</v>
      </c>
      <c r="N11">
        <v>4500</v>
      </c>
      <c r="O11">
        <v>23.076923076923077</v>
      </c>
      <c r="P11" t="s">
        <v>2075</v>
      </c>
      <c r="Q11" t="s">
        <v>2092</v>
      </c>
    </row>
    <row r="12" spans="1:17" x14ac:dyDescent="0.25">
      <c r="A12" t="s">
        <v>386</v>
      </c>
      <c r="B12" s="18">
        <v>45660</v>
      </c>
      <c r="C12" t="s">
        <v>2026</v>
      </c>
      <c r="D12" t="s">
        <v>2046</v>
      </c>
      <c r="E12" t="s">
        <v>2052</v>
      </c>
      <c r="F12" t="s">
        <v>2061</v>
      </c>
      <c r="G12">
        <v>5</v>
      </c>
      <c r="H12">
        <v>3000</v>
      </c>
      <c r="I12">
        <v>3600</v>
      </c>
      <c r="J12">
        <v>16.97</v>
      </c>
      <c r="K12">
        <v>14946.16</v>
      </c>
      <c r="L12">
        <v>-53.84</v>
      </c>
      <c r="M12">
        <v>305460</v>
      </c>
      <c r="N12">
        <v>15000</v>
      </c>
      <c r="O12">
        <v>-0.36022630561963742</v>
      </c>
      <c r="P12" t="s">
        <v>2075</v>
      </c>
      <c r="Q12" t="s">
        <v>2093</v>
      </c>
    </row>
    <row r="13" spans="1:17" x14ac:dyDescent="0.25">
      <c r="A13" t="s">
        <v>440</v>
      </c>
      <c r="B13" s="18">
        <v>45660</v>
      </c>
      <c r="C13" t="s">
        <v>2031</v>
      </c>
      <c r="D13" t="s">
        <v>2051</v>
      </c>
      <c r="E13" t="s">
        <v>2058</v>
      </c>
      <c r="F13" t="s">
        <v>2061</v>
      </c>
      <c r="G13">
        <v>6</v>
      </c>
      <c r="H13">
        <v>3200</v>
      </c>
      <c r="I13">
        <v>3840</v>
      </c>
      <c r="J13">
        <v>20.89</v>
      </c>
      <c r="K13">
        <v>18227.53</v>
      </c>
      <c r="L13">
        <v>-972.47</v>
      </c>
      <c r="M13">
        <v>481305.60000000003</v>
      </c>
      <c r="N13">
        <v>19200</v>
      </c>
      <c r="O13">
        <v>-5.3351715783762259</v>
      </c>
      <c r="P13" t="s">
        <v>2075</v>
      </c>
      <c r="Q13" t="s">
        <v>2093</v>
      </c>
    </row>
    <row r="14" spans="1:17" x14ac:dyDescent="0.25">
      <c r="A14" t="s">
        <v>1478</v>
      </c>
      <c r="B14" s="18">
        <v>45660</v>
      </c>
      <c r="C14" t="s">
        <v>2030</v>
      </c>
      <c r="D14" t="s">
        <v>2050</v>
      </c>
      <c r="E14" t="s">
        <v>2058</v>
      </c>
      <c r="F14" t="s">
        <v>2059</v>
      </c>
      <c r="G14">
        <v>3</v>
      </c>
      <c r="H14">
        <v>1800</v>
      </c>
      <c r="I14">
        <v>2124</v>
      </c>
      <c r="J14">
        <v>16.850000000000001</v>
      </c>
      <c r="K14">
        <v>5298.18</v>
      </c>
      <c r="L14">
        <v>-101.82</v>
      </c>
      <c r="M14">
        <v>107368.20000000001</v>
      </c>
      <c r="N14">
        <v>5400</v>
      </c>
      <c r="O14">
        <v>-1.9217920115964349</v>
      </c>
      <c r="P14" t="s">
        <v>2075</v>
      </c>
      <c r="Q14" t="s">
        <v>2093</v>
      </c>
    </row>
    <row r="15" spans="1:17" x14ac:dyDescent="0.25">
      <c r="A15" t="s">
        <v>1639</v>
      </c>
      <c r="B15" s="18">
        <v>45660</v>
      </c>
      <c r="C15" t="s">
        <v>2019</v>
      </c>
      <c r="D15" t="s">
        <v>2039</v>
      </c>
      <c r="E15" t="s">
        <v>2053</v>
      </c>
      <c r="F15" t="s">
        <v>2060</v>
      </c>
      <c r="G15">
        <v>2</v>
      </c>
      <c r="H15">
        <v>900</v>
      </c>
      <c r="I15">
        <v>1152</v>
      </c>
      <c r="J15">
        <v>6.13</v>
      </c>
      <c r="K15">
        <v>2162.73</v>
      </c>
      <c r="L15">
        <v>362.73</v>
      </c>
      <c r="M15">
        <v>14123.52</v>
      </c>
      <c r="N15">
        <v>1800</v>
      </c>
      <c r="O15">
        <v>16.77185779084768</v>
      </c>
      <c r="P15" t="s">
        <v>2075</v>
      </c>
      <c r="Q15" t="s">
        <v>2092</v>
      </c>
    </row>
    <row r="16" spans="1:17" x14ac:dyDescent="0.25">
      <c r="A16" t="s">
        <v>1840</v>
      </c>
      <c r="B16" s="18">
        <v>45660</v>
      </c>
      <c r="C16" t="s">
        <v>2021</v>
      </c>
      <c r="D16" t="s">
        <v>2041</v>
      </c>
      <c r="E16" t="s">
        <v>2056</v>
      </c>
      <c r="F16" t="s">
        <v>2061</v>
      </c>
      <c r="G16">
        <v>1</v>
      </c>
      <c r="H16">
        <v>300</v>
      </c>
      <c r="I16">
        <v>405</v>
      </c>
      <c r="J16">
        <v>12.41</v>
      </c>
      <c r="K16">
        <v>354.73</v>
      </c>
      <c r="L16">
        <v>54.73</v>
      </c>
      <c r="M16">
        <v>5026.05</v>
      </c>
      <c r="N16">
        <v>300</v>
      </c>
      <c r="O16">
        <v>15.428635863896483</v>
      </c>
      <c r="P16" t="s">
        <v>2075</v>
      </c>
      <c r="Q16" t="s">
        <v>2092</v>
      </c>
    </row>
    <row r="17" spans="1:17" x14ac:dyDescent="0.25">
      <c r="A17" t="s">
        <v>1914</v>
      </c>
      <c r="B17" s="18">
        <v>45660</v>
      </c>
      <c r="C17" t="s">
        <v>2012</v>
      </c>
      <c r="D17" t="s">
        <v>2032</v>
      </c>
      <c r="E17" t="s">
        <v>2052</v>
      </c>
      <c r="F17" t="s">
        <v>2061</v>
      </c>
      <c r="G17">
        <v>4</v>
      </c>
      <c r="H17">
        <v>6500</v>
      </c>
      <c r="I17">
        <v>8125</v>
      </c>
      <c r="J17">
        <v>13.46</v>
      </c>
      <c r="K17">
        <v>28126.9</v>
      </c>
      <c r="L17">
        <v>2126.9</v>
      </c>
      <c r="M17">
        <v>437450</v>
      </c>
      <c r="N17">
        <v>26000</v>
      </c>
      <c r="O17">
        <v>7.5618002694929052</v>
      </c>
      <c r="P17" t="s">
        <v>2075</v>
      </c>
      <c r="Q17" t="s">
        <v>2091</v>
      </c>
    </row>
    <row r="18" spans="1:17" x14ac:dyDescent="0.25">
      <c r="A18" t="s">
        <v>437</v>
      </c>
      <c r="B18" s="18">
        <v>45661</v>
      </c>
      <c r="C18" t="s">
        <v>2025</v>
      </c>
      <c r="D18" t="s">
        <v>2045</v>
      </c>
      <c r="E18" t="s">
        <v>2057</v>
      </c>
      <c r="F18" t="s">
        <v>2062</v>
      </c>
      <c r="G18">
        <v>5</v>
      </c>
      <c r="H18">
        <v>45</v>
      </c>
      <c r="I18">
        <v>63</v>
      </c>
      <c r="J18">
        <v>0</v>
      </c>
      <c r="K18">
        <v>315</v>
      </c>
      <c r="L18">
        <v>90</v>
      </c>
      <c r="M18">
        <v>0</v>
      </c>
      <c r="N18">
        <v>225</v>
      </c>
      <c r="O18">
        <v>28.571428571428569</v>
      </c>
      <c r="P18" t="s">
        <v>2075</v>
      </c>
      <c r="Q18" t="s">
        <v>2092</v>
      </c>
    </row>
    <row r="19" spans="1:17" x14ac:dyDescent="0.25">
      <c r="A19" t="s">
        <v>786</v>
      </c>
      <c r="B19" s="18">
        <v>45661</v>
      </c>
      <c r="C19" t="s">
        <v>2024</v>
      </c>
      <c r="D19" t="s">
        <v>2044</v>
      </c>
      <c r="E19" t="s">
        <v>2055</v>
      </c>
      <c r="F19" t="s">
        <v>2060</v>
      </c>
      <c r="G19">
        <v>6</v>
      </c>
      <c r="H19">
        <v>180</v>
      </c>
      <c r="I19">
        <v>243</v>
      </c>
      <c r="J19">
        <v>12.24</v>
      </c>
      <c r="K19">
        <v>1279.51</v>
      </c>
      <c r="L19">
        <v>199.51</v>
      </c>
      <c r="M19">
        <v>17845.920000000002</v>
      </c>
      <c r="N19">
        <v>1080</v>
      </c>
      <c r="O19">
        <v>15.592687825808316</v>
      </c>
      <c r="P19" t="s">
        <v>2075</v>
      </c>
      <c r="Q19" t="s">
        <v>2092</v>
      </c>
    </row>
    <row r="20" spans="1:17" x14ac:dyDescent="0.25">
      <c r="A20" t="s">
        <v>1575</v>
      </c>
      <c r="B20" s="18">
        <v>45661</v>
      </c>
      <c r="C20" t="s">
        <v>2031</v>
      </c>
      <c r="D20" t="s">
        <v>2051</v>
      </c>
      <c r="E20" t="s">
        <v>2058</v>
      </c>
      <c r="F20" t="s">
        <v>2059</v>
      </c>
      <c r="G20">
        <v>7</v>
      </c>
      <c r="H20">
        <v>3200</v>
      </c>
      <c r="I20">
        <v>3840</v>
      </c>
      <c r="J20">
        <v>19.940000000000001</v>
      </c>
      <c r="K20">
        <v>21520.28</v>
      </c>
      <c r="L20">
        <v>-879.72</v>
      </c>
      <c r="M20">
        <v>535987.20000000007</v>
      </c>
      <c r="N20">
        <v>22400</v>
      </c>
      <c r="O20">
        <v>-4.0878650277784496</v>
      </c>
      <c r="P20" t="s">
        <v>2075</v>
      </c>
      <c r="Q20" t="s">
        <v>2093</v>
      </c>
    </row>
    <row r="21" spans="1:17" x14ac:dyDescent="0.25">
      <c r="A21" t="s">
        <v>1813</v>
      </c>
      <c r="B21" s="18">
        <v>45661</v>
      </c>
      <c r="C21" t="s">
        <v>2018</v>
      </c>
      <c r="D21" t="s">
        <v>2038</v>
      </c>
      <c r="E21" t="s">
        <v>2053</v>
      </c>
      <c r="F21" t="s">
        <v>2060</v>
      </c>
      <c r="G21">
        <v>1</v>
      </c>
      <c r="H21">
        <v>500</v>
      </c>
      <c r="I21">
        <v>610</v>
      </c>
      <c r="J21">
        <v>22.56</v>
      </c>
      <c r="K21">
        <v>472.4</v>
      </c>
      <c r="L21">
        <v>-27.6</v>
      </c>
      <c r="M21">
        <v>13761.599999999999</v>
      </c>
      <c r="N21">
        <v>500</v>
      </c>
      <c r="O21">
        <v>-5.8425063505503818</v>
      </c>
      <c r="P21" t="s">
        <v>2075</v>
      </c>
      <c r="Q21" t="s">
        <v>2093</v>
      </c>
    </row>
    <row r="22" spans="1:17" x14ac:dyDescent="0.25">
      <c r="A22" t="s">
        <v>39</v>
      </c>
      <c r="B22" s="18">
        <v>45662</v>
      </c>
      <c r="C22" t="s">
        <v>2019</v>
      </c>
      <c r="D22" t="s">
        <v>2039</v>
      </c>
      <c r="E22" t="s">
        <v>2053</v>
      </c>
      <c r="F22" t="s">
        <v>2062</v>
      </c>
      <c r="G22">
        <v>7</v>
      </c>
      <c r="H22">
        <v>900</v>
      </c>
      <c r="I22">
        <v>1152</v>
      </c>
      <c r="J22">
        <v>16.3</v>
      </c>
      <c r="K22">
        <v>6749.24</v>
      </c>
      <c r="L22">
        <v>449.24</v>
      </c>
      <c r="M22">
        <v>131443.20000000001</v>
      </c>
      <c r="N22">
        <v>6300</v>
      </c>
      <c r="O22">
        <v>6.65615684136288</v>
      </c>
      <c r="P22" t="s">
        <v>2075</v>
      </c>
      <c r="Q22" t="s">
        <v>2091</v>
      </c>
    </row>
    <row r="23" spans="1:17" x14ac:dyDescent="0.25">
      <c r="A23" t="s">
        <v>140</v>
      </c>
      <c r="B23" s="18">
        <v>45662</v>
      </c>
      <c r="C23" t="s">
        <v>2015</v>
      </c>
      <c r="D23" t="s">
        <v>2035</v>
      </c>
      <c r="E23" t="s">
        <v>2054</v>
      </c>
      <c r="F23" t="s">
        <v>2060</v>
      </c>
      <c r="G23">
        <v>8</v>
      </c>
      <c r="H23">
        <v>900</v>
      </c>
      <c r="I23">
        <v>1170</v>
      </c>
      <c r="J23">
        <v>21.64</v>
      </c>
      <c r="K23">
        <v>7334.4</v>
      </c>
      <c r="L23">
        <v>134.4</v>
      </c>
      <c r="M23">
        <v>202550.39999999999</v>
      </c>
      <c r="N23">
        <v>7200</v>
      </c>
      <c r="O23">
        <v>1.8324607329842935</v>
      </c>
      <c r="P23" t="s">
        <v>2075</v>
      </c>
      <c r="Q23" t="s">
        <v>2091</v>
      </c>
    </row>
    <row r="24" spans="1:17" x14ac:dyDescent="0.25">
      <c r="A24" t="s">
        <v>618</v>
      </c>
      <c r="B24" s="18">
        <v>45662</v>
      </c>
      <c r="C24" t="s">
        <v>2029</v>
      </c>
      <c r="D24" t="s">
        <v>2049</v>
      </c>
      <c r="E24" t="s">
        <v>2055</v>
      </c>
      <c r="F24" t="s">
        <v>2059</v>
      </c>
      <c r="G24">
        <v>6</v>
      </c>
      <c r="H24">
        <v>1200</v>
      </c>
      <c r="I24">
        <v>1464</v>
      </c>
      <c r="J24">
        <v>16.71</v>
      </c>
      <c r="K24">
        <v>7315.85</v>
      </c>
      <c r="L24">
        <v>115.85</v>
      </c>
      <c r="M24">
        <v>146780.64000000001</v>
      </c>
      <c r="N24">
        <v>7200</v>
      </c>
      <c r="O24">
        <v>1.583548049782322</v>
      </c>
      <c r="P24" t="s">
        <v>2075</v>
      </c>
      <c r="Q24" t="s">
        <v>2091</v>
      </c>
    </row>
    <row r="25" spans="1:17" x14ac:dyDescent="0.25">
      <c r="A25" t="s">
        <v>1186</v>
      </c>
      <c r="B25" s="18">
        <v>45662</v>
      </c>
      <c r="C25" t="s">
        <v>2019</v>
      </c>
      <c r="D25" t="s">
        <v>2039</v>
      </c>
      <c r="E25" t="s">
        <v>2053</v>
      </c>
      <c r="F25" t="s">
        <v>2060</v>
      </c>
      <c r="G25">
        <v>4</v>
      </c>
      <c r="H25">
        <v>900</v>
      </c>
      <c r="I25">
        <v>1152</v>
      </c>
      <c r="J25">
        <v>10.44</v>
      </c>
      <c r="K25">
        <v>4127.08</v>
      </c>
      <c r="L25">
        <v>527.08000000000004</v>
      </c>
      <c r="M25">
        <v>48107.519999999997</v>
      </c>
      <c r="N25">
        <v>3600</v>
      </c>
      <c r="O25">
        <v>12.771257160025975</v>
      </c>
      <c r="P25" t="s">
        <v>2075</v>
      </c>
      <c r="Q25" t="s">
        <v>2092</v>
      </c>
    </row>
    <row r="26" spans="1:17" x14ac:dyDescent="0.25">
      <c r="A26" t="s">
        <v>1203</v>
      </c>
      <c r="B26" s="18">
        <v>45662</v>
      </c>
      <c r="C26" t="s">
        <v>2012</v>
      </c>
      <c r="D26" t="s">
        <v>2032</v>
      </c>
      <c r="E26" t="s">
        <v>2052</v>
      </c>
      <c r="F26" t="s">
        <v>2061</v>
      </c>
      <c r="G26">
        <v>7</v>
      </c>
      <c r="H26">
        <v>6500</v>
      </c>
      <c r="I26">
        <v>8125</v>
      </c>
      <c r="J26">
        <v>16.32</v>
      </c>
      <c r="K26">
        <v>47594.12</v>
      </c>
      <c r="L26">
        <v>2094.12</v>
      </c>
      <c r="M26">
        <v>928200</v>
      </c>
      <c r="N26">
        <v>45500</v>
      </c>
      <c r="O26">
        <v>4.399955288594473</v>
      </c>
      <c r="P26" t="s">
        <v>2075</v>
      </c>
      <c r="Q26" t="s">
        <v>2091</v>
      </c>
    </row>
    <row r="27" spans="1:17" x14ac:dyDescent="0.25">
      <c r="A27" t="s">
        <v>1616</v>
      </c>
      <c r="B27" s="18">
        <v>45662</v>
      </c>
      <c r="C27" t="s">
        <v>2015</v>
      </c>
      <c r="D27" t="s">
        <v>2035</v>
      </c>
      <c r="E27" t="s">
        <v>2054</v>
      </c>
      <c r="F27" t="s">
        <v>2059</v>
      </c>
      <c r="G27">
        <v>3</v>
      </c>
      <c r="H27">
        <v>900</v>
      </c>
      <c r="I27">
        <v>1170</v>
      </c>
      <c r="J27">
        <v>13.33</v>
      </c>
      <c r="K27">
        <v>3042.12</v>
      </c>
      <c r="L27">
        <v>342.12</v>
      </c>
      <c r="M27">
        <v>46788.3</v>
      </c>
      <c r="N27">
        <v>2700</v>
      </c>
      <c r="O27">
        <v>11.246104690150291</v>
      </c>
      <c r="P27" t="s">
        <v>2075</v>
      </c>
      <c r="Q27" t="s">
        <v>2092</v>
      </c>
    </row>
    <row r="28" spans="1:17" x14ac:dyDescent="0.25">
      <c r="A28" t="s">
        <v>1979</v>
      </c>
      <c r="B28" s="18">
        <v>45662</v>
      </c>
      <c r="C28" t="s">
        <v>2018</v>
      </c>
      <c r="D28" t="s">
        <v>2038</v>
      </c>
      <c r="E28" t="s">
        <v>2053</v>
      </c>
      <c r="F28" t="s">
        <v>2061</v>
      </c>
      <c r="G28">
        <v>5</v>
      </c>
      <c r="H28">
        <v>500</v>
      </c>
      <c r="I28">
        <v>610</v>
      </c>
      <c r="J28">
        <v>8.08</v>
      </c>
      <c r="K28">
        <v>2803.67</v>
      </c>
      <c r="L28">
        <v>303.67</v>
      </c>
      <c r="M28">
        <v>24644</v>
      </c>
      <c r="N28">
        <v>2500</v>
      </c>
      <c r="O28">
        <v>10.831160585946279</v>
      </c>
      <c r="P28" t="s">
        <v>2075</v>
      </c>
      <c r="Q28" t="s">
        <v>2092</v>
      </c>
    </row>
    <row r="29" spans="1:17" x14ac:dyDescent="0.25">
      <c r="A29" t="s">
        <v>1640</v>
      </c>
      <c r="B29" s="18">
        <v>45663</v>
      </c>
      <c r="C29" t="s">
        <v>2014</v>
      </c>
      <c r="D29" t="s">
        <v>2034</v>
      </c>
      <c r="E29" t="s">
        <v>2052</v>
      </c>
      <c r="F29" t="s">
        <v>2062</v>
      </c>
      <c r="G29">
        <v>9</v>
      </c>
      <c r="H29">
        <v>4500</v>
      </c>
      <c r="I29">
        <v>5220</v>
      </c>
      <c r="J29">
        <v>18.03</v>
      </c>
      <c r="K29">
        <v>38511.54</v>
      </c>
      <c r="L29">
        <v>-1988.46</v>
      </c>
      <c r="M29">
        <v>847049.4</v>
      </c>
      <c r="N29">
        <v>40500</v>
      </c>
      <c r="O29">
        <v>-5.1632835248863067</v>
      </c>
      <c r="P29" t="s">
        <v>2075</v>
      </c>
      <c r="Q29" t="s">
        <v>2093</v>
      </c>
    </row>
    <row r="30" spans="1:17" x14ac:dyDescent="0.25">
      <c r="A30" t="s">
        <v>90</v>
      </c>
      <c r="B30" s="18">
        <v>45664</v>
      </c>
      <c r="C30" t="s">
        <v>2023</v>
      </c>
      <c r="D30" t="s">
        <v>2043</v>
      </c>
      <c r="E30" t="s">
        <v>2053</v>
      </c>
      <c r="F30" t="s">
        <v>2061</v>
      </c>
      <c r="G30">
        <v>6</v>
      </c>
      <c r="H30">
        <v>550</v>
      </c>
      <c r="I30">
        <v>742.5</v>
      </c>
      <c r="J30">
        <v>18.579999999999998</v>
      </c>
      <c r="K30">
        <v>3627.4</v>
      </c>
      <c r="L30">
        <v>327.39999999999998</v>
      </c>
      <c r="M30">
        <v>82773.899999999994</v>
      </c>
      <c r="N30">
        <v>3300</v>
      </c>
      <c r="O30">
        <v>9.0257484699784971</v>
      </c>
      <c r="P30" t="s">
        <v>2075</v>
      </c>
      <c r="Q30" t="s">
        <v>2091</v>
      </c>
    </row>
    <row r="31" spans="1:17" x14ac:dyDescent="0.25">
      <c r="A31" t="s">
        <v>176</v>
      </c>
      <c r="B31" s="18">
        <v>45664</v>
      </c>
      <c r="C31" t="s">
        <v>2012</v>
      </c>
      <c r="D31" t="s">
        <v>2032</v>
      </c>
      <c r="E31" t="s">
        <v>2052</v>
      </c>
      <c r="F31" t="s">
        <v>2059</v>
      </c>
      <c r="G31">
        <v>7</v>
      </c>
      <c r="H31">
        <v>6500</v>
      </c>
      <c r="I31">
        <v>8125</v>
      </c>
      <c r="J31">
        <v>4</v>
      </c>
      <c r="K31">
        <v>54600</v>
      </c>
      <c r="L31">
        <v>9100</v>
      </c>
      <c r="M31">
        <v>227500</v>
      </c>
      <c r="N31">
        <v>45500</v>
      </c>
      <c r="O31">
        <v>16.666666666666664</v>
      </c>
      <c r="P31" t="s">
        <v>2075</v>
      </c>
      <c r="Q31" t="s">
        <v>2092</v>
      </c>
    </row>
    <row r="32" spans="1:17" x14ac:dyDescent="0.25">
      <c r="A32" t="s">
        <v>571</v>
      </c>
      <c r="B32" s="18">
        <v>45664</v>
      </c>
      <c r="C32" t="s">
        <v>2019</v>
      </c>
      <c r="D32" t="s">
        <v>2039</v>
      </c>
      <c r="E32" t="s">
        <v>2053</v>
      </c>
      <c r="F32" t="s">
        <v>2060</v>
      </c>
      <c r="G32">
        <v>1</v>
      </c>
      <c r="H32">
        <v>900</v>
      </c>
      <c r="I32">
        <v>1152</v>
      </c>
      <c r="J32">
        <v>4.8600000000000003</v>
      </c>
      <c r="K32">
        <v>1096.05</v>
      </c>
      <c r="L32">
        <v>196.05</v>
      </c>
      <c r="M32">
        <v>5598.72</v>
      </c>
      <c r="N32">
        <v>900</v>
      </c>
      <c r="O32">
        <v>17.886957711783225</v>
      </c>
      <c r="P32" t="s">
        <v>2075</v>
      </c>
      <c r="Q32" t="s">
        <v>2092</v>
      </c>
    </row>
    <row r="33" spans="1:17" x14ac:dyDescent="0.25">
      <c r="A33" t="s">
        <v>1088</v>
      </c>
      <c r="B33" s="18">
        <v>45664</v>
      </c>
      <c r="C33" t="s">
        <v>2027</v>
      </c>
      <c r="D33" t="s">
        <v>2047</v>
      </c>
      <c r="E33" t="s">
        <v>2053</v>
      </c>
      <c r="F33" t="s">
        <v>2060</v>
      </c>
      <c r="G33">
        <v>1</v>
      </c>
      <c r="H33">
        <v>1100</v>
      </c>
      <c r="I33">
        <v>1298</v>
      </c>
      <c r="J33">
        <v>19.350000000000001</v>
      </c>
      <c r="K33">
        <v>1046.79</v>
      </c>
      <c r="L33">
        <v>-53.21</v>
      </c>
      <c r="M33">
        <v>25116.300000000003</v>
      </c>
      <c r="N33">
        <v>1100</v>
      </c>
      <c r="O33">
        <v>-5.0831589908195536</v>
      </c>
      <c r="P33" t="s">
        <v>2075</v>
      </c>
      <c r="Q33" t="s">
        <v>2093</v>
      </c>
    </row>
    <row r="34" spans="1:17" x14ac:dyDescent="0.25">
      <c r="A34" t="s">
        <v>1545</v>
      </c>
      <c r="B34" s="18">
        <v>45664</v>
      </c>
      <c r="C34" t="s">
        <v>2016</v>
      </c>
      <c r="D34" t="s">
        <v>2036</v>
      </c>
      <c r="E34" t="s">
        <v>2052</v>
      </c>
      <c r="F34" t="s">
        <v>2059</v>
      </c>
      <c r="G34">
        <v>10</v>
      </c>
      <c r="H34">
        <v>900</v>
      </c>
      <c r="I34">
        <v>1170</v>
      </c>
      <c r="J34">
        <v>8.7200000000000006</v>
      </c>
      <c r="K34">
        <v>10680.15</v>
      </c>
      <c r="L34">
        <v>1680.15</v>
      </c>
      <c r="M34">
        <v>102024.00000000001</v>
      </c>
      <c r="N34">
        <v>9000</v>
      </c>
      <c r="O34">
        <v>15.731520624710329</v>
      </c>
      <c r="P34" t="s">
        <v>2075</v>
      </c>
      <c r="Q34" t="s">
        <v>2092</v>
      </c>
    </row>
    <row r="35" spans="1:17" x14ac:dyDescent="0.25">
      <c r="A35" t="s">
        <v>1962</v>
      </c>
      <c r="B35" s="18">
        <v>45664</v>
      </c>
      <c r="C35" t="s">
        <v>2012</v>
      </c>
      <c r="D35" t="s">
        <v>2032</v>
      </c>
      <c r="E35" t="s">
        <v>2052</v>
      </c>
      <c r="F35" t="s">
        <v>2062</v>
      </c>
      <c r="G35">
        <v>6</v>
      </c>
      <c r="H35">
        <v>6500</v>
      </c>
      <c r="I35">
        <v>8125</v>
      </c>
      <c r="J35">
        <v>4</v>
      </c>
      <c r="K35">
        <v>46800</v>
      </c>
      <c r="L35">
        <v>7800</v>
      </c>
      <c r="M35">
        <v>195000</v>
      </c>
      <c r="N35">
        <v>39000</v>
      </c>
      <c r="O35">
        <v>16.666666666666664</v>
      </c>
      <c r="P35" t="s">
        <v>2075</v>
      </c>
      <c r="Q35" t="s">
        <v>2092</v>
      </c>
    </row>
    <row r="36" spans="1:17" x14ac:dyDescent="0.25">
      <c r="A36" t="s">
        <v>252</v>
      </c>
      <c r="B36" s="18">
        <v>45665</v>
      </c>
      <c r="C36" t="s">
        <v>2018</v>
      </c>
      <c r="D36" t="s">
        <v>2038</v>
      </c>
      <c r="E36" t="s">
        <v>2053</v>
      </c>
      <c r="F36" t="s">
        <v>2060</v>
      </c>
      <c r="G36">
        <v>1</v>
      </c>
      <c r="H36">
        <v>500</v>
      </c>
      <c r="I36">
        <v>610</v>
      </c>
      <c r="J36">
        <v>12.92</v>
      </c>
      <c r="K36">
        <v>531.19000000000005</v>
      </c>
      <c r="L36">
        <v>31.19</v>
      </c>
      <c r="M36">
        <v>7881.2</v>
      </c>
      <c r="N36">
        <v>500</v>
      </c>
      <c r="O36">
        <v>5.8717219827180482</v>
      </c>
      <c r="P36" t="s">
        <v>2075</v>
      </c>
      <c r="Q36" t="s">
        <v>2091</v>
      </c>
    </row>
    <row r="37" spans="1:17" x14ac:dyDescent="0.25">
      <c r="A37" t="s">
        <v>274</v>
      </c>
      <c r="B37" s="18">
        <v>45665</v>
      </c>
      <c r="C37" t="s">
        <v>2012</v>
      </c>
      <c r="D37" t="s">
        <v>2032</v>
      </c>
      <c r="E37" t="s">
        <v>2052</v>
      </c>
      <c r="F37" t="s">
        <v>2060</v>
      </c>
      <c r="G37">
        <v>10</v>
      </c>
      <c r="H37">
        <v>6500</v>
      </c>
      <c r="I37">
        <v>8125</v>
      </c>
      <c r="J37">
        <v>17.77</v>
      </c>
      <c r="K37">
        <v>66810.399999999994</v>
      </c>
      <c r="L37">
        <v>1810.4</v>
      </c>
      <c r="M37">
        <v>1443812.5</v>
      </c>
      <c r="N37">
        <v>65000</v>
      </c>
      <c r="O37">
        <v>2.7097577622645579</v>
      </c>
      <c r="P37" t="s">
        <v>2075</v>
      </c>
      <c r="Q37" t="s">
        <v>2091</v>
      </c>
    </row>
    <row r="38" spans="1:17" x14ac:dyDescent="0.25">
      <c r="A38" t="s">
        <v>675</v>
      </c>
      <c r="B38" s="18">
        <v>45665</v>
      </c>
      <c r="C38" t="s">
        <v>2022</v>
      </c>
      <c r="D38" t="s">
        <v>2042</v>
      </c>
      <c r="E38" t="s">
        <v>2053</v>
      </c>
      <c r="F38" t="s">
        <v>2059</v>
      </c>
      <c r="G38">
        <v>3</v>
      </c>
      <c r="H38">
        <v>8500</v>
      </c>
      <c r="I38">
        <v>9520</v>
      </c>
      <c r="J38">
        <v>4</v>
      </c>
      <c r="K38">
        <v>27417.599999999999</v>
      </c>
      <c r="L38">
        <v>1917.6</v>
      </c>
      <c r="M38">
        <v>114240</v>
      </c>
      <c r="N38">
        <v>25500</v>
      </c>
      <c r="O38">
        <v>6.9940476190476195</v>
      </c>
      <c r="P38" t="s">
        <v>2075</v>
      </c>
      <c r="Q38" t="s">
        <v>2091</v>
      </c>
    </row>
    <row r="39" spans="1:17" x14ac:dyDescent="0.25">
      <c r="A39" t="s">
        <v>698</v>
      </c>
      <c r="B39" s="18">
        <v>45665</v>
      </c>
      <c r="C39" t="s">
        <v>2022</v>
      </c>
      <c r="D39" t="s">
        <v>2042</v>
      </c>
      <c r="E39" t="s">
        <v>2053</v>
      </c>
      <c r="F39" t="s">
        <v>2061</v>
      </c>
      <c r="G39">
        <v>3</v>
      </c>
      <c r="H39">
        <v>8500</v>
      </c>
      <c r="I39">
        <v>9520</v>
      </c>
      <c r="J39">
        <v>6.65</v>
      </c>
      <c r="K39">
        <v>26660.41</v>
      </c>
      <c r="L39">
        <v>1160.4100000000001</v>
      </c>
      <c r="M39">
        <v>189924</v>
      </c>
      <c r="N39">
        <v>25500</v>
      </c>
      <c r="O39">
        <v>4.3525587190894663</v>
      </c>
      <c r="P39" t="s">
        <v>2075</v>
      </c>
      <c r="Q39" t="s">
        <v>2091</v>
      </c>
    </row>
    <row r="40" spans="1:17" x14ac:dyDescent="0.25">
      <c r="A40" t="s">
        <v>890</v>
      </c>
      <c r="B40" s="18">
        <v>45665</v>
      </c>
      <c r="C40" t="s">
        <v>2018</v>
      </c>
      <c r="D40" t="s">
        <v>2038</v>
      </c>
      <c r="E40" t="s">
        <v>2053</v>
      </c>
      <c r="F40" t="s">
        <v>2062</v>
      </c>
      <c r="G40">
        <v>4</v>
      </c>
      <c r="H40">
        <v>500</v>
      </c>
      <c r="I40">
        <v>610</v>
      </c>
      <c r="J40">
        <v>10.68</v>
      </c>
      <c r="K40">
        <v>2179.3000000000002</v>
      </c>
      <c r="L40">
        <v>179.3</v>
      </c>
      <c r="M40">
        <v>26059.200000000001</v>
      </c>
      <c r="N40">
        <v>2000</v>
      </c>
      <c r="O40">
        <v>8.2274124718946453</v>
      </c>
      <c r="P40" t="s">
        <v>2075</v>
      </c>
      <c r="Q40" t="s">
        <v>2091</v>
      </c>
    </row>
    <row r="41" spans="1:17" x14ac:dyDescent="0.25">
      <c r="A41" t="s">
        <v>997</v>
      </c>
      <c r="B41" s="18">
        <v>45665</v>
      </c>
      <c r="C41" t="s">
        <v>2023</v>
      </c>
      <c r="D41" t="s">
        <v>2043</v>
      </c>
      <c r="E41" t="s">
        <v>2053</v>
      </c>
      <c r="F41" t="s">
        <v>2061</v>
      </c>
      <c r="G41">
        <v>9</v>
      </c>
      <c r="H41">
        <v>550</v>
      </c>
      <c r="I41">
        <v>742.5</v>
      </c>
      <c r="J41">
        <v>14.53</v>
      </c>
      <c r="K41">
        <v>5711.55</v>
      </c>
      <c r="L41">
        <v>761.55</v>
      </c>
      <c r="M41">
        <v>97096.724999999991</v>
      </c>
      <c r="N41">
        <v>4950</v>
      </c>
      <c r="O41">
        <v>13.333508417154711</v>
      </c>
      <c r="P41" t="s">
        <v>2075</v>
      </c>
      <c r="Q41" t="s">
        <v>2092</v>
      </c>
    </row>
    <row r="42" spans="1:17" x14ac:dyDescent="0.25">
      <c r="A42" t="s">
        <v>1184</v>
      </c>
      <c r="B42" s="18">
        <v>45665</v>
      </c>
      <c r="C42" t="s">
        <v>2013</v>
      </c>
      <c r="D42" t="s">
        <v>2033</v>
      </c>
      <c r="E42" t="s">
        <v>2053</v>
      </c>
      <c r="F42" t="s">
        <v>2062</v>
      </c>
      <c r="G42">
        <v>6</v>
      </c>
      <c r="H42">
        <v>6500</v>
      </c>
      <c r="I42">
        <v>7150</v>
      </c>
      <c r="J42">
        <v>4</v>
      </c>
      <c r="K42">
        <v>41184</v>
      </c>
      <c r="L42">
        <v>2184</v>
      </c>
      <c r="M42">
        <v>171600</v>
      </c>
      <c r="N42">
        <v>39000</v>
      </c>
      <c r="O42">
        <v>5.3030303030303028</v>
      </c>
      <c r="P42" t="s">
        <v>2075</v>
      </c>
      <c r="Q42" t="s">
        <v>2091</v>
      </c>
    </row>
    <row r="43" spans="1:17" x14ac:dyDescent="0.25">
      <c r="A43" t="s">
        <v>1642</v>
      </c>
      <c r="B43" s="18">
        <v>45665</v>
      </c>
      <c r="C43" t="s">
        <v>2012</v>
      </c>
      <c r="D43" t="s">
        <v>2032</v>
      </c>
      <c r="E43" t="s">
        <v>2052</v>
      </c>
      <c r="F43" t="s">
        <v>2059</v>
      </c>
      <c r="G43">
        <v>8</v>
      </c>
      <c r="H43">
        <v>6500</v>
      </c>
      <c r="I43">
        <v>8125</v>
      </c>
      <c r="J43">
        <v>17.13</v>
      </c>
      <c r="K43">
        <v>53866.239999999998</v>
      </c>
      <c r="L43">
        <v>1866.24</v>
      </c>
      <c r="M43">
        <v>1113450</v>
      </c>
      <c r="N43">
        <v>52000</v>
      </c>
      <c r="O43">
        <v>3.4645818976783973</v>
      </c>
      <c r="P43" t="s">
        <v>2075</v>
      </c>
      <c r="Q43" t="s">
        <v>2091</v>
      </c>
    </row>
    <row r="44" spans="1:17" x14ac:dyDescent="0.25">
      <c r="A44" t="s">
        <v>1686</v>
      </c>
      <c r="B44" s="18">
        <v>45665</v>
      </c>
      <c r="C44" t="s">
        <v>2028</v>
      </c>
      <c r="D44" t="s">
        <v>2048</v>
      </c>
      <c r="E44" t="s">
        <v>2057</v>
      </c>
      <c r="F44" t="s">
        <v>2060</v>
      </c>
      <c r="G44">
        <v>2</v>
      </c>
      <c r="H44">
        <v>80</v>
      </c>
      <c r="I44">
        <v>116</v>
      </c>
      <c r="J44">
        <v>0</v>
      </c>
      <c r="K44">
        <v>232</v>
      </c>
      <c r="L44">
        <v>72</v>
      </c>
      <c r="M44">
        <v>0</v>
      </c>
      <c r="N44">
        <v>160</v>
      </c>
      <c r="O44">
        <v>31.03448275862069</v>
      </c>
      <c r="P44" t="s">
        <v>2075</v>
      </c>
      <c r="Q44" t="s">
        <v>2092</v>
      </c>
    </row>
    <row r="45" spans="1:17" x14ac:dyDescent="0.25">
      <c r="A45" t="s">
        <v>1689</v>
      </c>
      <c r="B45" s="18">
        <v>45665</v>
      </c>
      <c r="C45" t="s">
        <v>2012</v>
      </c>
      <c r="D45" t="s">
        <v>2032</v>
      </c>
      <c r="E45" t="s">
        <v>2052</v>
      </c>
      <c r="F45" t="s">
        <v>2060</v>
      </c>
      <c r="G45">
        <v>2</v>
      </c>
      <c r="H45">
        <v>6500</v>
      </c>
      <c r="I45">
        <v>8125</v>
      </c>
      <c r="J45">
        <v>15.26</v>
      </c>
      <c r="K45">
        <v>13770.72</v>
      </c>
      <c r="L45">
        <v>770.72</v>
      </c>
      <c r="M45">
        <v>247975</v>
      </c>
      <c r="N45">
        <v>13000</v>
      </c>
      <c r="O45">
        <v>5.5968024910825296</v>
      </c>
      <c r="P45" t="s">
        <v>2075</v>
      </c>
      <c r="Q45" t="s">
        <v>2091</v>
      </c>
    </row>
    <row r="46" spans="1:17" x14ac:dyDescent="0.25">
      <c r="A46" t="s">
        <v>1875</v>
      </c>
      <c r="B46" s="18">
        <v>45666</v>
      </c>
      <c r="C46" t="s">
        <v>2014</v>
      </c>
      <c r="D46" t="s">
        <v>2034</v>
      </c>
      <c r="E46" t="s">
        <v>2052</v>
      </c>
      <c r="F46" t="s">
        <v>2060</v>
      </c>
      <c r="G46">
        <v>7</v>
      </c>
      <c r="H46">
        <v>4500</v>
      </c>
      <c r="I46">
        <v>5220</v>
      </c>
      <c r="J46">
        <v>14.03</v>
      </c>
      <c r="K46">
        <v>31412.68</v>
      </c>
      <c r="L46">
        <v>-87.32</v>
      </c>
      <c r="M46">
        <v>512656.19999999995</v>
      </c>
      <c r="N46">
        <v>31500</v>
      </c>
      <c r="O46">
        <v>-0.27797691887479831</v>
      </c>
      <c r="P46" t="s">
        <v>2075</v>
      </c>
      <c r="Q46" t="s">
        <v>2093</v>
      </c>
    </row>
    <row r="47" spans="1:17" x14ac:dyDescent="0.25">
      <c r="A47" t="s">
        <v>233</v>
      </c>
      <c r="B47" s="18">
        <v>45667</v>
      </c>
      <c r="C47" t="s">
        <v>2020</v>
      </c>
      <c r="D47" t="s">
        <v>2040</v>
      </c>
      <c r="E47" t="s">
        <v>2053</v>
      </c>
      <c r="F47" t="s">
        <v>2061</v>
      </c>
      <c r="G47">
        <v>3</v>
      </c>
      <c r="H47">
        <v>350</v>
      </c>
      <c r="I47">
        <v>455</v>
      </c>
      <c r="J47">
        <v>7.88</v>
      </c>
      <c r="K47">
        <v>1257.3800000000001</v>
      </c>
      <c r="L47">
        <v>207.38</v>
      </c>
      <c r="M47">
        <v>10756.2</v>
      </c>
      <c r="N47">
        <v>1050</v>
      </c>
      <c r="O47">
        <v>16.493025179341167</v>
      </c>
      <c r="P47" t="s">
        <v>2075</v>
      </c>
      <c r="Q47" t="s">
        <v>2092</v>
      </c>
    </row>
    <row r="48" spans="1:17" x14ac:dyDescent="0.25">
      <c r="A48" t="s">
        <v>310</v>
      </c>
      <c r="B48" s="18">
        <v>45667</v>
      </c>
      <c r="C48" t="s">
        <v>2019</v>
      </c>
      <c r="D48" t="s">
        <v>2039</v>
      </c>
      <c r="E48" t="s">
        <v>2053</v>
      </c>
      <c r="F48" t="s">
        <v>2059</v>
      </c>
      <c r="G48">
        <v>8</v>
      </c>
      <c r="H48">
        <v>900</v>
      </c>
      <c r="I48">
        <v>1152</v>
      </c>
      <c r="J48">
        <v>5.18</v>
      </c>
      <c r="K48">
        <v>8738.6200000000008</v>
      </c>
      <c r="L48">
        <v>1538.62</v>
      </c>
      <c r="M48">
        <v>47738.879999999997</v>
      </c>
      <c r="N48">
        <v>7200</v>
      </c>
      <c r="O48">
        <v>17.607127898913095</v>
      </c>
      <c r="P48" t="s">
        <v>2075</v>
      </c>
      <c r="Q48" t="s">
        <v>2092</v>
      </c>
    </row>
    <row r="49" spans="1:17" x14ac:dyDescent="0.25">
      <c r="A49" t="s">
        <v>392</v>
      </c>
      <c r="B49" s="18">
        <v>45667</v>
      </c>
      <c r="C49" t="s">
        <v>2017</v>
      </c>
      <c r="D49" t="s">
        <v>2037</v>
      </c>
      <c r="E49" t="s">
        <v>2055</v>
      </c>
      <c r="F49" t="s">
        <v>2061</v>
      </c>
      <c r="G49">
        <v>8</v>
      </c>
      <c r="H49">
        <v>2500</v>
      </c>
      <c r="I49">
        <v>2875</v>
      </c>
      <c r="J49">
        <v>0.4</v>
      </c>
      <c r="K49">
        <v>22907.9</v>
      </c>
      <c r="L49">
        <v>2907.9</v>
      </c>
      <c r="M49">
        <v>9200</v>
      </c>
      <c r="N49">
        <v>20000</v>
      </c>
      <c r="O49">
        <v>12.693874165680835</v>
      </c>
      <c r="P49" t="s">
        <v>2075</v>
      </c>
      <c r="Q49" t="s">
        <v>2092</v>
      </c>
    </row>
    <row r="50" spans="1:17" x14ac:dyDescent="0.25">
      <c r="A50" t="s">
        <v>1360</v>
      </c>
      <c r="B50" s="18">
        <v>45667</v>
      </c>
      <c r="C50" t="s">
        <v>2018</v>
      </c>
      <c r="D50" t="s">
        <v>2038</v>
      </c>
      <c r="E50" t="s">
        <v>2053</v>
      </c>
      <c r="F50" t="s">
        <v>2061</v>
      </c>
      <c r="G50">
        <v>6</v>
      </c>
      <c r="H50">
        <v>500</v>
      </c>
      <c r="I50">
        <v>610</v>
      </c>
      <c r="J50">
        <v>12.63</v>
      </c>
      <c r="K50">
        <v>3197.62</v>
      </c>
      <c r="L50">
        <v>197.62</v>
      </c>
      <c r="M50">
        <v>46225.8</v>
      </c>
      <c r="N50">
        <v>3000</v>
      </c>
      <c r="O50">
        <v>6.1802215397702049</v>
      </c>
      <c r="P50" t="s">
        <v>2075</v>
      </c>
      <c r="Q50" t="s">
        <v>2091</v>
      </c>
    </row>
    <row r="51" spans="1:17" x14ac:dyDescent="0.25">
      <c r="A51" t="s">
        <v>1724</v>
      </c>
      <c r="B51" s="18">
        <v>45667</v>
      </c>
      <c r="C51" t="s">
        <v>2014</v>
      </c>
      <c r="D51" t="s">
        <v>2034</v>
      </c>
      <c r="E51" t="s">
        <v>2052</v>
      </c>
      <c r="F51" t="s">
        <v>2062</v>
      </c>
      <c r="G51">
        <v>6</v>
      </c>
      <c r="H51">
        <v>4500</v>
      </c>
      <c r="I51">
        <v>5220</v>
      </c>
      <c r="J51">
        <v>4</v>
      </c>
      <c r="K51">
        <v>30067.200000000001</v>
      </c>
      <c r="L51">
        <v>3067.2</v>
      </c>
      <c r="M51">
        <v>125280</v>
      </c>
      <c r="N51">
        <v>27000</v>
      </c>
      <c r="O51">
        <v>10.201149425287355</v>
      </c>
      <c r="P51" t="s">
        <v>2075</v>
      </c>
      <c r="Q51" t="s">
        <v>2092</v>
      </c>
    </row>
    <row r="52" spans="1:17" x14ac:dyDescent="0.25">
      <c r="A52" t="s">
        <v>1877</v>
      </c>
      <c r="B52" s="18">
        <v>45667</v>
      </c>
      <c r="C52" t="s">
        <v>2018</v>
      </c>
      <c r="D52" t="s">
        <v>2038</v>
      </c>
      <c r="E52" t="s">
        <v>2053</v>
      </c>
      <c r="F52" t="s">
        <v>2061</v>
      </c>
      <c r="G52">
        <v>7</v>
      </c>
      <c r="H52">
        <v>500</v>
      </c>
      <c r="I52">
        <v>610</v>
      </c>
      <c r="J52">
        <v>14.76</v>
      </c>
      <c r="K52">
        <v>3639.63</v>
      </c>
      <c r="L52">
        <v>139.63</v>
      </c>
      <c r="M52">
        <v>63025.2</v>
      </c>
      <c r="N52">
        <v>3500</v>
      </c>
      <c r="O52">
        <v>3.8363789725878727</v>
      </c>
      <c r="P52" t="s">
        <v>2075</v>
      </c>
      <c r="Q52" t="s">
        <v>2091</v>
      </c>
    </row>
    <row r="53" spans="1:17" x14ac:dyDescent="0.25">
      <c r="A53" t="s">
        <v>309</v>
      </c>
      <c r="B53" s="18">
        <v>45668</v>
      </c>
      <c r="C53" t="s">
        <v>2023</v>
      </c>
      <c r="D53" t="s">
        <v>2043</v>
      </c>
      <c r="E53" t="s">
        <v>2053</v>
      </c>
      <c r="F53" t="s">
        <v>2061</v>
      </c>
      <c r="G53">
        <v>9</v>
      </c>
      <c r="H53">
        <v>550</v>
      </c>
      <c r="I53">
        <v>742.5</v>
      </c>
      <c r="J53">
        <v>0</v>
      </c>
      <c r="K53">
        <v>6682.5</v>
      </c>
      <c r="L53">
        <v>1732.5</v>
      </c>
      <c r="M53">
        <v>0</v>
      </c>
      <c r="N53">
        <v>4950</v>
      </c>
      <c r="O53">
        <v>25.925925925925924</v>
      </c>
      <c r="P53" t="s">
        <v>2075</v>
      </c>
      <c r="Q53" t="s">
        <v>2092</v>
      </c>
    </row>
    <row r="54" spans="1:17" x14ac:dyDescent="0.25">
      <c r="A54" t="s">
        <v>1434</v>
      </c>
      <c r="B54" s="18">
        <v>45668</v>
      </c>
      <c r="C54" t="s">
        <v>2024</v>
      </c>
      <c r="D54" t="s">
        <v>2044</v>
      </c>
      <c r="E54" t="s">
        <v>2055</v>
      </c>
      <c r="F54" t="s">
        <v>2060</v>
      </c>
      <c r="G54">
        <v>8</v>
      </c>
      <c r="H54">
        <v>180</v>
      </c>
      <c r="I54">
        <v>243</v>
      </c>
      <c r="J54">
        <v>8.07</v>
      </c>
      <c r="K54">
        <v>1787.11</v>
      </c>
      <c r="L54">
        <v>347.11</v>
      </c>
      <c r="M54">
        <v>15688.08</v>
      </c>
      <c r="N54">
        <v>1440</v>
      </c>
      <c r="O54">
        <v>19.422978999613903</v>
      </c>
      <c r="P54" t="s">
        <v>2075</v>
      </c>
      <c r="Q54" t="s">
        <v>2092</v>
      </c>
    </row>
    <row r="55" spans="1:17" x14ac:dyDescent="0.25">
      <c r="A55" t="s">
        <v>1651</v>
      </c>
      <c r="B55" s="18">
        <v>45668</v>
      </c>
      <c r="C55" t="s">
        <v>2024</v>
      </c>
      <c r="D55" t="s">
        <v>2044</v>
      </c>
      <c r="E55" t="s">
        <v>2055</v>
      </c>
      <c r="F55" t="s">
        <v>2062</v>
      </c>
      <c r="G55">
        <v>2</v>
      </c>
      <c r="H55">
        <v>180</v>
      </c>
      <c r="I55">
        <v>243</v>
      </c>
      <c r="J55">
        <v>7.04</v>
      </c>
      <c r="K55">
        <v>451.8</v>
      </c>
      <c r="L55">
        <v>91.8</v>
      </c>
      <c r="M55">
        <v>3421.44</v>
      </c>
      <c r="N55">
        <v>360</v>
      </c>
      <c r="O55">
        <v>20.318725099601593</v>
      </c>
      <c r="P55" t="s">
        <v>2075</v>
      </c>
      <c r="Q55" t="s">
        <v>2092</v>
      </c>
    </row>
    <row r="56" spans="1:17" x14ac:dyDescent="0.25">
      <c r="A56" t="s">
        <v>27</v>
      </c>
      <c r="B56" s="18">
        <v>45669</v>
      </c>
      <c r="C56" t="s">
        <v>2020</v>
      </c>
      <c r="D56" t="s">
        <v>2040</v>
      </c>
      <c r="E56" t="s">
        <v>2053</v>
      </c>
      <c r="F56" t="s">
        <v>2060</v>
      </c>
      <c r="G56">
        <v>3</v>
      </c>
      <c r="H56">
        <v>350</v>
      </c>
      <c r="I56">
        <v>455</v>
      </c>
      <c r="J56">
        <v>13.79</v>
      </c>
      <c r="K56">
        <v>1176.7</v>
      </c>
      <c r="L56">
        <v>126.7</v>
      </c>
      <c r="M56">
        <v>18823.349999999999</v>
      </c>
      <c r="N56">
        <v>1050</v>
      </c>
      <c r="O56">
        <v>10.767400356930398</v>
      </c>
      <c r="P56" t="s">
        <v>2075</v>
      </c>
      <c r="Q56" t="s">
        <v>2092</v>
      </c>
    </row>
    <row r="57" spans="1:17" x14ac:dyDescent="0.25">
      <c r="A57" t="s">
        <v>77</v>
      </c>
      <c r="B57" s="18">
        <v>45669</v>
      </c>
      <c r="C57" t="s">
        <v>2030</v>
      </c>
      <c r="D57" t="s">
        <v>2050</v>
      </c>
      <c r="E57" t="s">
        <v>2058</v>
      </c>
      <c r="F57" t="s">
        <v>2061</v>
      </c>
      <c r="G57">
        <v>1</v>
      </c>
      <c r="H57">
        <v>1800</v>
      </c>
      <c r="I57">
        <v>2124</v>
      </c>
      <c r="J57">
        <v>4</v>
      </c>
      <c r="K57">
        <v>2039.04</v>
      </c>
      <c r="L57">
        <v>239.04</v>
      </c>
      <c r="M57">
        <v>8496</v>
      </c>
      <c r="N57">
        <v>1800</v>
      </c>
      <c r="O57">
        <v>11.72316384180791</v>
      </c>
      <c r="P57" t="s">
        <v>2075</v>
      </c>
      <c r="Q57" t="s">
        <v>2092</v>
      </c>
    </row>
    <row r="58" spans="1:17" x14ac:dyDescent="0.25">
      <c r="A58" t="s">
        <v>121</v>
      </c>
      <c r="B58" s="18">
        <v>45669</v>
      </c>
      <c r="C58" t="s">
        <v>2019</v>
      </c>
      <c r="D58" t="s">
        <v>2039</v>
      </c>
      <c r="E58" t="s">
        <v>2053</v>
      </c>
      <c r="F58" t="s">
        <v>2060</v>
      </c>
      <c r="G58">
        <v>8</v>
      </c>
      <c r="H58">
        <v>900</v>
      </c>
      <c r="I58">
        <v>1152</v>
      </c>
      <c r="J58">
        <v>3.39</v>
      </c>
      <c r="K58">
        <v>8903.31</v>
      </c>
      <c r="L58">
        <v>1703.31</v>
      </c>
      <c r="M58">
        <v>31242.240000000002</v>
      </c>
      <c r="N58">
        <v>7200</v>
      </c>
      <c r="O58">
        <v>19.131199520178452</v>
      </c>
      <c r="P58" t="s">
        <v>2075</v>
      </c>
      <c r="Q58" t="s">
        <v>2092</v>
      </c>
    </row>
    <row r="59" spans="1:17" x14ac:dyDescent="0.25">
      <c r="A59" t="s">
        <v>404</v>
      </c>
      <c r="B59" s="18">
        <v>45669</v>
      </c>
      <c r="C59" t="s">
        <v>2012</v>
      </c>
      <c r="D59" t="s">
        <v>2032</v>
      </c>
      <c r="E59" t="s">
        <v>2052</v>
      </c>
      <c r="F59" t="s">
        <v>2059</v>
      </c>
      <c r="G59">
        <v>2</v>
      </c>
      <c r="H59">
        <v>6500</v>
      </c>
      <c r="I59">
        <v>8125</v>
      </c>
      <c r="J59">
        <v>5.35</v>
      </c>
      <c r="K59">
        <v>15380.23</v>
      </c>
      <c r="L59">
        <v>2380.23</v>
      </c>
      <c r="M59">
        <v>86937.5</v>
      </c>
      <c r="N59">
        <v>13000</v>
      </c>
      <c r="O59">
        <v>15.47590640712135</v>
      </c>
      <c r="P59" t="s">
        <v>2075</v>
      </c>
      <c r="Q59" t="s">
        <v>2092</v>
      </c>
    </row>
    <row r="60" spans="1:17" x14ac:dyDescent="0.25">
      <c r="A60" t="s">
        <v>708</v>
      </c>
      <c r="B60" s="18">
        <v>45669</v>
      </c>
      <c r="C60" t="s">
        <v>2015</v>
      </c>
      <c r="D60" t="s">
        <v>2035</v>
      </c>
      <c r="E60" t="s">
        <v>2054</v>
      </c>
      <c r="F60" t="s">
        <v>2059</v>
      </c>
      <c r="G60">
        <v>4</v>
      </c>
      <c r="H60">
        <v>900</v>
      </c>
      <c r="I60">
        <v>1170</v>
      </c>
      <c r="J60">
        <v>9.67</v>
      </c>
      <c r="K60">
        <v>4227.43</v>
      </c>
      <c r="L60">
        <v>627.42999999999995</v>
      </c>
      <c r="M60">
        <v>45255.6</v>
      </c>
      <c r="N60">
        <v>3600</v>
      </c>
      <c r="O60">
        <v>14.841877925832003</v>
      </c>
      <c r="P60" t="s">
        <v>2075</v>
      </c>
      <c r="Q60" t="s">
        <v>2092</v>
      </c>
    </row>
    <row r="61" spans="1:17" x14ac:dyDescent="0.25">
      <c r="A61" t="s">
        <v>1207</v>
      </c>
      <c r="B61" s="18">
        <v>45669</v>
      </c>
      <c r="C61" t="s">
        <v>2027</v>
      </c>
      <c r="D61" t="s">
        <v>2047</v>
      </c>
      <c r="E61" t="s">
        <v>2053</v>
      </c>
      <c r="F61" t="s">
        <v>2059</v>
      </c>
      <c r="G61">
        <v>4</v>
      </c>
      <c r="H61">
        <v>1100</v>
      </c>
      <c r="I61">
        <v>1298</v>
      </c>
      <c r="J61">
        <v>0</v>
      </c>
      <c r="K61">
        <v>5192</v>
      </c>
      <c r="L61">
        <v>792</v>
      </c>
      <c r="M61">
        <v>0</v>
      </c>
      <c r="N61">
        <v>4400</v>
      </c>
      <c r="O61">
        <v>15.254237288135593</v>
      </c>
      <c r="P61" t="s">
        <v>2075</v>
      </c>
      <c r="Q61" t="s">
        <v>2092</v>
      </c>
    </row>
    <row r="62" spans="1:17" x14ac:dyDescent="0.25">
      <c r="A62" t="s">
        <v>1376</v>
      </c>
      <c r="B62" s="18">
        <v>45669</v>
      </c>
      <c r="C62" t="s">
        <v>2015</v>
      </c>
      <c r="D62" t="s">
        <v>2035</v>
      </c>
      <c r="E62" t="s">
        <v>2054</v>
      </c>
      <c r="F62" t="s">
        <v>2062</v>
      </c>
      <c r="G62">
        <v>3</v>
      </c>
      <c r="H62">
        <v>900</v>
      </c>
      <c r="I62">
        <v>1170</v>
      </c>
      <c r="J62">
        <v>15.78</v>
      </c>
      <c r="K62">
        <v>2956.29</v>
      </c>
      <c r="L62">
        <v>256.29000000000002</v>
      </c>
      <c r="M62">
        <v>55387.799999999996</v>
      </c>
      <c r="N62">
        <v>2700</v>
      </c>
      <c r="O62">
        <v>8.6693118740042436</v>
      </c>
      <c r="P62" t="s">
        <v>2075</v>
      </c>
      <c r="Q62" t="s">
        <v>2091</v>
      </c>
    </row>
    <row r="63" spans="1:17" x14ac:dyDescent="0.25">
      <c r="A63" t="s">
        <v>1549</v>
      </c>
      <c r="B63" s="18">
        <v>45669</v>
      </c>
      <c r="C63" t="s">
        <v>2014</v>
      </c>
      <c r="D63" t="s">
        <v>2034</v>
      </c>
      <c r="E63" t="s">
        <v>2052</v>
      </c>
      <c r="F63" t="s">
        <v>2059</v>
      </c>
      <c r="G63">
        <v>8</v>
      </c>
      <c r="H63">
        <v>4500</v>
      </c>
      <c r="I63">
        <v>5220</v>
      </c>
      <c r="J63">
        <v>12.24</v>
      </c>
      <c r="K63">
        <v>36650.36</v>
      </c>
      <c r="L63">
        <v>650.36</v>
      </c>
      <c r="M63">
        <v>511142.40000000002</v>
      </c>
      <c r="N63">
        <v>36000</v>
      </c>
      <c r="O63">
        <v>1.774498258680133</v>
      </c>
      <c r="P63" t="s">
        <v>2075</v>
      </c>
      <c r="Q63" t="s">
        <v>2091</v>
      </c>
    </row>
    <row r="64" spans="1:17" x14ac:dyDescent="0.25">
      <c r="A64" t="s">
        <v>1972</v>
      </c>
      <c r="B64" s="18">
        <v>45669</v>
      </c>
      <c r="C64" t="s">
        <v>2017</v>
      </c>
      <c r="D64" t="s">
        <v>2037</v>
      </c>
      <c r="E64" t="s">
        <v>2055</v>
      </c>
      <c r="F64" t="s">
        <v>2062</v>
      </c>
      <c r="G64">
        <v>7</v>
      </c>
      <c r="H64">
        <v>2500</v>
      </c>
      <c r="I64">
        <v>2875</v>
      </c>
      <c r="J64">
        <v>3.33</v>
      </c>
      <c r="K64">
        <v>19454.41</v>
      </c>
      <c r="L64">
        <v>1954.41</v>
      </c>
      <c r="M64">
        <v>67016.25</v>
      </c>
      <c r="N64">
        <v>17500</v>
      </c>
      <c r="O64">
        <v>10.046102657443736</v>
      </c>
      <c r="P64" t="s">
        <v>2075</v>
      </c>
      <c r="Q64" t="s">
        <v>2092</v>
      </c>
    </row>
    <row r="65" spans="1:17" x14ac:dyDescent="0.25">
      <c r="A65" t="s">
        <v>193</v>
      </c>
      <c r="B65" s="18">
        <v>45670</v>
      </c>
      <c r="C65" t="s">
        <v>2018</v>
      </c>
      <c r="D65" t="s">
        <v>2038</v>
      </c>
      <c r="E65" t="s">
        <v>2053</v>
      </c>
      <c r="F65" t="s">
        <v>2059</v>
      </c>
      <c r="G65">
        <v>3</v>
      </c>
      <c r="H65">
        <v>500</v>
      </c>
      <c r="I65">
        <v>610</v>
      </c>
      <c r="J65">
        <v>13.01</v>
      </c>
      <c r="K65">
        <v>1592</v>
      </c>
      <c r="L65">
        <v>92</v>
      </c>
      <c r="M65">
        <v>23808.3</v>
      </c>
      <c r="N65">
        <v>1500</v>
      </c>
      <c r="O65">
        <v>5.7788944723618094</v>
      </c>
      <c r="P65" t="s">
        <v>2075</v>
      </c>
      <c r="Q65" t="s">
        <v>2091</v>
      </c>
    </row>
    <row r="66" spans="1:17" x14ac:dyDescent="0.25">
      <c r="A66" t="s">
        <v>398</v>
      </c>
      <c r="B66" s="18">
        <v>45670</v>
      </c>
      <c r="C66" t="s">
        <v>2030</v>
      </c>
      <c r="D66" t="s">
        <v>2050</v>
      </c>
      <c r="E66" t="s">
        <v>2058</v>
      </c>
      <c r="F66" t="s">
        <v>2061</v>
      </c>
      <c r="G66">
        <v>10</v>
      </c>
      <c r="H66">
        <v>1800</v>
      </c>
      <c r="I66">
        <v>2124</v>
      </c>
      <c r="J66">
        <v>28.35</v>
      </c>
      <c r="K66">
        <v>15219.09</v>
      </c>
      <c r="L66">
        <v>-2780.91</v>
      </c>
      <c r="M66">
        <v>602154</v>
      </c>
      <c r="N66">
        <v>18000</v>
      </c>
      <c r="O66">
        <v>-18.272511694194591</v>
      </c>
      <c r="P66" t="s">
        <v>2075</v>
      </c>
      <c r="Q66" t="s">
        <v>2093</v>
      </c>
    </row>
    <row r="67" spans="1:17" x14ac:dyDescent="0.25">
      <c r="A67" t="s">
        <v>1251</v>
      </c>
      <c r="B67" s="18">
        <v>45670</v>
      </c>
      <c r="C67" t="s">
        <v>2013</v>
      </c>
      <c r="D67" t="s">
        <v>2033</v>
      </c>
      <c r="E67" t="s">
        <v>2053</v>
      </c>
      <c r="F67" t="s">
        <v>2060</v>
      </c>
      <c r="G67">
        <v>2</v>
      </c>
      <c r="H67">
        <v>6500</v>
      </c>
      <c r="I67">
        <v>7150</v>
      </c>
      <c r="J67">
        <v>17.09</v>
      </c>
      <c r="K67">
        <v>11856.77</v>
      </c>
      <c r="L67">
        <v>-1143.23</v>
      </c>
      <c r="M67">
        <v>244387</v>
      </c>
      <c r="N67">
        <v>13000</v>
      </c>
      <c r="O67">
        <v>-9.6420019954844367</v>
      </c>
      <c r="P67" t="s">
        <v>2075</v>
      </c>
      <c r="Q67" t="s">
        <v>2093</v>
      </c>
    </row>
    <row r="68" spans="1:17" x14ac:dyDescent="0.25">
      <c r="A68" t="s">
        <v>1330</v>
      </c>
      <c r="B68" s="18">
        <v>45670</v>
      </c>
      <c r="C68" t="s">
        <v>2013</v>
      </c>
      <c r="D68" t="s">
        <v>2033</v>
      </c>
      <c r="E68" t="s">
        <v>2053</v>
      </c>
      <c r="F68" t="s">
        <v>2060</v>
      </c>
      <c r="G68">
        <v>5</v>
      </c>
      <c r="H68">
        <v>6500</v>
      </c>
      <c r="I68">
        <v>7150</v>
      </c>
      <c r="J68">
        <v>8.99</v>
      </c>
      <c r="K68">
        <v>32535.919999999998</v>
      </c>
      <c r="L68">
        <v>35.92</v>
      </c>
      <c r="M68">
        <v>321392.5</v>
      </c>
      <c r="N68">
        <v>32500</v>
      </c>
      <c r="O68">
        <v>0.1104010582765141</v>
      </c>
      <c r="P68" t="s">
        <v>2075</v>
      </c>
      <c r="Q68" t="s">
        <v>2091</v>
      </c>
    </row>
    <row r="69" spans="1:17" x14ac:dyDescent="0.25">
      <c r="A69" t="s">
        <v>1430</v>
      </c>
      <c r="B69" s="18">
        <v>45670</v>
      </c>
      <c r="C69" t="s">
        <v>2012</v>
      </c>
      <c r="D69" t="s">
        <v>2032</v>
      </c>
      <c r="E69" t="s">
        <v>2052</v>
      </c>
      <c r="F69" t="s">
        <v>2059</v>
      </c>
      <c r="G69">
        <v>10</v>
      </c>
      <c r="H69">
        <v>6500</v>
      </c>
      <c r="I69">
        <v>8125</v>
      </c>
      <c r="J69">
        <v>13.6</v>
      </c>
      <c r="K69">
        <v>70202.34</v>
      </c>
      <c r="L69">
        <v>5202.34</v>
      </c>
      <c r="M69">
        <v>1105000</v>
      </c>
      <c r="N69">
        <v>65000</v>
      </c>
      <c r="O69">
        <v>7.4104937242832651</v>
      </c>
      <c r="P69" t="s">
        <v>2075</v>
      </c>
      <c r="Q69" t="s">
        <v>2091</v>
      </c>
    </row>
    <row r="70" spans="1:17" x14ac:dyDescent="0.25">
      <c r="A70" t="s">
        <v>1457</v>
      </c>
      <c r="B70" s="18">
        <v>45670</v>
      </c>
      <c r="C70" t="s">
        <v>2024</v>
      </c>
      <c r="D70" t="s">
        <v>2044</v>
      </c>
      <c r="E70" t="s">
        <v>2055</v>
      </c>
      <c r="F70" t="s">
        <v>2062</v>
      </c>
      <c r="G70">
        <v>1</v>
      </c>
      <c r="H70">
        <v>180</v>
      </c>
      <c r="I70">
        <v>243</v>
      </c>
      <c r="J70">
        <v>19.71</v>
      </c>
      <c r="K70">
        <v>195.11</v>
      </c>
      <c r="L70">
        <v>15.11</v>
      </c>
      <c r="M70">
        <v>4789.5300000000007</v>
      </c>
      <c r="N70">
        <v>180</v>
      </c>
      <c r="O70">
        <v>7.7443493413971591</v>
      </c>
      <c r="P70" t="s">
        <v>2075</v>
      </c>
      <c r="Q70" t="s">
        <v>2091</v>
      </c>
    </row>
    <row r="71" spans="1:17" x14ac:dyDescent="0.25">
      <c r="A71" t="s">
        <v>1490</v>
      </c>
      <c r="B71" s="18">
        <v>45670</v>
      </c>
      <c r="C71" t="s">
        <v>2014</v>
      </c>
      <c r="D71" t="s">
        <v>2034</v>
      </c>
      <c r="E71" t="s">
        <v>2052</v>
      </c>
      <c r="F71" t="s">
        <v>2059</v>
      </c>
      <c r="G71">
        <v>6</v>
      </c>
      <c r="H71">
        <v>4500</v>
      </c>
      <c r="I71">
        <v>5220</v>
      </c>
      <c r="J71">
        <v>15.64</v>
      </c>
      <c r="K71">
        <v>26421.43</v>
      </c>
      <c r="L71">
        <v>-578.57000000000005</v>
      </c>
      <c r="M71">
        <v>489844.80000000005</v>
      </c>
      <c r="N71">
        <v>27000</v>
      </c>
      <c r="O71">
        <v>-2.1897754966328469</v>
      </c>
      <c r="P71" t="s">
        <v>2075</v>
      </c>
      <c r="Q71" t="s">
        <v>2093</v>
      </c>
    </row>
    <row r="72" spans="1:17" x14ac:dyDescent="0.25">
      <c r="A72" t="s">
        <v>1502</v>
      </c>
      <c r="B72" s="18">
        <v>45670</v>
      </c>
      <c r="C72" t="s">
        <v>2017</v>
      </c>
      <c r="D72" t="s">
        <v>2037</v>
      </c>
      <c r="E72" t="s">
        <v>2055</v>
      </c>
      <c r="F72" t="s">
        <v>2060</v>
      </c>
      <c r="G72">
        <v>1</v>
      </c>
      <c r="H72">
        <v>2500</v>
      </c>
      <c r="I72">
        <v>2875</v>
      </c>
      <c r="J72">
        <v>1.2</v>
      </c>
      <c r="K72">
        <v>2840.56</v>
      </c>
      <c r="L72">
        <v>340.56</v>
      </c>
      <c r="M72">
        <v>3450</v>
      </c>
      <c r="N72">
        <v>2500</v>
      </c>
      <c r="O72">
        <v>11.989185231081196</v>
      </c>
      <c r="P72" t="s">
        <v>2075</v>
      </c>
      <c r="Q72" t="s">
        <v>2092</v>
      </c>
    </row>
    <row r="73" spans="1:17" x14ac:dyDescent="0.25">
      <c r="A73" t="s">
        <v>1947</v>
      </c>
      <c r="B73" s="18">
        <v>45670</v>
      </c>
      <c r="C73" t="s">
        <v>2020</v>
      </c>
      <c r="D73" t="s">
        <v>2040</v>
      </c>
      <c r="E73" t="s">
        <v>2053</v>
      </c>
      <c r="F73" t="s">
        <v>2062</v>
      </c>
      <c r="G73">
        <v>3</v>
      </c>
      <c r="H73">
        <v>350</v>
      </c>
      <c r="I73">
        <v>455</v>
      </c>
      <c r="J73">
        <v>18.25</v>
      </c>
      <c r="K73">
        <v>1115.8699999999999</v>
      </c>
      <c r="L73">
        <v>65.87</v>
      </c>
      <c r="M73">
        <v>24911.25</v>
      </c>
      <c r="N73">
        <v>1050</v>
      </c>
      <c r="O73">
        <v>5.9030173765761251</v>
      </c>
      <c r="P73" t="s">
        <v>2075</v>
      </c>
      <c r="Q73" t="s">
        <v>2091</v>
      </c>
    </row>
    <row r="74" spans="1:17" x14ac:dyDescent="0.25">
      <c r="A74" t="s">
        <v>91</v>
      </c>
      <c r="B74" s="18">
        <v>45671</v>
      </c>
      <c r="C74" t="s">
        <v>2021</v>
      </c>
      <c r="D74" t="s">
        <v>2041</v>
      </c>
      <c r="E74" t="s">
        <v>2056</v>
      </c>
      <c r="F74" t="s">
        <v>2060</v>
      </c>
      <c r="G74">
        <v>1</v>
      </c>
      <c r="H74">
        <v>300</v>
      </c>
      <c r="I74">
        <v>405</v>
      </c>
      <c r="J74">
        <v>10.93</v>
      </c>
      <c r="K74">
        <v>360.72</v>
      </c>
      <c r="L74">
        <v>60.72</v>
      </c>
      <c r="M74">
        <v>4426.6499999999996</v>
      </c>
      <c r="N74">
        <v>300</v>
      </c>
      <c r="O74">
        <v>16.833000665335991</v>
      </c>
      <c r="P74" t="s">
        <v>2075</v>
      </c>
      <c r="Q74" t="s">
        <v>2092</v>
      </c>
    </row>
    <row r="75" spans="1:17" x14ac:dyDescent="0.25">
      <c r="A75" t="s">
        <v>179</v>
      </c>
      <c r="B75" s="18">
        <v>45671</v>
      </c>
      <c r="C75" t="s">
        <v>2024</v>
      </c>
      <c r="D75" t="s">
        <v>2044</v>
      </c>
      <c r="E75" t="s">
        <v>2055</v>
      </c>
      <c r="F75" t="s">
        <v>2059</v>
      </c>
      <c r="G75">
        <v>2</v>
      </c>
      <c r="H75">
        <v>180</v>
      </c>
      <c r="I75">
        <v>243</v>
      </c>
      <c r="J75">
        <v>17.579999999999998</v>
      </c>
      <c r="K75">
        <v>400.58</v>
      </c>
      <c r="L75">
        <v>40.58</v>
      </c>
      <c r="M75">
        <v>8543.8799999999992</v>
      </c>
      <c r="N75">
        <v>360</v>
      </c>
      <c r="O75">
        <v>10.130311048978982</v>
      </c>
      <c r="P75" t="s">
        <v>2075</v>
      </c>
      <c r="Q75" t="s">
        <v>2092</v>
      </c>
    </row>
    <row r="76" spans="1:17" x14ac:dyDescent="0.25">
      <c r="A76" t="s">
        <v>406</v>
      </c>
      <c r="B76" s="18">
        <v>45671</v>
      </c>
      <c r="C76" t="s">
        <v>2023</v>
      </c>
      <c r="D76" t="s">
        <v>2043</v>
      </c>
      <c r="E76" t="s">
        <v>2053</v>
      </c>
      <c r="F76" t="s">
        <v>2060</v>
      </c>
      <c r="G76">
        <v>6</v>
      </c>
      <c r="H76">
        <v>550</v>
      </c>
      <c r="I76">
        <v>742.5</v>
      </c>
      <c r="J76">
        <v>12.2</v>
      </c>
      <c r="K76">
        <v>3911.41</v>
      </c>
      <c r="L76">
        <v>611.41</v>
      </c>
      <c r="M76">
        <v>54351</v>
      </c>
      <c r="N76">
        <v>3300</v>
      </c>
      <c r="O76">
        <v>15.631447483132682</v>
      </c>
      <c r="P76" t="s">
        <v>2075</v>
      </c>
      <c r="Q76" t="s">
        <v>2092</v>
      </c>
    </row>
    <row r="77" spans="1:17" x14ac:dyDescent="0.25">
      <c r="A77" t="s">
        <v>439</v>
      </c>
      <c r="B77" s="18">
        <v>45671</v>
      </c>
      <c r="C77" t="s">
        <v>2021</v>
      </c>
      <c r="D77" t="s">
        <v>2041</v>
      </c>
      <c r="E77" t="s">
        <v>2056</v>
      </c>
      <c r="F77" t="s">
        <v>2060</v>
      </c>
      <c r="G77">
        <v>2</v>
      </c>
      <c r="H77">
        <v>300</v>
      </c>
      <c r="I77">
        <v>405</v>
      </c>
      <c r="J77">
        <v>0.77</v>
      </c>
      <c r="K77">
        <v>803.79</v>
      </c>
      <c r="L77">
        <v>203.79</v>
      </c>
      <c r="M77">
        <v>623.70000000000005</v>
      </c>
      <c r="N77">
        <v>600</v>
      </c>
      <c r="O77">
        <v>25.353637144030156</v>
      </c>
      <c r="P77" t="s">
        <v>2075</v>
      </c>
      <c r="Q77" t="s">
        <v>2092</v>
      </c>
    </row>
    <row r="78" spans="1:17" x14ac:dyDescent="0.25">
      <c r="A78" t="s">
        <v>1365</v>
      </c>
      <c r="B78" s="18">
        <v>45671</v>
      </c>
      <c r="C78" t="s">
        <v>2028</v>
      </c>
      <c r="D78" t="s">
        <v>2048</v>
      </c>
      <c r="E78" t="s">
        <v>2057</v>
      </c>
      <c r="F78" t="s">
        <v>2061</v>
      </c>
      <c r="G78">
        <v>7</v>
      </c>
      <c r="H78">
        <v>80</v>
      </c>
      <c r="I78">
        <v>116</v>
      </c>
      <c r="J78">
        <v>10.14</v>
      </c>
      <c r="K78">
        <v>729.62</v>
      </c>
      <c r="L78">
        <v>169.62</v>
      </c>
      <c r="M78">
        <v>8233.68</v>
      </c>
      <c r="N78">
        <v>560</v>
      </c>
      <c r="O78">
        <v>23.247717990186672</v>
      </c>
      <c r="P78" t="s">
        <v>2075</v>
      </c>
      <c r="Q78" t="s">
        <v>2092</v>
      </c>
    </row>
    <row r="79" spans="1:17" x14ac:dyDescent="0.25">
      <c r="A79" t="s">
        <v>1999</v>
      </c>
      <c r="B79" s="18">
        <v>45671</v>
      </c>
      <c r="C79" t="s">
        <v>2016</v>
      </c>
      <c r="D79" t="s">
        <v>2036</v>
      </c>
      <c r="E79" t="s">
        <v>2052</v>
      </c>
      <c r="F79" t="s">
        <v>2059</v>
      </c>
      <c r="G79">
        <v>7</v>
      </c>
      <c r="H79">
        <v>900</v>
      </c>
      <c r="I79">
        <v>1170</v>
      </c>
      <c r="J79">
        <v>8.24</v>
      </c>
      <c r="K79">
        <v>7514.76</v>
      </c>
      <c r="L79">
        <v>1214.76</v>
      </c>
      <c r="M79">
        <v>67485.600000000006</v>
      </c>
      <c r="N79">
        <v>6300</v>
      </c>
      <c r="O79">
        <v>16.164987304983789</v>
      </c>
      <c r="P79" t="s">
        <v>2075</v>
      </c>
      <c r="Q79" t="s">
        <v>2092</v>
      </c>
    </row>
    <row r="80" spans="1:17" x14ac:dyDescent="0.25">
      <c r="A80" t="s">
        <v>897</v>
      </c>
      <c r="B80" s="18">
        <v>45672</v>
      </c>
      <c r="C80" t="s">
        <v>2016</v>
      </c>
      <c r="D80" t="s">
        <v>2036</v>
      </c>
      <c r="E80" t="s">
        <v>2052</v>
      </c>
      <c r="F80" t="s">
        <v>2059</v>
      </c>
      <c r="G80">
        <v>8</v>
      </c>
      <c r="H80">
        <v>900</v>
      </c>
      <c r="I80">
        <v>1170</v>
      </c>
      <c r="J80">
        <v>5.34</v>
      </c>
      <c r="K80">
        <v>8860.57</v>
      </c>
      <c r="L80">
        <v>1660.57</v>
      </c>
      <c r="M80">
        <v>49982.400000000001</v>
      </c>
      <c r="N80">
        <v>7200</v>
      </c>
      <c r="O80">
        <v>18.741119363652679</v>
      </c>
      <c r="P80" t="s">
        <v>2075</v>
      </c>
      <c r="Q80" t="s">
        <v>2092</v>
      </c>
    </row>
    <row r="81" spans="1:17" x14ac:dyDescent="0.25">
      <c r="A81" t="s">
        <v>1624</v>
      </c>
      <c r="B81" s="18">
        <v>45672</v>
      </c>
      <c r="C81" t="s">
        <v>2030</v>
      </c>
      <c r="D81" t="s">
        <v>2050</v>
      </c>
      <c r="E81" t="s">
        <v>2058</v>
      </c>
      <c r="F81" t="s">
        <v>2061</v>
      </c>
      <c r="G81">
        <v>10</v>
      </c>
      <c r="H81">
        <v>1800</v>
      </c>
      <c r="I81">
        <v>2124</v>
      </c>
      <c r="J81">
        <v>14.55</v>
      </c>
      <c r="K81">
        <v>18150.240000000002</v>
      </c>
      <c r="L81">
        <v>150.24</v>
      </c>
      <c r="M81">
        <v>309042</v>
      </c>
      <c r="N81">
        <v>18000</v>
      </c>
      <c r="O81">
        <v>0.82775764948562658</v>
      </c>
      <c r="P81" t="s">
        <v>2075</v>
      </c>
      <c r="Q81" t="s">
        <v>2091</v>
      </c>
    </row>
    <row r="82" spans="1:17" x14ac:dyDescent="0.25">
      <c r="A82" t="s">
        <v>710</v>
      </c>
      <c r="B82" s="18">
        <v>45673</v>
      </c>
      <c r="C82" t="s">
        <v>2016</v>
      </c>
      <c r="D82" t="s">
        <v>2036</v>
      </c>
      <c r="E82" t="s">
        <v>2052</v>
      </c>
      <c r="F82" t="s">
        <v>2062</v>
      </c>
      <c r="G82">
        <v>6</v>
      </c>
      <c r="H82">
        <v>900</v>
      </c>
      <c r="I82">
        <v>1170</v>
      </c>
      <c r="J82">
        <v>29.36</v>
      </c>
      <c r="K82">
        <v>4958.72</v>
      </c>
      <c r="L82">
        <v>-441.28</v>
      </c>
      <c r="M82">
        <v>206107.19999999998</v>
      </c>
      <c r="N82">
        <v>5400</v>
      </c>
      <c r="O82">
        <v>-8.8990707279297876</v>
      </c>
      <c r="P82" t="s">
        <v>2075</v>
      </c>
      <c r="Q82" t="s">
        <v>2093</v>
      </c>
    </row>
    <row r="83" spans="1:17" x14ac:dyDescent="0.25">
      <c r="A83" t="s">
        <v>870</v>
      </c>
      <c r="B83" s="18">
        <v>45673</v>
      </c>
      <c r="C83" t="s">
        <v>2029</v>
      </c>
      <c r="D83" t="s">
        <v>2049</v>
      </c>
      <c r="E83" t="s">
        <v>2055</v>
      </c>
      <c r="F83" t="s">
        <v>2061</v>
      </c>
      <c r="G83">
        <v>2</v>
      </c>
      <c r="H83">
        <v>1200</v>
      </c>
      <c r="I83">
        <v>1464</v>
      </c>
      <c r="J83">
        <v>14.82</v>
      </c>
      <c r="K83">
        <v>2494.06</v>
      </c>
      <c r="L83">
        <v>94.06</v>
      </c>
      <c r="M83">
        <v>43392.959999999999</v>
      </c>
      <c r="N83">
        <v>2400</v>
      </c>
      <c r="O83">
        <v>3.7713607531494828</v>
      </c>
      <c r="P83" t="s">
        <v>2075</v>
      </c>
      <c r="Q83" t="s">
        <v>2091</v>
      </c>
    </row>
    <row r="84" spans="1:17" x14ac:dyDescent="0.25">
      <c r="A84" t="s">
        <v>1321</v>
      </c>
      <c r="B84" s="18">
        <v>45673</v>
      </c>
      <c r="C84" t="s">
        <v>2012</v>
      </c>
      <c r="D84" t="s">
        <v>2032</v>
      </c>
      <c r="E84" t="s">
        <v>2052</v>
      </c>
      <c r="F84" t="s">
        <v>2062</v>
      </c>
      <c r="G84">
        <v>1</v>
      </c>
      <c r="H84">
        <v>6500</v>
      </c>
      <c r="I84">
        <v>8125</v>
      </c>
      <c r="J84">
        <v>17.68</v>
      </c>
      <c r="K84">
        <v>6688.56</v>
      </c>
      <c r="L84">
        <v>188.56</v>
      </c>
      <c r="M84">
        <v>143650</v>
      </c>
      <c r="N84">
        <v>6500</v>
      </c>
      <c r="O84">
        <v>2.8191419378760152</v>
      </c>
      <c r="P84" t="s">
        <v>2075</v>
      </c>
      <c r="Q84" t="s">
        <v>2091</v>
      </c>
    </row>
    <row r="85" spans="1:17" x14ac:dyDescent="0.25">
      <c r="A85" t="s">
        <v>1462</v>
      </c>
      <c r="B85" s="18">
        <v>45673</v>
      </c>
      <c r="C85" t="s">
        <v>2030</v>
      </c>
      <c r="D85" t="s">
        <v>2050</v>
      </c>
      <c r="E85" t="s">
        <v>2058</v>
      </c>
      <c r="F85" t="s">
        <v>2060</v>
      </c>
      <c r="G85">
        <v>7</v>
      </c>
      <c r="H85">
        <v>1800</v>
      </c>
      <c r="I85">
        <v>2124</v>
      </c>
      <c r="J85">
        <v>20.48</v>
      </c>
      <c r="K85">
        <v>11822.66</v>
      </c>
      <c r="L85">
        <v>-777.34</v>
      </c>
      <c r="M85">
        <v>304496.64000000001</v>
      </c>
      <c r="N85">
        <v>12600</v>
      </c>
      <c r="O85">
        <v>-6.5750008881250075</v>
      </c>
      <c r="P85" t="s">
        <v>2075</v>
      </c>
      <c r="Q85" t="s">
        <v>2093</v>
      </c>
    </row>
    <row r="86" spans="1:17" x14ac:dyDescent="0.25">
      <c r="A86" t="s">
        <v>1550</v>
      </c>
      <c r="B86" s="18">
        <v>45673</v>
      </c>
      <c r="C86" t="s">
        <v>2022</v>
      </c>
      <c r="D86" t="s">
        <v>2042</v>
      </c>
      <c r="E86" t="s">
        <v>2053</v>
      </c>
      <c r="F86" t="s">
        <v>2060</v>
      </c>
      <c r="G86">
        <v>6</v>
      </c>
      <c r="H86">
        <v>8500</v>
      </c>
      <c r="I86">
        <v>9520</v>
      </c>
      <c r="J86">
        <v>19.29</v>
      </c>
      <c r="K86">
        <v>46100.43</v>
      </c>
      <c r="L86">
        <v>-4899.57</v>
      </c>
      <c r="M86">
        <v>1101844.8</v>
      </c>
      <c r="N86">
        <v>51000</v>
      </c>
      <c r="O86">
        <v>-10.628035356720099</v>
      </c>
      <c r="P86" t="s">
        <v>2075</v>
      </c>
      <c r="Q86" t="s">
        <v>2093</v>
      </c>
    </row>
    <row r="87" spans="1:17" x14ac:dyDescent="0.25">
      <c r="A87" t="s">
        <v>1861</v>
      </c>
      <c r="B87" s="18">
        <v>45673</v>
      </c>
      <c r="C87" t="s">
        <v>2014</v>
      </c>
      <c r="D87" t="s">
        <v>2034</v>
      </c>
      <c r="E87" t="s">
        <v>2052</v>
      </c>
      <c r="F87" t="s">
        <v>2059</v>
      </c>
      <c r="G87">
        <v>4</v>
      </c>
      <c r="H87">
        <v>4500</v>
      </c>
      <c r="I87">
        <v>5220</v>
      </c>
      <c r="J87">
        <v>8.0500000000000007</v>
      </c>
      <c r="K87">
        <v>19198.73</v>
      </c>
      <c r="L87">
        <v>1198.73</v>
      </c>
      <c r="M87">
        <v>168084.00000000003</v>
      </c>
      <c r="N87">
        <v>18000</v>
      </c>
      <c r="O87">
        <v>6.2437984179161852</v>
      </c>
      <c r="P87" t="s">
        <v>2075</v>
      </c>
      <c r="Q87" t="s">
        <v>2091</v>
      </c>
    </row>
    <row r="88" spans="1:17" x14ac:dyDescent="0.25">
      <c r="A88" t="s">
        <v>225</v>
      </c>
      <c r="B88" s="18">
        <v>45674</v>
      </c>
      <c r="C88" t="s">
        <v>2029</v>
      </c>
      <c r="D88" t="s">
        <v>2049</v>
      </c>
      <c r="E88" t="s">
        <v>2055</v>
      </c>
      <c r="F88" t="s">
        <v>2061</v>
      </c>
      <c r="G88">
        <v>6</v>
      </c>
      <c r="H88">
        <v>1200</v>
      </c>
      <c r="I88">
        <v>1464</v>
      </c>
      <c r="J88">
        <v>5.25</v>
      </c>
      <c r="K88">
        <v>8322.68</v>
      </c>
      <c r="L88">
        <v>1122.68</v>
      </c>
      <c r="M88">
        <v>46116</v>
      </c>
      <c r="N88">
        <v>7200</v>
      </c>
      <c r="O88">
        <v>13.489404855166844</v>
      </c>
      <c r="P88" t="s">
        <v>2075</v>
      </c>
      <c r="Q88" t="s">
        <v>2092</v>
      </c>
    </row>
    <row r="89" spans="1:17" x14ac:dyDescent="0.25">
      <c r="A89" t="s">
        <v>259</v>
      </c>
      <c r="B89" s="18">
        <v>45674</v>
      </c>
      <c r="C89" t="s">
        <v>2029</v>
      </c>
      <c r="D89" t="s">
        <v>2049</v>
      </c>
      <c r="E89" t="s">
        <v>2055</v>
      </c>
      <c r="F89" t="s">
        <v>2060</v>
      </c>
      <c r="G89">
        <v>2</v>
      </c>
      <c r="H89">
        <v>1200</v>
      </c>
      <c r="I89">
        <v>1464</v>
      </c>
      <c r="J89">
        <v>8.77</v>
      </c>
      <c r="K89">
        <v>2671.17</v>
      </c>
      <c r="L89">
        <v>271.17</v>
      </c>
      <c r="M89">
        <v>25678.559999999998</v>
      </c>
      <c r="N89">
        <v>2400</v>
      </c>
      <c r="O89">
        <v>10.151731263828211</v>
      </c>
      <c r="P89" t="s">
        <v>2075</v>
      </c>
      <c r="Q89" t="s">
        <v>2092</v>
      </c>
    </row>
    <row r="90" spans="1:17" x14ac:dyDescent="0.25">
      <c r="A90" t="s">
        <v>611</v>
      </c>
      <c r="B90" s="18">
        <v>45674</v>
      </c>
      <c r="C90" t="s">
        <v>2020</v>
      </c>
      <c r="D90" t="s">
        <v>2040</v>
      </c>
      <c r="E90" t="s">
        <v>2053</v>
      </c>
      <c r="F90" t="s">
        <v>2061</v>
      </c>
      <c r="G90">
        <v>4</v>
      </c>
      <c r="H90">
        <v>350</v>
      </c>
      <c r="I90">
        <v>455</v>
      </c>
      <c r="J90">
        <v>17.28</v>
      </c>
      <c r="K90">
        <v>1505.44</v>
      </c>
      <c r="L90">
        <v>105.44</v>
      </c>
      <c r="M90">
        <v>31449.600000000002</v>
      </c>
      <c r="N90">
        <v>1400</v>
      </c>
      <c r="O90">
        <v>7.0039324051440106</v>
      </c>
      <c r="P90" t="s">
        <v>2075</v>
      </c>
      <c r="Q90" t="s">
        <v>2091</v>
      </c>
    </row>
    <row r="91" spans="1:17" x14ac:dyDescent="0.25">
      <c r="A91" t="s">
        <v>969</v>
      </c>
      <c r="B91" s="18">
        <v>45674</v>
      </c>
      <c r="C91" t="s">
        <v>2031</v>
      </c>
      <c r="D91" t="s">
        <v>2051</v>
      </c>
      <c r="E91" t="s">
        <v>2058</v>
      </c>
      <c r="F91" t="s">
        <v>2062</v>
      </c>
      <c r="G91">
        <v>6</v>
      </c>
      <c r="H91">
        <v>3200</v>
      </c>
      <c r="I91">
        <v>3840</v>
      </c>
      <c r="J91">
        <v>4</v>
      </c>
      <c r="K91">
        <v>22118.400000000001</v>
      </c>
      <c r="L91">
        <v>2918.4</v>
      </c>
      <c r="M91">
        <v>92160</v>
      </c>
      <c r="N91">
        <v>19200</v>
      </c>
      <c r="O91">
        <v>13.194444444444445</v>
      </c>
      <c r="P91" t="s">
        <v>2075</v>
      </c>
      <c r="Q91" t="s">
        <v>2092</v>
      </c>
    </row>
    <row r="92" spans="1:17" x14ac:dyDescent="0.25">
      <c r="A92" t="s">
        <v>1209</v>
      </c>
      <c r="B92" s="18">
        <v>45674</v>
      </c>
      <c r="C92" t="s">
        <v>2021</v>
      </c>
      <c r="D92" t="s">
        <v>2041</v>
      </c>
      <c r="E92" t="s">
        <v>2056</v>
      </c>
      <c r="F92" t="s">
        <v>2060</v>
      </c>
      <c r="G92">
        <v>10</v>
      </c>
      <c r="H92">
        <v>300</v>
      </c>
      <c r="I92">
        <v>405</v>
      </c>
      <c r="J92">
        <v>10.28</v>
      </c>
      <c r="K92">
        <v>3633.7</v>
      </c>
      <c r="L92">
        <v>633.70000000000005</v>
      </c>
      <c r="M92">
        <v>41634</v>
      </c>
      <c r="N92">
        <v>3000</v>
      </c>
      <c r="O92">
        <v>17.439524451660844</v>
      </c>
      <c r="P92" t="s">
        <v>2075</v>
      </c>
      <c r="Q92" t="s">
        <v>2092</v>
      </c>
    </row>
    <row r="93" spans="1:17" x14ac:dyDescent="0.25">
      <c r="A93" t="s">
        <v>1513</v>
      </c>
      <c r="B93" s="18">
        <v>45674</v>
      </c>
      <c r="C93" t="s">
        <v>2014</v>
      </c>
      <c r="D93" t="s">
        <v>2034</v>
      </c>
      <c r="E93" t="s">
        <v>2052</v>
      </c>
      <c r="F93" t="s">
        <v>2060</v>
      </c>
      <c r="G93">
        <v>7</v>
      </c>
      <c r="H93">
        <v>4500</v>
      </c>
      <c r="I93">
        <v>5220</v>
      </c>
      <c r="J93">
        <v>7.54</v>
      </c>
      <c r="K93">
        <v>33786.03</v>
      </c>
      <c r="L93">
        <v>2286.0300000000002</v>
      </c>
      <c r="M93">
        <v>275511.59999999998</v>
      </c>
      <c r="N93">
        <v>31500</v>
      </c>
      <c r="O93">
        <v>6.7661989289656121</v>
      </c>
      <c r="P93" t="s">
        <v>2075</v>
      </c>
      <c r="Q93" t="s">
        <v>2091</v>
      </c>
    </row>
    <row r="94" spans="1:17" x14ac:dyDescent="0.25">
      <c r="A94" t="s">
        <v>1588</v>
      </c>
      <c r="B94" s="18">
        <v>45674</v>
      </c>
      <c r="C94" t="s">
        <v>2021</v>
      </c>
      <c r="D94" t="s">
        <v>2041</v>
      </c>
      <c r="E94" t="s">
        <v>2056</v>
      </c>
      <c r="F94" t="s">
        <v>2059</v>
      </c>
      <c r="G94">
        <v>6</v>
      </c>
      <c r="H94">
        <v>300</v>
      </c>
      <c r="I94">
        <v>405</v>
      </c>
      <c r="J94">
        <v>14.02</v>
      </c>
      <c r="K94">
        <v>2089.3000000000002</v>
      </c>
      <c r="L94">
        <v>289.3</v>
      </c>
      <c r="M94">
        <v>34068.6</v>
      </c>
      <c r="N94">
        <v>1800</v>
      </c>
      <c r="O94">
        <v>13.84674292825348</v>
      </c>
      <c r="P94" t="s">
        <v>2075</v>
      </c>
      <c r="Q94" t="s">
        <v>2092</v>
      </c>
    </row>
    <row r="95" spans="1:17" x14ac:dyDescent="0.25">
      <c r="A95" t="s">
        <v>1747</v>
      </c>
      <c r="B95" s="18">
        <v>45674</v>
      </c>
      <c r="C95" t="s">
        <v>2023</v>
      </c>
      <c r="D95" t="s">
        <v>2043</v>
      </c>
      <c r="E95" t="s">
        <v>2053</v>
      </c>
      <c r="F95" t="s">
        <v>2060</v>
      </c>
      <c r="G95">
        <v>7</v>
      </c>
      <c r="H95">
        <v>550</v>
      </c>
      <c r="I95">
        <v>742.5</v>
      </c>
      <c r="J95">
        <v>18.600000000000001</v>
      </c>
      <c r="K95">
        <v>4230.92</v>
      </c>
      <c r="L95">
        <v>380.92</v>
      </c>
      <c r="M95">
        <v>96673.500000000015</v>
      </c>
      <c r="N95">
        <v>3850</v>
      </c>
      <c r="O95">
        <v>9.0032427935295392</v>
      </c>
      <c r="P95" t="s">
        <v>2075</v>
      </c>
      <c r="Q95" t="s">
        <v>2091</v>
      </c>
    </row>
    <row r="96" spans="1:17" x14ac:dyDescent="0.25">
      <c r="A96" t="s">
        <v>332</v>
      </c>
      <c r="B96" s="18">
        <v>45675</v>
      </c>
      <c r="C96" t="s">
        <v>2012</v>
      </c>
      <c r="D96" t="s">
        <v>2032</v>
      </c>
      <c r="E96" t="s">
        <v>2052</v>
      </c>
      <c r="F96" t="s">
        <v>2061</v>
      </c>
      <c r="G96">
        <v>8</v>
      </c>
      <c r="H96">
        <v>6500</v>
      </c>
      <c r="I96">
        <v>8125</v>
      </c>
      <c r="J96">
        <v>5.71</v>
      </c>
      <c r="K96">
        <v>61286.18</v>
      </c>
      <c r="L96">
        <v>9286.18</v>
      </c>
      <c r="M96">
        <v>371150</v>
      </c>
      <c r="N96">
        <v>52000</v>
      </c>
      <c r="O96">
        <v>15.152159915987584</v>
      </c>
      <c r="P96" t="s">
        <v>2075</v>
      </c>
      <c r="Q96" t="s">
        <v>2092</v>
      </c>
    </row>
    <row r="97" spans="1:17" x14ac:dyDescent="0.25">
      <c r="A97" t="s">
        <v>369</v>
      </c>
      <c r="B97" s="18">
        <v>45676</v>
      </c>
      <c r="C97" t="s">
        <v>2031</v>
      </c>
      <c r="D97" t="s">
        <v>2051</v>
      </c>
      <c r="E97" t="s">
        <v>2058</v>
      </c>
      <c r="F97" t="s">
        <v>2060</v>
      </c>
      <c r="G97">
        <v>4</v>
      </c>
      <c r="H97">
        <v>3200</v>
      </c>
      <c r="I97">
        <v>3840</v>
      </c>
      <c r="J97">
        <v>14.42</v>
      </c>
      <c r="K97">
        <v>13145.85</v>
      </c>
      <c r="L97">
        <v>345.85</v>
      </c>
      <c r="M97">
        <v>221491.20000000001</v>
      </c>
      <c r="N97">
        <v>12800</v>
      </c>
      <c r="O97">
        <v>2.6308682968389263</v>
      </c>
      <c r="P97" t="s">
        <v>2075</v>
      </c>
      <c r="Q97" t="s">
        <v>2091</v>
      </c>
    </row>
    <row r="98" spans="1:17" x14ac:dyDescent="0.25">
      <c r="A98" t="s">
        <v>465</v>
      </c>
      <c r="B98" s="18">
        <v>45676</v>
      </c>
      <c r="C98" t="s">
        <v>2019</v>
      </c>
      <c r="D98" t="s">
        <v>2039</v>
      </c>
      <c r="E98" t="s">
        <v>2053</v>
      </c>
      <c r="F98" t="s">
        <v>2060</v>
      </c>
      <c r="G98">
        <v>3</v>
      </c>
      <c r="H98">
        <v>900</v>
      </c>
      <c r="I98">
        <v>1152</v>
      </c>
      <c r="J98">
        <v>20.079999999999998</v>
      </c>
      <c r="K98">
        <v>2761.89</v>
      </c>
      <c r="L98">
        <v>61.89</v>
      </c>
      <c r="M98">
        <v>69396.479999999996</v>
      </c>
      <c r="N98">
        <v>2700</v>
      </c>
      <c r="O98">
        <v>2.2408568045794728</v>
      </c>
      <c r="P98" t="s">
        <v>2075</v>
      </c>
      <c r="Q98" t="s">
        <v>2091</v>
      </c>
    </row>
    <row r="99" spans="1:17" x14ac:dyDescent="0.25">
      <c r="A99" t="s">
        <v>987</v>
      </c>
      <c r="B99" s="18">
        <v>45676</v>
      </c>
      <c r="C99" t="s">
        <v>2017</v>
      </c>
      <c r="D99" t="s">
        <v>2037</v>
      </c>
      <c r="E99" t="s">
        <v>2055</v>
      </c>
      <c r="F99" t="s">
        <v>2060</v>
      </c>
      <c r="G99">
        <v>10</v>
      </c>
      <c r="H99">
        <v>2500</v>
      </c>
      <c r="I99">
        <v>2875</v>
      </c>
      <c r="J99">
        <v>9.86</v>
      </c>
      <c r="K99">
        <v>25915.61</v>
      </c>
      <c r="L99">
        <v>915.61</v>
      </c>
      <c r="M99">
        <v>283475</v>
      </c>
      <c r="N99">
        <v>25000</v>
      </c>
      <c r="O99">
        <v>3.5330443697833078</v>
      </c>
      <c r="P99" t="s">
        <v>2075</v>
      </c>
      <c r="Q99" t="s">
        <v>2091</v>
      </c>
    </row>
    <row r="100" spans="1:17" x14ac:dyDescent="0.25">
      <c r="A100" t="s">
        <v>1277</v>
      </c>
      <c r="B100" s="18">
        <v>45676</v>
      </c>
      <c r="C100" t="s">
        <v>2025</v>
      </c>
      <c r="D100" t="s">
        <v>2045</v>
      </c>
      <c r="E100" t="s">
        <v>2057</v>
      </c>
      <c r="F100" t="s">
        <v>2061</v>
      </c>
      <c r="G100">
        <v>2</v>
      </c>
      <c r="H100">
        <v>45</v>
      </c>
      <c r="I100">
        <v>63</v>
      </c>
      <c r="J100">
        <v>10.02</v>
      </c>
      <c r="K100">
        <v>113.38</v>
      </c>
      <c r="L100">
        <v>23.38</v>
      </c>
      <c r="M100">
        <v>1262.52</v>
      </c>
      <c r="N100">
        <v>90</v>
      </c>
      <c r="O100">
        <v>20.62092079731875</v>
      </c>
      <c r="P100" t="s">
        <v>2075</v>
      </c>
      <c r="Q100" t="s">
        <v>2092</v>
      </c>
    </row>
    <row r="101" spans="1:17" x14ac:dyDescent="0.25">
      <c r="A101" t="s">
        <v>1670</v>
      </c>
      <c r="B101" s="18">
        <v>45676</v>
      </c>
      <c r="C101" t="s">
        <v>2016</v>
      </c>
      <c r="D101" t="s">
        <v>2036</v>
      </c>
      <c r="E101" t="s">
        <v>2052</v>
      </c>
      <c r="F101" t="s">
        <v>2061</v>
      </c>
      <c r="G101">
        <v>1</v>
      </c>
      <c r="H101">
        <v>900</v>
      </c>
      <c r="I101">
        <v>1170</v>
      </c>
      <c r="J101">
        <v>8.4600000000000009</v>
      </c>
      <c r="K101">
        <v>1071.05</v>
      </c>
      <c r="L101">
        <v>171.05</v>
      </c>
      <c r="M101">
        <v>9898.2000000000007</v>
      </c>
      <c r="N101">
        <v>900</v>
      </c>
      <c r="O101">
        <v>15.970309509359975</v>
      </c>
      <c r="P101" t="s">
        <v>2075</v>
      </c>
      <c r="Q101" t="s">
        <v>2092</v>
      </c>
    </row>
    <row r="102" spans="1:17" x14ac:dyDescent="0.25">
      <c r="A102" t="s">
        <v>1988</v>
      </c>
      <c r="B102" s="18">
        <v>45676</v>
      </c>
      <c r="C102" t="s">
        <v>2022</v>
      </c>
      <c r="D102" t="s">
        <v>2042</v>
      </c>
      <c r="E102" t="s">
        <v>2053</v>
      </c>
      <c r="F102" t="s">
        <v>2062</v>
      </c>
      <c r="G102">
        <v>1</v>
      </c>
      <c r="H102">
        <v>8500</v>
      </c>
      <c r="I102">
        <v>9520</v>
      </c>
      <c r="J102">
        <v>4.8600000000000003</v>
      </c>
      <c r="K102">
        <v>9057.09</v>
      </c>
      <c r="L102">
        <v>557.09</v>
      </c>
      <c r="M102">
        <v>46267.200000000004</v>
      </c>
      <c r="N102">
        <v>8500</v>
      </c>
      <c r="O102">
        <v>6.1508718584004356</v>
      </c>
      <c r="P102" t="s">
        <v>2075</v>
      </c>
      <c r="Q102" t="s">
        <v>2091</v>
      </c>
    </row>
    <row r="103" spans="1:17" x14ac:dyDescent="0.25">
      <c r="A103" t="s">
        <v>129</v>
      </c>
      <c r="B103" s="18">
        <v>45677</v>
      </c>
      <c r="C103" t="s">
        <v>2025</v>
      </c>
      <c r="D103" t="s">
        <v>2045</v>
      </c>
      <c r="E103" t="s">
        <v>2057</v>
      </c>
      <c r="F103" t="s">
        <v>2061</v>
      </c>
      <c r="G103">
        <v>2</v>
      </c>
      <c r="H103">
        <v>45</v>
      </c>
      <c r="I103">
        <v>63</v>
      </c>
      <c r="J103">
        <v>5.43</v>
      </c>
      <c r="K103">
        <v>119.16</v>
      </c>
      <c r="L103">
        <v>29.16</v>
      </c>
      <c r="M103">
        <v>684.18</v>
      </c>
      <c r="N103">
        <v>90</v>
      </c>
      <c r="O103">
        <v>24.471299093655592</v>
      </c>
      <c r="P103" t="s">
        <v>2075</v>
      </c>
      <c r="Q103" t="s">
        <v>2092</v>
      </c>
    </row>
    <row r="104" spans="1:17" x14ac:dyDescent="0.25">
      <c r="A104" t="s">
        <v>408</v>
      </c>
      <c r="B104" s="18">
        <v>45677</v>
      </c>
      <c r="C104" t="s">
        <v>2025</v>
      </c>
      <c r="D104" t="s">
        <v>2045</v>
      </c>
      <c r="E104" t="s">
        <v>2057</v>
      </c>
      <c r="F104" t="s">
        <v>2061</v>
      </c>
      <c r="G104">
        <v>3</v>
      </c>
      <c r="H104">
        <v>45</v>
      </c>
      <c r="I104">
        <v>63</v>
      </c>
      <c r="J104">
        <v>9.91</v>
      </c>
      <c r="K104">
        <v>170.27</v>
      </c>
      <c r="L104">
        <v>35.270000000000003</v>
      </c>
      <c r="M104">
        <v>1872.99</v>
      </c>
      <c r="N104">
        <v>135</v>
      </c>
      <c r="O104">
        <v>20.714159863745817</v>
      </c>
      <c r="P104" t="s">
        <v>2075</v>
      </c>
      <c r="Q104" t="s">
        <v>2092</v>
      </c>
    </row>
    <row r="105" spans="1:17" x14ac:dyDescent="0.25">
      <c r="A105" t="s">
        <v>420</v>
      </c>
      <c r="B105" s="18">
        <v>45677</v>
      </c>
      <c r="C105" t="s">
        <v>2026</v>
      </c>
      <c r="D105" t="s">
        <v>2046</v>
      </c>
      <c r="E105" t="s">
        <v>2052</v>
      </c>
      <c r="F105" t="s">
        <v>2060</v>
      </c>
      <c r="G105">
        <v>4</v>
      </c>
      <c r="H105">
        <v>3000</v>
      </c>
      <c r="I105">
        <v>3600</v>
      </c>
      <c r="J105">
        <v>23.44</v>
      </c>
      <c r="K105">
        <v>11024.33</v>
      </c>
      <c r="L105">
        <v>-975.67</v>
      </c>
      <c r="M105">
        <v>337536</v>
      </c>
      <c r="N105">
        <v>12000</v>
      </c>
      <c r="O105">
        <v>-8.8501523448590529</v>
      </c>
      <c r="P105" t="s">
        <v>2075</v>
      </c>
      <c r="Q105" t="s">
        <v>2093</v>
      </c>
    </row>
    <row r="106" spans="1:17" x14ac:dyDescent="0.25">
      <c r="A106" t="s">
        <v>433</v>
      </c>
      <c r="B106" s="18">
        <v>45677</v>
      </c>
      <c r="C106" t="s">
        <v>2019</v>
      </c>
      <c r="D106" t="s">
        <v>2039</v>
      </c>
      <c r="E106" t="s">
        <v>2053</v>
      </c>
      <c r="F106" t="s">
        <v>2059</v>
      </c>
      <c r="G106">
        <v>6</v>
      </c>
      <c r="H106">
        <v>900</v>
      </c>
      <c r="I106">
        <v>1152</v>
      </c>
      <c r="J106">
        <v>2.5499999999999998</v>
      </c>
      <c r="K106">
        <v>6736.09</v>
      </c>
      <c r="L106">
        <v>1336.09</v>
      </c>
      <c r="M106">
        <v>17625.599999999999</v>
      </c>
      <c r="N106">
        <v>5400</v>
      </c>
      <c r="O106">
        <v>19.834800307003022</v>
      </c>
      <c r="P106" t="s">
        <v>2075</v>
      </c>
      <c r="Q106" t="s">
        <v>2092</v>
      </c>
    </row>
    <row r="107" spans="1:17" x14ac:dyDescent="0.25">
      <c r="A107" t="s">
        <v>642</v>
      </c>
      <c r="B107" s="18">
        <v>45677</v>
      </c>
      <c r="C107" t="s">
        <v>2030</v>
      </c>
      <c r="D107" t="s">
        <v>2050</v>
      </c>
      <c r="E107" t="s">
        <v>2058</v>
      </c>
      <c r="F107" t="s">
        <v>2059</v>
      </c>
      <c r="G107">
        <v>9</v>
      </c>
      <c r="H107">
        <v>1800</v>
      </c>
      <c r="I107">
        <v>2124</v>
      </c>
      <c r="J107">
        <v>6.35</v>
      </c>
      <c r="K107">
        <v>17902.98</v>
      </c>
      <c r="L107">
        <v>1702.98</v>
      </c>
      <c r="M107">
        <v>121386.59999999999</v>
      </c>
      <c r="N107">
        <v>16200</v>
      </c>
      <c r="O107">
        <v>9.5122711414524286</v>
      </c>
      <c r="P107" t="s">
        <v>2075</v>
      </c>
      <c r="Q107" t="s">
        <v>2091</v>
      </c>
    </row>
    <row r="108" spans="1:17" x14ac:dyDescent="0.25">
      <c r="A108" t="s">
        <v>1205</v>
      </c>
      <c r="B108" s="18">
        <v>45677</v>
      </c>
      <c r="C108" t="s">
        <v>2019</v>
      </c>
      <c r="D108" t="s">
        <v>2039</v>
      </c>
      <c r="E108" t="s">
        <v>2053</v>
      </c>
      <c r="F108" t="s">
        <v>2061</v>
      </c>
      <c r="G108">
        <v>6</v>
      </c>
      <c r="H108">
        <v>900</v>
      </c>
      <c r="I108">
        <v>1152</v>
      </c>
      <c r="J108">
        <v>15.6</v>
      </c>
      <c r="K108">
        <v>5833.65</v>
      </c>
      <c r="L108">
        <v>433.65</v>
      </c>
      <c r="M108">
        <v>107827.2</v>
      </c>
      <c r="N108">
        <v>5400</v>
      </c>
      <c r="O108">
        <v>7.4335964619063537</v>
      </c>
      <c r="P108" t="s">
        <v>2075</v>
      </c>
      <c r="Q108" t="s">
        <v>2091</v>
      </c>
    </row>
    <row r="109" spans="1:17" x14ac:dyDescent="0.25">
      <c r="A109" t="s">
        <v>220</v>
      </c>
      <c r="B109" s="18">
        <v>45678</v>
      </c>
      <c r="C109" t="s">
        <v>2012</v>
      </c>
      <c r="D109" t="s">
        <v>2032</v>
      </c>
      <c r="E109" t="s">
        <v>2052</v>
      </c>
      <c r="F109" t="s">
        <v>2060</v>
      </c>
      <c r="G109">
        <v>9</v>
      </c>
      <c r="H109">
        <v>6500</v>
      </c>
      <c r="I109">
        <v>8125</v>
      </c>
      <c r="J109">
        <v>11.49</v>
      </c>
      <c r="K109">
        <v>64720.95</v>
      </c>
      <c r="L109">
        <v>6220.95</v>
      </c>
      <c r="M109">
        <v>840206.25</v>
      </c>
      <c r="N109">
        <v>58500</v>
      </c>
      <c r="O109">
        <v>9.6119571792441239</v>
      </c>
      <c r="P109" t="s">
        <v>2075</v>
      </c>
      <c r="Q109" t="s">
        <v>2091</v>
      </c>
    </row>
    <row r="110" spans="1:17" x14ac:dyDescent="0.25">
      <c r="A110" t="s">
        <v>568</v>
      </c>
      <c r="B110" s="18">
        <v>45678</v>
      </c>
      <c r="C110" t="s">
        <v>2015</v>
      </c>
      <c r="D110" t="s">
        <v>2035</v>
      </c>
      <c r="E110" t="s">
        <v>2054</v>
      </c>
      <c r="F110" t="s">
        <v>2060</v>
      </c>
      <c r="G110">
        <v>4</v>
      </c>
      <c r="H110">
        <v>900</v>
      </c>
      <c r="I110">
        <v>1170</v>
      </c>
      <c r="J110">
        <v>18.850000000000001</v>
      </c>
      <c r="K110">
        <v>3797.99</v>
      </c>
      <c r="L110">
        <v>197.99</v>
      </c>
      <c r="M110">
        <v>88218</v>
      </c>
      <c r="N110">
        <v>3600</v>
      </c>
      <c r="O110">
        <v>5.2130205714075082</v>
      </c>
      <c r="P110" t="s">
        <v>2075</v>
      </c>
      <c r="Q110" t="s">
        <v>2091</v>
      </c>
    </row>
    <row r="111" spans="1:17" x14ac:dyDescent="0.25">
      <c r="A111" t="s">
        <v>585</v>
      </c>
      <c r="B111" s="18">
        <v>45678</v>
      </c>
      <c r="C111" t="s">
        <v>2025</v>
      </c>
      <c r="D111" t="s">
        <v>2045</v>
      </c>
      <c r="E111" t="s">
        <v>2057</v>
      </c>
      <c r="F111" t="s">
        <v>2062</v>
      </c>
      <c r="G111">
        <v>2</v>
      </c>
      <c r="H111">
        <v>45</v>
      </c>
      <c r="I111">
        <v>63</v>
      </c>
      <c r="J111">
        <v>14.03</v>
      </c>
      <c r="K111">
        <v>108.32</v>
      </c>
      <c r="L111">
        <v>18.32</v>
      </c>
      <c r="M111">
        <v>1767.78</v>
      </c>
      <c r="N111">
        <v>90</v>
      </c>
      <c r="O111">
        <v>16.912850812407683</v>
      </c>
      <c r="P111" t="s">
        <v>2075</v>
      </c>
      <c r="Q111" t="s">
        <v>2092</v>
      </c>
    </row>
    <row r="112" spans="1:17" x14ac:dyDescent="0.25">
      <c r="A112" t="s">
        <v>714</v>
      </c>
      <c r="B112" s="18">
        <v>45678</v>
      </c>
      <c r="C112" t="s">
        <v>2019</v>
      </c>
      <c r="D112" t="s">
        <v>2039</v>
      </c>
      <c r="E112" t="s">
        <v>2053</v>
      </c>
      <c r="F112" t="s">
        <v>2059</v>
      </c>
      <c r="G112">
        <v>1</v>
      </c>
      <c r="H112">
        <v>900</v>
      </c>
      <c r="I112">
        <v>1152</v>
      </c>
      <c r="J112">
        <v>20.21</v>
      </c>
      <c r="K112">
        <v>919.18</v>
      </c>
      <c r="L112">
        <v>19.18</v>
      </c>
      <c r="M112">
        <v>23281.920000000002</v>
      </c>
      <c r="N112">
        <v>900</v>
      </c>
      <c r="O112">
        <v>2.0866424421767227</v>
      </c>
      <c r="P112" t="s">
        <v>2075</v>
      </c>
      <c r="Q112" t="s">
        <v>2091</v>
      </c>
    </row>
    <row r="113" spans="1:17" x14ac:dyDescent="0.25">
      <c r="A113" t="s">
        <v>791</v>
      </c>
      <c r="B113" s="18">
        <v>45678</v>
      </c>
      <c r="C113" t="s">
        <v>2027</v>
      </c>
      <c r="D113" t="s">
        <v>2047</v>
      </c>
      <c r="E113" t="s">
        <v>2053</v>
      </c>
      <c r="F113" t="s">
        <v>2059</v>
      </c>
      <c r="G113">
        <v>9</v>
      </c>
      <c r="H113">
        <v>1100</v>
      </c>
      <c r="I113">
        <v>1298</v>
      </c>
      <c r="J113">
        <v>4.47</v>
      </c>
      <c r="K113">
        <v>11159.86</v>
      </c>
      <c r="L113">
        <v>1259.8599999999999</v>
      </c>
      <c r="M113">
        <v>52218.539999999994</v>
      </c>
      <c r="N113">
        <v>9900</v>
      </c>
      <c r="O113">
        <v>11.289209721268904</v>
      </c>
      <c r="P113" t="s">
        <v>2075</v>
      </c>
      <c r="Q113" t="s">
        <v>2092</v>
      </c>
    </row>
    <row r="114" spans="1:17" x14ac:dyDescent="0.25">
      <c r="A114" t="s">
        <v>904</v>
      </c>
      <c r="B114" s="18">
        <v>45678</v>
      </c>
      <c r="C114" t="s">
        <v>2024</v>
      </c>
      <c r="D114" t="s">
        <v>2044</v>
      </c>
      <c r="E114" t="s">
        <v>2055</v>
      </c>
      <c r="F114" t="s">
        <v>2059</v>
      </c>
      <c r="G114">
        <v>4</v>
      </c>
      <c r="H114">
        <v>180</v>
      </c>
      <c r="I114">
        <v>243</v>
      </c>
      <c r="J114">
        <v>13.75</v>
      </c>
      <c r="K114">
        <v>838.39</v>
      </c>
      <c r="L114">
        <v>118.39</v>
      </c>
      <c r="M114">
        <v>13365</v>
      </c>
      <c r="N114">
        <v>720</v>
      </c>
      <c r="O114">
        <v>14.121113085795395</v>
      </c>
      <c r="P114" t="s">
        <v>2075</v>
      </c>
      <c r="Q114" t="s">
        <v>2092</v>
      </c>
    </row>
    <row r="115" spans="1:17" x14ac:dyDescent="0.25">
      <c r="A115" t="s">
        <v>1161</v>
      </c>
      <c r="B115" s="18">
        <v>45678</v>
      </c>
      <c r="C115" t="s">
        <v>2031</v>
      </c>
      <c r="D115" t="s">
        <v>2051</v>
      </c>
      <c r="E115" t="s">
        <v>2058</v>
      </c>
      <c r="F115" t="s">
        <v>2059</v>
      </c>
      <c r="G115">
        <v>4</v>
      </c>
      <c r="H115">
        <v>3200</v>
      </c>
      <c r="I115">
        <v>3840</v>
      </c>
      <c r="J115">
        <v>20.79</v>
      </c>
      <c r="K115">
        <v>12167.32</v>
      </c>
      <c r="L115">
        <v>-632.67999999999995</v>
      </c>
      <c r="M115">
        <v>319334.39999999997</v>
      </c>
      <c r="N115">
        <v>12800</v>
      </c>
      <c r="O115">
        <v>-5.1998303652735354</v>
      </c>
      <c r="P115" t="s">
        <v>2075</v>
      </c>
      <c r="Q115" t="s">
        <v>2093</v>
      </c>
    </row>
    <row r="116" spans="1:17" x14ac:dyDescent="0.25">
      <c r="A116" t="s">
        <v>1348</v>
      </c>
      <c r="B116" s="18">
        <v>45678</v>
      </c>
      <c r="C116" t="s">
        <v>2024</v>
      </c>
      <c r="D116" t="s">
        <v>2044</v>
      </c>
      <c r="E116" t="s">
        <v>2055</v>
      </c>
      <c r="F116" t="s">
        <v>2059</v>
      </c>
      <c r="G116">
        <v>3</v>
      </c>
      <c r="H116">
        <v>180</v>
      </c>
      <c r="I116">
        <v>243</v>
      </c>
      <c r="J116">
        <v>23.2</v>
      </c>
      <c r="K116">
        <v>559.89</v>
      </c>
      <c r="L116">
        <v>19.89</v>
      </c>
      <c r="M116">
        <v>16912.8</v>
      </c>
      <c r="N116">
        <v>540</v>
      </c>
      <c r="O116">
        <v>3.5524835235492684</v>
      </c>
      <c r="P116" t="s">
        <v>2075</v>
      </c>
      <c r="Q116" t="s">
        <v>2091</v>
      </c>
    </row>
    <row r="117" spans="1:17" x14ac:dyDescent="0.25">
      <c r="A117" t="s">
        <v>1439</v>
      </c>
      <c r="B117" s="18">
        <v>45678</v>
      </c>
      <c r="C117" t="s">
        <v>2031</v>
      </c>
      <c r="D117" t="s">
        <v>2051</v>
      </c>
      <c r="E117" t="s">
        <v>2058</v>
      </c>
      <c r="F117" t="s">
        <v>2059</v>
      </c>
      <c r="G117">
        <v>7</v>
      </c>
      <c r="H117">
        <v>3200</v>
      </c>
      <c r="I117">
        <v>3840</v>
      </c>
      <c r="J117">
        <v>4</v>
      </c>
      <c r="K117">
        <v>25804.799999999999</v>
      </c>
      <c r="L117">
        <v>3404.8</v>
      </c>
      <c r="M117">
        <v>107520</v>
      </c>
      <c r="N117">
        <v>22400</v>
      </c>
      <c r="O117">
        <v>13.194444444444445</v>
      </c>
      <c r="P117" t="s">
        <v>2075</v>
      </c>
      <c r="Q117" t="s">
        <v>2092</v>
      </c>
    </row>
    <row r="118" spans="1:17" x14ac:dyDescent="0.25">
      <c r="A118" t="s">
        <v>1486</v>
      </c>
      <c r="B118" s="18">
        <v>45678</v>
      </c>
      <c r="C118" t="s">
        <v>2014</v>
      </c>
      <c r="D118" t="s">
        <v>2034</v>
      </c>
      <c r="E118" t="s">
        <v>2052</v>
      </c>
      <c r="F118" t="s">
        <v>2059</v>
      </c>
      <c r="G118">
        <v>7</v>
      </c>
      <c r="H118">
        <v>4500</v>
      </c>
      <c r="I118">
        <v>5220</v>
      </c>
      <c r="J118">
        <v>4</v>
      </c>
      <c r="K118">
        <v>35078.400000000001</v>
      </c>
      <c r="L118">
        <v>3578.4</v>
      </c>
      <c r="M118">
        <v>146160</v>
      </c>
      <c r="N118">
        <v>31500</v>
      </c>
      <c r="O118">
        <v>10.201149425287356</v>
      </c>
      <c r="P118" t="s">
        <v>2075</v>
      </c>
      <c r="Q118" t="s">
        <v>2092</v>
      </c>
    </row>
    <row r="119" spans="1:17" x14ac:dyDescent="0.25">
      <c r="A119" t="s">
        <v>349</v>
      </c>
      <c r="B119" s="18">
        <v>45679</v>
      </c>
      <c r="C119" t="s">
        <v>2025</v>
      </c>
      <c r="D119" t="s">
        <v>2045</v>
      </c>
      <c r="E119" t="s">
        <v>2057</v>
      </c>
      <c r="F119" t="s">
        <v>2060</v>
      </c>
      <c r="G119">
        <v>6</v>
      </c>
      <c r="H119">
        <v>45</v>
      </c>
      <c r="I119">
        <v>63</v>
      </c>
      <c r="J119">
        <v>19.25</v>
      </c>
      <c r="K119">
        <v>305.25</v>
      </c>
      <c r="L119">
        <v>35.25</v>
      </c>
      <c r="M119">
        <v>7276.5</v>
      </c>
      <c r="N119">
        <v>270</v>
      </c>
      <c r="O119">
        <v>11.547911547911548</v>
      </c>
      <c r="P119" t="s">
        <v>2075</v>
      </c>
      <c r="Q119" t="s">
        <v>2092</v>
      </c>
    </row>
    <row r="120" spans="1:17" x14ac:dyDescent="0.25">
      <c r="A120" t="s">
        <v>620</v>
      </c>
      <c r="B120" s="18">
        <v>45679</v>
      </c>
      <c r="C120" t="s">
        <v>2024</v>
      </c>
      <c r="D120" t="s">
        <v>2044</v>
      </c>
      <c r="E120" t="s">
        <v>2055</v>
      </c>
      <c r="F120" t="s">
        <v>2059</v>
      </c>
      <c r="G120">
        <v>8</v>
      </c>
      <c r="H120">
        <v>180</v>
      </c>
      <c r="I120">
        <v>243</v>
      </c>
      <c r="J120">
        <v>0</v>
      </c>
      <c r="K120">
        <v>1944</v>
      </c>
      <c r="L120">
        <v>504</v>
      </c>
      <c r="M120">
        <v>0</v>
      </c>
      <c r="N120">
        <v>1440</v>
      </c>
      <c r="O120">
        <v>25.925925925925924</v>
      </c>
      <c r="P120" t="s">
        <v>2075</v>
      </c>
      <c r="Q120" t="s">
        <v>2092</v>
      </c>
    </row>
    <row r="121" spans="1:17" x14ac:dyDescent="0.25">
      <c r="A121" t="s">
        <v>1256</v>
      </c>
      <c r="B121" s="18">
        <v>45679</v>
      </c>
      <c r="C121" t="s">
        <v>2012</v>
      </c>
      <c r="D121" t="s">
        <v>2032</v>
      </c>
      <c r="E121" t="s">
        <v>2052</v>
      </c>
      <c r="F121" t="s">
        <v>2062</v>
      </c>
      <c r="G121">
        <v>6</v>
      </c>
      <c r="H121">
        <v>6500</v>
      </c>
      <c r="I121">
        <v>8125</v>
      </c>
      <c r="J121">
        <v>21.5</v>
      </c>
      <c r="K121">
        <v>38270.129999999997</v>
      </c>
      <c r="L121">
        <v>-729.87</v>
      </c>
      <c r="M121">
        <v>1048125</v>
      </c>
      <c r="N121">
        <v>39000</v>
      </c>
      <c r="O121">
        <v>-1.9071531766419398</v>
      </c>
      <c r="P121" t="s">
        <v>2075</v>
      </c>
      <c r="Q121" t="s">
        <v>2093</v>
      </c>
    </row>
    <row r="122" spans="1:17" x14ac:dyDescent="0.25">
      <c r="A122" t="s">
        <v>1369</v>
      </c>
      <c r="B122" s="18">
        <v>45679</v>
      </c>
      <c r="C122" t="s">
        <v>2020</v>
      </c>
      <c r="D122" t="s">
        <v>2040</v>
      </c>
      <c r="E122" t="s">
        <v>2053</v>
      </c>
      <c r="F122" t="s">
        <v>2059</v>
      </c>
      <c r="G122">
        <v>7</v>
      </c>
      <c r="H122">
        <v>350</v>
      </c>
      <c r="I122">
        <v>455</v>
      </c>
      <c r="J122">
        <v>14.68</v>
      </c>
      <c r="K122">
        <v>2717.32</v>
      </c>
      <c r="L122">
        <v>267.32</v>
      </c>
      <c r="M122">
        <v>46755.799999999996</v>
      </c>
      <c r="N122">
        <v>2450</v>
      </c>
      <c r="O122">
        <v>9.8376341395198192</v>
      </c>
      <c r="P122" t="s">
        <v>2075</v>
      </c>
      <c r="Q122" t="s">
        <v>2091</v>
      </c>
    </row>
    <row r="123" spans="1:17" x14ac:dyDescent="0.25">
      <c r="A123" t="s">
        <v>1862</v>
      </c>
      <c r="B123" s="18">
        <v>45679</v>
      </c>
      <c r="C123" t="s">
        <v>2021</v>
      </c>
      <c r="D123" t="s">
        <v>2041</v>
      </c>
      <c r="E123" t="s">
        <v>2056</v>
      </c>
      <c r="F123" t="s">
        <v>2060</v>
      </c>
      <c r="G123">
        <v>8</v>
      </c>
      <c r="H123">
        <v>300</v>
      </c>
      <c r="I123">
        <v>405</v>
      </c>
      <c r="J123">
        <v>15.64</v>
      </c>
      <c r="K123">
        <v>2733.22</v>
      </c>
      <c r="L123">
        <v>333.22</v>
      </c>
      <c r="M123">
        <v>50673.599999999999</v>
      </c>
      <c r="N123">
        <v>2400</v>
      </c>
      <c r="O123">
        <v>12.191481110192376</v>
      </c>
      <c r="P123" t="s">
        <v>2075</v>
      </c>
      <c r="Q123" t="s">
        <v>2092</v>
      </c>
    </row>
    <row r="124" spans="1:17" x14ac:dyDescent="0.25">
      <c r="A124" t="s">
        <v>1959</v>
      </c>
      <c r="B124" s="18">
        <v>45679</v>
      </c>
      <c r="C124" t="s">
        <v>2031</v>
      </c>
      <c r="D124" t="s">
        <v>2051</v>
      </c>
      <c r="E124" t="s">
        <v>2058</v>
      </c>
      <c r="F124" t="s">
        <v>2062</v>
      </c>
      <c r="G124">
        <v>1</v>
      </c>
      <c r="H124">
        <v>3200</v>
      </c>
      <c r="I124">
        <v>3840</v>
      </c>
      <c r="J124">
        <v>7.37</v>
      </c>
      <c r="K124">
        <v>3557.03</v>
      </c>
      <c r="L124">
        <v>357.03</v>
      </c>
      <c r="M124">
        <v>28300.799999999999</v>
      </c>
      <c r="N124">
        <v>3200</v>
      </c>
      <c r="O124">
        <v>10.037306404500383</v>
      </c>
      <c r="P124" t="s">
        <v>2075</v>
      </c>
      <c r="Q124" t="s">
        <v>2092</v>
      </c>
    </row>
    <row r="125" spans="1:17" x14ac:dyDescent="0.25">
      <c r="A125" t="s">
        <v>370</v>
      </c>
      <c r="B125" s="18">
        <v>45680</v>
      </c>
      <c r="C125" t="s">
        <v>2029</v>
      </c>
      <c r="D125" t="s">
        <v>2049</v>
      </c>
      <c r="E125" t="s">
        <v>2055</v>
      </c>
      <c r="F125" t="s">
        <v>2060</v>
      </c>
      <c r="G125">
        <v>1</v>
      </c>
      <c r="H125">
        <v>1200</v>
      </c>
      <c r="I125">
        <v>1464</v>
      </c>
      <c r="J125">
        <v>2</v>
      </c>
      <c r="K125">
        <v>1434.67</v>
      </c>
      <c r="L125">
        <v>234.67</v>
      </c>
      <c r="M125">
        <v>2928</v>
      </c>
      <c r="N125">
        <v>1200</v>
      </c>
      <c r="O125">
        <v>16.357071661078855</v>
      </c>
      <c r="P125" t="s">
        <v>2075</v>
      </c>
      <c r="Q125" t="s">
        <v>2092</v>
      </c>
    </row>
    <row r="126" spans="1:17" x14ac:dyDescent="0.25">
      <c r="A126" t="s">
        <v>1077</v>
      </c>
      <c r="B126" s="18">
        <v>45680</v>
      </c>
      <c r="C126" t="s">
        <v>2023</v>
      </c>
      <c r="D126" t="s">
        <v>2043</v>
      </c>
      <c r="E126" t="s">
        <v>2053</v>
      </c>
      <c r="F126" t="s">
        <v>2061</v>
      </c>
      <c r="G126">
        <v>6</v>
      </c>
      <c r="H126">
        <v>550</v>
      </c>
      <c r="I126">
        <v>742.5</v>
      </c>
      <c r="J126">
        <v>9.31</v>
      </c>
      <c r="K126">
        <v>4040.25</v>
      </c>
      <c r="L126">
        <v>740.25</v>
      </c>
      <c r="M126">
        <v>41476.050000000003</v>
      </c>
      <c r="N126">
        <v>3300</v>
      </c>
      <c r="O126">
        <v>18.321886021904586</v>
      </c>
      <c r="P126" t="s">
        <v>2075</v>
      </c>
      <c r="Q126" t="s">
        <v>2092</v>
      </c>
    </row>
    <row r="127" spans="1:17" x14ac:dyDescent="0.25">
      <c r="A127" t="s">
        <v>1304</v>
      </c>
      <c r="B127" s="18">
        <v>45680</v>
      </c>
      <c r="C127" t="s">
        <v>2029</v>
      </c>
      <c r="D127" t="s">
        <v>2049</v>
      </c>
      <c r="E127" t="s">
        <v>2055</v>
      </c>
      <c r="F127" t="s">
        <v>2062</v>
      </c>
      <c r="G127">
        <v>8</v>
      </c>
      <c r="H127">
        <v>1200</v>
      </c>
      <c r="I127">
        <v>1464</v>
      </c>
      <c r="J127">
        <v>12.44</v>
      </c>
      <c r="K127">
        <v>10254.5</v>
      </c>
      <c r="L127">
        <v>654.5</v>
      </c>
      <c r="M127">
        <v>145697.28</v>
      </c>
      <c r="N127">
        <v>9600</v>
      </c>
      <c r="O127">
        <v>6.3825637524989025</v>
      </c>
      <c r="P127" t="s">
        <v>2075</v>
      </c>
      <c r="Q127" t="s">
        <v>2091</v>
      </c>
    </row>
    <row r="128" spans="1:17" x14ac:dyDescent="0.25">
      <c r="A128" t="s">
        <v>1357</v>
      </c>
      <c r="B128" s="18">
        <v>45680</v>
      </c>
      <c r="C128" t="s">
        <v>2031</v>
      </c>
      <c r="D128" t="s">
        <v>2051</v>
      </c>
      <c r="E128" t="s">
        <v>2058</v>
      </c>
      <c r="F128" t="s">
        <v>2059</v>
      </c>
      <c r="G128">
        <v>9</v>
      </c>
      <c r="H128">
        <v>3200</v>
      </c>
      <c r="I128">
        <v>3840</v>
      </c>
      <c r="J128">
        <v>13.23</v>
      </c>
      <c r="K128">
        <v>29986.39</v>
      </c>
      <c r="L128">
        <v>1186.3900000000001</v>
      </c>
      <c r="M128">
        <v>457228.79999999999</v>
      </c>
      <c r="N128">
        <v>28800</v>
      </c>
      <c r="O128">
        <v>3.9564282329416787</v>
      </c>
      <c r="P128" t="s">
        <v>2075</v>
      </c>
      <c r="Q128" t="s">
        <v>2091</v>
      </c>
    </row>
    <row r="129" spans="1:17" x14ac:dyDescent="0.25">
      <c r="A129" t="s">
        <v>1427</v>
      </c>
      <c r="B129" s="18">
        <v>45680</v>
      </c>
      <c r="C129" t="s">
        <v>2030</v>
      </c>
      <c r="D129" t="s">
        <v>2050</v>
      </c>
      <c r="E129" t="s">
        <v>2058</v>
      </c>
      <c r="F129" t="s">
        <v>2061</v>
      </c>
      <c r="G129">
        <v>4</v>
      </c>
      <c r="H129">
        <v>1800</v>
      </c>
      <c r="I129">
        <v>2124</v>
      </c>
      <c r="J129">
        <v>23.77</v>
      </c>
      <c r="K129">
        <v>6476.13</v>
      </c>
      <c r="L129">
        <v>-723.87</v>
      </c>
      <c r="M129">
        <v>201949.91999999998</v>
      </c>
      <c r="N129">
        <v>7200</v>
      </c>
      <c r="O129">
        <v>-11.177508789971789</v>
      </c>
      <c r="P129" t="s">
        <v>2075</v>
      </c>
      <c r="Q129" t="s">
        <v>2093</v>
      </c>
    </row>
    <row r="130" spans="1:17" x14ac:dyDescent="0.25">
      <c r="A130" t="s">
        <v>421</v>
      </c>
      <c r="B130" s="18">
        <v>45681</v>
      </c>
      <c r="C130" t="s">
        <v>2020</v>
      </c>
      <c r="D130" t="s">
        <v>2040</v>
      </c>
      <c r="E130" t="s">
        <v>2053</v>
      </c>
      <c r="F130" t="s">
        <v>2062</v>
      </c>
      <c r="G130">
        <v>7</v>
      </c>
      <c r="H130">
        <v>350</v>
      </c>
      <c r="I130">
        <v>455</v>
      </c>
      <c r="J130">
        <v>20.48</v>
      </c>
      <c r="K130">
        <v>2532.59</v>
      </c>
      <c r="L130">
        <v>82.59</v>
      </c>
      <c r="M130">
        <v>65228.800000000003</v>
      </c>
      <c r="N130">
        <v>2450</v>
      </c>
      <c r="O130">
        <v>3.261088450953372</v>
      </c>
      <c r="P130" t="s">
        <v>2075</v>
      </c>
      <c r="Q130" t="s">
        <v>2091</v>
      </c>
    </row>
    <row r="131" spans="1:17" x14ac:dyDescent="0.25">
      <c r="A131" t="s">
        <v>447</v>
      </c>
      <c r="B131" s="18">
        <v>45681</v>
      </c>
      <c r="C131" t="s">
        <v>2024</v>
      </c>
      <c r="D131" t="s">
        <v>2044</v>
      </c>
      <c r="E131" t="s">
        <v>2055</v>
      </c>
      <c r="F131" t="s">
        <v>2062</v>
      </c>
      <c r="G131">
        <v>6</v>
      </c>
      <c r="H131">
        <v>180</v>
      </c>
      <c r="I131">
        <v>243</v>
      </c>
      <c r="J131">
        <v>28</v>
      </c>
      <c r="K131">
        <v>1049.8</v>
      </c>
      <c r="L131">
        <v>-30.2</v>
      </c>
      <c r="M131">
        <v>40824</v>
      </c>
      <c r="N131">
        <v>1080</v>
      </c>
      <c r="O131">
        <v>-2.8767384263669271</v>
      </c>
      <c r="P131" t="s">
        <v>2075</v>
      </c>
      <c r="Q131" t="s">
        <v>2093</v>
      </c>
    </row>
    <row r="132" spans="1:17" x14ac:dyDescent="0.25">
      <c r="A132" t="s">
        <v>1432</v>
      </c>
      <c r="B132" s="18">
        <v>45681</v>
      </c>
      <c r="C132" t="s">
        <v>2031</v>
      </c>
      <c r="D132" t="s">
        <v>2051</v>
      </c>
      <c r="E132" t="s">
        <v>2058</v>
      </c>
      <c r="F132" t="s">
        <v>2059</v>
      </c>
      <c r="G132">
        <v>3</v>
      </c>
      <c r="H132">
        <v>3200</v>
      </c>
      <c r="I132">
        <v>3840</v>
      </c>
      <c r="J132">
        <v>11.8</v>
      </c>
      <c r="K132">
        <v>10160.41</v>
      </c>
      <c r="L132">
        <v>560.41</v>
      </c>
      <c r="M132">
        <v>135936</v>
      </c>
      <c r="N132">
        <v>9600</v>
      </c>
      <c r="O132">
        <v>5.5156238773829003</v>
      </c>
      <c r="P132" t="s">
        <v>2075</v>
      </c>
      <c r="Q132" t="s">
        <v>2091</v>
      </c>
    </row>
    <row r="133" spans="1:17" x14ac:dyDescent="0.25">
      <c r="A133" t="s">
        <v>1516</v>
      </c>
      <c r="B133" s="18">
        <v>45681</v>
      </c>
      <c r="C133" t="s">
        <v>2016</v>
      </c>
      <c r="D133" t="s">
        <v>2036</v>
      </c>
      <c r="E133" t="s">
        <v>2052</v>
      </c>
      <c r="F133" t="s">
        <v>2060</v>
      </c>
      <c r="G133">
        <v>3</v>
      </c>
      <c r="H133">
        <v>900</v>
      </c>
      <c r="I133">
        <v>1170</v>
      </c>
      <c r="J133">
        <v>2.46</v>
      </c>
      <c r="K133">
        <v>3423.49</v>
      </c>
      <c r="L133">
        <v>723.49</v>
      </c>
      <c r="M133">
        <v>8634.6</v>
      </c>
      <c r="N133">
        <v>2700</v>
      </c>
      <c r="O133">
        <v>21.133112700781954</v>
      </c>
      <c r="P133" t="s">
        <v>2075</v>
      </c>
      <c r="Q133" t="s">
        <v>2092</v>
      </c>
    </row>
    <row r="134" spans="1:17" x14ac:dyDescent="0.25">
      <c r="A134" t="s">
        <v>1811</v>
      </c>
      <c r="B134" s="18">
        <v>45681</v>
      </c>
      <c r="C134" t="s">
        <v>2028</v>
      </c>
      <c r="D134" t="s">
        <v>2048</v>
      </c>
      <c r="E134" t="s">
        <v>2057</v>
      </c>
      <c r="F134" t="s">
        <v>2061</v>
      </c>
      <c r="G134">
        <v>10</v>
      </c>
      <c r="H134">
        <v>80</v>
      </c>
      <c r="I134">
        <v>116</v>
      </c>
      <c r="J134">
        <v>9.42</v>
      </c>
      <c r="K134">
        <v>1050.67</v>
      </c>
      <c r="L134">
        <v>250.67</v>
      </c>
      <c r="M134">
        <v>10927.2</v>
      </c>
      <c r="N134">
        <v>800</v>
      </c>
      <c r="O134">
        <v>23.858109587215772</v>
      </c>
      <c r="P134" t="s">
        <v>2075</v>
      </c>
      <c r="Q134" t="s">
        <v>2092</v>
      </c>
    </row>
    <row r="135" spans="1:17" x14ac:dyDescent="0.25">
      <c r="A135" t="s">
        <v>1812</v>
      </c>
      <c r="B135" s="18">
        <v>45681</v>
      </c>
      <c r="C135" t="s">
        <v>2015</v>
      </c>
      <c r="D135" t="s">
        <v>2035</v>
      </c>
      <c r="E135" t="s">
        <v>2054</v>
      </c>
      <c r="F135" t="s">
        <v>2062</v>
      </c>
      <c r="G135">
        <v>3</v>
      </c>
      <c r="H135">
        <v>900</v>
      </c>
      <c r="I135">
        <v>1170</v>
      </c>
      <c r="J135">
        <v>2.3199999999999998</v>
      </c>
      <c r="K135">
        <v>3428.44</v>
      </c>
      <c r="L135">
        <v>728.44</v>
      </c>
      <c r="M135">
        <v>8143.2</v>
      </c>
      <c r="N135">
        <v>2700</v>
      </c>
      <c r="O135">
        <v>21.246981134276815</v>
      </c>
      <c r="P135" t="s">
        <v>2075</v>
      </c>
      <c r="Q135" t="s">
        <v>2092</v>
      </c>
    </row>
    <row r="136" spans="1:17" x14ac:dyDescent="0.25">
      <c r="A136" t="s">
        <v>101</v>
      </c>
      <c r="B136" s="18">
        <v>45682</v>
      </c>
      <c r="C136" t="s">
        <v>2025</v>
      </c>
      <c r="D136" t="s">
        <v>2045</v>
      </c>
      <c r="E136" t="s">
        <v>2057</v>
      </c>
      <c r="F136" t="s">
        <v>2059</v>
      </c>
      <c r="G136">
        <v>9</v>
      </c>
      <c r="H136">
        <v>45</v>
      </c>
      <c r="I136">
        <v>63</v>
      </c>
      <c r="J136">
        <v>8.82</v>
      </c>
      <c r="K136">
        <v>517</v>
      </c>
      <c r="L136">
        <v>112</v>
      </c>
      <c r="M136">
        <v>5000.9400000000005</v>
      </c>
      <c r="N136">
        <v>405</v>
      </c>
      <c r="O136">
        <v>21.663442940038685</v>
      </c>
      <c r="P136" t="s">
        <v>2075</v>
      </c>
      <c r="Q136" t="s">
        <v>2092</v>
      </c>
    </row>
    <row r="137" spans="1:17" x14ac:dyDescent="0.25">
      <c r="A137" t="s">
        <v>114</v>
      </c>
      <c r="B137" s="18">
        <v>45682</v>
      </c>
      <c r="C137" t="s">
        <v>2016</v>
      </c>
      <c r="D137" t="s">
        <v>2036</v>
      </c>
      <c r="E137" t="s">
        <v>2052</v>
      </c>
      <c r="F137" t="s">
        <v>2062</v>
      </c>
      <c r="G137">
        <v>5</v>
      </c>
      <c r="H137">
        <v>900</v>
      </c>
      <c r="I137">
        <v>1170</v>
      </c>
      <c r="J137">
        <v>8.35</v>
      </c>
      <c r="K137">
        <v>5361.28</v>
      </c>
      <c r="L137">
        <v>861.28</v>
      </c>
      <c r="M137">
        <v>48847.5</v>
      </c>
      <c r="N137">
        <v>4500</v>
      </c>
      <c r="O137">
        <v>16.064820341411007</v>
      </c>
      <c r="P137" t="s">
        <v>2075</v>
      </c>
      <c r="Q137" t="s">
        <v>2092</v>
      </c>
    </row>
    <row r="138" spans="1:17" x14ac:dyDescent="0.25">
      <c r="A138" t="s">
        <v>117</v>
      </c>
      <c r="B138" s="18">
        <v>45682</v>
      </c>
      <c r="C138" t="s">
        <v>2019</v>
      </c>
      <c r="D138" t="s">
        <v>2039</v>
      </c>
      <c r="E138" t="s">
        <v>2053</v>
      </c>
      <c r="F138" t="s">
        <v>2060</v>
      </c>
      <c r="G138">
        <v>1</v>
      </c>
      <c r="H138">
        <v>900</v>
      </c>
      <c r="I138">
        <v>1152</v>
      </c>
      <c r="J138">
        <v>17.13</v>
      </c>
      <c r="K138">
        <v>954.64</v>
      </c>
      <c r="L138">
        <v>54.64</v>
      </c>
      <c r="M138">
        <v>19733.759999999998</v>
      </c>
      <c r="N138">
        <v>900</v>
      </c>
      <c r="O138">
        <v>5.7236235649040479</v>
      </c>
      <c r="P138" t="s">
        <v>2075</v>
      </c>
      <c r="Q138" t="s">
        <v>2091</v>
      </c>
    </row>
    <row r="139" spans="1:17" x14ac:dyDescent="0.25">
      <c r="A139" t="s">
        <v>726</v>
      </c>
      <c r="B139" s="18">
        <v>45682</v>
      </c>
      <c r="C139" t="s">
        <v>2021</v>
      </c>
      <c r="D139" t="s">
        <v>2041</v>
      </c>
      <c r="E139" t="s">
        <v>2056</v>
      </c>
      <c r="F139" t="s">
        <v>2062</v>
      </c>
      <c r="G139">
        <v>2</v>
      </c>
      <c r="H139">
        <v>300</v>
      </c>
      <c r="I139">
        <v>405</v>
      </c>
      <c r="J139">
        <v>15.32</v>
      </c>
      <c r="K139">
        <v>685.93</v>
      </c>
      <c r="L139">
        <v>85.93</v>
      </c>
      <c r="M139">
        <v>12409.2</v>
      </c>
      <c r="N139">
        <v>600</v>
      </c>
      <c r="O139">
        <v>12.527517385155923</v>
      </c>
      <c r="P139" t="s">
        <v>2075</v>
      </c>
      <c r="Q139" t="s">
        <v>2092</v>
      </c>
    </row>
    <row r="140" spans="1:17" x14ac:dyDescent="0.25">
      <c r="A140" t="s">
        <v>1287</v>
      </c>
      <c r="B140" s="18">
        <v>45682</v>
      </c>
      <c r="C140" t="s">
        <v>2012</v>
      </c>
      <c r="D140" t="s">
        <v>2032</v>
      </c>
      <c r="E140" t="s">
        <v>2052</v>
      </c>
      <c r="F140" t="s">
        <v>2059</v>
      </c>
      <c r="G140">
        <v>10</v>
      </c>
      <c r="H140">
        <v>6500</v>
      </c>
      <c r="I140">
        <v>8125</v>
      </c>
      <c r="J140">
        <v>12.25</v>
      </c>
      <c r="K140">
        <v>71296.320000000007</v>
      </c>
      <c r="L140">
        <v>6296.32</v>
      </c>
      <c r="M140">
        <v>995312.5</v>
      </c>
      <c r="N140">
        <v>65000</v>
      </c>
      <c r="O140">
        <v>8.8311991418350893</v>
      </c>
      <c r="P140" t="s">
        <v>2075</v>
      </c>
      <c r="Q140" t="s">
        <v>2091</v>
      </c>
    </row>
    <row r="141" spans="1:17" x14ac:dyDescent="0.25">
      <c r="A141" t="s">
        <v>1594</v>
      </c>
      <c r="B141" s="18">
        <v>45682</v>
      </c>
      <c r="C141" t="s">
        <v>2028</v>
      </c>
      <c r="D141" t="s">
        <v>2048</v>
      </c>
      <c r="E141" t="s">
        <v>2057</v>
      </c>
      <c r="F141" t="s">
        <v>2060</v>
      </c>
      <c r="G141">
        <v>9</v>
      </c>
      <c r="H141">
        <v>80</v>
      </c>
      <c r="I141">
        <v>116</v>
      </c>
      <c r="J141">
        <v>2.73</v>
      </c>
      <c r="K141">
        <v>1015.47</v>
      </c>
      <c r="L141">
        <v>295.47000000000003</v>
      </c>
      <c r="M141">
        <v>2850.12</v>
      </c>
      <c r="N141">
        <v>720</v>
      </c>
      <c r="O141">
        <v>29.096871399450503</v>
      </c>
      <c r="P141" t="s">
        <v>2075</v>
      </c>
      <c r="Q141" t="s">
        <v>2092</v>
      </c>
    </row>
    <row r="142" spans="1:17" x14ac:dyDescent="0.25">
      <c r="A142" t="s">
        <v>1854</v>
      </c>
      <c r="B142" s="18">
        <v>45682</v>
      </c>
      <c r="C142" t="s">
        <v>2020</v>
      </c>
      <c r="D142" t="s">
        <v>2040</v>
      </c>
      <c r="E142" t="s">
        <v>2053</v>
      </c>
      <c r="F142" t="s">
        <v>2060</v>
      </c>
      <c r="G142">
        <v>8</v>
      </c>
      <c r="H142">
        <v>350</v>
      </c>
      <c r="I142">
        <v>455</v>
      </c>
      <c r="J142">
        <v>17</v>
      </c>
      <c r="K142">
        <v>3021.17</v>
      </c>
      <c r="L142">
        <v>221.17</v>
      </c>
      <c r="M142">
        <v>61880</v>
      </c>
      <c r="N142">
        <v>2800</v>
      </c>
      <c r="O142">
        <v>7.3206737787016278</v>
      </c>
      <c r="P142" t="s">
        <v>2075</v>
      </c>
      <c r="Q142" t="s">
        <v>2091</v>
      </c>
    </row>
    <row r="143" spans="1:17" x14ac:dyDescent="0.25">
      <c r="A143" t="s">
        <v>657</v>
      </c>
      <c r="B143" s="18">
        <v>45683</v>
      </c>
      <c r="C143" t="s">
        <v>2019</v>
      </c>
      <c r="D143" t="s">
        <v>2039</v>
      </c>
      <c r="E143" t="s">
        <v>2053</v>
      </c>
      <c r="F143" t="s">
        <v>2059</v>
      </c>
      <c r="G143">
        <v>5</v>
      </c>
      <c r="H143">
        <v>900</v>
      </c>
      <c r="I143">
        <v>1152</v>
      </c>
      <c r="J143">
        <v>11.03</v>
      </c>
      <c r="K143">
        <v>5124.59</v>
      </c>
      <c r="L143">
        <v>624.59</v>
      </c>
      <c r="M143">
        <v>63532.799999999996</v>
      </c>
      <c r="N143">
        <v>4500</v>
      </c>
      <c r="O143">
        <v>12.188096998979431</v>
      </c>
      <c r="P143" t="s">
        <v>2075</v>
      </c>
      <c r="Q143" t="s">
        <v>2092</v>
      </c>
    </row>
    <row r="144" spans="1:17" x14ac:dyDescent="0.25">
      <c r="A144" t="s">
        <v>900</v>
      </c>
      <c r="B144" s="18">
        <v>45683</v>
      </c>
      <c r="C144" t="s">
        <v>2022</v>
      </c>
      <c r="D144" t="s">
        <v>2042</v>
      </c>
      <c r="E144" t="s">
        <v>2053</v>
      </c>
      <c r="F144" t="s">
        <v>2060</v>
      </c>
      <c r="G144">
        <v>5</v>
      </c>
      <c r="H144">
        <v>8500</v>
      </c>
      <c r="I144">
        <v>9520</v>
      </c>
      <c r="J144">
        <v>12.6</v>
      </c>
      <c r="K144">
        <v>41604.129999999997</v>
      </c>
      <c r="L144">
        <v>-895.87</v>
      </c>
      <c r="M144">
        <v>599760</v>
      </c>
      <c r="N144">
        <v>42500</v>
      </c>
      <c r="O144">
        <v>-2.1533198747335902</v>
      </c>
      <c r="P144" t="s">
        <v>2075</v>
      </c>
      <c r="Q144" t="s">
        <v>2093</v>
      </c>
    </row>
    <row r="145" spans="1:17" x14ac:dyDescent="0.25">
      <c r="A145" t="s">
        <v>1593</v>
      </c>
      <c r="B145" s="18">
        <v>45683</v>
      </c>
      <c r="C145" t="s">
        <v>2022</v>
      </c>
      <c r="D145" t="s">
        <v>2042</v>
      </c>
      <c r="E145" t="s">
        <v>2053</v>
      </c>
      <c r="F145" t="s">
        <v>2062</v>
      </c>
      <c r="G145">
        <v>7</v>
      </c>
      <c r="H145">
        <v>8500</v>
      </c>
      <c r="I145">
        <v>9520</v>
      </c>
      <c r="J145">
        <v>8.51</v>
      </c>
      <c r="K145">
        <v>60968.37</v>
      </c>
      <c r="L145">
        <v>1468.37</v>
      </c>
      <c r="M145">
        <v>567106.4</v>
      </c>
      <c r="N145">
        <v>59500</v>
      </c>
      <c r="O145">
        <v>2.408412755663305</v>
      </c>
      <c r="P145" t="s">
        <v>2075</v>
      </c>
      <c r="Q145" t="s">
        <v>2091</v>
      </c>
    </row>
    <row r="146" spans="1:17" x14ac:dyDescent="0.25">
      <c r="A146" t="s">
        <v>1338</v>
      </c>
      <c r="B146" s="18">
        <v>45684</v>
      </c>
      <c r="C146" t="s">
        <v>2024</v>
      </c>
      <c r="D146" t="s">
        <v>2044</v>
      </c>
      <c r="E146" t="s">
        <v>2055</v>
      </c>
      <c r="F146" t="s">
        <v>2061</v>
      </c>
      <c r="G146">
        <v>1</v>
      </c>
      <c r="H146">
        <v>180</v>
      </c>
      <c r="I146">
        <v>243</v>
      </c>
      <c r="J146">
        <v>14.28</v>
      </c>
      <c r="K146">
        <v>208.29</v>
      </c>
      <c r="L146">
        <v>28.29</v>
      </c>
      <c r="M146">
        <v>3470.04</v>
      </c>
      <c r="N146">
        <v>180</v>
      </c>
      <c r="O146">
        <v>13.582025061212732</v>
      </c>
      <c r="P146" t="s">
        <v>2075</v>
      </c>
      <c r="Q146" t="s">
        <v>2092</v>
      </c>
    </row>
    <row r="147" spans="1:17" x14ac:dyDescent="0.25">
      <c r="A147" t="s">
        <v>268</v>
      </c>
      <c r="B147" s="18">
        <v>45685</v>
      </c>
      <c r="C147" t="s">
        <v>2018</v>
      </c>
      <c r="D147" t="s">
        <v>2038</v>
      </c>
      <c r="E147" t="s">
        <v>2053</v>
      </c>
      <c r="F147" t="s">
        <v>2060</v>
      </c>
      <c r="G147">
        <v>8</v>
      </c>
      <c r="H147">
        <v>500</v>
      </c>
      <c r="I147">
        <v>610</v>
      </c>
      <c r="J147">
        <v>13.2</v>
      </c>
      <c r="K147">
        <v>4235.68</v>
      </c>
      <c r="L147">
        <v>235.68</v>
      </c>
      <c r="M147">
        <v>64416</v>
      </c>
      <c r="N147">
        <v>4000</v>
      </c>
      <c r="O147">
        <v>5.5641597098930982</v>
      </c>
      <c r="P147" t="s">
        <v>2075</v>
      </c>
      <c r="Q147" t="s">
        <v>2091</v>
      </c>
    </row>
    <row r="148" spans="1:17" x14ac:dyDescent="0.25">
      <c r="A148" t="s">
        <v>606</v>
      </c>
      <c r="B148" s="18">
        <v>45685</v>
      </c>
      <c r="C148" t="s">
        <v>2022</v>
      </c>
      <c r="D148" t="s">
        <v>2042</v>
      </c>
      <c r="E148" t="s">
        <v>2053</v>
      </c>
      <c r="F148" t="s">
        <v>2060</v>
      </c>
      <c r="G148">
        <v>8</v>
      </c>
      <c r="H148">
        <v>8500</v>
      </c>
      <c r="I148">
        <v>9520</v>
      </c>
      <c r="J148">
        <v>14.85</v>
      </c>
      <c r="K148">
        <v>64846.44</v>
      </c>
      <c r="L148">
        <v>-3153.56</v>
      </c>
      <c r="M148">
        <v>1130976</v>
      </c>
      <c r="N148">
        <v>68000</v>
      </c>
      <c r="O148">
        <v>-4.8631197024848234</v>
      </c>
      <c r="P148" t="s">
        <v>2075</v>
      </c>
      <c r="Q148" t="s">
        <v>2093</v>
      </c>
    </row>
    <row r="149" spans="1:17" x14ac:dyDescent="0.25">
      <c r="A149" t="s">
        <v>913</v>
      </c>
      <c r="B149" s="18">
        <v>45685</v>
      </c>
      <c r="C149" t="s">
        <v>2017</v>
      </c>
      <c r="D149" t="s">
        <v>2037</v>
      </c>
      <c r="E149" t="s">
        <v>2055</v>
      </c>
      <c r="F149" t="s">
        <v>2061</v>
      </c>
      <c r="G149">
        <v>2</v>
      </c>
      <c r="H149">
        <v>2500</v>
      </c>
      <c r="I149">
        <v>2875</v>
      </c>
      <c r="J149">
        <v>5.63</v>
      </c>
      <c r="K149">
        <v>5426.26</v>
      </c>
      <c r="L149">
        <v>426.26</v>
      </c>
      <c r="M149">
        <v>32372.5</v>
      </c>
      <c r="N149">
        <v>5000</v>
      </c>
      <c r="O149">
        <v>7.8555026850906513</v>
      </c>
      <c r="P149" t="s">
        <v>2075</v>
      </c>
      <c r="Q149" t="s">
        <v>2091</v>
      </c>
    </row>
    <row r="150" spans="1:17" x14ac:dyDescent="0.25">
      <c r="A150" t="s">
        <v>1034</v>
      </c>
      <c r="B150" s="18">
        <v>45685</v>
      </c>
      <c r="C150" t="s">
        <v>2024</v>
      </c>
      <c r="D150" t="s">
        <v>2044</v>
      </c>
      <c r="E150" t="s">
        <v>2055</v>
      </c>
      <c r="F150" t="s">
        <v>2059</v>
      </c>
      <c r="G150">
        <v>8</v>
      </c>
      <c r="H150">
        <v>180</v>
      </c>
      <c r="I150">
        <v>243</v>
      </c>
      <c r="J150">
        <v>11.98</v>
      </c>
      <c r="K150">
        <v>1711.07</v>
      </c>
      <c r="L150">
        <v>271.07</v>
      </c>
      <c r="M150">
        <v>23289.120000000003</v>
      </c>
      <c r="N150">
        <v>1440</v>
      </c>
      <c r="O150">
        <v>15.842133869450109</v>
      </c>
      <c r="P150" t="s">
        <v>2075</v>
      </c>
      <c r="Q150" t="s">
        <v>2092</v>
      </c>
    </row>
    <row r="151" spans="1:17" x14ac:dyDescent="0.25">
      <c r="A151" t="s">
        <v>1448</v>
      </c>
      <c r="B151" s="18">
        <v>45685</v>
      </c>
      <c r="C151" t="s">
        <v>2014</v>
      </c>
      <c r="D151" t="s">
        <v>2034</v>
      </c>
      <c r="E151" t="s">
        <v>2052</v>
      </c>
      <c r="F151" t="s">
        <v>2059</v>
      </c>
      <c r="G151">
        <v>8</v>
      </c>
      <c r="H151">
        <v>4500</v>
      </c>
      <c r="I151">
        <v>5220</v>
      </c>
      <c r="J151">
        <v>17.399999999999999</v>
      </c>
      <c r="K151">
        <v>34492.81</v>
      </c>
      <c r="L151">
        <v>-1507.19</v>
      </c>
      <c r="M151">
        <v>726623.99999999988</v>
      </c>
      <c r="N151">
        <v>36000</v>
      </c>
      <c r="O151">
        <v>-4.3695773119093522</v>
      </c>
      <c r="P151" t="s">
        <v>2075</v>
      </c>
      <c r="Q151" t="s">
        <v>2093</v>
      </c>
    </row>
    <row r="152" spans="1:17" x14ac:dyDescent="0.25">
      <c r="A152" t="s">
        <v>1479</v>
      </c>
      <c r="B152" s="18">
        <v>45685</v>
      </c>
      <c r="C152" t="s">
        <v>2020</v>
      </c>
      <c r="D152" t="s">
        <v>2040</v>
      </c>
      <c r="E152" t="s">
        <v>2053</v>
      </c>
      <c r="F152" t="s">
        <v>2060</v>
      </c>
      <c r="G152">
        <v>6</v>
      </c>
      <c r="H152">
        <v>350</v>
      </c>
      <c r="I152">
        <v>455</v>
      </c>
      <c r="J152">
        <v>10.11</v>
      </c>
      <c r="K152">
        <v>2453.91</v>
      </c>
      <c r="L152">
        <v>353.91</v>
      </c>
      <c r="M152">
        <v>27600.3</v>
      </c>
      <c r="N152">
        <v>2100</v>
      </c>
      <c r="O152">
        <v>14.422289326014404</v>
      </c>
      <c r="P152" t="s">
        <v>2075</v>
      </c>
      <c r="Q152" t="s">
        <v>2092</v>
      </c>
    </row>
    <row r="153" spans="1:17" x14ac:dyDescent="0.25">
      <c r="A153" t="s">
        <v>1482</v>
      </c>
      <c r="B153" s="18">
        <v>45685</v>
      </c>
      <c r="C153" t="s">
        <v>2019</v>
      </c>
      <c r="D153" t="s">
        <v>2039</v>
      </c>
      <c r="E153" t="s">
        <v>2053</v>
      </c>
      <c r="F153" t="s">
        <v>2061</v>
      </c>
      <c r="G153">
        <v>6</v>
      </c>
      <c r="H153">
        <v>900</v>
      </c>
      <c r="I153">
        <v>1152</v>
      </c>
      <c r="J153">
        <v>15.59</v>
      </c>
      <c r="K153">
        <v>5834.32</v>
      </c>
      <c r="L153">
        <v>434.32</v>
      </c>
      <c r="M153">
        <v>107758.08</v>
      </c>
      <c r="N153">
        <v>5400</v>
      </c>
      <c r="O153">
        <v>7.4442265765333415</v>
      </c>
      <c r="P153" t="s">
        <v>2075</v>
      </c>
      <c r="Q153" t="s">
        <v>2091</v>
      </c>
    </row>
    <row r="154" spans="1:17" x14ac:dyDescent="0.25">
      <c r="A154" t="s">
        <v>1585</v>
      </c>
      <c r="B154" s="18">
        <v>45685</v>
      </c>
      <c r="C154" t="s">
        <v>2014</v>
      </c>
      <c r="D154" t="s">
        <v>2034</v>
      </c>
      <c r="E154" t="s">
        <v>2052</v>
      </c>
      <c r="F154" t="s">
        <v>2059</v>
      </c>
      <c r="G154">
        <v>1</v>
      </c>
      <c r="H154">
        <v>4500</v>
      </c>
      <c r="I154">
        <v>5220</v>
      </c>
      <c r="J154">
        <v>22.56</v>
      </c>
      <c r="K154">
        <v>4042.6</v>
      </c>
      <c r="L154">
        <v>-457.4</v>
      </c>
      <c r="M154">
        <v>117763.2</v>
      </c>
      <c r="N154">
        <v>4500</v>
      </c>
      <c r="O154">
        <v>-11.31450056894078</v>
      </c>
      <c r="P154" t="s">
        <v>2075</v>
      </c>
      <c r="Q154" t="s">
        <v>2093</v>
      </c>
    </row>
    <row r="155" spans="1:17" x14ac:dyDescent="0.25">
      <c r="A155" t="s">
        <v>231</v>
      </c>
      <c r="B155" s="18">
        <v>45686</v>
      </c>
      <c r="C155" t="s">
        <v>2013</v>
      </c>
      <c r="D155" t="s">
        <v>2033</v>
      </c>
      <c r="E155" t="s">
        <v>2053</v>
      </c>
      <c r="F155" t="s">
        <v>2061</v>
      </c>
      <c r="G155">
        <v>1</v>
      </c>
      <c r="H155">
        <v>6500</v>
      </c>
      <c r="I155">
        <v>7150</v>
      </c>
      <c r="J155">
        <v>31.67</v>
      </c>
      <c r="K155">
        <v>4885.54</v>
      </c>
      <c r="L155">
        <v>-1614.46</v>
      </c>
      <c r="M155">
        <v>226440.5</v>
      </c>
      <c r="N155">
        <v>6500</v>
      </c>
      <c r="O155">
        <v>-33.045681746541838</v>
      </c>
      <c r="P155" t="s">
        <v>2075</v>
      </c>
      <c r="Q155" t="s">
        <v>2093</v>
      </c>
    </row>
    <row r="156" spans="1:17" x14ac:dyDescent="0.25">
      <c r="A156" t="s">
        <v>354</v>
      </c>
      <c r="B156" s="18">
        <v>45686</v>
      </c>
      <c r="C156" t="s">
        <v>2023</v>
      </c>
      <c r="D156" t="s">
        <v>2043</v>
      </c>
      <c r="E156" t="s">
        <v>2053</v>
      </c>
      <c r="F156" t="s">
        <v>2059</v>
      </c>
      <c r="G156">
        <v>10</v>
      </c>
      <c r="H156">
        <v>550</v>
      </c>
      <c r="I156">
        <v>742.5</v>
      </c>
      <c r="J156">
        <v>8.42</v>
      </c>
      <c r="K156">
        <v>6799.5</v>
      </c>
      <c r="L156">
        <v>1299.5</v>
      </c>
      <c r="M156">
        <v>62518.5</v>
      </c>
      <c r="N156">
        <v>5500</v>
      </c>
      <c r="O156">
        <v>19.111699389661005</v>
      </c>
      <c r="P156" t="s">
        <v>2075</v>
      </c>
      <c r="Q156" t="s">
        <v>2092</v>
      </c>
    </row>
    <row r="157" spans="1:17" x14ac:dyDescent="0.25">
      <c r="A157" t="s">
        <v>1517</v>
      </c>
      <c r="B157" s="18">
        <v>45686</v>
      </c>
      <c r="C157" t="s">
        <v>2030</v>
      </c>
      <c r="D157" t="s">
        <v>2050</v>
      </c>
      <c r="E157" t="s">
        <v>2058</v>
      </c>
      <c r="F157" t="s">
        <v>2060</v>
      </c>
      <c r="G157">
        <v>8</v>
      </c>
      <c r="H157">
        <v>1800</v>
      </c>
      <c r="I157">
        <v>2124</v>
      </c>
      <c r="J157">
        <v>10.64</v>
      </c>
      <c r="K157">
        <v>15183.34</v>
      </c>
      <c r="L157">
        <v>783.34</v>
      </c>
      <c r="M157">
        <v>180794.88</v>
      </c>
      <c r="N157">
        <v>14400</v>
      </c>
      <c r="O157">
        <v>5.1592073944204637</v>
      </c>
      <c r="P157" t="s">
        <v>2075</v>
      </c>
      <c r="Q157" t="s">
        <v>2091</v>
      </c>
    </row>
    <row r="158" spans="1:17" x14ac:dyDescent="0.25">
      <c r="A158" t="s">
        <v>2004</v>
      </c>
      <c r="B158" s="18">
        <v>45686</v>
      </c>
      <c r="C158" t="s">
        <v>2022</v>
      </c>
      <c r="D158" t="s">
        <v>2042</v>
      </c>
      <c r="E158" t="s">
        <v>2053</v>
      </c>
      <c r="F158" t="s">
        <v>2060</v>
      </c>
      <c r="G158">
        <v>8</v>
      </c>
      <c r="H158">
        <v>8500</v>
      </c>
      <c r="I158">
        <v>9520</v>
      </c>
      <c r="J158">
        <v>4</v>
      </c>
      <c r="K158">
        <v>73113.600000000006</v>
      </c>
      <c r="L158">
        <v>5113.6000000000004</v>
      </c>
      <c r="M158">
        <v>304640</v>
      </c>
      <c r="N158">
        <v>68000</v>
      </c>
      <c r="O158">
        <v>6.9940476190476195</v>
      </c>
      <c r="P158" t="s">
        <v>2075</v>
      </c>
      <c r="Q158" t="s">
        <v>2091</v>
      </c>
    </row>
    <row r="159" spans="1:17" x14ac:dyDescent="0.25">
      <c r="A159" t="s">
        <v>32</v>
      </c>
      <c r="B159" s="18">
        <v>45687</v>
      </c>
      <c r="C159" t="s">
        <v>2025</v>
      </c>
      <c r="D159" t="s">
        <v>2045</v>
      </c>
      <c r="E159" t="s">
        <v>2057</v>
      </c>
      <c r="F159" t="s">
        <v>2062</v>
      </c>
      <c r="G159">
        <v>2</v>
      </c>
      <c r="H159">
        <v>45</v>
      </c>
      <c r="I159">
        <v>63</v>
      </c>
      <c r="J159">
        <v>4.42</v>
      </c>
      <c r="K159">
        <v>120.43</v>
      </c>
      <c r="L159">
        <v>30.43</v>
      </c>
      <c r="M159">
        <v>556.91999999999996</v>
      </c>
      <c r="N159">
        <v>90</v>
      </c>
      <c r="O159">
        <v>25.267790417670017</v>
      </c>
      <c r="P159" t="s">
        <v>2075</v>
      </c>
      <c r="Q159" t="s">
        <v>2092</v>
      </c>
    </row>
    <row r="160" spans="1:17" x14ac:dyDescent="0.25">
      <c r="A160" t="s">
        <v>371</v>
      </c>
      <c r="B160" s="18">
        <v>45687</v>
      </c>
      <c r="C160" t="s">
        <v>2025</v>
      </c>
      <c r="D160" t="s">
        <v>2045</v>
      </c>
      <c r="E160" t="s">
        <v>2057</v>
      </c>
      <c r="F160" t="s">
        <v>2059</v>
      </c>
      <c r="G160">
        <v>3</v>
      </c>
      <c r="H160">
        <v>45</v>
      </c>
      <c r="I160">
        <v>63</v>
      </c>
      <c r="J160">
        <v>17.05</v>
      </c>
      <c r="K160">
        <v>156.77000000000001</v>
      </c>
      <c r="L160">
        <v>21.77</v>
      </c>
      <c r="M160">
        <v>3222.4500000000003</v>
      </c>
      <c r="N160">
        <v>135</v>
      </c>
      <c r="O160">
        <v>13.886585443643554</v>
      </c>
      <c r="P160" t="s">
        <v>2075</v>
      </c>
      <c r="Q160" t="s">
        <v>2092</v>
      </c>
    </row>
    <row r="161" spans="1:17" x14ac:dyDescent="0.25">
      <c r="A161" t="s">
        <v>460</v>
      </c>
      <c r="B161" s="18">
        <v>45687</v>
      </c>
      <c r="C161" t="s">
        <v>2025</v>
      </c>
      <c r="D161" t="s">
        <v>2045</v>
      </c>
      <c r="E161" t="s">
        <v>2057</v>
      </c>
      <c r="F161" t="s">
        <v>2061</v>
      </c>
      <c r="G161">
        <v>4</v>
      </c>
      <c r="H161">
        <v>45</v>
      </c>
      <c r="I161">
        <v>63</v>
      </c>
      <c r="J161">
        <v>8.56</v>
      </c>
      <c r="K161">
        <v>230.44</v>
      </c>
      <c r="L161">
        <v>50.44</v>
      </c>
      <c r="M161">
        <v>2157.1200000000003</v>
      </c>
      <c r="N161">
        <v>180</v>
      </c>
      <c r="O161">
        <v>21.888561013712895</v>
      </c>
      <c r="P161" t="s">
        <v>2075</v>
      </c>
      <c r="Q161" t="s">
        <v>2092</v>
      </c>
    </row>
    <row r="162" spans="1:17" x14ac:dyDescent="0.25">
      <c r="A162" t="s">
        <v>818</v>
      </c>
      <c r="B162" s="18">
        <v>45687</v>
      </c>
      <c r="C162" t="s">
        <v>2022</v>
      </c>
      <c r="D162" t="s">
        <v>2042</v>
      </c>
      <c r="E162" t="s">
        <v>2053</v>
      </c>
      <c r="F162" t="s">
        <v>2061</v>
      </c>
      <c r="G162">
        <v>4</v>
      </c>
      <c r="H162">
        <v>8500</v>
      </c>
      <c r="I162">
        <v>9520</v>
      </c>
      <c r="J162">
        <v>4</v>
      </c>
      <c r="K162">
        <v>36556.800000000003</v>
      </c>
      <c r="L162">
        <v>2556.8000000000002</v>
      </c>
      <c r="M162">
        <v>152320</v>
      </c>
      <c r="N162">
        <v>34000</v>
      </c>
      <c r="O162">
        <v>6.9940476190476195</v>
      </c>
      <c r="P162" t="s">
        <v>2075</v>
      </c>
      <c r="Q162" t="s">
        <v>2091</v>
      </c>
    </row>
    <row r="163" spans="1:17" x14ac:dyDescent="0.25">
      <c r="A163" t="s">
        <v>1066</v>
      </c>
      <c r="B163" s="18">
        <v>45687</v>
      </c>
      <c r="C163" t="s">
        <v>2023</v>
      </c>
      <c r="D163" t="s">
        <v>2043</v>
      </c>
      <c r="E163" t="s">
        <v>2053</v>
      </c>
      <c r="F163" t="s">
        <v>2062</v>
      </c>
      <c r="G163">
        <v>3</v>
      </c>
      <c r="H163">
        <v>550</v>
      </c>
      <c r="I163">
        <v>742.5</v>
      </c>
      <c r="J163">
        <v>13.06</v>
      </c>
      <c r="K163">
        <v>1936.62</v>
      </c>
      <c r="L163">
        <v>286.62</v>
      </c>
      <c r="M163">
        <v>29091.15</v>
      </c>
      <c r="N163">
        <v>1650</v>
      </c>
      <c r="O163">
        <v>14.800012392725471</v>
      </c>
      <c r="P163" t="s">
        <v>2075</v>
      </c>
      <c r="Q163" t="s">
        <v>2092</v>
      </c>
    </row>
    <row r="164" spans="1:17" x14ac:dyDescent="0.25">
      <c r="A164" t="s">
        <v>1126</v>
      </c>
      <c r="B164" s="18">
        <v>45687</v>
      </c>
      <c r="C164" t="s">
        <v>2017</v>
      </c>
      <c r="D164" t="s">
        <v>2037</v>
      </c>
      <c r="E164" t="s">
        <v>2055</v>
      </c>
      <c r="F164" t="s">
        <v>2059</v>
      </c>
      <c r="G164">
        <v>1</v>
      </c>
      <c r="H164">
        <v>2500</v>
      </c>
      <c r="I164">
        <v>2875</v>
      </c>
      <c r="J164">
        <v>2.54</v>
      </c>
      <c r="K164">
        <v>2802.08</v>
      </c>
      <c r="L164">
        <v>302.08</v>
      </c>
      <c r="M164">
        <v>7302.5</v>
      </c>
      <c r="N164">
        <v>2500</v>
      </c>
      <c r="O164">
        <v>10.780563010335181</v>
      </c>
      <c r="P164" t="s">
        <v>2075</v>
      </c>
      <c r="Q164" t="s">
        <v>2092</v>
      </c>
    </row>
    <row r="165" spans="1:17" x14ac:dyDescent="0.25">
      <c r="A165" t="s">
        <v>1282</v>
      </c>
      <c r="B165" s="18">
        <v>45687</v>
      </c>
      <c r="C165" t="s">
        <v>2020</v>
      </c>
      <c r="D165" t="s">
        <v>2040</v>
      </c>
      <c r="E165" t="s">
        <v>2053</v>
      </c>
      <c r="F165" t="s">
        <v>2061</v>
      </c>
      <c r="G165">
        <v>2</v>
      </c>
      <c r="H165">
        <v>350</v>
      </c>
      <c r="I165">
        <v>455</v>
      </c>
      <c r="J165">
        <v>2.23</v>
      </c>
      <c r="K165">
        <v>889.74</v>
      </c>
      <c r="L165">
        <v>189.74</v>
      </c>
      <c r="M165">
        <v>2029.3</v>
      </c>
      <c r="N165">
        <v>700</v>
      </c>
      <c r="O165">
        <v>21.32533099557174</v>
      </c>
      <c r="P165" t="s">
        <v>2075</v>
      </c>
      <c r="Q165" t="s">
        <v>2092</v>
      </c>
    </row>
    <row r="166" spans="1:17" x14ac:dyDescent="0.25">
      <c r="A166" t="s">
        <v>1370</v>
      </c>
      <c r="B166" s="18">
        <v>45687</v>
      </c>
      <c r="C166" t="s">
        <v>2021</v>
      </c>
      <c r="D166" t="s">
        <v>2041</v>
      </c>
      <c r="E166" t="s">
        <v>2056</v>
      </c>
      <c r="F166" t="s">
        <v>2062</v>
      </c>
      <c r="G166">
        <v>6</v>
      </c>
      <c r="H166">
        <v>300</v>
      </c>
      <c r="I166">
        <v>405</v>
      </c>
      <c r="J166">
        <v>6</v>
      </c>
      <c r="K166">
        <v>2284.19</v>
      </c>
      <c r="L166">
        <v>484.19</v>
      </c>
      <c r="M166">
        <v>14580</v>
      </c>
      <c r="N166">
        <v>1800</v>
      </c>
      <c r="O166">
        <v>21.19744854850078</v>
      </c>
      <c r="P166" t="s">
        <v>2075</v>
      </c>
      <c r="Q166" t="s">
        <v>2092</v>
      </c>
    </row>
    <row r="167" spans="1:17" x14ac:dyDescent="0.25">
      <c r="A167" t="s">
        <v>1851</v>
      </c>
      <c r="B167" s="18">
        <v>45687</v>
      </c>
      <c r="C167" t="s">
        <v>2019</v>
      </c>
      <c r="D167" t="s">
        <v>2039</v>
      </c>
      <c r="E167" t="s">
        <v>2053</v>
      </c>
      <c r="F167" t="s">
        <v>2061</v>
      </c>
      <c r="G167">
        <v>10</v>
      </c>
      <c r="H167">
        <v>900</v>
      </c>
      <c r="I167">
        <v>1152</v>
      </c>
      <c r="J167">
        <v>0.76</v>
      </c>
      <c r="K167">
        <v>11432.14</v>
      </c>
      <c r="L167">
        <v>2432.14</v>
      </c>
      <c r="M167">
        <v>8755.2000000000007</v>
      </c>
      <c r="N167">
        <v>9000</v>
      </c>
      <c r="O167">
        <v>21.274582011766828</v>
      </c>
      <c r="P167" t="s">
        <v>2075</v>
      </c>
      <c r="Q167" t="s">
        <v>2092</v>
      </c>
    </row>
    <row r="168" spans="1:17" x14ac:dyDescent="0.25">
      <c r="A168" t="s">
        <v>127</v>
      </c>
      <c r="B168" s="18">
        <v>45688</v>
      </c>
      <c r="C168" t="s">
        <v>2014</v>
      </c>
      <c r="D168" t="s">
        <v>2034</v>
      </c>
      <c r="E168" t="s">
        <v>2052</v>
      </c>
      <c r="F168" t="s">
        <v>2061</v>
      </c>
      <c r="G168">
        <v>7</v>
      </c>
      <c r="H168">
        <v>4500</v>
      </c>
      <c r="I168">
        <v>5220</v>
      </c>
      <c r="J168">
        <v>17.16</v>
      </c>
      <c r="K168">
        <v>30271.5</v>
      </c>
      <c r="L168">
        <v>-1228.5</v>
      </c>
      <c r="M168">
        <v>627026.4</v>
      </c>
      <c r="N168">
        <v>31500</v>
      </c>
      <c r="O168">
        <v>-4.0582726326742975</v>
      </c>
      <c r="P168" t="s">
        <v>2075</v>
      </c>
      <c r="Q168" t="s">
        <v>2093</v>
      </c>
    </row>
    <row r="169" spans="1:17" x14ac:dyDescent="0.25">
      <c r="A169" t="s">
        <v>539</v>
      </c>
      <c r="B169" s="18">
        <v>45688</v>
      </c>
      <c r="C169" t="s">
        <v>2018</v>
      </c>
      <c r="D169" t="s">
        <v>2038</v>
      </c>
      <c r="E169" t="s">
        <v>2053</v>
      </c>
      <c r="F169" t="s">
        <v>2061</v>
      </c>
      <c r="G169">
        <v>8</v>
      </c>
      <c r="H169">
        <v>500</v>
      </c>
      <c r="I169">
        <v>610</v>
      </c>
      <c r="J169">
        <v>8.33</v>
      </c>
      <c r="K169">
        <v>4473.2700000000004</v>
      </c>
      <c r="L169">
        <v>473.27</v>
      </c>
      <c r="M169">
        <v>40650.400000000001</v>
      </c>
      <c r="N169">
        <v>4000</v>
      </c>
      <c r="O169">
        <v>10.579956050048397</v>
      </c>
      <c r="P169" t="s">
        <v>2075</v>
      </c>
      <c r="Q169" t="s">
        <v>2092</v>
      </c>
    </row>
    <row r="170" spans="1:17" x14ac:dyDescent="0.25">
      <c r="A170" t="s">
        <v>1107</v>
      </c>
      <c r="B170" s="18">
        <v>45688</v>
      </c>
      <c r="C170" t="s">
        <v>2025</v>
      </c>
      <c r="D170" t="s">
        <v>2045</v>
      </c>
      <c r="E170" t="s">
        <v>2057</v>
      </c>
      <c r="F170" t="s">
        <v>2062</v>
      </c>
      <c r="G170">
        <v>7</v>
      </c>
      <c r="H170">
        <v>45</v>
      </c>
      <c r="I170">
        <v>63</v>
      </c>
      <c r="J170">
        <v>8.18</v>
      </c>
      <c r="K170">
        <v>404.94</v>
      </c>
      <c r="L170">
        <v>89.94</v>
      </c>
      <c r="M170">
        <v>3607.3799999999997</v>
      </c>
      <c r="N170">
        <v>315</v>
      </c>
      <c r="O170">
        <v>22.210697881167579</v>
      </c>
      <c r="P170" t="s">
        <v>2075</v>
      </c>
      <c r="Q170" t="s">
        <v>2092</v>
      </c>
    </row>
    <row r="171" spans="1:17" x14ac:dyDescent="0.25">
      <c r="A171" t="s">
        <v>1354</v>
      </c>
      <c r="B171" s="18">
        <v>45688</v>
      </c>
      <c r="C171" t="s">
        <v>2019</v>
      </c>
      <c r="D171" t="s">
        <v>2039</v>
      </c>
      <c r="E171" t="s">
        <v>2053</v>
      </c>
      <c r="F171" t="s">
        <v>2061</v>
      </c>
      <c r="G171">
        <v>4</v>
      </c>
      <c r="H171">
        <v>900</v>
      </c>
      <c r="I171">
        <v>1152</v>
      </c>
      <c r="J171">
        <v>18.09</v>
      </c>
      <c r="K171">
        <v>3774.47</v>
      </c>
      <c r="L171">
        <v>174.47</v>
      </c>
      <c r="M171">
        <v>83358.720000000001</v>
      </c>
      <c r="N171">
        <v>3600</v>
      </c>
      <c r="O171">
        <v>4.6223708229234832</v>
      </c>
      <c r="P171" t="s">
        <v>2075</v>
      </c>
      <c r="Q171" t="s">
        <v>2091</v>
      </c>
    </row>
    <row r="172" spans="1:17" x14ac:dyDescent="0.25">
      <c r="A172" t="s">
        <v>1461</v>
      </c>
      <c r="B172" s="18">
        <v>45688</v>
      </c>
      <c r="C172" t="s">
        <v>2029</v>
      </c>
      <c r="D172" t="s">
        <v>2049</v>
      </c>
      <c r="E172" t="s">
        <v>2055</v>
      </c>
      <c r="F172" t="s">
        <v>2062</v>
      </c>
      <c r="G172">
        <v>9</v>
      </c>
      <c r="H172">
        <v>1200</v>
      </c>
      <c r="I172">
        <v>1464</v>
      </c>
      <c r="J172">
        <v>11.91</v>
      </c>
      <c r="K172">
        <v>11606.68</v>
      </c>
      <c r="L172">
        <v>806.68</v>
      </c>
      <c r="M172">
        <v>156926.16</v>
      </c>
      <c r="N172">
        <v>10800</v>
      </c>
      <c r="O172">
        <v>6.9501356115616169</v>
      </c>
      <c r="P172" t="s">
        <v>2075</v>
      </c>
      <c r="Q172" t="s">
        <v>2091</v>
      </c>
    </row>
    <row r="173" spans="1:17" x14ac:dyDescent="0.25">
      <c r="A173" t="s">
        <v>326</v>
      </c>
      <c r="B173" s="18">
        <v>45689</v>
      </c>
      <c r="C173" t="s">
        <v>2026</v>
      </c>
      <c r="D173" t="s">
        <v>2046</v>
      </c>
      <c r="E173" t="s">
        <v>2052</v>
      </c>
      <c r="F173" t="s">
        <v>2062</v>
      </c>
      <c r="G173">
        <v>5</v>
      </c>
      <c r="H173">
        <v>3000</v>
      </c>
      <c r="I173">
        <v>3600</v>
      </c>
      <c r="J173">
        <v>11.12</v>
      </c>
      <c r="K173">
        <v>15998.94</v>
      </c>
      <c r="L173">
        <v>998.94</v>
      </c>
      <c r="M173">
        <v>200160</v>
      </c>
      <c r="N173">
        <v>15000</v>
      </c>
      <c r="O173">
        <v>6.2437886509981286</v>
      </c>
      <c r="P173" t="s">
        <v>2076</v>
      </c>
      <c r="Q173" t="s">
        <v>2091</v>
      </c>
    </row>
    <row r="174" spans="1:17" x14ac:dyDescent="0.25">
      <c r="A174" t="s">
        <v>640</v>
      </c>
      <c r="B174" s="18">
        <v>45689</v>
      </c>
      <c r="C174" t="s">
        <v>2017</v>
      </c>
      <c r="D174" t="s">
        <v>2037</v>
      </c>
      <c r="E174" t="s">
        <v>2055</v>
      </c>
      <c r="F174" t="s">
        <v>2062</v>
      </c>
      <c r="G174">
        <v>8</v>
      </c>
      <c r="H174">
        <v>2500</v>
      </c>
      <c r="I174">
        <v>2875</v>
      </c>
      <c r="J174">
        <v>4</v>
      </c>
      <c r="K174">
        <v>22079.21</v>
      </c>
      <c r="L174">
        <v>2079.21</v>
      </c>
      <c r="M174">
        <v>92000</v>
      </c>
      <c r="N174">
        <v>20000</v>
      </c>
      <c r="O174">
        <v>9.41704888897746</v>
      </c>
      <c r="P174" t="s">
        <v>2076</v>
      </c>
      <c r="Q174" t="s">
        <v>2091</v>
      </c>
    </row>
    <row r="175" spans="1:17" x14ac:dyDescent="0.25">
      <c r="A175" t="s">
        <v>706</v>
      </c>
      <c r="B175" s="18">
        <v>45689</v>
      </c>
      <c r="C175" t="s">
        <v>2014</v>
      </c>
      <c r="D175" t="s">
        <v>2034</v>
      </c>
      <c r="E175" t="s">
        <v>2052</v>
      </c>
      <c r="F175" t="s">
        <v>2061</v>
      </c>
      <c r="G175">
        <v>5</v>
      </c>
      <c r="H175">
        <v>4500</v>
      </c>
      <c r="I175">
        <v>5220</v>
      </c>
      <c r="J175">
        <v>22.18</v>
      </c>
      <c r="K175">
        <v>20310.52</v>
      </c>
      <c r="L175">
        <v>-2189.48</v>
      </c>
      <c r="M175">
        <v>578898</v>
      </c>
      <c r="N175">
        <v>22500</v>
      </c>
      <c r="O175">
        <v>-10.780029265621954</v>
      </c>
      <c r="P175" t="s">
        <v>2076</v>
      </c>
      <c r="Q175" t="s">
        <v>2093</v>
      </c>
    </row>
    <row r="176" spans="1:17" x14ac:dyDescent="0.25">
      <c r="A176" t="s">
        <v>1358</v>
      </c>
      <c r="B176" s="18">
        <v>45689</v>
      </c>
      <c r="C176" t="s">
        <v>2014</v>
      </c>
      <c r="D176" t="s">
        <v>2034</v>
      </c>
      <c r="E176" t="s">
        <v>2052</v>
      </c>
      <c r="F176" t="s">
        <v>2059</v>
      </c>
      <c r="G176">
        <v>6</v>
      </c>
      <c r="H176">
        <v>4500</v>
      </c>
      <c r="I176">
        <v>5220</v>
      </c>
      <c r="J176">
        <v>26.12</v>
      </c>
      <c r="K176">
        <v>23138.13</v>
      </c>
      <c r="L176">
        <v>-3861.87</v>
      </c>
      <c r="M176">
        <v>818078.4</v>
      </c>
      <c r="N176">
        <v>27000</v>
      </c>
      <c r="O176">
        <v>-16.690501782123274</v>
      </c>
      <c r="P176" t="s">
        <v>2076</v>
      </c>
      <c r="Q176" t="s">
        <v>2093</v>
      </c>
    </row>
    <row r="177" spans="1:17" x14ac:dyDescent="0.25">
      <c r="A177" t="s">
        <v>1871</v>
      </c>
      <c r="B177" s="18">
        <v>45689</v>
      </c>
      <c r="C177" t="s">
        <v>2015</v>
      </c>
      <c r="D177" t="s">
        <v>2035</v>
      </c>
      <c r="E177" t="s">
        <v>2054</v>
      </c>
      <c r="F177" t="s">
        <v>2060</v>
      </c>
      <c r="G177">
        <v>8</v>
      </c>
      <c r="H177">
        <v>900</v>
      </c>
      <c r="I177">
        <v>1170</v>
      </c>
      <c r="J177">
        <v>9.02</v>
      </c>
      <c r="K177">
        <v>8515.36</v>
      </c>
      <c r="L177">
        <v>1315.36</v>
      </c>
      <c r="M177">
        <v>84427.199999999997</v>
      </c>
      <c r="N177">
        <v>7200</v>
      </c>
      <c r="O177">
        <v>15.44691005430187</v>
      </c>
      <c r="P177" t="s">
        <v>2076</v>
      </c>
      <c r="Q177" t="s">
        <v>2092</v>
      </c>
    </row>
    <row r="178" spans="1:17" x14ac:dyDescent="0.25">
      <c r="A178" t="s">
        <v>1927</v>
      </c>
      <c r="B178" s="18">
        <v>45689</v>
      </c>
      <c r="C178" t="s">
        <v>2026</v>
      </c>
      <c r="D178" t="s">
        <v>2046</v>
      </c>
      <c r="E178" t="s">
        <v>2052</v>
      </c>
      <c r="F178" t="s">
        <v>2059</v>
      </c>
      <c r="G178">
        <v>1</v>
      </c>
      <c r="H178">
        <v>3000</v>
      </c>
      <c r="I178">
        <v>3600</v>
      </c>
      <c r="J178">
        <v>18.829999999999998</v>
      </c>
      <c r="K178">
        <v>2922.26</v>
      </c>
      <c r="L178">
        <v>-77.739999999999995</v>
      </c>
      <c r="M178">
        <v>67788</v>
      </c>
      <c r="N178">
        <v>3000</v>
      </c>
      <c r="O178">
        <v>-2.6602697911890112</v>
      </c>
      <c r="P178" t="s">
        <v>2076</v>
      </c>
      <c r="Q178" t="s">
        <v>2093</v>
      </c>
    </row>
    <row r="179" spans="1:17" x14ac:dyDescent="0.25">
      <c r="A179" t="s">
        <v>1543</v>
      </c>
      <c r="B179" s="18">
        <v>45690</v>
      </c>
      <c r="C179" t="s">
        <v>2031</v>
      </c>
      <c r="D179" t="s">
        <v>2051</v>
      </c>
      <c r="E179" t="s">
        <v>2058</v>
      </c>
      <c r="F179" t="s">
        <v>2061</v>
      </c>
      <c r="G179">
        <v>10</v>
      </c>
      <c r="H179">
        <v>3200</v>
      </c>
      <c r="I179">
        <v>3840</v>
      </c>
      <c r="J179">
        <v>18.5</v>
      </c>
      <c r="K179">
        <v>31297.74</v>
      </c>
      <c r="L179">
        <v>-702.26</v>
      </c>
      <c r="M179">
        <v>710400</v>
      </c>
      <c r="N179">
        <v>32000</v>
      </c>
      <c r="O179">
        <v>-2.2438041852223192</v>
      </c>
      <c r="P179" t="s">
        <v>2076</v>
      </c>
      <c r="Q179" t="s">
        <v>2093</v>
      </c>
    </row>
    <row r="180" spans="1:17" x14ac:dyDescent="0.25">
      <c r="A180" t="s">
        <v>1985</v>
      </c>
      <c r="B180" s="18">
        <v>45690</v>
      </c>
      <c r="C180" t="s">
        <v>2028</v>
      </c>
      <c r="D180" t="s">
        <v>2048</v>
      </c>
      <c r="E180" t="s">
        <v>2057</v>
      </c>
      <c r="F180" t="s">
        <v>2062</v>
      </c>
      <c r="G180">
        <v>4</v>
      </c>
      <c r="H180">
        <v>80</v>
      </c>
      <c r="I180">
        <v>116</v>
      </c>
      <c r="J180">
        <v>4.42</v>
      </c>
      <c r="K180">
        <v>443.49</v>
      </c>
      <c r="L180">
        <v>123.49</v>
      </c>
      <c r="M180">
        <v>2050.88</v>
      </c>
      <c r="N180">
        <v>320</v>
      </c>
      <c r="O180">
        <v>27.845047238945636</v>
      </c>
      <c r="P180" t="s">
        <v>2076</v>
      </c>
      <c r="Q180" t="s">
        <v>2092</v>
      </c>
    </row>
    <row r="181" spans="1:17" x14ac:dyDescent="0.25">
      <c r="A181" t="s">
        <v>210</v>
      </c>
      <c r="B181" s="18">
        <v>45691</v>
      </c>
      <c r="C181" t="s">
        <v>2018</v>
      </c>
      <c r="D181" t="s">
        <v>2038</v>
      </c>
      <c r="E181" t="s">
        <v>2053</v>
      </c>
      <c r="F181" t="s">
        <v>2060</v>
      </c>
      <c r="G181">
        <v>5</v>
      </c>
      <c r="H181">
        <v>500</v>
      </c>
      <c r="I181">
        <v>610</v>
      </c>
      <c r="J181">
        <v>5.78</v>
      </c>
      <c r="K181">
        <v>2873.67</v>
      </c>
      <c r="L181">
        <v>373.67</v>
      </c>
      <c r="M181">
        <v>17629</v>
      </c>
      <c r="N181">
        <v>2500</v>
      </c>
      <c r="O181">
        <v>13.003232799869158</v>
      </c>
      <c r="P181" t="s">
        <v>2076</v>
      </c>
      <c r="Q181" t="s">
        <v>2092</v>
      </c>
    </row>
    <row r="182" spans="1:17" x14ac:dyDescent="0.25">
      <c r="A182" t="s">
        <v>754</v>
      </c>
      <c r="B182" s="18">
        <v>45691</v>
      </c>
      <c r="C182" t="s">
        <v>2014</v>
      </c>
      <c r="D182" t="s">
        <v>2034</v>
      </c>
      <c r="E182" t="s">
        <v>2052</v>
      </c>
      <c r="F182" t="s">
        <v>2061</v>
      </c>
      <c r="G182">
        <v>7</v>
      </c>
      <c r="H182">
        <v>4500</v>
      </c>
      <c r="I182">
        <v>5220</v>
      </c>
      <c r="J182">
        <v>12.74</v>
      </c>
      <c r="K182">
        <v>31885.13</v>
      </c>
      <c r="L182">
        <v>385.13</v>
      </c>
      <c r="M182">
        <v>465519.60000000003</v>
      </c>
      <c r="N182">
        <v>31500</v>
      </c>
      <c r="O182">
        <v>1.2078671154861216</v>
      </c>
      <c r="P182" t="s">
        <v>2076</v>
      </c>
      <c r="Q182" t="s">
        <v>2091</v>
      </c>
    </row>
    <row r="183" spans="1:17" x14ac:dyDescent="0.25">
      <c r="A183" t="s">
        <v>1730</v>
      </c>
      <c r="B183" s="18">
        <v>45691</v>
      </c>
      <c r="C183" t="s">
        <v>2021</v>
      </c>
      <c r="D183" t="s">
        <v>2041</v>
      </c>
      <c r="E183" t="s">
        <v>2056</v>
      </c>
      <c r="F183" t="s">
        <v>2061</v>
      </c>
      <c r="G183">
        <v>5</v>
      </c>
      <c r="H183">
        <v>300</v>
      </c>
      <c r="I183">
        <v>405</v>
      </c>
      <c r="J183">
        <v>3.81</v>
      </c>
      <c r="K183">
        <v>1947.77</v>
      </c>
      <c r="L183">
        <v>447.77</v>
      </c>
      <c r="M183">
        <v>7715.25</v>
      </c>
      <c r="N183">
        <v>1500</v>
      </c>
      <c r="O183">
        <v>22.98885392012404</v>
      </c>
      <c r="P183" t="s">
        <v>2076</v>
      </c>
      <c r="Q183" t="s">
        <v>2092</v>
      </c>
    </row>
    <row r="184" spans="1:17" x14ac:dyDescent="0.25">
      <c r="A184" t="s">
        <v>511</v>
      </c>
      <c r="B184" s="18">
        <v>45692</v>
      </c>
      <c r="C184" t="s">
        <v>2029</v>
      </c>
      <c r="D184" t="s">
        <v>2049</v>
      </c>
      <c r="E184" t="s">
        <v>2055</v>
      </c>
      <c r="F184" t="s">
        <v>2059</v>
      </c>
      <c r="G184">
        <v>5</v>
      </c>
      <c r="H184">
        <v>1200</v>
      </c>
      <c r="I184">
        <v>1464</v>
      </c>
      <c r="J184">
        <v>1.07</v>
      </c>
      <c r="K184">
        <v>7241.72</v>
      </c>
      <c r="L184">
        <v>1241.72</v>
      </c>
      <c r="M184">
        <v>7832.4000000000005</v>
      </c>
      <c r="N184">
        <v>6000</v>
      </c>
      <c r="O184">
        <v>17.146755190755787</v>
      </c>
      <c r="P184" t="s">
        <v>2076</v>
      </c>
      <c r="Q184" t="s">
        <v>2092</v>
      </c>
    </row>
    <row r="185" spans="1:17" x14ac:dyDescent="0.25">
      <c r="A185" t="s">
        <v>816</v>
      </c>
      <c r="B185" s="18">
        <v>45692</v>
      </c>
      <c r="C185" t="s">
        <v>2022</v>
      </c>
      <c r="D185" t="s">
        <v>2042</v>
      </c>
      <c r="E185" t="s">
        <v>2053</v>
      </c>
      <c r="F185" t="s">
        <v>2062</v>
      </c>
      <c r="G185">
        <v>10</v>
      </c>
      <c r="H185">
        <v>8500</v>
      </c>
      <c r="I185">
        <v>9520</v>
      </c>
      <c r="J185">
        <v>17.16</v>
      </c>
      <c r="K185">
        <v>78859.509999999995</v>
      </c>
      <c r="L185">
        <v>-6140.49</v>
      </c>
      <c r="M185">
        <v>1633632</v>
      </c>
      <c r="N185">
        <v>85000</v>
      </c>
      <c r="O185">
        <v>-7.7866195212219811</v>
      </c>
      <c r="P185" t="s">
        <v>2076</v>
      </c>
      <c r="Q185" t="s">
        <v>2093</v>
      </c>
    </row>
    <row r="186" spans="1:17" x14ac:dyDescent="0.25">
      <c r="A186" t="s">
        <v>874</v>
      </c>
      <c r="B186" s="18">
        <v>45692</v>
      </c>
      <c r="C186" t="s">
        <v>2020</v>
      </c>
      <c r="D186" t="s">
        <v>2040</v>
      </c>
      <c r="E186" t="s">
        <v>2053</v>
      </c>
      <c r="F186" t="s">
        <v>2061</v>
      </c>
      <c r="G186">
        <v>7</v>
      </c>
      <c r="H186">
        <v>350</v>
      </c>
      <c r="I186">
        <v>455</v>
      </c>
      <c r="J186">
        <v>7.39</v>
      </c>
      <c r="K186">
        <v>2949.55</v>
      </c>
      <c r="L186">
        <v>499.55</v>
      </c>
      <c r="M186">
        <v>23537.149999999998</v>
      </c>
      <c r="N186">
        <v>2450</v>
      </c>
      <c r="O186">
        <v>16.936481836212302</v>
      </c>
      <c r="P186" t="s">
        <v>2076</v>
      </c>
      <c r="Q186" t="s">
        <v>2092</v>
      </c>
    </row>
    <row r="187" spans="1:17" x14ac:dyDescent="0.25">
      <c r="A187" t="s">
        <v>887</v>
      </c>
      <c r="B187" s="18">
        <v>45692</v>
      </c>
      <c r="C187" t="s">
        <v>2027</v>
      </c>
      <c r="D187" t="s">
        <v>2047</v>
      </c>
      <c r="E187" t="s">
        <v>2053</v>
      </c>
      <c r="F187" t="s">
        <v>2059</v>
      </c>
      <c r="G187">
        <v>6</v>
      </c>
      <c r="H187">
        <v>1100</v>
      </c>
      <c r="I187">
        <v>1298</v>
      </c>
      <c r="J187">
        <v>4.75</v>
      </c>
      <c r="K187">
        <v>7417.95</v>
      </c>
      <c r="L187">
        <v>817.95</v>
      </c>
      <c r="M187">
        <v>36993</v>
      </c>
      <c r="N187">
        <v>6600</v>
      </c>
      <c r="O187">
        <v>11.026631346935476</v>
      </c>
      <c r="P187" t="s">
        <v>2076</v>
      </c>
      <c r="Q187" t="s">
        <v>2092</v>
      </c>
    </row>
    <row r="188" spans="1:17" x14ac:dyDescent="0.25">
      <c r="A188" t="s">
        <v>1133</v>
      </c>
      <c r="B188" s="18">
        <v>45692</v>
      </c>
      <c r="C188" t="s">
        <v>2012</v>
      </c>
      <c r="D188" t="s">
        <v>2032</v>
      </c>
      <c r="E188" t="s">
        <v>2052</v>
      </c>
      <c r="F188" t="s">
        <v>2062</v>
      </c>
      <c r="G188">
        <v>9</v>
      </c>
      <c r="H188">
        <v>6500</v>
      </c>
      <c r="I188">
        <v>8125</v>
      </c>
      <c r="J188">
        <v>11.91</v>
      </c>
      <c r="K188">
        <v>64417.09</v>
      </c>
      <c r="L188">
        <v>5917.09</v>
      </c>
      <c r="M188">
        <v>870918.75</v>
      </c>
      <c r="N188">
        <v>58500</v>
      </c>
      <c r="O188">
        <v>9.1855903456675865</v>
      </c>
      <c r="P188" t="s">
        <v>2076</v>
      </c>
      <c r="Q188" t="s">
        <v>2091</v>
      </c>
    </row>
    <row r="189" spans="1:17" x14ac:dyDescent="0.25">
      <c r="A189" t="s">
        <v>1270</v>
      </c>
      <c r="B189" s="18">
        <v>45692</v>
      </c>
      <c r="C189" t="s">
        <v>2024</v>
      </c>
      <c r="D189" t="s">
        <v>2044</v>
      </c>
      <c r="E189" t="s">
        <v>2055</v>
      </c>
      <c r="F189" t="s">
        <v>2059</v>
      </c>
      <c r="G189">
        <v>6</v>
      </c>
      <c r="H189">
        <v>180</v>
      </c>
      <c r="I189">
        <v>243</v>
      </c>
      <c r="J189">
        <v>3.56</v>
      </c>
      <c r="K189">
        <v>1406.05</v>
      </c>
      <c r="L189">
        <v>326.05</v>
      </c>
      <c r="M189">
        <v>5190.4800000000005</v>
      </c>
      <c r="N189">
        <v>1080</v>
      </c>
      <c r="O189">
        <v>23.189075779666442</v>
      </c>
      <c r="P189" t="s">
        <v>2076</v>
      </c>
      <c r="Q189" t="s">
        <v>2092</v>
      </c>
    </row>
    <row r="190" spans="1:17" x14ac:dyDescent="0.25">
      <c r="A190" t="s">
        <v>1300</v>
      </c>
      <c r="B190" s="18">
        <v>45692</v>
      </c>
      <c r="C190" t="s">
        <v>2024</v>
      </c>
      <c r="D190" t="s">
        <v>2044</v>
      </c>
      <c r="E190" t="s">
        <v>2055</v>
      </c>
      <c r="F190" t="s">
        <v>2061</v>
      </c>
      <c r="G190">
        <v>2</v>
      </c>
      <c r="H190">
        <v>180</v>
      </c>
      <c r="I190">
        <v>243</v>
      </c>
      <c r="J190">
        <v>4</v>
      </c>
      <c r="K190">
        <v>466.58</v>
      </c>
      <c r="L190">
        <v>106.58</v>
      </c>
      <c r="M190">
        <v>1944</v>
      </c>
      <c r="N190">
        <v>360</v>
      </c>
      <c r="O190">
        <v>22.842813665395003</v>
      </c>
      <c r="P190" t="s">
        <v>2076</v>
      </c>
      <c r="Q190" t="s">
        <v>2092</v>
      </c>
    </row>
    <row r="191" spans="1:17" x14ac:dyDescent="0.25">
      <c r="A191" t="s">
        <v>17</v>
      </c>
      <c r="B191" s="18">
        <v>45693</v>
      </c>
      <c r="C191" t="s">
        <v>2012</v>
      </c>
      <c r="D191" t="s">
        <v>2032</v>
      </c>
      <c r="E191" t="s">
        <v>2052</v>
      </c>
      <c r="F191" t="s">
        <v>2060</v>
      </c>
      <c r="G191">
        <v>5</v>
      </c>
      <c r="H191">
        <v>6500</v>
      </c>
      <c r="I191">
        <v>8125</v>
      </c>
      <c r="J191">
        <v>4</v>
      </c>
      <c r="K191">
        <v>39000</v>
      </c>
      <c r="L191">
        <v>6500</v>
      </c>
      <c r="M191">
        <v>162500</v>
      </c>
      <c r="N191">
        <v>32500</v>
      </c>
      <c r="O191">
        <v>16.666666666666664</v>
      </c>
      <c r="P191" t="s">
        <v>2076</v>
      </c>
      <c r="Q191" t="s">
        <v>2092</v>
      </c>
    </row>
    <row r="192" spans="1:17" x14ac:dyDescent="0.25">
      <c r="A192" t="s">
        <v>542</v>
      </c>
      <c r="B192" s="18">
        <v>45693</v>
      </c>
      <c r="C192" t="s">
        <v>2017</v>
      </c>
      <c r="D192" t="s">
        <v>2037</v>
      </c>
      <c r="E192" t="s">
        <v>2055</v>
      </c>
      <c r="F192" t="s">
        <v>2061</v>
      </c>
      <c r="G192">
        <v>5</v>
      </c>
      <c r="H192">
        <v>2500</v>
      </c>
      <c r="I192">
        <v>2875</v>
      </c>
      <c r="J192">
        <v>17.96</v>
      </c>
      <c r="K192">
        <v>11792.58</v>
      </c>
      <c r="L192">
        <v>-707.42</v>
      </c>
      <c r="M192">
        <v>258175</v>
      </c>
      <c r="N192">
        <v>12500</v>
      </c>
      <c r="O192">
        <v>-5.9988569083270997</v>
      </c>
      <c r="P192" t="s">
        <v>2076</v>
      </c>
      <c r="Q192" t="s">
        <v>2093</v>
      </c>
    </row>
    <row r="193" spans="1:17" x14ac:dyDescent="0.25">
      <c r="A193" t="s">
        <v>1705</v>
      </c>
      <c r="B193" s="18">
        <v>45693</v>
      </c>
      <c r="C193" t="s">
        <v>2015</v>
      </c>
      <c r="D193" t="s">
        <v>2035</v>
      </c>
      <c r="E193" t="s">
        <v>2054</v>
      </c>
      <c r="F193" t="s">
        <v>2061</v>
      </c>
      <c r="G193">
        <v>7</v>
      </c>
      <c r="H193">
        <v>900</v>
      </c>
      <c r="I193">
        <v>1170</v>
      </c>
      <c r="J193">
        <v>5.0199999999999996</v>
      </c>
      <c r="K193">
        <v>7779.07</v>
      </c>
      <c r="L193">
        <v>1479.07</v>
      </c>
      <c r="M193">
        <v>41113.799999999996</v>
      </c>
      <c r="N193">
        <v>6300</v>
      </c>
      <c r="O193">
        <v>19.013455335920618</v>
      </c>
      <c r="P193" t="s">
        <v>2076</v>
      </c>
      <c r="Q193" t="s">
        <v>2092</v>
      </c>
    </row>
    <row r="194" spans="1:17" x14ac:dyDescent="0.25">
      <c r="A194" t="s">
        <v>966</v>
      </c>
      <c r="B194" s="18">
        <v>45694</v>
      </c>
      <c r="C194" t="s">
        <v>2030</v>
      </c>
      <c r="D194" t="s">
        <v>2050</v>
      </c>
      <c r="E194" t="s">
        <v>2058</v>
      </c>
      <c r="F194" t="s">
        <v>2061</v>
      </c>
      <c r="G194">
        <v>6</v>
      </c>
      <c r="H194">
        <v>1800</v>
      </c>
      <c r="I194">
        <v>2124</v>
      </c>
      <c r="J194">
        <v>18.82</v>
      </c>
      <c r="K194">
        <v>10345.19</v>
      </c>
      <c r="L194">
        <v>-454.81</v>
      </c>
      <c r="M194">
        <v>239842.08000000002</v>
      </c>
      <c r="N194">
        <v>10800</v>
      </c>
      <c r="O194">
        <v>-4.3963426481292274</v>
      </c>
      <c r="P194" t="s">
        <v>2076</v>
      </c>
      <c r="Q194" t="s">
        <v>2093</v>
      </c>
    </row>
    <row r="195" spans="1:17" x14ac:dyDescent="0.25">
      <c r="A195" t="s">
        <v>1129</v>
      </c>
      <c r="B195" s="18">
        <v>45694</v>
      </c>
      <c r="C195" t="s">
        <v>2028</v>
      </c>
      <c r="D195" t="s">
        <v>2048</v>
      </c>
      <c r="E195" t="s">
        <v>2057</v>
      </c>
      <c r="F195" t="s">
        <v>2060</v>
      </c>
      <c r="G195">
        <v>3</v>
      </c>
      <c r="H195">
        <v>80</v>
      </c>
      <c r="I195">
        <v>116</v>
      </c>
      <c r="J195">
        <v>16.739999999999998</v>
      </c>
      <c r="K195">
        <v>289.76</v>
      </c>
      <c r="L195">
        <v>49.76</v>
      </c>
      <c r="M195">
        <v>5825.5199999999995</v>
      </c>
      <c r="N195">
        <v>240</v>
      </c>
      <c r="O195">
        <v>17.172832689122032</v>
      </c>
      <c r="P195" t="s">
        <v>2076</v>
      </c>
      <c r="Q195" t="s">
        <v>2092</v>
      </c>
    </row>
    <row r="196" spans="1:17" x14ac:dyDescent="0.25">
      <c r="A196" t="s">
        <v>1288</v>
      </c>
      <c r="B196" s="18">
        <v>45694</v>
      </c>
      <c r="C196" t="s">
        <v>2030</v>
      </c>
      <c r="D196" t="s">
        <v>2050</v>
      </c>
      <c r="E196" t="s">
        <v>2058</v>
      </c>
      <c r="F196" t="s">
        <v>2062</v>
      </c>
      <c r="G196">
        <v>9</v>
      </c>
      <c r="H196">
        <v>1800</v>
      </c>
      <c r="I196">
        <v>2124</v>
      </c>
      <c r="J196">
        <v>22.01</v>
      </c>
      <c r="K196">
        <v>14909.38</v>
      </c>
      <c r="L196">
        <v>-1290.6199999999999</v>
      </c>
      <c r="M196">
        <v>420743.16000000003</v>
      </c>
      <c r="N196">
        <v>16200</v>
      </c>
      <c r="O196">
        <v>-8.6564297106921941</v>
      </c>
      <c r="P196" t="s">
        <v>2076</v>
      </c>
      <c r="Q196" t="s">
        <v>2093</v>
      </c>
    </row>
    <row r="197" spans="1:17" x14ac:dyDescent="0.25">
      <c r="A197" t="s">
        <v>1290</v>
      </c>
      <c r="B197" s="18">
        <v>45694</v>
      </c>
      <c r="C197" t="s">
        <v>2024</v>
      </c>
      <c r="D197" t="s">
        <v>2044</v>
      </c>
      <c r="E197" t="s">
        <v>2055</v>
      </c>
      <c r="F197" t="s">
        <v>2061</v>
      </c>
      <c r="G197">
        <v>4</v>
      </c>
      <c r="H197">
        <v>180</v>
      </c>
      <c r="I197">
        <v>243</v>
      </c>
      <c r="J197">
        <v>5.5</v>
      </c>
      <c r="K197">
        <v>918.55</v>
      </c>
      <c r="L197">
        <v>198.55</v>
      </c>
      <c r="M197">
        <v>5346</v>
      </c>
      <c r="N197">
        <v>720</v>
      </c>
      <c r="O197">
        <v>21.615589788253228</v>
      </c>
      <c r="P197" t="s">
        <v>2076</v>
      </c>
      <c r="Q197" t="s">
        <v>2092</v>
      </c>
    </row>
    <row r="198" spans="1:17" x14ac:dyDescent="0.25">
      <c r="A198" t="s">
        <v>52</v>
      </c>
      <c r="B198" s="18">
        <v>45695</v>
      </c>
      <c r="C198" t="s">
        <v>2014</v>
      </c>
      <c r="D198" t="s">
        <v>2034</v>
      </c>
      <c r="E198" t="s">
        <v>2052</v>
      </c>
      <c r="F198" t="s">
        <v>2061</v>
      </c>
      <c r="G198">
        <v>3</v>
      </c>
      <c r="H198">
        <v>4500</v>
      </c>
      <c r="I198">
        <v>5220</v>
      </c>
      <c r="J198">
        <v>12.19</v>
      </c>
      <c r="K198">
        <v>13750.41</v>
      </c>
      <c r="L198">
        <v>250.41</v>
      </c>
      <c r="M198">
        <v>190895.4</v>
      </c>
      <c r="N198">
        <v>13500</v>
      </c>
      <c r="O198">
        <v>1.8211093341943985</v>
      </c>
      <c r="P198" t="s">
        <v>2076</v>
      </c>
      <c r="Q198" t="s">
        <v>2091</v>
      </c>
    </row>
    <row r="199" spans="1:17" x14ac:dyDescent="0.25">
      <c r="A199" t="s">
        <v>277</v>
      </c>
      <c r="B199" s="18">
        <v>45695</v>
      </c>
      <c r="C199" t="s">
        <v>2023</v>
      </c>
      <c r="D199" t="s">
        <v>2043</v>
      </c>
      <c r="E199" t="s">
        <v>2053</v>
      </c>
      <c r="F199" t="s">
        <v>2061</v>
      </c>
      <c r="G199">
        <v>1</v>
      </c>
      <c r="H199">
        <v>550</v>
      </c>
      <c r="I199">
        <v>742.5</v>
      </c>
      <c r="J199">
        <v>11.79</v>
      </c>
      <c r="K199">
        <v>654.96</v>
      </c>
      <c r="L199">
        <v>104.96</v>
      </c>
      <c r="M199">
        <v>8754.0749999999989</v>
      </c>
      <c r="N199">
        <v>550</v>
      </c>
      <c r="O199">
        <v>16.025406131672163</v>
      </c>
      <c r="P199" t="s">
        <v>2076</v>
      </c>
      <c r="Q199" t="s">
        <v>2092</v>
      </c>
    </row>
    <row r="200" spans="1:17" x14ac:dyDescent="0.25">
      <c r="A200" t="s">
        <v>429</v>
      </c>
      <c r="B200" s="18">
        <v>45695</v>
      </c>
      <c r="C200" t="s">
        <v>2017</v>
      </c>
      <c r="D200" t="s">
        <v>2037</v>
      </c>
      <c r="E200" t="s">
        <v>2055</v>
      </c>
      <c r="F200" t="s">
        <v>2060</v>
      </c>
      <c r="G200">
        <v>1</v>
      </c>
      <c r="H200">
        <v>2500</v>
      </c>
      <c r="I200">
        <v>2875</v>
      </c>
      <c r="J200">
        <v>13.95</v>
      </c>
      <c r="K200">
        <v>2474.02</v>
      </c>
      <c r="L200">
        <v>-25.98</v>
      </c>
      <c r="M200">
        <v>40106.25</v>
      </c>
      <c r="N200">
        <v>2500</v>
      </c>
      <c r="O200">
        <v>-1.0501127719258536</v>
      </c>
      <c r="P200" t="s">
        <v>2076</v>
      </c>
      <c r="Q200" t="s">
        <v>2093</v>
      </c>
    </row>
    <row r="201" spans="1:17" x14ac:dyDescent="0.25">
      <c r="A201" t="s">
        <v>811</v>
      </c>
      <c r="B201" s="18">
        <v>45695</v>
      </c>
      <c r="C201" t="s">
        <v>2020</v>
      </c>
      <c r="D201" t="s">
        <v>2040</v>
      </c>
      <c r="E201" t="s">
        <v>2053</v>
      </c>
      <c r="F201" t="s">
        <v>2062</v>
      </c>
      <c r="G201">
        <v>5</v>
      </c>
      <c r="H201">
        <v>350</v>
      </c>
      <c r="I201">
        <v>455</v>
      </c>
      <c r="J201">
        <v>1.02</v>
      </c>
      <c r="K201">
        <v>2251.75</v>
      </c>
      <c r="L201">
        <v>501.75</v>
      </c>
      <c r="M201">
        <v>2320.5</v>
      </c>
      <c r="N201">
        <v>1750</v>
      </c>
      <c r="O201">
        <v>22.28266903519485</v>
      </c>
      <c r="P201" t="s">
        <v>2076</v>
      </c>
      <c r="Q201" t="s">
        <v>2092</v>
      </c>
    </row>
    <row r="202" spans="1:17" x14ac:dyDescent="0.25">
      <c r="A202" t="s">
        <v>906</v>
      </c>
      <c r="B202" s="18">
        <v>45695</v>
      </c>
      <c r="C202" t="s">
        <v>2014</v>
      </c>
      <c r="D202" t="s">
        <v>2034</v>
      </c>
      <c r="E202" t="s">
        <v>2052</v>
      </c>
      <c r="F202" t="s">
        <v>2060</v>
      </c>
      <c r="G202">
        <v>5</v>
      </c>
      <c r="H202">
        <v>4500</v>
      </c>
      <c r="I202">
        <v>5220</v>
      </c>
      <c r="J202">
        <v>22.84</v>
      </c>
      <c r="K202">
        <v>20138.97</v>
      </c>
      <c r="L202">
        <v>-2361.0300000000002</v>
      </c>
      <c r="M202">
        <v>596124</v>
      </c>
      <c r="N202">
        <v>22500</v>
      </c>
      <c r="O202">
        <v>-11.723687954249895</v>
      </c>
      <c r="P202" t="s">
        <v>2076</v>
      </c>
      <c r="Q202" t="s">
        <v>2093</v>
      </c>
    </row>
    <row r="203" spans="1:17" x14ac:dyDescent="0.25">
      <c r="A203" t="s">
        <v>1845</v>
      </c>
      <c r="B203" s="18">
        <v>45695</v>
      </c>
      <c r="C203" t="s">
        <v>2030</v>
      </c>
      <c r="D203" t="s">
        <v>2050</v>
      </c>
      <c r="E203" t="s">
        <v>2058</v>
      </c>
      <c r="F203" t="s">
        <v>2059</v>
      </c>
      <c r="G203">
        <v>7</v>
      </c>
      <c r="H203">
        <v>1800</v>
      </c>
      <c r="I203">
        <v>2124</v>
      </c>
      <c r="J203">
        <v>4</v>
      </c>
      <c r="K203">
        <v>14273.28</v>
      </c>
      <c r="L203">
        <v>1673.28</v>
      </c>
      <c r="M203">
        <v>59472</v>
      </c>
      <c r="N203">
        <v>12600</v>
      </c>
      <c r="O203">
        <v>11.723163841807908</v>
      </c>
      <c r="P203" t="s">
        <v>2076</v>
      </c>
      <c r="Q203" t="s">
        <v>2092</v>
      </c>
    </row>
    <row r="204" spans="1:17" x14ac:dyDescent="0.25">
      <c r="A204" t="s">
        <v>329</v>
      </c>
      <c r="B204" s="18">
        <v>45696</v>
      </c>
      <c r="C204" t="s">
        <v>2019</v>
      </c>
      <c r="D204" t="s">
        <v>2039</v>
      </c>
      <c r="E204" t="s">
        <v>2053</v>
      </c>
      <c r="F204" t="s">
        <v>2061</v>
      </c>
      <c r="G204">
        <v>2</v>
      </c>
      <c r="H204">
        <v>900</v>
      </c>
      <c r="I204">
        <v>1152</v>
      </c>
      <c r="J204">
        <v>6.47</v>
      </c>
      <c r="K204">
        <v>2154.92</v>
      </c>
      <c r="L204">
        <v>354.92</v>
      </c>
      <c r="M204">
        <v>14906.88</v>
      </c>
      <c r="N204">
        <v>1800</v>
      </c>
      <c r="O204">
        <v>16.470216991814084</v>
      </c>
      <c r="P204" t="s">
        <v>2076</v>
      </c>
      <c r="Q204" t="s">
        <v>2092</v>
      </c>
    </row>
    <row r="205" spans="1:17" x14ac:dyDescent="0.25">
      <c r="A205" t="s">
        <v>797</v>
      </c>
      <c r="B205" s="18">
        <v>45696</v>
      </c>
      <c r="C205" t="s">
        <v>2027</v>
      </c>
      <c r="D205" t="s">
        <v>2047</v>
      </c>
      <c r="E205" t="s">
        <v>2053</v>
      </c>
      <c r="F205" t="s">
        <v>2061</v>
      </c>
      <c r="G205">
        <v>5</v>
      </c>
      <c r="H205">
        <v>1100</v>
      </c>
      <c r="I205">
        <v>1298</v>
      </c>
      <c r="J205">
        <v>0</v>
      </c>
      <c r="K205">
        <v>6490</v>
      </c>
      <c r="L205">
        <v>990</v>
      </c>
      <c r="M205">
        <v>0</v>
      </c>
      <c r="N205">
        <v>5500</v>
      </c>
      <c r="O205">
        <v>15.254237288135593</v>
      </c>
      <c r="P205" t="s">
        <v>2076</v>
      </c>
      <c r="Q205" t="s">
        <v>2092</v>
      </c>
    </row>
    <row r="206" spans="1:17" x14ac:dyDescent="0.25">
      <c r="A206" t="s">
        <v>976</v>
      </c>
      <c r="B206" s="18">
        <v>45696</v>
      </c>
      <c r="C206" t="s">
        <v>2021</v>
      </c>
      <c r="D206" t="s">
        <v>2041</v>
      </c>
      <c r="E206" t="s">
        <v>2056</v>
      </c>
      <c r="F206" t="s">
        <v>2060</v>
      </c>
      <c r="G206">
        <v>5</v>
      </c>
      <c r="H206">
        <v>300</v>
      </c>
      <c r="I206">
        <v>405</v>
      </c>
      <c r="J206">
        <v>8.25</v>
      </c>
      <c r="K206">
        <v>1857.98</v>
      </c>
      <c r="L206">
        <v>357.98</v>
      </c>
      <c r="M206">
        <v>16706.25</v>
      </c>
      <c r="N206">
        <v>1500</v>
      </c>
      <c r="O206">
        <v>19.267161110453287</v>
      </c>
      <c r="P206" t="s">
        <v>2076</v>
      </c>
      <c r="Q206" t="s">
        <v>2092</v>
      </c>
    </row>
    <row r="207" spans="1:17" x14ac:dyDescent="0.25">
      <c r="A207" t="s">
        <v>1033</v>
      </c>
      <c r="B207" s="18">
        <v>45696</v>
      </c>
      <c r="C207" t="s">
        <v>2016</v>
      </c>
      <c r="D207" t="s">
        <v>2036</v>
      </c>
      <c r="E207" t="s">
        <v>2052</v>
      </c>
      <c r="F207" t="s">
        <v>2060</v>
      </c>
      <c r="G207">
        <v>7</v>
      </c>
      <c r="H207">
        <v>900</v>
      </c>
      <c r="I207">
        <v>1170</v>
      </c>
      <c r="J207">
        <v>9.07</v>
      </c>
      <c r="K207">
        <v>7447.06</v>
      </c>
      <c r="L207">
        <v>1147.06</v>
      </c>
      <c r="M207">
        <v>74283.3</v>
      </c>
      <c r="N207">
        <v>6300</v>
      </c>
      <c r="O207">
        <v>15.402856966373305</v>
      </c>
      <c r="P207" t="s">
        <v>2076</v>
      </c>
      <c r="Q207" t="s">
        <v>2092</v>
      </c>
    </row>
    <row r="208" spans="1:17" x14ac:dyDescent="0.25">
      <c r="A208" t="s">
        <v>1693</v>
      </c>
      <c r="B208" s="18">
        <v>45696</v>
      </c>
      <c r="C208" t="s">
        <v>2022</v>
      </c>
      <c r="D208" t="s">
        <v>2042</v>
      </c>
      <c r="E208" t="s">
        <v>2053</v>
      </c>
      <c r="F208" t="s">
        <v>2062</v>
      </c>
      <c r="G208">
        <v>3</v>
      </c>
      <c r="H208">
        <v>8500</v>
      </c>
      <c r="I208">
        <v>9520</v>
      </c>
      <c r="J208">
        <v>11.07</v>
      </c>
      <c r="K208">
        <v>25399.42</v>
      </c>
      <c r="L208">
        <v>-100.58</v>
      </c>
      <c r="M208">
        <v>316159.2</v>
      </c>
      <c r="N208">
        <v>25500</v>
      </c>
      <c r="O208">
        <v>-0.39599329433506758</v>
      </c>
      <c r="P208" t="s">
        <v>2076</v>
      </c>
      <c r="Q208" t="s">
        <v>2093</v>
      </c>
    </row>
    <row r="209" spans="1:17" x14ac:dyDescent="0.25">
      <c r="A209" t="s">
        <v>1860</v>
      </c>
      <c r="B209" s="18">
        <v>45696</v>
      </c>
      <c r="C209" t="s">
        <v>2027</v>
      </c>
      <c r="D209" t="s">
        <v>2047</v>
      </c>
      <c r="E209" t="s">
        <v>2053</v>
      </c>
      <c r="F209" t="s">
        <v>2061</v>
      </c>
      <c r="G209">
        <v>10</v>
      </c>
      <c r="H209">
        <v>1100</v>
      </c>
      <c r="I209">
        <v>1298</v>
      </c>
      <c r="J209">
        <v>15.25</v>
      </c>
      <c r="K209">
        <v>11000.32</v>
      </c>
      <c r="L209">
        <v>0.32</v>
      </c>
      <c r="M209">
        <v>197945</v>
      </c>
      <c r="N209">
        <v>11000</v>
      </c>
      <c r="O209">
        <v>2.9090062834535727E-3</v>
      </c>
      <c r="P209" t="s">
        <v>2076</v>
      </c>
      <c r="Q209" t="s">
        <v>2091</v>
      </c>
    </row>
    <row r="210" spans="1:17" x14ac:dyDescent="0.25">
      <c r="A210" t="s">
        <v>161</v>
      </c>
      <c r="B210" s="18">
        <v>45697</v>
      </c>
      <c r="C210" t="s">
        <v>2022</v>
      </c>
      <c r="D210" t="s">
        <v>2042</v>
      </c>
      <c r="E210" t="s">
        <v>2053</v>
      </c>
      <c r="F210" t="s">
        <v>2060</v>
      </c>
      <c r="G210">
        <v>4</v>
      </c>
      <c r="H210">
        <v>8500</v>
      </c>
      <c r="I210">
        <v>9520</v>
      </c>
      <c r="J210">
        <v>18.309999999999999</v>
      </c>
      <c r="K210">
        <v>31107.38</v>
      </c>
      <c r="L210">
        <v>-2892.62</v>
      </c>
      <c r="M210">
        <v>697244.79999999993</v>
      </c>
      <c r="N210">
        <v>34000</v>
      </c>
      <c r="O210">
        <v>-9.298822337336027</v>
      </c>
      <c r="P210" t="s">
        <v>2076</v>
      </c>
      <c r="Q210" t="s">
        <v>2093</v>
      </c>
    </row>
    <row r="211" spans="1:17" x14ac:dyDescent="0.25">
      <c r="A211" t="s">
        <v>695</v>
      </c>
      <c r="B211" s="18">
        <v>45697</v>
      </c>
      <c r="C211" t="s">
        <v>2013</v>
      </c>
      <c r="D211" t="s">
        <v>2033</v>
      </c>
      <c r="E211" t="s">
        <v>2053</v>
      </c>
      <c r="F211" t="s">
        <v>2062</v>
      </c>
      <c r="G211">
        <v>8</v>
      </c>
      <c r="H211">
        <v>6500</v>
      </c>
      <c r="I211">
        <v>7150</v>
      </c>
      <c r="J211">
        <v>16.09</v>
      </c>
      <c r="K211">
        <v>47994.58</v>
      </c>
      <c r="L211">
        <v>-4005.42</v>
      </c>
      <c r="M211">
        <v>920348</v>
      </c>
      <c r="N211">
        <v>52000</v>
      </c>
      <c r="O211">
        <v>-8.3455673536470147</v>
      </c>
      <c r="P211" t="s">
        <v>2076</v>
      </c>
      <c r="Q211" t="s">
        <v>2093</v>
      </c>
    </row>
    <row r="212" spans="1:17" x14ac:dyDescent="0.25">
      <c r="A212" t="s">
        <v>1788</v>
      </c>
      <c r="B212" s="18">
        <v>45697</v>
      </c>
      <c r="C212" t="s">
        <v>2024</v>
      </c>
      <c r="D212" t="s">
        <v>2044</v>
      </c>
      <c r="E212" t="s">
        <v>2055</v>
      </c>
      <c r="F212" t="s">
        <v>2059</v>
      </c>
      <c r="G212">
        <v>1</v>
      </c>
      <c r="H212">
        <v>180</v>
      </c>
      <c r="I212">
        <v>243</v>
      </c>
      <c r="J212">
        <v>1.83</v>
      </c>
      <c r="K212">
        <v>238.54</v>
      </c>
      <c r="L212">
        <v>58.54</v>
      </c>
      <c r="M212">
        <v>444.69</v>
      </c>
      <c r="N212">
        <v>180</v>
      </c>
      <c r="O212">
        <v>24.540957491406054</v>
      </c>
      <c r="P212" t="s">
        <v>2076</v>
      </c>
      <c r="Q212" t="s">
        <v>2092</v>
      </c>
    </row>
    <row r="213" spans="1:17" x14ac:dyDescent="0.25">
      <c r="A213" t="s">
        <v>1808</v>
      </c>
      <c r="B213" s="18">
        <v>45697</v>
      </c>
      <c r="C213" t="s">
        <v>2031</v>
      </c>
      <c r="D213" t="s">
        <v>2051</v>
      </c>
      <c r="E213" t="s">
        <v>2058</v>
      </c>
      <c r="F213" t="s">
        <v>2060</v>
      </c>
      <c r="G213">
        <v>3</v>
      </c>
      <c r="H213">
        <v>3200</v>
      </c>
      <c r="I213">
        <v>3840</v>
      </c>
      <c r="J213">
        <v>9.33</v>
      </c>
      <c r="K213">
        <v>10445.48</v>
      </c>
      <c r="L213">
        <v>845.48</v>
      </c>
      <c r="M213">
        <v>107481.60000000001</v>
      </c>
      <c r="N213">
        <v>9600</v>
      </c>
      <c r="O213">
        <v>8.0942187434182067</v>
      </c>
      <c r="P213" t="s">
        <v>2076</v>
      </c>
      <c r="Q213" t="s">
        <v>2091</v>
      </c>
    </row>
    <row r="214" spans="1:17" x14ac:dyDescent="0.25">
      <c r="A214" t="s">
        <v>755</v>
      </c>
      <c r="B214" s="18">
        <v>45698</v>
      </c>
      <c r="C214" t="s">
        <v>2030</v>
      </c>
      <c r="D214" t="s">
        <v>2050</v>
      </c>
      <c r="E214" t="s">
        <v>2058</v>
      </c>
      <c r="F214" t="s">
        <v>2062</v>
      </c>
      <c r="G214">
        <v>4</v>
      </c>
      <c r="H214">
        <v>1800</v>
      </c>
      <c r="I214">
        <v>2124</v>
      </c>
      <c r="J214">
        <v>17.73</v>
      </c>
      <c r="K214">
        <v>6989.92</v>
      </c>
      <c r="L214">
        <v>-210.08</v>
      </c>
      <c r="M214">
        <v>150634.08000000002</v>
      </c>
      <c r="N214">
        <v>7200</v>
      </c>
      <c r="O214">
        <v>-3.0054707350012593</v>
      </c>
      <c r="P214" t="s">
        <v>2076</v>
      </c>
      <c r="Q214" t="s">
        <v>2093</v>
      </c>
    </row>
    <row r="215" spans="1:17" x14ac:dyDescent="0.25">
      <c r="A215" t="s">
        <v>857</v>
      </c>
      <c r="B215" s="18">
        <v>45698</v>
      </c>
      <c r="C215" t="s">
        <v>2013</v>
      </c>
      <c r="D215" t="s">
        <v>2033</v>
      </c>
      <c r="E215" t="s">
        <v>2053</v>
      </c>
      <c r="F215" t="s">
        <v>2062</v>
      </c>
      <c r="G215">
        <v>3</v>
      </c>
      <c r="H215">
        <v>6500</v>
      </c>
      <c r="I215">
        <v>7150</v>
      </c>
      <c r="J215">
        <v>10.32</v>
      </c>
      <c r="K215">
        <v>19236.27</v>
      </c>
      <c r="L215">
        <v>-263.73</v>
      </c>
      <c r="M215">
        <v>221364</v>
      </c>
      <c r="N215">
        <v>19500</v>
      </c>
      <c r="O215">
        <v>-1.3710038380621608</v>
      </c>
      <c r="P215" t="s">
        <v>2076</v>
      </c>
      <c r="Q215" t="s">
        <v>2093</v>
      </c>
    </row>
    <row r="216" spans="1:17" x14ac:dyDescent="0.25">
      <c r="A216" t="s">
        <v>968</v>
      </c>
      <c r="B216" s="18">
        <v>45698</v>
      </c>
      <c r="C216" t="s">
        <v>2021</v>
      </c>
      <c r="D216" t="s">
        <v>2041</v>
      </c>
      <c r="E216" t="s">
        <v>2056</v>
      </c>
      <c r="F216" t="s">
        <v>2062</v>
      </c>
      <c r="G216">
        <v>1</v>
      </c>
      <c r="H216">
        <v>300</v>
      </c>
      <c r="I216">
        <v>405</v>
      </c>
      <c r="J216">
        <v>2.4700000000000002</v>
      </c>
      <c r="K216">
        <v>395</v>
      </c>
      <c r="L216">
        <v>95</v>
      </c>
      <c r="M216">
        <v>1000.35</v>
      </c>
      <c r="N216">
        <v>300</v>
      </c>
      <c r="O216">
        <v>24.050632911392405</v>
      </c>
      <c r="P216" t="s">
        <v>2076</v>
      </c>
      <c r="Q216" t="s">
        <v>2092</v>
      </c>
    </row>
    <row r="217" spans="1:17" x14ac:dyDescent="0.25">
      <c r="A217" t="s">
        <v>975</v>
      </c>
      <c r="B217" s="18">
        <v>45698</v>
      </c>
      <c r="C217" t="s">
        <v>2015</v>
      </c>
      <c r="D217" t="s">
        <v>2035</v>
      </c>
      <c r="E217" t="s">
        <v>2054</v>
      </c>
      <c r="F217" t="s">
        <v>2061</v>
      </c>
      <c r="G217">
        <v>1</v>
      </c>
      <c r="H217">
        <v>900</v>
      </c>
      <c r="I217">
        <v>1170</v>
      </c>
      <c r="J217">
        <v>8.8000000000000007</v>
      </c>
      <c r="K217">
        <v>1067.02</v>
      </c>
      <c r="L217">
        <v>167.02</v>
      </c>
      <c r="M217">
        <v>10296</v>
      </c>
      <c r="N217">
        <v>900</v>
      </c>
      <c r="O217">
        <v>15.652939963637047</v>
      </c>
      <c r="P217" t="s">
        <v>2076</v>
      </c>
      <c r="Q217" t="s">
        <v>2092</v>
      </c>
    </row>
    <row r="218" spans="1:17" x14ac:dyDescent="0.25">
      <c r="A218" t="s">
        <v>1021</v>
      </c>
      <c r="B218" s="18">
        <v>45698</v>
      </c>
      <c r="C218" t="s">
        <v>2022</v>
      </c>
      <c r="D218" t="s">
        <v>2042</v>
      </c>
      <c r="E218" t="s">
        <v>2053</v>
      </c>
      <c r="F218" t="s">
        <v>2059</v>
      </c>
      <c r="G218">
        <v>8</v>
      </c>
      <c r="H218">
        <v>8500</v>
      </c>
      <c r="I218">
        <v>9520</v>
      </c>
      <c r="J218">
        <v>4.99</v>
      </c>
      <c r="K218">
        <v>72362.22</v>
      </c>
      <c r="L218">
        <v>4362.22</v>
      </c>
      <c r="M218">
        <v>380038.40000000002</v>
      </c>
      <c r="N218">
        <v>68000</v>
      </c>
      <c r="O218">
        <v>6.028311458658953</v>
      </c>
      <c r="P218" t="s">
        <v>2076</v>
      </c>
      <c r="Q218" t="s">
        <v>2091</v>
      </c>
    </row>
    <row r="219" spans="1:17" x14ac:dyDescent="0.25">
      <c r="A219" t="s">
        <v>1075</v>
      </c>
      <c r="B219" s="18">
        <v>45698</v>
      </c>
      <c r="C219" t="s">
        <v>2019</v>
      </c>
      <c r="D219" t="s">
        <v>2039</v>
      </c>
      <c r="E219" t="s">
        <v>2053</v>
      </c>
      <c r="F219" t="s">
        <v>2061</v>
      </c>
      <c r="G219">
        <v>6</v>
      </c>
      <c r="H219">
        <v>900</v>
      </c>
      <c r="I219">
        <v>1152</v>
      </c>
      <c r="J219">
        <v>18.64</v>
      </c>
      <c r="K219">
        <v>5623.62</v>
      </c>
      <c r="L219">
        <v>223.62</v>
      </c>
      <c r="M219">
        <v>128839.68000000001</v>
      </c>
      <c r="N219">
        <v>5400</v>
      </c>
      <c r="O219">
        <v>3.9764422204914274</v>
      </c>
      <c r="P219" t="s">
        <v>2076</v>
      </c>
      <c r="Q219" t="s">
        <v>2091</v>
      </c>
    </row>
    <row r="220" spans="1:17" x14ac:dyDescent="0.25">
      <c r="A220" t="s">
        <v>1449</v>
      </c>
      <c r="B220" s="18">
        <v>45698</v>
      </c>
      <c r="C220" t="s">
        <v>2027</v>
      </c>
      <c r="D220" t="s">
        <v>2047</v>
      </c>
      <c r="E220" t="s">
        <v>2053</v>
      </c>
      <c r="F220" t="s">
        <v>2061</v>
      </c>
      <c r="G220">
        <v>9</v>
      </c>
      <c r="H220">
        <v>1100</v>
      </c>
      <c r="I220">
        <v>1298</v>
      </c>
      <c r="J220">
        <v>0</v>
      </c>
      <c r="K220">
        <v>11682</v>
      </c>
      <c r="L220">
        <v>1782</v>
      </c>
      <c r="M220">
        <v>0</v>
      </c>
      <c r="N220">
        <v>9900</v>
      </c>
      <c r="O220">
        <v>15.254237288135593</v>
      </c>
      <c r="P220" t="s">
        <v>2076</v>
      </c>
      <c r="Q220" t="s">
        <v>2092</v>
      </c>
    </row>
    <row r="221" spans="1:17" x14ac:dyDescent="0.25">
      <c r="A221" t="s">
        <v>1766</v>
      </c>
      <c r="B221" s="18">
        <v>45698</v>
      </c>
      <c r="C221" t="s">
        <v>2013</v>
      </c>
      <c r="D221" t="s">
        <v>2033</v>
      </c>
      <c r="E221" t="s">
        <v>2053</v>
      </c>
      <c r="F221" t="s">
        <v>2060</v>
      </c>
      <c r="G221">
        <v>7</v>
      </c>
      <c r="H221">
        <v>6500</v>
      </c>
      <c r="I221">
        <v>7150</v>
      </c>
      <c r="J221">
        <v>28.02</v>
      </c>
      <c r="K221">
        <v>36025.81</v>
      </c>
      <c r="L221">
        <v>-9474.19</v>
      </c>
      <c r="M221">
        <v>1402401</v>
      </c>
      <c r="N221">
        <v>45500</v>
      </c>
      <c r="O221">
        <v>-26.298339995686433</v>
      </c>
      <c r="P221" t="s">
        <v>2076</v>
      </c>
      <c r="Q221" t="s">
        <v>2093</v>
      </c>
    </row>
    <row r="222" spans="1:17" x14ac:dyDescent="0.25">
      <c r="A222" t="s">
        <v>1798</v>
      </c>
      <c r="B222" s="18">
        <v>45698</v>
      </c>
      <c r="C222" t="s">
        <v>2026</v>
      </c>
      <c r="D222" t="s">
        <v>2046</v>
      </c>
      <c r="E222" t="s">
        <v>2052</v>
      </c>
      <c r="F222" t="s">
        <v>2062</v>
      </c>
      <c r="G222">
        <v>9</v>
      </c>
      <c r="H222">
        <v>3000</v>
      </c>
      <c r="I222">
        <v>3600</v>
      </c>
      <c r="J222">
        <v>14.65</v>
      </c>
      <c r="K222">
        <v>27654.53</v>
      </c>
      <c r="L222">
        <v>654.53</v>
      </c>
      <c r="M222">
        <v>474660</v>
      </c>
      <c r="N222">
        <v>27000</v>
      </c>
      <c r="O222">
        <v>2.3668093437133084</v>
      </c>
      <c r="P222" t="s">
        <v>2076</v>
      </c>
      <c r="Q222" t="s">
        <v>2091</v>
      </c>
    </row>
    <row r="223" spans="1:17" x14ac:dyDescent="0.25">
      <c r="A223" t="s">
        <v>80</v>
      </c>
      <c r="B223" s="18">
        <v>45699</v>
      </c>
      <c r="C223" t="s">
        <v>2031</v>
      </c>
      <c r="D223" t="s">
        <v>2051</v>
      </c>
      <c r="E223" t="s">
        <v>2058</v>
      </c>
      <c r="F223" t="s">
        <v>2059</v>
      </c>
      <c r="G223">
        <v>1</v>
      </c>
      <c r="H223">
        <v>3200</v>
      </c>
      <c r="I223">
        <v>3840</v>
      </c>
      <c r="J223">
        <v>4.63</v>
      </c>
      <c r="K223">
        <v>3662.37</v>
      </c>
      <c r="L223">
        <v>462.37</v>
      </c>
      <c r="M223">
        <v>17779.2</v>
      </c>
      <c r="N223">
        <v>3200</v>
      </c>
      <c r="O223">
        <v>12.62488497885249</v>
      </c>
      <c r="P223" t="s">
        <v>2076</v>
      </c>
      <c r="Q223" t="s">
        <v>2092</v>
      </c>
    </row>
    <row r="224" spans="1:17" x14ac:dyDescent="0.25">
      <c r="A224" t="s">
        <v>219</v>
      </c>
      <c r="B224" s="18">
        <v>45699</v>
      </c>
      <c r="C224" t="s">
        <v>2016</v>
      </c>
      <c r="D224" t="s">
        <v>2036</v>
      </c>
      <c r="E224" t="s">
        <v>2052</v>
      </c>
      <c r="F224" t="s">
        <v>2061</v>
      </c>
      <c r="G224">
        <v>5</v>
      </c>
      <c r="H224">
        <v>900</v>
      </c>
      <c r="I224">
        <v>1170</v>
      </c>
      <c r="J224">
        <v>10.39</v>
      </c>
      <c r="K224">
        <v>5242.46</v>
      </c>
      <c r="L224">
        <v>742.46</v>
      </c>
      <c r="M224">
        <v>60781.5</v>
      </c>
      <c r="N224">
        <v>4500</v>
      </c>
      <c r="O224">
        <v>14.16243519263857</v>
      </c>
      <c r="P224" t="s">
        <v>2076</v>
      </c>
      <c r="Q224" t="s">
        <v>2092</v>
      </c>
    </row>
    <row r="225" spans="1:17" x14ac:dyDescent="0.25">
      <c r="A225" t="s">
        <v>221</v>
      </c>
      <c r="B225" s="18">
        <v>45699</v>
      </c>
      <c r="C225" t="s">
        <v>2029</v>
      </c>
      <c r="D225" t="s">
        <v>2049</v>
      </c>
      <c r="E225" t="s">
        <v>2055</v>
      </c>
      <c r="F225" t="s">
        <v>2062</v>
      </c>
      <c r="G225">
        <v>6</v>
      </c>
      <c r="H225">
        <v>1200</v>
      </c>
      <c r="I225">
        <v>1464</v>
      </c>
      <c r="J225">
        <v>21.36</v>
      </c>
      <c r="K225">
        <v>6907.9</v>
      </c>
      <c r="L225">
        <v>-292.10000000000002</v>
      </c>
      <c r="M225">
        <v>187626.23999999999</v>
      </c>
      <c r="N225">
        <v>7200</v>
      </c>
      <c r="O225">
        <v>-4.2284920163870359</v>
      </c>
      <c r="P225" t="s">
        <v>2076</v>
      </c>
      <c r="Q225" t="s">
        <v>2093</v>
      </c>
    </row>
    <row r="226" spans="1:17" x14ac:dyDescent="0.25">
      <c r="A226" t="s">
        <v>663</v>
      </c>
      <c r="B226" s="18">
        <v>45699</v>
      </c>
      <c r="C226" t="s">
        <v>2024</v>
      </c>
      <c r="D226" t="s">
        <v>2044</v>
      </c>
      <c r="E226" t="s">
        <v>2055</v>
      </c>
      <c r="F226" t="s">
        <v>2059</v>
      </c>
      <c r="G226">
        <v>9</v>
      </c>
      <c r="H226">
        <v>180</v>
      </c>
      <c r="I226">
        <v>243</v>
      </c>
      <c r="J226">
        <v>6.89</v>
      </c>
      <c r="K226">
        <v>2036.35</v>
      </c>
      <c r="L226">
        <v>416.35</v>
      </c>
      <c r="M226">
        <v>15068.429999999998</v>
      </c>
      <c r="N226">
        <v>1620</v>
      </c>
      <c r="O226">
        <v>20.445895843052522</v>
      </c>
      <c r="P226" t="s">
        <v>2076</v>
      </c>
      <c r="Q226" t="s">
        <v>2092</v>
      </c>
    </row>
    <row r="227" spans="1:17" x14ac:dyDescent="0.25">
      <c r="A227" t="s">
        <v>685</v>
      </c>
      <c r="B227" s="18">
        <v>45699</v>
      </c>
      <c r="C227" t="s">
        <v>2014</v>
      </c>
      <c r="D227" t="s">
        <v>2034</v>
      </c>
      <c r="E227" t="s">
        <v>2052</v>
      </c>
      <c r="F227" t="s">
        <v>2059</v>
      </c>
      <c r="G227">
        <v>8</v>
      </c>
      <c r="H227">
        <v>4500</v>
      </c>
      <c r="I227">
        <v>5220</v>
      </c>
      <c r="J227">
        <v>19.3</v>
      </c>
      <c r="K227">
        <v>33702.15</v>
      </c>
      <c r="L227">
        <v>-2297.85</v>
      </c>
      <c r="M227">
        <v>805968</v>
      </c>
      <c r="N227">
        <v>36000</v>
      </c>
      <c r="O227">
        <v>-6.818111010721867</v>
      </c>
      <c r="P227" t="s">
        <v>2076</v>
      </c>
      <c r="Q227" t="s">
        <v>2093</v>
      </c>
    </row>
    <row r="228" spans="1:17" x14ac:dyDescent="0.25">
      <c r="A228" t="s">
        <v>1155</v>
      </c>
      <c r="B228" s="18">
        <v>45699</v>
      </c>
      <c r="C228" t="s">
        <v>2016</v>
      </c>
      <c r="D228" t="s">
        <v>2036</v>
      </c>
      <c r="E228" t="s">
        <v>2052</v>
      </c>
      <c r="F228" t="s">
        <v>2060</v>
      </c>
      <c r="G228">
        <v>7</v>
      </c>
      <c r="H228">
        <v>900</v>
      </c>
      <c r="I228">
        <v>1170</v>
      </c>
      <c r="J228">
        <v>14.19</v>
      </c>
      <c r="K228">
        <v>7027.68</v>
      </c>
      <c r="L228">
        <v>727.68</v>
      </c>
      <c r="M228">
        <v>116216.09999999999</v>
      </c>
      <c r="N228">
        <v>6300</v>
      </c>
      <c r="O228">
        <v>10.354483983334472</v>
      </c>
      <c r="P228" t="s">
        <v>2076</v>
      </c>
      <c r="Q228" t="s">
        <v>2092</v>
      </c>
    </row>
    <row r="229" spans="1:17" x14ac:dyDescent="0.25">
      <c r="A229" t="s">
        <v>134</v>
      </c>
      <c r="B229" s="18">
        <v>45700</v>
      </c>
      <c r="C229" t="s">
        <v>2013</v>
      </c>
      <c r="D229" t="s">
        <v>2033</v>
      </c>
      <c r="E229" t="s">
        <v>2053</v>
      </c>
      <c r="F229" t="s">
        <v>2059</v>
      </c>
      <c r="G229">
        <v>3</v>
      </c>
      <c r="H229">
        <v>6500</v>
      </c>
      <c r="I229">
        <v>7150</v>
      </c>
      <c r="J229">
        <v>4</v>
      </c>
      <c r="K229">
        <v>20592</v>
      </c>
      <c r="L229">
        <v>1092</v>
      </c>
      <c r="M229">
        <v>85800</v>
      </c>
      <c r="N229">
        <v>19500</v>
      </c>
      <c r="O229">
        <v>5.3030303030303028</v>
      </c>
      <c r="P229" t="s">
        <v>2076</v>
      </c>
      <c r="Q229" t="s">
        <v>2091</v>
      </c>
    </row>
    <row r="230" spans="1:17" x14ac:dyDescent="0.25">
      <c r="A230" t="s">
        <v>256</v>
      </c>
      <c r="B230" s="18">
        <v>45700</v>
      </c>
      <c r="C230" t="s">
        <v>2019</v>
      </c>
      <c r="D230" t="s">
        <v>2039</v>
      </c>
      <c r="E230" t="s">
        <v>2053</v>
      </c>
      <c r="F230" t="s">
        <v>2061</v>
      </c>
      <c r="G230">
        <v>10</v>
      </c>
      <c r="H230">
        <v>900</v>
      </c>
      <c r="I230">
        <v>1152</v>
      </c>
      <c r="J230">
        <v>8.24</v>
      </c>
      <c r="K230">
        <v>10570.8</v>
      </c>
      <c r="L230">
        <v>1570.8</v>
      </c>
      <c r="M230">
        <v>94924.800000000003</v>
      </c>
      <c r="N230">
        <v>9000</v>
      </c>
      <c r="O230">
        <v>14.859802474741743</v>
      </c>
      <c r="P230" t="s">
        <v>2076</v>
      </c>
      <c r="Q230" t="s">
        <v>2092</v>
      </c>
    </row>
    <row r="231" spans="1:17" x14ac:dyDescent="0.25">
      <c r="A231" t="s">
        <v>607</v>
      </c>
      <c r="B231" s="18">
        <v>45700</v>
      </c>
      <c r="C231" t="s">
        <v>2029</v>
      </c>
      <c r="D231" t="s">
        <v>2049</v>
      </c>
      <c r="E231" t="s">
        <v>2055</v>
      </c>
      <c r="F231" t="s">
        <v>2060</v>
      </c>
      <c r="G231">
        <v>8</v>
      </c>
      <c r="H231">
        <v>1200</v>
      </c>
      <c r="I231">
        <v>1464</v>
      </c>
      <c r="J231">
        <v>20.62</v>
      </c>
      <c r="K231">
        <v>9297.31</v>
      </c>
      <c r="L231">
        <v>-302.69</v>
      </c>
      <c r="M231">
        <v>241501.44</v>
      </c>
      <c r="N231">
        <v>9600</v>
      </c>
      <c r="O231">
        <v>-3.2556728774236849</v>
      </c>
      <c r="P231" t="s">
        <v>2076</v>
      </c>
      <c r="Q231" t="s">
        <v>2093</v>
      </c>
    </row>
    <row r="232" spans="1:17" x14ac:dyDescent="0.25">
      <c r="A232" t="s">
        <v>952</v>
      </c>
      <c r="B232" s="18">
        <v>45700</v>
      </c>
      <c r="C232" t="s">
        <v>2017</v>
      </c>
      <c r="D232" t="s">
        <v>2037</v>
      </c>
      <c r="E232" t="s">
        <v>2055</v>
      </c>
      <c r="F232" t="s">
        <v>2059</v>
      </c>
      <c r="G232">
        <v>1</v>
      </c>
      <c r="H232">
        <v>2500</v>
      </c>
      <c r="I232">
        <v>2875</v>
      </c>
      <c r="J232">
        <v>22.86</v>
      </c>
      <c r="K232">
        <v>2217.7600000000002</v>
      </c>
      <c r="L232">
        <v>-282.24</v>
      </c>
      <c r="M232">
        <v>65722.5</v>
      </c>
      <c r="N232">
        <v>2500</v>
      </c>
      <c r="O232">
        <v>-12.72635451987591</v>
      </c>
      <c r="P232" t="s">
        <v>2076</v>
      </c>
      <c r="Q232" t="s">
        <v>2093</v>
      </c>
    </row>
    <row r="233" spans="1:17" x14ac:dyDescent="0.25">
      <c r="A233" t="s">
        <v>1552</v>
      </c>
      <c r="B233" s="18">
        <v>45700</v>
      </c>
      <c r="C233" t="s">
        <v>2031</v>
      </c>
      <c r="D233" t="s">
        <v>2051</v>
      </c>
      <c r="E233" t="s">
        <v>2058</v>
      </c>
      <c r="F233" t="s">
        <v>2061</v>
      </c>
      <c r="G233">
        <v>5</v>
      </c>
      <c r="H233">
        <v>3200</v>
      </c>
      <c r="I233">
        <v>3840</v>
      </c>
      <c r="J233">
        <v>29.63</v>
      </c>
      <c r="K233">
        <v>13510.59</v>
      </c>
      <c r="L233">
        <v>-2489.41</v>
      </c>
      <c r="M233">
        <v>568896</v>
      </c>
      <c r="N233">
        <v>16000</v>
      </c>
      <c r="O233">
        <v>-18.42562019867378</v>
      </c>
      <c r="P233" t="s">
        <v>2076</v>
      </c>
      <c r="Q233" t="s">
        <v>2093</v>
      </c>
    </row>
    <row r="234" spans="1:17" x14ac:dyDescent="0.25">
      <c r="A234" t="s">
        <v>1931</v>
      </c>
      <c r="B234" s="18">
        <v>45700</v>
      </c>
      <c r="C234" t="s">
        <v>2029</v>
      </c>
      <c r="D234" t="s">
        <v>2049</v>
      </c>
      <c r="E234" t="s">
        <v>2055</v>
      </c>
      <c r="F234" t="s">
        <v>2060</v>
      </c>
      <c r="G234">
        <v>4</v>
      </c>
      <c r="H234">
        <v>1200</v>
      </c>
      <c r="I234">
        <v>1464</v>
      </c>
      <c r="J234">
        <v>6.4</v>
      </c>
      <c r="K234">
        <v>5481.23</v>
      </c>
      <c r="L234">
        <v>681.23</v>
      </c>
      <c r="M234">
        <v>37478.400000000001</v>
      </c>
      <c r="N234">
        <v>4800</v>
      </c>
      <c r="O234">
        <v>12.428414790110979</v>
      </c>
      <c r="P234" t="s">
        <v>2076</v>
      </c>
      <c r="Q234" t="s">
        <v>2092</v>
      </c>
    </row>
    <row r="235" spans="1:17" x14ac:dyDescent="0.25">
      <c r="A235" t="s">
        <v>1953</v>
      </c>
      <c r="B235" s="18">
        <v>45700</v>
      </c>
      <c r="C235" t="s">
        <v>2019</v>
      </c>
      <c r="D235" t="s">
        <v>2039</v>
      </c>
      <c r="E235" t="s">
        <v>2053</v>
      </c>
      <c r="F235" t="s">
        <v>2059</v>
      </c>
      <c r="G235">
        <v>8</v>
      </c>
      <c r="H235">
        <v>900</v>
      </c>
      <c r="I235">
        <v>1152</v>
      </c>
      <c r="J235">
        <v>11.9</v>
      </c>
      <c r="K235">
        <v>8119.17</v>
      </c>
      <c r="L235">
        <v>919.17</v>
      </c>
      <c r="M235">
        <v>109670.40000000001</v>
      </c>
      <c r="N235">
        <v>7200</v>
      </c>
      <c r="O235">
        <v>11.320984780464013</v>
      </c>
      <c r="P235" t="s">
        <v>2076</v>
      </c>
      <c r="Q235" t="s">
        <v>2092</v>
      </c>
    </row>
    <row r="236" spans="1:17" x14ac:dyDescent="0.25">
      <c r="A236" t="s">
        <v>360</v>
      </c>
      <c r="B236" s="18">
        <v>45701</v>
      </c>
      <c r="C236" t="s">
        <v>2018</v>
      </c>
      <c r="D236" t="s">
        <v>2038</v>
      </c>
      <c r="E236" t="s">
        <v>2053</v>
      </c>
      <c r="F236" t="s">
        <v>2062</v>
      </c>
      <c r="G236">
        <v>9</v>
      </c>
      <c r="H236">
        <v>500</v>
      </c>
      <c r="I236">
        <v>610</v>
      </c>
      <c r="J236">
        <v>18.48</v>
      </c>
      <c r="K236">
        <v>4475.3599999999997</v>
      </c>
      <c r="L236">
        <v>-24.64</v>
      </c>
      <c r="M236">
        <v>101455.2</v>
      </c>
      <c r="N236">
        <v>4500</v>
      </c>
      <c r="O236">
        <v>-0.55057023345607947</v>
      </c>
      <c r="P236" t="s">
        <v>2076</v>
      </c>
      <c r="Q236" t="s">
        <v>2093</v>
      </c>
    </row>
    <row r="237" spans="1:17" x14ac:dyDescent="0.25">
      <c r="A237" t="s">
        <v>558</v>
      </c>
      <c r="B237" s="18">
        <v>45701</v>
      </c>
      <c r="C237" t="s">
        <v>2031</v>
      </c>
      <c r="D237" t="s">
        <v>2051</v>
      </c>
      <c r="E237" t="s">
        <v>2058</v>
      </c>
      <c r="F237" t="s">
        <v>2061</v>
      </c>
      <c r="G237">
        <v>4</v>
      </c>
      <c r="H237">
        <v>3200</v>
      </c>
      <c r="I237">
        <v>3840</v>
      </c>
      <c r="J237">
        <v>10.28</v>
      </c>
      <c r="K237">
        <v>13781.49</v>
      </c>
      <c r="L237">
        <v>981.49</v>
      </c>
      <c r="M237">
        <v>157900.79999999999</v>
      </c>
      <c r="N237">
        <v>12800</v>
      </c>
      <c r="O237">
        <v>7.1217988766091329</v>
      </c>
      <c r="P237" t="s">
        <v>2076</v>
      </c>
      <c r="Q237" t="s">
        <v>2091</v>
      </c>
    </row>
    <row r="238" spans="1:17" x14ac:dyDescent="0.25">
      <c r="A238" t="s">
        <v>661</v>
      </c>
      <c r="B238" s="18">
        <v>45701</v>
      </c>
      <c r="C238" t="s">
        <v>2021</v>
      </c>
      <c r="D238" t="s">
        <v>2041</v>
      </c>
      <c r="E238" t="s">
        <v>2056</v>
      </c>
      <c r="F238" t="s">
        <v>2061</v>
      </c>
      <c r="G238">
        <v>3</v>
      </c>
      <c r="H238">
        <v>300</v>
      </c>
      <c r="I238">
        <v>405</v>
      </c>
      <c r="J238">
        <v>22.23</v>
      </c>
      <c r="K238">
        <v>944.89</v>
      </c>
      <c r="L238">
        <v>44.89</v>
      </c>
      <c r="M238">
        <v>27009.45</v>
      </c>
      <c r="N238">
        <v>900</v>
      </c>
      <c r="O238">
        <v>4.7508175554826488</v>
      </c>
      <c r="P238" t="s">
        <v>2076</v>
      </c>
      <c r="Q238" t="s">
        <v>2091</v>
      </c>
    </row>
    <row r="239" spans="1:17" x14ac:dyDescent="0.25">
      <c r="A239" t="s">
        <v>1497</v>
      </c>
      <c r="B239" s="18">
        <v>45701</v>
      </c>
      <c r="C239" t="s">
        <v>2014</v>
      </c>
      <c r="D239" t="s">
        <v>2034</v>
      </c>
      <c r="E239" t="s">
        <v>2052</v>
      </c>
      <c r="F239" t="s">
        <v>2061</v>
      </c>
      <c r="G239">
        <v>9</v>
      </c>
      <c r="H239">
        <v>4500</v>
      </c>
      <c r="I239">
        <v>5220</v>
      </c>
      <c r="J239">
        <v>14.49</v>
      </c>
      <c r="K239">
        <v>40174.19</v>
      </c>
      <c r="L239">
        <v>-325.81</v>
      </c>
      <c r="M239">
        <v>680740.2</v>
      </c>
      <c r="N239">
        <v>40500</v>
      </c>
      <c r="O239">
        <v>-0.81099332681007374</v>
      </c>
      <c r="P239" t="s">
        <v>2076</v>
      </c>
      <c r="Q239" t="s">
        <v>2093</v>
      </c>
    </row>
    <row r="240" spans="1:17" x14ac:dyDescent="0.25">
      <c r="A240" t="s">
        <v>1702</v>
      </c>
      <c r="B240" s="18">
        <v>45701</v>
      </c>
      <c r="C240" t="s">
        <v>2018</v>
      </c>
      <c r="D240" t="s">
        <v>2038</v>
      </c>
      <c r="E240" t="s">
        <v>2053</v>
      </c>
      <c r="F240" t="s">
        <v>2062</v>
      </c>
      <c r="G240">
        <v>3</v>
      </c>
      <c r="H240">
        <v>500</v>
      </c>
      <c r="I240">
        <v>610</v>
      </c>
      <c r="J240">
        <v>4.21</v>
      </c>
      <c r="K240">
        <v>1752.9</v>
      </c>
      <c r="L240">
        <v>252.9</v>
      </c>
      <c r="M240">
        <v>7704.3</v>
      </c>
      <c r="N240">
        <v>1500</v>
      </c>
      <c r="O240">
        <v>14.427520109532773</v>
      </c>
      <c r="P240" t="s">
        <v>2076</v>
      </c>
      <c r="Q240" t="s">
        <v>2092</v>
      </c>
    </row>
    <row r="241" spans="1:17" x14ac:dyDescent="0.25">
      <c r="A241" t="s">
        <v>983</v>
      </c>
      <c r="B241" s="18">
        <v>45702</v>
      </c>
      <c r="C241" t="s">
        <v>2016</v>
      </c>
      <c r="D241" t="s">
        <v>2036</v>
      </c>
      <c r="E241" t="s">
        <v>2052</v>
      </c>
      <c r="F241" t="s">
        <v>2062</v>
      </c>
      <c r="G241">
        <v>1</v>
      </c>
      <c r="H241">
        <v>900</v>
      </c>
      <c r="I241">
        <v>1170</v>
      </c>
      <c r="J241">
        <v>0</v>
      </c>
      <c r="K241">
        <v>1170</v>
      </c>
      <c r="L241">
        <v>270</v>
      </c>
      <c r="M241">
        <v>0</v>
      </c>
      <c r="N241">
        <v>900</v>
      </c>
      <c r="O241">
        <v>23.076923076923077</v>
      </c>
      <c r="P241" t="s">
        <v>2076</v>
      </c>
      <c r="Q241" t="s">
        <v>2092</v>
      </c>
    </row>
    <row r="242" spans="1:17" x14ac:dyDescent="0.25">
      <c r="A242" t="s">
        <v>1114</v>
      </c>
      <c r="B242" s="18">
        <v>45702</v>
      </c>
      <c r="C242" t="s">
        <v>2022</v>
      </c>
      <c r="D242" t="s">
        <v>2042</v>
      </c>
      <c r="E242" t="s">
        <v>2053</v>
      </c>
      <c r="F242" t="s">
        <v>2060</v>
      </c>
      <c r="G242">
        <v>3</v>
      </c>
      <c r="H242">
        <v>8500</v>
      </c>
      <c r="I242">
        <v>9520</v>
      </c>
      <c r="J242">
        <v>5.57</v>
      </c>
      <c r="K242">
        <v>26969.82</v>
      </c>
      <c r="L242">
        <v>1469.82</v>
      </c>
      <c r="M242">
        <v>159079.20000000001</v>
      </c>
      <c r="N242">
        <v>25500</v>
      </c>
      <c r="O242">
        <v>5.4498695208199388</v>
      </c>
      <c r="P242" t="s">
        <v>2076</v>
      </c>
      <c r="Q242" t="s">
        <v>2091</v>
      </c>
    </row>
    <row r="243" spans="1:17" x14ac:dyDescent="0.25">
      <c r="A243" t="s">
        <v>1316</v>
      </c>
      <c r="B243" s="18">
        <v>45702</v>
      </c>
      <c r="C243" t="s">
        <v>2021</v>
      </c>
      <c r="D243" t="s">
        <v>2041</v>
      </c>
      <c r="E243" t="s">
        <v>2056</v>
      </c>
      <c r="F243" t="s">
        <v>2060</v>
      </c>
      <c r="G243">
        <v>4</v>
      </c>
      <c r="H243">
        <v>300</v>
      </c>
      <c r="I243">
        <v>405</v>
      </c>
      <c r="J243">
        <v>7.99</v>
      </c>
      <c r="K243">
        <v>1490.61</v>
      </c>
      <c r="L243">
        <v>290.61</v>
      </c>
      <c r="M243">
        <v>12943.800000000001</v>
      </c>
      <c r="N243">
        <v>1200</v>
      </c>
      <c r="O243">
        <v>19.496045243222575</v>
      </c>
      <c r="P243" t="s">
        <v>2076</v>
      </c>
      <c r="Q243" t="s">
        <v>2092</v>
      </c>
    </row>
    <row r="244" spans="1:17" x14ac:dyDescent="0.25">
      <c r="A244" t="s">
        <v>1562</v>
      </c>
      <c r="B244" s="18">
        <v>45702</v>
      </c>
      <c r="C244" t="s">
        <v>2030</v>
      </c>
      <c r="D244" t="s">
        <v>2050</v>
      </c>
      <c r="E244" t="s">
        <v>2058</v>
      </c>
      <c r="F244" t="s">
        <v>2059</v>
      </c>
      <c r="G244">
        <v>9</v>
      </c>
      <c r="H244">
        <v>1800</v>
      </c>
      <c r="I244">
        <v>2124</v>
      </c>
      <c r="J244">
        <v>20.29</v>
      </c>
      <c r="K244">
        <v>15237.57</v>
      </c>
      <c r="L244">
        <v>-962.43</v>
      </c>
      <c r="M244">
        <v>387863.63999999996</v>
      </c>
      <c r="N244">
        <v>16200</v>
      </c>
      <c r="O244">
        <v>-6.3161645852980497</v>
      </c>
      <c r="P244" t="s">
        <v>2076</v>
      </c>
      <c r="Q244" t="s">
        <v>2093</v>
      </c>
    </row>
    <row r="245" spans="1:17" x14ac:dyDescent="0.25">
      <c r="A245" t="s">
        <v>810</v>
      </c>
      <c r="B245" s="18">
        <v>45703</v>
      </c>
      <c r="C245" t="s">
        <v>2022</v>
      </c>
      <c r="D245" t="s">
        <v>2042</v>
      </c>
      <c r="E245" t="s">
        <v>2053</v>
      </c>
      <c r="F245" t="s">
        <v>2062</v>
      </c>
      <c r="G245">
        <v>7</v>
      </c>
      <c r="H245">
        <v>8500</v>
      </c>
      <c r="I245">
        <v>9520</v>
      </c>
      <c r="J245">
        <v>17.86</v>
      </c>
      <c r="K245">
        <v>54740.9</v>
      </c>
      <c r="L245">
        <v>-4759.1000000000004</v>
      </c>
      <c r="M245">
        <v>1190190.3999999999</v>
      </c>
      <c r="N245">
        <v>59500</v>
      </c>
      <c r="O245">
        <v>-8.6938650990392929</v>
      </c>
      <c r="P245" t="s">
        <v>2076</v>
      </c>
      <c r="Q245" t="s">
        <v>2093</v>
      </c>
    </row>
    <row r="246" spans="1:17" x14ac:dyDescent="0.25">
      <c r="A246" t="s">
        <v>982</v>
      </c>
      <c r="B246" s="18">
        <v>45703</v>
      </c>
      <c r="C246" t="s">
        <v>2027</v>
      </c>
      <c r="D246" t="s">
        <v>2047</v>
      </c>
      <c r="E246" t="s">
        <v>2053</v>
      </c>
      <c r="F246" t="s">
        <v>2060</v>
      </c>
      <c r="G246">
        <v>10</v>
      </c>
      <c r="H246">
        <v>1100</v>
      </c>
      <c r="I246">
        <v>1298</v>
      </c>
      <c r="J246">
        <v>19.3</v>
      </c>
      <c r="K246">
        <v>10474.85</v>
      </c>
      <c r="L246">
        <v>-525.15</v>
      </c>
      <c r="M246">
        <v>250514</v>
      </c>
      <c r="N246">
        <v>11000</v>
      </c>
      <c r="O246">
        <v>-5.0134369465911206</v>
      </c>
      <c r="P246" t="s">
        <v>2076</v>
      </c>
      <c r="Q246" t="s">
        <v>2093</v>
      </c>
    </row>
    <row r="247" spans="1:17" x14ac:dyDescent="0.25">
      <c r="A247" t="s">
        <v>1206</v>
      </c>
      <c r="B247" s="18">
        <v>45703</v>
      </c>
      <c r="C247" t="s">
        <v>2029</v>
      </c>
      <c r="D247" t="s">
        <v>2049</v>
      </c>
      <c r="E247" t="s">
        <v>2055</v>
      </c>
      <c r="F247" t="s">
        <v>2061</v>
      </c>
      <c r="G247">
        <v>10</v>
      </c>
      <c r="H247">
        <v>1200</v>
      </c>
      <c r="I247">
        <v>1464</v>
      </c>
      <c r="J247">
        <v>11.06</v>
      </c>
      <c r="K247">
        <v>13020.7</v>
      </c>
      <c r="L247">
        <v>1020.7</v>
      </c>
      <c r="M247">
        <v>161918.39999999999</v>
      </c>
      <c r="N247">
        <v>12000</v>
      </c>
      <c r="O247">
        <v>7.8390562719362249</v>
      </c>
      <c r="P247" t="s">
        <v>2076</v>
      </c>
      <c r="Q247" t="s">
        <v>2091</v>
      </c>
    </row>
    <row r="248" spans="1:17" x14ac:dyDescent="0.25">
      <c r="A248" t="s">
        <v>1501</v>
      </c>
      <c r="B248" s="18">
        <v>45703</v>
      </c>
      <c r="C248" t="s">
        <v>2022</v>
      </c>
      <c r="D248" t="s">
        <v>2042</v>
      </c>
      <c r="E248" t="s">
        <v>2053</v>
      </c>
      <c r="F248" t="s">
        <v>2060</v>
      </c>
      <c r="G248">
        <v>4</v>
      </c>
      <c r="H248">
        <v>8500</v>
      </c>
      <c r="I248">
        <v>9520</v>
      </c>
      <c r="J248">
        <v>25.35</v>
      </c>
      <c r="K248">
        <v>28428.29</v>
      </c>
      <c r="L248">
        <v>-5571.71</v>
      </c>
      <c r="M248">
        <v>965328</v>
      </c>
      <c r="N248">
        <v>34000</v>
      </c>
      <c r="O248">
        <v>-19.599173921470477</v>
      </c>
      <c r="P248" t="s">
        <v>2076</v>
      </c>
      <c r="Q248" t="s">
        <v>2093</v>
      </c>
    </row>
    <row r="249" spans="1:17" x14ac:dyDescent="0.25">
      <c r="A249" t="s">
        <v>1629</v>
      </c>
      <c r="B249" s="18">
        <v>45703</v>
      </c>
      <c r="C249" t="s">
        <v>2021</v>
      </c>
      <c r="D249" t="s">
        <v>2041</v>
      </c>
      <c r="E249" t="s">
        <v>2056</v>
      </c>
      <c r="F249" t="s">
        <v>2061</v>
      </c>
      <c r="G249">
        <v>3</v>
      </c>
      <c r="H249">
        <v>300</v>
      </c>
      <c r="I249">
        <v>405</v>
      </c>
      <c r="J249">
        <v>9.94</v>
      </c>
      <c r="K249">
        <v>1094.24</v>
      </c>
      <c r="L249">
        <v>194.24</v>
      </c>
      <c r="M249">
        <v>12077.099999999999</v>
      </c>
      <c r="N249">
        <v>900</v>
      </c>
      <c r="O249">
        <v>17.751133206609154</v>
      </c>
      <c r="P249" t="s">
        <v>2076</v>
      </c>
      <c r="Q249" t="s">
        <v>2092</v>
      </c>
    </row>
    <row r="250" spans="1:17" x14ac:dyDescent="0.25">
      <c r="A250" t="s">
        <v>1802</v>
      </c>
      <c r="B250" s="18">
        <v>45703</v>
      </c>
      <c r="C250" t="s">
        <v>2029</v>
      </c>
      <c r="D250" t="s">
        <v>2049</v>
      </c>
      <c r="E250" t="s">
        <v>2055</v>
      </c>
      <c r="F250" t="s">
        <v>2059</v>
      </c>
      <c r="G250">
        <v>2</v>
      </c>
      <c r="H250">
        <v>1200</v>
      </c>
      <c r="I250">
        <v>1464</v>
      </c>
      <c r="J250">
        <v>15.54</v>
      </c>
      <c r="K250">
        <v>2472.88</v>
      </c>
      <c r="L250">
        <v>72.88</v>
      </c>
      <c r="M250">
        <v>45501.119999999995</v>
      </c>
      <c r="N250">
        <v>2400</v>
      </c>
      <c r="O250">
        <v>2.9471709100320274</v>
      </c>
      <c r="P250" t="s">
        <v>2076</v>
      </c>
      <c r="Q250" t="s">
        <v>2091</v>
      </c>
    </row>
    <row r="251" spans="1:17" x14ac:dyDescent="0.25">
      <c r="A251" t="s">
        <v>487</v>
      </c>
      <c r="B251" s="18">
        <v>45704</v>
      </c>
      <c r="C251" t="s">
        <v>2017</v>
      </c>
      <c r="D251" t="s">
        <v>2037</v>
      </c>
      <c r="E251" t="s">
        <v>2055</v>
      </c>
      <c r="F251" t="s">
        <v>2061</v>
      </c>
      <c r="G251">
        <v>3</v>
      </c>
      <c r="H251">
        <v>2500</v>
      </c>
      <c r="I251">
        <v>2875</v>
      </c>
      <c r="J251">
        <v>0</v>
      </c>
      <c r="K251">
        <v>8625</v>
      </c>
      <c r="L251">
        <v>1125</v>
      </c>
      <c r="M251">
        <v>0</v>
      </c>
      <c r="N251">
        <v>7500</v>
      </c>
      <c r="O251">
        <v>13.043478260869565</v>
      </c>
      <c r="P251" t="s">
        <v>2076</v>
      </c>
      <c r="Q251" t="s">
        <v>2092</v>
      </c>
    </row>
    <row r="252" spans="1:17" x14ac:dyDescent="0.25">
      <c r="A252" t="s">
        <v>489</v>
      </c>
      <c r="B252" s="18">
        <v>45704</v>
      </c>
      <c r="C252" t="s">
        <v>2028</v>
      </c>
      <c r="D252" t="s">
        <v>2048</v>
      </c>
      <c r="E252" t="s">
        <v>2057</v>
      </c>
      <c r="F252" t="s">
        <v>2059</v>
      </c>
      <c r="G252">
        <v>8</v>
      </c>
      <c r="H252">
        <v>80</v>
      </c>
      <c r="I252">
        <v>116</v>
      </c>
      <c r="J252">
        <v>16.97</v>
      </c>
      <c r="K252">
        <v>770.48</v>
      </c>
      <c r="L252">
        <v>130.47999999999999</v>
      </c>
      <c r="M252">
        <v>15748.16</v>
      </c>
      <c r="N252">
        <v>640</v>
      </c>
      <c r="O252">
        <v>16.934897726092824</v>
      </c>
      <c r="P252" t="s">
        <v>2076</v>
      </c>
      <c r="Q252" t="s">
        <v>2092</v>
      </c>
    </row>
    <row r="253" spans="1:17" x14ac:dyDescent="0.25">
      <c r="A253" t="s">
        <v>681</v>
      </c>
      <c r="B253" s="18">
        <v>45704</v>
      </c>
      <c r="C253" t="s">
        <v>2020</v>
      </c>
      <c r="D253" t="s">
        <v>2040</v>
      </c>
      <c r="E253" t="s">
        <v>2053</v>
      </c>
      <c r="F253" t="s">
        <v>2061</v>
      </c>
      <c r="G253">
        <v>8</v>
      </c>
      <c r="H253">
        <v>350</v>
      </c>
      <c r="I253">
        <v>455</v>
      </c>
      <c r="J253">
        <v>6.02</v>
      </c>
      <c r="K253">
        <v>3420.75</v>
      </c>
      <c r="L253">
        <v>620.75</v>
      </c>
      <c r="M253">
        <v>21912.799999999999</v>
      </c>
      <c r="N253">
        <v>2800</v>
      </c>
      <c r="O253">
        <v>18.146605276620626</v>
      </c>
      <c r="P253" t="s">
        <v>2076</v>
      </c>
      <c r="Q253" t="s">
        <v>2092</v>
      </c>
    </row>
    <row r="254" spans="1:17" x14ac:dyDescent="0.25">
      <c r="A254" t="s">
        <v>776</v>
      </c>
      <c r="B254" s="18">
        <v>45704</v>
      </c>
      <c r="C254" t="s">
        <v>2028</v>
      </c>
      <c r="D254" t="s">
        <v>2048</v>
      </c>
      <c r="E254" t="s">
        <v>2057</v>
      </c>
      <c r="F254" t="s">
        <v>2059</v>
      </c>
      <c r="G254">
        <v>1</v>
      </c>
      <c r="H254">
        <v>80</v>
      </c>
      <c r="I254">
        <v>116</v>
      </c>
      <c r="J254">
        <v>10.51</v>
      </c>
      <c r="K254">
        <v>103.81</v>
      </c>
      <c r="L254">
        <v>23.81</v>
      </c>
      <c r="M254">
        <v>1219.1600000000001</v>
      </c>
      <c r="N254">
        <v>80</v>
      </c>
      <c r="O254">
        <v>22.936133320489354</v>
      </c>
      <c r="P254" t="s">
        <v>2076</v>
      </c>
      <c r="Q254" t="s">
        <v>2092</v>
      </c>
    </row>
    <row r="255" spans="1:17" x14ac:dyDescent="0.25">
      <c r="A255" t="s">
        <v>896</v>
      </c>
      <c r="B255" s="18">
        <v>45704</v>
      </c>
      <c r="C255" t="s">
        <v>2012</v>
      </c>
      <c r="D255" t="s">
        <v>2032</v>
      </c>
      <c r="E255" t="s">
        <v>2052</v>
      </c>
      <c r="F255" t="s">
        <v>2061</v>
      </c>
      <c r="G255">
        <v>5</v>
      </c>
      <c r="H255">
        <v>6500</v>
      </c>
      <c r="I255">
        <v>8125</v>
      </c>
      <c r="J255">
        <v>18.579999999999998</v>
      </c>
      <c r="K255">
        <v>33076.160000000003</v>
      </c>
      <c r="L255">
        <v>576.16</v>
      </c>
      <c r="M255">
        <v>754812.49999999988</v>
      </c>
      <c r="N255">
        <v>32500</v>
      </c>
      <c r="O255">
        <v>1.7419192554395673</v>
      </c>
      <c r="P255" t="s">
        <v>2076</v>
      </c>
      <c r="Q255" t="s">
        <v>2091</v>
      </c>
    </row>
    <row r="256" spans="1:17" x14ac:dyDescent="0.25">
      <c r="A256" t="s">
        <v>1093</v>
      </c>
      <c r="B256" s="18">
        <v>45704</v>
      </c>
      <c r="C256" t="s">
        <v>2025</v>
      </c>
      <c r="D256" t="s">
        <v>2045</v>
      </c>
      <c r="E256" t="s">
        <v>2057</v>
      </c>
      <c r="F256" t="s">
        <v>2062</v>
      </c>
      <c r="G256">
        <v>7</v>
      </c>
      <c r="H256">
        <v>45</v>
      </c>
      <c r="I256">
        <v>63</v>
      </c>
      <c r="J256">
        <v>8.8699999999999992</v>
      </c>
      <c r="K256">
        <v>401.87</v>
      </c>
      <c r="L256">
        <v>86.87</v>
      </c>
      <c r="M256">
        <v>3911.6699999999996</v>
      </c>
      <c r="N256">
        <v>315</v>
      </c>
      <c r="O256">
        <v>21.616443128374847</v>
      </c>
      <c r="P256" t="s">
        <v>2076</v>
      </c>
      <c r="Q256" t="s">
        <v>2092</v>
      </c>
    </row>
    <row r="257" spans="1:17" x14ac:dyDescent="0.25">
      <c r="A257" t="s">
        <v>1198</v>
      </c>
      <c r="B257" s="18">
        <v>45704</v>
      </c>
      <c r="C257" t="s">
        <v>2024</v>
      </c>
      <c r="D257" t="s">
        <v>2044</v>
      </c>
      <c r="E257" t="s">
        <v>2055</v>
      </c>
      <c r="F257" t="s">
        <v>2062</v>
      </c>
      <c r="G257">
        <v>4</v>
      </c>
      <c r="H257">
        <v>180</v>
      </c>
      <c r="I257">
        <v>243</v>
      </c>
      <c r="J257">
        <v>9.7899999999999991</v>
      </c>
      <c r="K257">
        <v>876.87</v>
      </c>
      <c r="L257">
        <v>156.87</v>
      </c>
      <c r="M257">
        <v>9515.8799999999992</v>
      </c>
      <c r="N257">
        <v>720</v>
      </c>
      <c r="O257">
        <v>17.889767012213898</v>
      </c>
      <c r="P257" t="s">
        <v>2076</v>
      </c>
      <c r="Q257" t="s">
        <v>2092</v>
      </c>
    </row>
    <row r="258" spans="1:17" x14ac:dyDescent="0.25">
      <c r="A258" t="s">
        <v>1610</v>
      </c>
      <c r="B258" s="18">
        <v>45704</v>
      </c>
      <c r="C258" t="s">
        <v>2018</v>
      </c>
      <c r="D258" t="s">
        <v>2038</v>
      </c>
      <c r="E258" t="s">
        <v>2053</v>
      </c>
      <c r="F258" t="s">
        <v>2062</v>
      </c>
      <c r="G258">
        <v>7</v>
      </c>
      <c r="H258">
        <v>500</v>
      </c>
      <c r="I258">
        <v>610</v>
      </c>
      <c r="J258">
        <v>4.49</v>
      </c>
      <c r="K258">
        <v>4078.46</v>
      </c>
      <c r="L258">
        <v>578.46</v>
      </c>
      <c r="M258">
        <v>19172.3</v>
      </c>
      <c r="N258">
        <v>3500</v>
      </c>
      <c r="O258">
        <v>14.183294674950838</v>
      </c>
      <c r="P258" t="s">
        <v>2076</v>
      </c>
      <c r="Q258" t="s">
        <v>2092</v>
      </c>
    </row>
    <row r="259" spans="1:17" x14ac:dyDescent="0.25">
      <c r="A259" t="s">
        <v>1858</v>
      </c>
      <c r="B259" s="18">
        <v>45704</v>
      </c>
      <c r="C259" t="s">
        <v>2020</v>
      </c>
      <c r="D259" t="s">
        <v>2040</v>
      </c>
      <c r="E259" t="s">
        <v>2053</v>
      </c>
      <c r="F259" t="s">
        <v>2061</v>
      </c>
      <c r="G259">
        <v>3</v>
      </c>
      <c r="H259">
        <v>350</v>
      </c>
      <c r="I259">
        <v>455</v>
      </c>
      <c r="J259">
        <v>12.55</v>
      </c>
      <c r="K259">
        <v>1193.69</v>
      </c>
      <c r="L259">
        <v>143.69</v>
      </c>
      <c r="M259">
        <v>17130.75</v>
      </c>
      <c r="N259">
        <v>1050</v>
      </c>
      <c r="O259">
        <v>12.037463663095108</v>
      </c>
      <c r="P259" t="s">
        <v>2076</v>
      </c>
      <c r="Q259" t="s">
        <v>2092</v>
      </c>
    </row>
    <row r="260" spans="1:17" x14ac:dyDescent="0.25">
      <c r="A260" t="s">
        <v>1991</v>
      </c>
      <c r="B260" s="18">
        <v>45704</v>
      </c>
      <c r="C260" t="s">
        <v>2018</v>
      </c>
      <c r="D260" t="s">
        <v>2038</v>
      </c>
      <c r="E260" t="s">
        <v>2053</v>
      </c>
      <c r="F260" t="s">
        <v>2061</v>
      </c>
      <c r="G260">
        <v>7</v>
      </c>
      <c r="H260">
        <v>500</v>
      </c>
      <c r="I260">
        <v>610</v>
      </c>
      <c r="J260">
        <v>5.58</v>
      </c>
      <c r="K260">
        <v>4031.78</v>
      </c>
      <c r="L260">
        <v>531.78</v>
      </c>
      <c r="M260">
        <v>23826.6</v>
      </c>
      <c r="N260">
        <v>3500</v>
      </c>
      <c r="O260">
        <v>13.189707771753417</v>
      </c>
      <c r="P260" t="s">
        <v>2076</v>
      </c>
      <c r="Q260" t="s">
        <v>2092</v>
      </c>
    </row>
    <row r="261" spans="1:17" x14ac:dyDescent="0.25">
      <c r="A261" t="s">
        <v>230</v>
      </c>
      <c r="B261" s="18">
        <v>45705</v>
      </c>
      <c r="C261" t="s">
        <v>2026</v>
      </c>
      <c r="D261" t="s">
        <v>2046</v>
      </c>
      <c r="E261" t="s">
        <v>2052</v>
      </c>
      <c r="F261" t="s">
        <v>2061</v>
      </c>
      <c r="G261">
        <v>7</v>
      </c>
      <c r="H261">
        <v>3000</v>
      </c>
      <c r="I261">
        <v>3600</v>
      </c>
      <c r="J261">
        <v>11.19</v>
      </c>
      <c r="K261">
        <v>22378.99</v>
      </c>
      <c r="L261">
        <v>1378.99</v>
      </c>
      <c r="M261">
        <v>281988</v>
      </c>
      <c r="N261">
        <v>21000</v>
      </c>
      <c r="O261">
        <v>6.1619849689373822</v>
      </c>
      <c r="P261" t="s">
        <v>2076</v>
      </c>
      <c r="Q261" t="s">
        <v>2091</v>
      </c>
    </row>
    <row r="262" spans="1:17" x14ac:dyDescent="0.25">
      <c r="A262" t="s">
        <v>1080</v>
      </c>
      <c r="B262" s="18">
        <v>45705</v>
      </c>
      <c r="C262" t="s">
        <v>2020</v>
      </c>
      <c r="D262" t="s">
        <v>2040</v>
      </c>
      <c r="E262" t="s">
        <v>2053</v>
      </c>
      <c r="F262" t="s">
        <v>2059</v>
      </c>
      <c r="G262">
        <v>1</v>
      </c>
      <c r="H262">
        <v>350</v>
      </c>
      <c r="I262">
        <v>455</v>
      </c>
      <c r="J262">
        <v>9.14</v>
      </c>
      <c r="K262">
        <v>413.43</v>
      </c>
      <c r="L262">
        <v>63.43</v>
      </c>
      <c r="M262">
        <v>4158.7</v>
      </c>
      <c r="N262">
        <v>350</v>
      </c>
      <c r="O262">
        <v>15.342379604769851</v>
      </c>
      <c r="P262" t="s">
        <v>2076</v>
      </c>
      <c r="Q262" t="s">
        <v>2092</v>
      </c>
    </row>
    <row r="263" spans="1:17" x14ac:dyDescent="0.25">
      <c r="A263" t="s">
        <v>1237</v>
      </c>
      <c r="B263" s="18">
        <v>45705</v>
      </c>
      <c r="C263" t="s">
        <v>2025</v>
      </c>
      <c r="D263" t="s">
        <v>2045</v>
      </c>
      <c r="E263" t="s">
        <v>2057</v>
      </c>
      <c r="F263" t="s">
        <v>2061</v>
      </c>
      <c r="G263">
        <v>2</v>
      </c>
      <c r="H263">
        <v>45</v>
      </c>
      <c r="I263">
        <v>63</v>
      </c>
      <c r="J263">
        <v>10.97</v>
      </c>
      <c r="K263">
        <v>112.18</v>
      </c>
      <c r="L263">
        <v>22.18</v>
      </c>
      <c r="M263">
        <v>1382.22</v>
      </c>
      <c r="N263">
        <v>90</v>
      </c>
      <c r="O263">
        <v>19.771795328935639</v>
      </c>
      <c r="P263" t="s">
        <v>2076</v>
      </c>
      <c r="Q263" t="s">
        <v>2092</v>
      </c>
    </row>
    <row r="264" spans="1:17" x14ac:dyDescent="0.25">
      <c r="A264" t="s">
        <v>1660</v>
      </c>
      <c r="B264" s="18">
        <v>45705</v>
      </c>
      <c r="C264" t="s">
        <v>2018</v>
      </c>
      <c r="D264" t="s">
        <v>2038</v>
      </c>
      <c r="E264" t="s">
        <v>2053</v>
      </c>
      <c r="F264" t="s">
        <v>2060</v>
      </c>
      <c r="G264">
        <v>5</v>
      </c>
      <c r="H264">
        <v>500</v>
      </c>
      <c r="I264">
        <v>610</v>
      </c>
      <c r="J264">
        <v>16.420000000000002</v>
      </c>
      <c r="K264">
        <v>2549.12</v>
      </c>
      <c r="L264">
        <v>49.12</v>
      </c>
      <c r="M264">
        <v>50081.000000000007</v>
      </c>
      <c r="N264">
        <v>2500</v>
      </c>
      <c r="O264">
        <v>1.9269394928445895</v>
      </c>
      <c r="P264" t="s">
        <v>2076</v>
      </c>
      <c r="Q264" t="s">
        <v>2091</v>
      </c>
    </row>
    <row r="265" spans="1:17" x14ac:dyDescent="0.25">
      <c r="A265" t="s">
        <v>1881</v>
      </c>
      <c r="B265" s="18">
        <v>45705</v>
      </c>
      <c r="C265" t="s">
        <v>2018</v>
      </c>
      <c r="D265" t="s">
        <v>2038</v>
      </c>
      <c r="E265" t="s">
        <v>2053</v>
      </c>
      <c r="F265" t="s">
        <v>2062</v>
      </c>
      <c r="G265">
        <v>7</v>
      </c>
      <c r="H265">
        <v>500</v>
      </c>
      <c r="I265">
        <v>610</v>
      </c>
      <c r="J265">
        <v>8.6</v>
      </c>
      <c r="K265">
        <v>3902.78</v>
      </c>
      <c r="L265">
        <v>402.78</v>
      </c>
      <c r="M265">
        <v>36722</v>
      </c>
      <c r="N265">
        <v>3500</v>
      </c>
      <c r="O265">
        <v>10.32033576066291</v>
      </c>
      <c r="P265" t="s">
        <v>2076</v>
      </c>
      <c r="Q265" t="s">
        <v>2092</v>
      </c>
    </row>
    <row r="266" spans="1:17" x14ac:dyDescent="0.25">
      <c r="A266" t="s">
        <v>79</v>
      </c>
      <c r="B266" s="18">
        <v>45706</v>
      </c>
      <c r="C266" t="s">
        <v>2026</v>
      </c>
      <c r="D266" t="s">
        <v>2046</v>
      </c>
      <c r="E266" t="s">
        <v>2052</v>
      </c>
      <c r="F266" t="s">
        <v>2060</v>
      </c>
      <c r="G266">
        <v>7</v>
      </c>
      <c r="H266">
        <v>3000</v>
      </c>
      <c r="I266">
        <v>3600</v>
      </c>
      <c r="J266">
        <v>19.989999999999998</v>
      </c>
      <c r="K266">
        <v>20162.48</v>
      </c>
      <c r="L266">
        <v>-837.52</v>
      </c>
      <c r="M266">
        <v>503747.99999999994</v>
      </c>
      <c r="N266">
        <v>21000</v>
      </c>
      <c r="O266">
        <v>-4.1538540893778935</v>
      </c>
      <c r="P266" t="s">
        <v>2076</v>
      </c>
      <c r="Q266" t="s">
        <v>2093</v>
      </c>
    </row>
    <row r="267" spans="1:17" x14ac:dyDescent="0.25">
      <c r="A267" t="s">
        <v>286</v>
      </c>
      <c r="B267" s="18">
        <v>45706</v>
      </c>
      <c r="C267" t="s">
        <v>2016</v>
      </c>
      <c r="D267" t="s">
        <v>2036</v>
      </c>
      <c r="E267" t="s">
        <v>2052</v>
      </c>
      <c r="F267" t="s">
        <v>2060</v>
      </c>
      <c r="G267">
        <v>7</v>
      </c>
      <c r="H267">
        <v>900</v>
      </c>
      <c r="I267">
        <v>1170</v>
      </c>
      <c r="J267">
        <v>2.39</v>
      </c>
      <c r="K267">
        <v>7993.96</v>
      </c>
      <c r="L267">
        <v>1693.96</v>
      </c>
      <c r="M267">
        <v>19574.100000000002</v>
      </c>
      <c r="N267">
        <v>6300</v>
      </c>
      <c r="O267">
        <v>21.190498826614093</v>
      </c>
      <c r="P267" t="s">
        <v>2076</v>
      </c>
      <c r="Q267" t="s">
        <v>2092</v>
      </c>
    </row>
    <row r="268" spans="1:17" x14ac:dyDescent="0.25">
      <c r="A268" t="s">
        <v>516</v>
      </c>
      <c r="B268" s="18">
        <v>45706</v>
      </c>
      <c r="C268" t="s">
        <v>2021</v>
      </c>
      <c r="D268" t="s">
        <v>2041</v>
      </c>
      <c r="E268" t="s">
        <v>2056</v>
      </c>
      <c r="F268" t="s">
        <v>2062</v>
      </c>
      <c r="G268">
        <v>6</v>
      </c>
      <c r="H268">
        <v>300</v>
      </c>
      <c r="I268">
        <v>405</v>
      </c>
      <c r="J268">
        <v>11.76</v>
      </c>
      <c r="K268">
        <v>2144.15</v>
      </c>
      <c r="L268">
        <v>344.15</v>
      </c>
      <c r="M268">
        <v>28576.799999999999</v>
      </c>
      <c r="N268">
        <v>1800</v>
      </c>
      <c r="O268">
        <v>16.050649441503626</v>
      </c>
      <c r="P268" t="s">
        <v>2076</v>
      </c>
      <c r="Q268" t="s">
        <v>2092</v>
      </c>
    </row>
    <row r="269" spans="1:17" x14ac:dyDescent="0.25">
      <c r="A269" t="s">
        <v>639</v>
      </c>
      <c r="B269" s="18">
        <v>45706</v>
      </c>
      <c r="C269" t="s">
        <v>2025</v>
      </c>
      <c r="D269" t="s">
        <v>2045</v>
      </c>
      <c r="E269" t="s">
        <v>2057</v>
      </c>
      <c r="F269" t="s">
        <v>2061</v>
      </c>
      <c r="G269">
        <v>5</v>
      </c>
      <c r="H269">
        <v>45</v>
      </c>
      <c r="I269">
        <v>63</v>
      </c>
      <c r="J269">
        <v>4.32</v>
      </c>
      <c r="K269">
        <v>301.39999999999998</v>
      </c>
      <c r="L269">
        <v>76.400000000000006</v>
      </c>
      <c r="M269">
        <v>1360.8000000000002</v>
      </c>
      <c r="N269">
        <v>225</v>
      </c>
      <c r="O269">
        <v>25.348374253483748</v>
      </c>
      <c r="P269" t="s">
        <v>2076</v>
      </c>
      <c r="Q269" t="s">
        <v>2092</v>
      </c>
    </row>
    <row r="270" spans="1:17" x14ac:dyDescent="0.25">
      <c r="A270" t="s">
        <v>948</v>
      </c>
      <c r="B270" s="18">
        <v>45706</v>
      </c>
      <c r="C270" t="s">
        <v>2018</v>
      </c>
      <c r="D270" t="s">
        <v>2038</v>
      </c>
      <c r="E270" t="s">
        <v>2053</v>
      </c>
      <c r="F270" t="s">
        <v>2062</v>
      </c>
      <c r="G270">
        <v>7</v>
      </c>
      <c r="H270">
        <v>500</v>
      </c>
      <c r="I270">
        <v>610</v>
      </c>
      <c r="J270">
        <v>6.57</v>
      </c>
      <c r="K270">
        <v>3989.53</v>
      </c>
      <c r="L270">
        <v>489.53</v>
      </c>
      <c r="M270">
        <v>28053.9</v>
      </c>
      <c r="N270">
        <v>3500</v>
      </c>
      <c r="O270">
        <v>12.270367687421825</v>
      </c>
      <c r="P270" t="s">
        <v>2076</v>
      </c>
      <c r="Q270" t="s">
        <v>2092</v>
      </c>
    </row>
    <row r="271" spans="1:17" x14ac:dyDescent="0.25">
      <c r="A271" t="s">
        <v>1054</v>
      </c>
      <c r="B271" s="18">
        <v>45706</v>
      </c>
      <c r="C271" t="s">
        <v>2022</v>
      </c>
      <c r="D271" t="s">
        <v>2042</v>
      </c>
      <c r="E271" t="s">
        <v>2053</v>
      </c>
      <c r="F271" t="s">
        <v>2062</v>
      </c>
      <c r="G271">
        <v>7</v>
      </c>
      <c r="H271">
        <v>8500</v>
      </c>
      <c r="I271">
        <v>9520</v>
      </c>
      <c r="J271">
        <v>18.670000000000002</v>
      </c>
      <c r="K271">
        <v>54196.54</v>
      </c>
      <c r="L271">
        <v>-5303.46</v>
      </c>
      <c r="M271">
        <v>1244168.8</v>
      </c>
      <c r="N271">
        <v>59500</v>
      </c>
      <c r="O271">
        <v>-9.7856062398079278</v>
      </c>
      <c r="P271" t="s">
        <v>2076</v>
      </c>
      <c r="Q271" t="s">
        <v>2093</v>
      </c>
    </row>
    <row r="272" spans="1:17" x14ac:dyDescent="0.25">
      <c r="A272" t="s">
        <v>1386</v>
      </c>
      <c r="B272" s="18">
        <v>45706</v>
      </c>
      <c r="C272" t="s">
        <v>2026</v>
      </c>
      <c r="D272" t="s">
        <v>2046</v>
      </c>
      <c r="E272" t="s">
        <v>2052</v>
      </c>
      <c r="F272" t="s">
        <v>2061</v>
      </c>
      <c r="G272">
        <v>3</v>
      </c>
      <c r="H272">
        <v>3000</v>
      </c>
      <c r="I272">
        <v>3600</v>
      </c>
      <c r="J272">
        <v>13.74</v>
      </c>
      <c r="K272">
        <v>9316.35</v>
      </c>
      <c r="L272">
        <v>316.35000000000002</v>
      </c>
      <c r="M272">
        <v>148392</v>
      </c>
      <c r="N272">
        <v>9000</v>
      </c>
      <c r="O272">
        <v>3.3956431435057723</v>
      </c>
      <c r="P272" t="s">
        <v>2076</v>
      </c>
      <c r="Q272" t="s">
        <v>2091</v>
      </c>
    </row>
    <row r="273" spans="1:17" x14ac:dyDescent="0.25">
      <c r="A273" t="s">
        <v>1492</v>
      </c>
      <c r="B273" s="18">
        <v>45706</v>
      </c>
      <c r="C273" t="s">
        <v>2013</v>
      </c>
      <c r="D273" t="s">
        <v>2033</v>
      </c>
      <c r="E273" t="s">
        <v>2053</v>
      </c>
      <c r="F273" t="s">
        <v>2060</v>
      </c>
      <c r="G273">
        <v>2</v>
      </c>
      <c r="H273">
        <v>6500</v>
      </c>
      <c r="I273">
        <v>7150</v>
      </c>
      <c r="J273">
        <v>4</v>
      </c>
      <c r="K273">
        <v>13728</v>
      </c>
      <c r="L273">
        <v>728</v>
      </c>
      <c r="M273">
        <v>57200</v>
      </c>
      <c r="N273">
        <v>13000</v>
      </c>
      <c r="O273">
        <v>5.3030303030303028</v>
      </c>
      <c r="P273" t="s">
        <v>2076</v>
      </c>
      <c r="Q273" t="s">
        <v>2091</v>
      </c>
    </row>
    <row r="274" spans="1:17" x14ac:dyDescent="0.25">
      <c r="A274" t="s">
        <v>1603</v>
      </c>
      <c r="B274" s="18">
        <v>45706</v>
      </c>
      <c r="C274" t="s">
        <v>2029</v>
      </c>
      <c r="D274" t="s">
        <v>2049</v>
      </c>
      <c r="E274" t="s">
        <v>2055</v>
      </c>
      <c r="F274" t="s">
        <v>2062</v>
      </c>
      <c r="G274">
        <v>6</v>
      </c>
      <c r="H274">
        <v>1200</v>
      </c>
      <c r="I274">
        <v>1464</v>
      </c>
      <c r="J274">
        <v>19.5</v>
      </c>
      <c r="K274">
        <v>7071.56</v>
      </c>
      <c r="L274">
        <v>-128.44</v>
      </c>
      <c r="M274">
        <v>171288</v>
      </c>
      <c r="N274">
        <v>7200</v>
      </c>
      <c r="O274">
        <v>-1.8162894750238985</v>
      </c>
      <c r="P274" t="s">
        <v>2076</v>
      </c>
      <c r="Q274" t="s">
        <v>2093</v>
      </c>
    </row>
    <row r="275" spans="1:17" x14ac:dyDescent="0.25">
      <c r="A275" t="s">
        <v>1917</v>
      </c>
      <c r="B275" s="18">
        <v>45706</v>
      </c>
      <c r="C275" t="s">
        <v>2031</v>
      </c>
      <c r="D275" t="s">
        <v>2051</v>
      </c>
      <c r="E275" t="s">
        <v>2058</v>
      </c>
      <c r="F275" t="s">
        <v>2060</v>
      </c>
      <c r="G275">
        <v>1</v>
      </c>
      <c r="H275">
        <v>3200</v>
      </c>
      <c r="I275">
        <v>3840</v>
      </c>
      <c r="J275">
        <v>10.61</v>
      </c>
      <c r="K275">
        <v>3432.57</v>
      </c>
      <c r="L275">
        <v>232.57</v>
      </c>
      <c r="M275">
        <v>40742.399999999994</v>
      </c>
      <c r="N275">
        <v>3200</v>
      </c>
      <c r="O275">
        <v>6.7753898682328391</v>
      </c>
      <c r="P275" t="s">
        <v>2076</v>
      </c>
      <c r="Q275" t="s">
        <v>2091</v>
      </c>
    </row>
    <row r="276" spans="1:17" x14ac:dyDescent="0.25">
      <c r="A276" t="s">
        <v>357</v>
      </c>
      <c r="B276" s="18">
        <v>45707</v>
      </c>
      <c r="C276" t="s">
        <v>2021</v>
      </c>
      <c r="D276" t="s">
        <v>2041</v>
      </c>
      <c r="E276" t="s">
        <v>2056</v>
      </c>
      <c r="F276" t="s">
        <v>2061</v>
      </c>
      <c r="G276">
        <v>9</v>
      </c>
      <c r="H276">
        <v>300</v>
      </c>
      <c r="I276">
        <v>405</v>
      </c>
      <c r="J276">
        <v>12.27</v>
      </c>
      <c r="K276">
        <v>3197.91</v>
      </c>
      <c r="L276">
        <v>497.91</v>
      </c>
      <c r="M276">
        <v>44724.15</v>
      </c>
      <c r="N276">
        <v>2700</v>
      </c>
      <c r="O276">
        <v>15.569856562567427</v>
      </c>
      <c r="P276" t="s">
        <v>2076</v>
      </c>
      <c r="Q276" t="s">
        <v>2092</v>
      </c>
    </row>
    <row r="277" spans="1:17" x14ac:dyDescent="0.25">
      <c r="A277" t="s">
        <v>499</v>
      </c>
      <c r="B277" s="18">
        <v>45707</v>
      </c>
      <c r="C277" t="s">
        <v>2013</v>
      </c>
      <c r="D277" t="s">
        <v>2033</v>
      </c>
      <c r="E277" t="s">
        <v>2053</v>
      </c>
      <c r="F277" t="s">
        <v>2062</v>
      </c>
      <c r="G277">
        <v>1</v>
      </c>
      <c r="H277">
        <v>6500</v>
      </c>
      <c r="I277">
        <v>7150</v>
      </c>
      <c r="J277">
        <v>12.97</v>
      </c>
      <c r="K277">
        <v>6222.93</v>
      </c>
      <c r="L277">
        <v>-277.07</v>
      </c>
      <c r="M277">
        <v>92735.5</v>
      </c>
      <c r="N277">
        <v>6500</v>
      </c>
      <c r="O277">
        <v>-4.4524042533019008</v>
      </c>
      <c r="P277" t="s">
        <v>2076</v>
      </c>
      <c r="Q277" t="s">
        <v>2093</v>
      </c>
    </row>
    <row r="278" spans="1:17" x14ac:dyDescent="0.25">
      <c r="A278" t="s">
        <v>877</v>
      </c>
      <c r="B278" s="18">
        <v>45707</v>
      </c>
      <c r="C278" t="s">
        <v>2019</v>
      </c>
      <c r="D278" t="s">
        <v>2039</v>
      </c>
      <c r="E278" t="s">
        <v>2053</v>
      </c>
      <c r="F278" t="s">
        <v>2059</v>
      </c>
      <c r="G278">
        <v>6</v>
      </c>
      <c r="H278">
        <v>900</v>
      </c>
      <c r="I278">
        <v>1152</v>
      </c>
      <c r="J278">
        <v>2.37</v>
      </c>
      <c r="K278">
        <v>6748.27</v>
      </c>
      <c r="L278">
        <v>1348.27</v>
      </c>
      <c r="M278">
        <v>16381.44</v>
      </c>
      <c r="N278">
        <v>5400</v>
      </c>
      <c r="O278">
        <v>19.979491039925787</v>
      </c>
      <c r="P278" t="s">
        <v>2076</v>
      </c>
      <c r="Q278" t="s">
        <v>2092</v>
      </c>
    </row>
    <row r="279" spans="1:17" x14ac:dyDescent="0.25">
      <c r="A279" t="s">
        <v>1650</v>
      </c>
      <c r="B279" s="18">
        <v>45707</v>
      </c>
      <c r="C279" t="s">
        <v>2029</v>
      </c>
      <c r="D279" t="s">
        <v>2049</v>
      </c>
      <c r="E279" t="s">
        <v>2055</v>
      </c>
      <c r="F279" t="s">
        <v>2059</v>
      </c>
      <c r="G279">
        <v>9</v>
      </c>
      <c r="H279">
        <v>1200</v>
      </c>
      <c r="I279">
        <v>1464</v>
      </c>
      <c r="J279">
        <v>7.06</v>
      </c>
      <c r="K279">
        <v>12246.43</v>
      </c>
      <c r="L279">
        <v>1446.43</v>
      </c>
      <c r="M279">
        <v>93022.56</v>
      </c>
      <c r="N279">
        <v>10800</v>
      </c>
      <c r="O279">
        <v>11.811033909474027</v>
      </c>
      <c r="P279" t="s">
        <v>2076</v>
      </c>
      <c r="Q279" t="s">
        <v>2092</v>
      </c>
    </row>
    <row r="280" spans="1:17" x14ac:dyDescent="0.25">
      <c r="A280" t="s">
        <v>1987</v>
      </c>
      <c r="B280" s="18">
        <v>45707</v>
      </c>
      <c r="C280" t="s">
        <v>2023</v>
      </c>
      <c r="D280" t="s">
        <v>2043</v>
      </c>
      <c r="E280" t="s">
        <v>2053</v>
      </c>
      <c r="F280" t="s">
        <v>2060</v>
      </c>
      <c r="G280">
        <v>4</v>
      </c>
      <c r="H280">
        <v>550</v>
      </c>
      <c r="I280">
        <v>742.5</v>
      </c>
      <c r="J280">
        <v>0</v>
      </c>
      <c r="K280">
        <v>2970</v>
      </c>
      <c r="L280">
        <v>770</v>
      </c>
      <c r="M280">
        <v>0</v>
      </c>
      <c r="N280">
        <v>2200</v>
      </c>
      <c r="O280">
        <v>25.925925925925924</v>
      </c>
      <c r="P280" t="s">
        <v>2076</v>
      </c>
      <c r="Q280" t="s">
        <v>2092</v>
      </c>
    </row>
    <row r="281" spans="1:17" x14ac:dyDescent="0.25">
      <c r="A281" t="s">
        <v>269</v>
      </c>
      <c r="B281" s="18">
        <v>45708</v>
      </c>
      <c r="C281" t="s">
        <v>2023</v>
      </c>
      <c r="D281" t="s">
        <v>2043</v>
      </c>
      <c r="E281" t="s">
        <v>2053</v>
      </c>
      <c r="F281" t="s">
        <v>2062</v>
      </c>
      <c r="G281">
        <v>9</v>
      </c>
      <c r="H281">
        <v>550</v>
      </c>
      <c r="I281">
        <v>742.5</v>
      </c>
      <c r="J281">
        <v>7.33</v>
      </c>
      <c r="K281">
        <v>6192.74</v>
      </c>
      <c r="L281">
        <v>1242.74</v>
      </c>
      <c r="M281">
        <v>48982.724999999999</v>
      </c>
      <c r="N281">
        <v>4950</v>
      </c>
      <c r="O281">
        <v>20.067692168571586</v>
      </c>
      <c r="P281" t="s">
        <v>2076</v>
      </c>
      <c r="Q281" t="s">
        <v>2092</v>
      </c>
    </row>
    <row r="282" spans="1:17" x14ac:dyDescent="0.25">
      <c r="A282" t="s">
        <v>509</v>
      </c>
      <c r="B282" s="18">
        <v>45708</v>
      </c>
      <c r="C282" t="s">
        <v>2015</v>
      </c>
      <c r="D282" t="s">
        <v>2035</v>
      </c>
      <c r="E282" t="s">
        <v>2054</v>
      </c>
      <c r="F282" t="s">
        <v>2060</v>
      </c>
      <c r="G282">
        <v>7</v>
      </c>
      <c r="H282">
        <v>900</v>
      </c>
      <c r="I282">
        <v>1170</v>
      </c>
      <c r="J282">
        <v>10.5</v>
      </c>
      <c r="K282">
        <v>7329.8</v>
      </c>
      <c r="L282">
        <v>1029.8</v>
      </c>
      <c r="M282">
        <v>85995</v>
      </c>
      <c r="N282">
        <v>6300</v>
      </c>
      <c r="O282">
        <v>14.049496575622801</v>
      </c>
      <c r="P282" t="s">
        <v>2076</v>
      </c>
      <c r="Q282" t="s">
        <v>2092</v>
      </c>
    </row>
    <row r="283" spans="1:17" x14ac:dyDescent="0.25">
      <c r="A283" t="s">
        <v>1030</v>
      </c>
      <c r="B283" s="18">
        <v>45708</v>
      </c>
      <c r="C283" t="s">
        <v>2028</v>
      </c>
      <c r="D283" t="s">
        <v>2048</v>
      </c>
      <c r="E283" t="s">
        <v>2057</v>
      </c>
      <c r="F283" t="s">
        <v>2062</v>
      </c>
      <c r="G283">
        <v>7</v>
      </c>
      <c r="H283">
        <v>80</v>
      </c>
      <c r="I283">
        <v>116</v>
      </c>
      <c r="J283">
        <v>10.86</v>
      </c>
      <c r="K283">
        <v>723.85</v>
      </c>
      <c r="L283">
        <v>163.85</v>
      </c>
      <c r="M283">
        <v>8818.32</v>
      </c>
      <c r="N283">
        <v>560</v>
      </c>
      <c r="O283">
        <v>22.635905228983905</v>
      </c>
      <c r="P283" t="s">
        <v>2076</v>
      </c>
      <c r="Q283" t="s">
        <v>2092</v>
      </c>
    </row>
    <row r="284" spans="1:17" x14ac:dyDescent="0.25">
      <c r="A284" t="s">
        <v>1120</v>
      </c>
      <c r="B284" s="18">
        <v>45708</v>
      </c>
      <c r="C284" t="s">
        <v>2021</v>
      </c>
      <c r="D284" t="s">
        <v>2041</v>
      </c>
      <c r="E284" t="s">
        <v>2056</v>
      </c>
      <c r="F284" t="s">
        <v>2062</v>
      </c>
      <c r="G284">
        <v>1</v>
      </c>
      <c r="H284">
        <v>300</v>
      </c>
      <c r="I284">
        <v>405</v>
      </c>
      <c r="J284">
        <v>11.57</v>
      </c>
      <c r="K284">
        <v>358.14</v>
      </c>
      <c r="L284">
        <v>58.14</v>
      </c>
      <c r="M284">
        <v>4685.8500000000004</v>
      </c>
      <c r="N284">
        <v>300</v>
      </c>
      <c r="O284">
        <v>16.233875020941532</v>
      </c>
      <c r="P284" t="s">
        <v>2076</v>
      </c>
      <c r="Q284" t="s">
        <v>2092</v>
      </c>
    </row>
    <row r="285" spans="1:17" x14ac:dyDescent="0.25">
      <c r="A285" t="s">
        <v>1158</v>
      </c>
      <c r="B285" s="18">
        <v>45708</v>
      </c>
      <c r="C285" t="s">
        <v>2031</v>
      </c>
      <c r="D285" t="s">
        <v>2051</v>
      </c>
      <c r="E285" t="s">
        <v>2058</v>
      </c>
      <c r="F285" t="s">
        <v>2061</v>
      </c>
      <c r="G285">
        <v>4</v>
      </c>
      <c r="H285">
        <v>3200</v>
      </c>
      <c r="I285">
        <v>3840</v>
      </c>
      <c r="J285">
        <v>20.85</v>
      </c>
      <c r="K285">
        <v>12158.05</v>
      </c>
      <c r="L285">
        <v>-641.95000000000005</v>
      </c>
      <c r="M285">
        <v>320256</v>
      </c>
      <c r="N285">
        <v>12800</v>
      </c>
      <c r="O285">
        <v>-5.2800407960158093</v>
      </c>
      <c r="P285" t="s">
        <v>2076</v>
      </c>
      <c r="Q285" t="s">
        <v>2093</v>
      </c>
    </row>
    <row r="286" spans="1:17" x14ac:dyDescent="0.25">
      <c r="A286" t="s">
        <v>1891</v>
      </c>
      <c r="B286" s="18">
        <v>45708</v>
      </c>
      <c r="C286" t="s">
        <v>2019</v>
      </c>
      <c r="D286" t="s">
        <v>2039</v>
      </c>
      <c r="E286" t="s">
        <v>2053</v>
      </c>
      <c r="F286" t="s">
        <v>2060</v>
      </c>
      <c r="G286">
        <v>10</v>
      </c>
      <c r="H286">
        <v>900</v>
      </c>
      <c r="I286">
        <v>1152</v>
      </c>
      <c r="J286">
        <v>9.81</v>
      </c>
      <c r="K286">
        <v>10389.91</v>
      </c>
      <c r="L286">
        <v>1389.91</v>
      </c>
      <c r="M286">
        <v>113011.20000000001</v>
      </c>
      <c r="N286">
        <v>9000</v>
      </c>
      <c r="O286">
        <v>13.377497976402106</v>
      </c>
      <c r="P286" t="s">
        <v>2076</v>
      </c>
      <c r="Q286" t="s">
        <v>2092</v>
      </c>
    </row>
    <row r="287" spans="1:17" x14ac:dyDescent="0.25">
      <c r="A287" t="s">
        <v>211</v>
      </c>
      <c r="B287" s="18">
        <v>45709</v>
      </c>
      <c r="C287" t="s">
        <v>2017</v>
      </c>
      <c r="D287" t="s">
        <v>2037</v>
      </c>
      <c r="E287" t="s">
        <v>2055</v>
      </c>
      <c r="F287" t="s">
        <v>2059</v>
      </c>
      <c r="G287">
        <v>4</v>
      </c>
      <c r="H287">
        <v>2500</v>
      </c>
      <c r="I287">
        <v>2875</v>
      </c>
      <c r="J287">
        <v>0</v>
      </c>
      <c r="K287">
        <v>11500</v>
      </c>
      <c r="L287">
        <v>1500</v>
      </c>
      <c r="M287">
        <v>0</v>
      </c>
      <c r="N287">
        <v>10000</v>
      </c>
      <c r="O287">
        <v>13.043478260869565</v>
      </c>
      <c r="P287" t="s">
        <v>2076</v>
      </c>
      <c r="Q287" t="s">
        <v>2092</v>
      </c>
    </row>
    <row r="288" spans="1:17" x14ac:dyDescent="0.25">
      <c r="A288" t="s">
        <v>1362</v>
      </c>
      <c r="B288" s="18">
        <v>45709</v>
      </c>
      <c r="C288" t="s">
        <v>2027</v>
      </c>
      <c r="D288" t="s">
        <v>2047</v>
      </c>
      <c r="E288" t="s">
        <v>2053</v>
      </c>
      <c r="F288" t="s">
        <v>2062</v>
      </c>
      <c r="G288">
        <v>5</v>
      </c>
      <c r="H288">
        <v>1100</v>
      </c>
      <c r="I288">
        <v>1298</v>
      </c>
      <c r="J288">
        <v>10.74</v>
      </c>
      <c r="K288">
        <v>5793.14</v>
      </c>
      <c r="L288">
        <v>293.14</v>
      </c>
      <c r="M288">
        <v>69702.600000000006</v>
      </c>
      <c r="N288">
        <v>5500</v>
      </c>
      <c r="O288">
        <v>5.0601228349392553</v>
      </c>
      <c r="P288" t="s">
        <v>2076</v>
      </c>
      <c r="Q288" t="s">
        <v>2091</v>
      </c>
    </row>
    <row r="289" spans="1:17" x14ac:dyDescent="0.25">
      <c r="A289" t="s">
        <v>1605</v>
      </c>
      <c r="B289" s="18">
        <v>45709</v>
      </c>
      <c r="C289" t="s">
        <v>2014</v>
      </c>
      <c r="D289" t="s">
        <v>2034</v>
      </c>
      <c r="E289" t="s">
        <v>2052</v>
      </c>
      <c r="F289" t="s">
        <v>2059</v>
      </c>
      <c r="G289">
        <v>7</v>
      </c>
      <c r="H289">
        <v>4500</v>
      </c>
      <c r="I289">
        <v>5220</v>
      </c>
      <c r="J289">
        <v>24.19</v>
      </c>
      <c r="K289">
        <v>27702.13</v>
      </c>
      <c r="L289">
        <v>-3797.87</v>
      </c>
      <c r="M289">
        <v>883902.60000000009</v>
      </c>
      <c r="N289">
        <v>31500</v>
      </c>
      <c r="O289">
        <v>-13.709667812547266</v>
      </c>
      <c r="P289" t="s">
        <v>2076</v>
      </c>
      <c r="Q289" t="s">
        <v>2093</v>
      </c>
    </row>
    <row r="290" spans="1:17" x14ac:dyDescent="0.25">
      <c r="A290" t="s">
        <v>1342</v>
      </c>
      <c r="B290" s="18">
        <v>45710</v>
      </c>
      <c r="C290" t="s">
        <v>2027</v>
      </c>
      <c r="D290" t="s">
        <v>2047</v>
      </c>
      <c r="E290" t="s">
        <v>2053</v>
      </c>
      <c r="F290" t="s">
        <v>2059</v>
      </c>
      <c r="G290">
        <v>5</v>
      </c>
      <c r="H290">
        <v>1100</v>
      </c>
      <c r="I290">
        <v>1298</v>
      </c>
      <c r="J290">
        <v>12.17</v>
      </c>
      <c r="K290">
        <v>5700.18</v>
      </c>
      <c r="L290">
        <v>200.18</v>
      </c>
      <c r="M290">
        <v>78983.3</v>
      </c>
      <c r="N290">
        <v>5500</v>
      </c>
      <c r="O290">
        <v>3.5118189250164029</v>
      </c>
      <c r="P290" t="s">
        <v>2076</v>
      </c>
      <c r="Q290" t="s">
        <v>2091</v>
      </c>
    </row>
    <row r="291" spans="1:17" x14ac:dyDescent="0.25">
      <c r="A291" t="s">
        <v>1349</v>
      </c>
      <c r="B291" s="18">
        <v>45710</v>
      </c>
      <c r="C291" t="s">
        <v>2025</v>
      </c>
      <c r="D291" t="s">
        <v>2045</v>
      </c>
      <c r="E291" t="s">
        <v>2057</v>
      </c>
      <c r="F291" t="s">
        <v>2059</v>
      </c>
      <c r="G291">
        <v>1</v>
      </c>
      <c r="H291">
        <v>45</v>
      </c>
      <c r="I291">
        <v>63</v>
      </c>
      <c r="J291">
        <v>3.5</v>
      </c>
      <c r="K291">
        <v>60.79</v>
      </c>
      <c r="L291">
        <v>15.79</v>
      </c>
      <c r="M291">
        <v>220.5</v>
      </c>
      <c r="N291">
        <v>45</v>
      </c>
      <c r="O291">
        <v>25.974666886000985</v>
      </c>
      <c r="P291" t="s">
        <v>2076</v>
      </c>
      <c r="Q291" t="s">
        <v>2092</v>
      </c>
    </row>
    <row r="292" spans="1:17" x14ac:dyDescent="0.25">
      <c r="A292" t="s">
        <v>1367</v>
      </c>
      <c r="B292" s="18">
        <v>45710</v>
      </c>
      <c r="C292" t="s">
        <v>2028</v>
      </c>
      <c r="D292" t="s">
        <v>2048</v>
      </c>
      <c r="E292" t="s">
        <v>2057</v>
      </c>
      <c r="F292" t="s">
        <v>2059</v>
      </c>
      <c r="G292">
        <v>4</v>
      </c>
      <c r="H292">
        <v>80</v>
      </c>
      <c r="I292">
        <v>116</v>
      </c>
      <c r="J292">
        <v>4.97</v>
      </c>
      <c r="K292">
        <v>440.93</v>
      </c>
      <c r="L292">
        <v>120.93</v>
      </c>
      <c r="M292">
        <v>2306.08</v>
      </c>
      <c r="N292">
        <v>320</v>
      </c>
      <c r="O292">
        <v>27.426122060190959</v>
      </c>
      <c r="P292" t="s">
        <v>2076</v>
      </c>
      <c r="Q292" t="s">
        <v>2092</v>
      </c>
    </row>
    <row r="293" spans="1:17" x14ac:dyDescent="0.25">
      <c r="A293" t="s">
        <v>1496</v>
      </c>
      <c r="B293" s="18">
        <v>45710</v>
      </c>
      <c r="C293" t="s">
        <v>2021</v>
      </c>
      <c r="D293" t="s">
        <v>2041</v>
      </c>
      <c r="E293" t="s">
        <v>2056</v>
      </c>
      <c r="F293" t="s">
        <v>2061</v>
      </c>
      <c r="G293">
        <v>10</v>
      </c>
      <c r="H293">
        <v>300</v>
      </c>
      <c r="I293">
        <v>405</v>
      </c>
      <c r="J293">
        <v>9.41</v>
      </c>
      <c r="K293">
        <v>3668.7</v>
      </c>
      <c r="L293">
        <v>668.7</v>
      </c>
      <c r="M293">
        <v>38110.5</v>
      </c>
      <c r="N293">
        <v>3000</v>
      </c>
      <c r="O293">
        <v>18.227164935808325</v>
      </c>
      <c r="P293" t="s">
        <v>2076</v>
      </c>
      <c r="Q293" t="s">
        <v>2092</v>
      </c>
    </row>
    <row r="294" spans="1:17" x14ac:dyDescent="0.25">
      <c r="A294" t="s">
        <v>1499</v>
      </c>
      <c r="B294" s="18">
        <v>45710</v>
      </c>
      <c r="C294" t="s">
        <v>2027</v>
      </c>
      <c r="D294" t="s">
        <v>2047</v>
      </c>
      <c r="E294" t="s">
        <v>2053</v>
      </c>
      <c r="F294" t="s">
        <v>2062</v>
      </c>
      <c r="G294">
        <v>2</v>
      </c>
      <c r="H294">
        <v>1100</v>
      </c>
      <c r="I294">
        <v>1298</v>
      </c>
      <c r="J294">
        <v>18.82</v>
      </c>
      <c r="K294">
        <v>2107.35</v>
      </c>
      <c r="L294">
        <v>-92.65</v>
      </c>
      <c r="M294">
        <v>48856.72</v>
      </c>
      <c r="N294">
        <v>2200</v>
      </c>
      <c r="O294">
        <v>-4.3965169525707646</v>
      </c>
      <c r="P294" t="s">
        <v>2076</v>
      </c>
      <c r="Q294" t="s">
        <v>2093</v>
      </c>
    </row>
    <row r="295" spans="1:17" x14ac:dyDescent="0.25">
      <c r="A295" t="s">
        <v>1974</v>
      </c>
      <c r="B295" s="18">
        <v>45710</v>
      </c>
      <c r="C295" t="s">
        <v>2022</v>
      </c>
      <c r="D295" t="s">
        <v>2042</v>
      </c>
      <c r="E295" t="s">
        <v>2053</v>
      </c>
      <c r="F295" t="s">
        <v>2060</v>
      </c>
      <c r="G295">
        <v>10</v>
      </c>
      <c r="H295">
        <v>8500</v>
      </c>
      <c r="I295">
        <v>9520</v>
      </c>
      <c r="J295">
        <v>8.2899999999999991</v>
      </c>
      <c r="K295">
        <v>87312.51</v>
      </c>
      <c r="L295">
        <v>2312.5100000000002</v>
      </c>
      <c r="M295">
        <v>789207.99999999988</v>
      </c>
      <c r="N295">
        <v>85000</v>
      </c>
      <c r="O295">
        <v>2.6485437195655015</v>
      </c>
      <c r="P295" t="s">
        <v>2076</v>
      </c>
      <c r="Q295" t="s">
        <v>2091</v>
      </c>
    </row>
    <row r="296" spans="1:17" x14ac:dyDescent="0.25">
      <c r="A296" t="s">
        <v>403</v>
      </c>
      <c r="B296" s="18">
        <v>45711</v>
      </c>
      <c r="C296" t="s">
        <v>2026</v>
      </c>
      <c r="D296" t="s">
        <v>2046</v>
      </c>
      <c r="E296" t="s">
        <v>2052</v>
      </c>
      <c r="F296" t="s">
        <v>2061</v>
      </c>
      <c r="G296">
        <v>7</v>
      </c>
      <c r="H296">
        <v>3000</v>
      </c>
      <c r="I296">
        <v>3600</v>
      </c>
      <c r="J296">
        <v>16.66</v>
      </c>
      <c r="K296">
        <v>21002.38</v>
      </c>
      <c r="L296">
        <v>2.38</v>
      </c>
      <c r="M296">
        <v>419832</v>
      </c>
      <c r="N296">
        <v>21000</v>
      </c>
      <c r="O296">
        <v>1.1332049034442763E-2</v>
      </c>
      <c r="P296" t="s">
        <v>2076</v>
      </c>
      <c r="Q296" t="s">
        <v>2091</v>
      </c>
    </row>
    <row r="297" spans="1:17" x14ac:dyDescent="0.25">
      <c r="A297" t="s">
        <v>1261</v>
      </c>
      <c r="B297" s="18">
        <v>45711</v>
      </c>
      <c r="C297" t="s">
        <v>2031</v>
      </c>
      <c r="D297" t="s">
        <v>2051</v>
      </c>
      <c r="E297" t="s">
        <v>2058</v>
      </c>
      <c r="F297" t="s">
        <v>2062</v>
      </c>
      <c r="G297">
        <v>4</v>
      </c>
      <c r="H297">
        <v>3200</v>
      </c>
      <c r="I297">
        <v>3840</v>
      </c>
      <c r="J297">
        <v>14.1</v>
      </c>
      <c r="K297">
        <v>13193.67</v>
      </c>
      <c r="L297">
        <v>393.67</v>
      </c>
      <c r="M297">
        <v>216576</v>
      </c>
      <c r="N297">
        <v>12800</v>
      </c>
      <c r="O297">
        <v>2.9837793426696289</v>
      </c>
      <c r="P297" t="s">
        <v>2076</v>
      </c>
      <c r="Q297" t="s">
        <v>2091</v>
      </c>
    </row>
    <row r="298" spans="1:17" x14ac:dyDescent="0.25">
      <c r="A298" t="s">
        <v>1361</v>
      </c>
      <c r="B298" s="18">
        <v>45711</v>
      </c>
      <c r="C298" t="s">
        <v>2030</v>
      </c>
      <c r="D298" t="s">
        <v>2050</v>
      </c>
      <c r="E298" t="s">
        <v>2058</v>
      </c>
      <c r="F298" t="s">
        <v>2059</v>
      </c>
      <c r="G298">
        <v>2</v>
      </c>
      <c r="H298">
        <v>1800</v>
      </c>
      <c r="I298">
        <v>2124</v>
      </c>
      <c r="J298">
        <v>23.39</v>
      </c>
      <c r="K298">
        <v>3254.3</v>
      </c>
      <c r="L298">
        <v>-345.7</v>
      </c>
      <c r="M298">
        <v>99360.72</v>
      </c>
      <c r="N298">
        <v>3600</v>
      </c>
      <c r="O298">
        <v>-10.622868205143963</v>
      </c>
      <c r="P298" t="s">
        <v>2076</v>
      </c>
      <c r="Q298" t="s">
        <v>2093</v>
      </c>
    </row>
    <row r="299" spans="1:17" x14ac:dyDescent="0.25">
      <c r="A299" t="s">
        <v>1494</v>
      </c>
      <c r="B299" s="18">
        <v>45711</v>
      </c>
      <c r="C299" t="s">
        <v>2019</v>
      </c>
      <c r="D299" t="s">
        <v>2039</v>
      </c>
      <c r="E299" t="s">
        <v>2053</v>
      </c>
      <c r="F299" t="s">
        <v>2060</v>
      </c>
      <c r="G299">
        <v>9</v>
      </c>
      <c r="H299">
        <v>900</v>
      </c>
      <c r="I299">
        <v>1152</v>
      </c>
      <c r="J299">
        <v>2.93</v>
      </c>
      <c r="K299">
        <v>10064.09</v>
      </c>
      <c r="L299">
        <v>1964.09</v>
      </c>
      <c r="M299">
        <v>30378.240000000002</v>
      </c>
      <c r="N299">
        <v>8100</v>
      </c>
      <c r="O299">
        <v>19.51582308981736</v>
      </c>
      <c r="P299" t="s">
        <v>2076</v>
      </c>
      <c r="Q299" t="s">
        <v>2092</v>
      </c>
    </row>
    <row r="300" spans="1:17" x14ac:dyDescent="0.25">
      <c r="A300" t="s">
        <v>1621</v>
      </c>
      <c r="B300" s="18">
        <v>45711</v>
      </c>
      <c r="C300" t="s">
        <v>2031</v>
      </c>
      <c r="D300" t="s">
        <v>2051</v>
      </c>
      <c r="E300" t="s">
        <v>2058</v>
      </c>
      <c r="F300" t="s">
        <v>2062</v>
      </c>
      <c r="G300">
        <v>8</v>
      </c>
      <c r="H300">
        <v>3200</v>
      </c>
      <c r="I300">
        <v>3840</v>
      </c>
      <c r="J300">
        <v>15.54</v>
      </c>
      <c r="K300">
        <v>25945.93</v>
      </c>
      <c r="L300">
        <v>345.93</v>
      </c>
      <c r="M300">
        <v>477388.79999999999</v>
      </c>
      <c r="N300">
        <v>25600</v>
      </c>
      <c r="O300">
        <v>1.3332726944071769</v>
      </c>
      <c r="P300" t="s">
        <v>2076</v>
      </c>
      <c r="Q300" t="s">
        <v>2091</v>
      </c>
    </row>
    <row r="301" spans="1:17" x14ac:dyDescent="0.25">
      <c r="A301" t="s">
        <v>1830</v>
      </c>
      <c r="B301" s="18">
        <v>45711</v>
      </c>
      <c r="C301" t="s">
        <v>2014</v>
      </c>
      <c r="D301" t="s">
        <v>2034</v>
      </c>
      <c r="E301" t="s">
        <v>2052</v>
      </c>
      <c r="F301" t="s">
        <v>2061</v>
      </c>
      <c r="G301">
        <v>2</v>
      </c>
      <c r="H301">
        <v>4500</v>
      </c>
      <c r="I301">
        <v>5220</v>
      </c>
      <c r="J301">
        <v>7.71</v>
      </c>
      <c r="K301">
        <v>9635.42</v>
      </c>
      <c r="L301">
        <v>635.41999999999996</v>
      </c>
      <c r="M301">
        <v>80492.399999999994</v>
      </c>
      <c r="N301">
        <v>9000</v>
      </c>
      <c r="O301">
        <v>6.5946269078047441</v>
      </c>
      <c r="P301" t="s">
        <v>2076</v>
      </c>
      <c r="Q301" t="s">
        <v>2091</v>
      </c>
    </row>
    <row r="302" spans="1:17" x14ac:dyDescent="0.25">
      <c r="A302" t="s">
        <v>26</v>
      </c>
      <c r="B302" s="18">
        <v>45712</v>
      </c>
      <c r="C302" t="s">
        <v>2022</v>
      </c>
      <c r="D302" t="s">
        <v>2042</v>
      </c>
      <c r="E302" t="s">
        <v>2053</v>
      </c>
      <c r="F302" t="s">
        <v>2062</v>
      </c>
      <c r="G302">
        <v>7</v>
      </c>
      <c r="H302">
        <v>8500</v>
      </c>
      <c r="I302">
        <v>9520</v>
      </c>
      <c r="J302">
        <v>15.42</v>
      </c>
      <c r="K302">
        <v>56366.59</v>
      </c>
      <c r="L302">
        <v>-3133.41</v>
      </c>
      <c r="M302">
        <v>1027588.8</v>
      </c>
      <c r="N302">
        <v>59500</v>
      </c>
      <c r="O302">
        <v>-5.558984497731724</v>
      </c>
      <c r="P302" t="s">
        <v>2076</v>
      </c>
      <c r="Q302" t="s">
        <v>2093</v>
      </c>
    </row>
    <row r="303" spans="1:17" x14ac:dyDescent="0.25">
      <c r="A303" t="s">
        <v>445</v>
      </c>
      <c r="B303" s="18">
        <v>45712</v>
      </c>
      <c r="C303" t="s">
        <v>2029</v>
      </c>
      <c r="D303" t="s">
        <v>2049</v>
      </c>
      <c r="E303" t="s">
        <v>2055</v>
      </c>
      <c r="F303" t="s">
        <v>2061</v>
      </c>
      <c r="G303">
        <v>7</v>
      </c>
      <c r="H303">
        <v>1200</v>
      </c>
      <c r="I303">
        <v>1464</v>
      </c>
      <c r="J303">
        <v>16.12</v>
      </c>
      <c r="K303">
        <v>8596.39</v>
      </c>
      <c r="L303">
        <v>196.39</v>
      </c>
      <c r="M303">
        <v>165197.76000000001</v>
      </c>
      <c r="N303">
        <v>8400</v>
      </c>
      <c r="O303">
        <v>2.284563636596292</v>
      </c>
      <c r="P303" t="s">
        <v>2076</v>
      </c>
      <c r="Q303" t="s">
        <v>2091</v>
      </c>
    </row>
    <row r="304" spans="1:17" x14ac:dyDescent="0.25">
      <c r="A304" t="s">
        <v>680</v>
      </c>
      <c r="B304" s="18">
        <v>45712</v>
      </c>
      <c r="C304" t="s">
        <v>2017</v>
      </c>
      <c r="D304" t="s">
        <v>2037</v>
      </c>
      <c r="E304" t="s">
        <v>2055</v>
      </c>
      <c r="F304" t="s">
        <v>2060</v>
      </c>
      <c r="G304">
        <v>7</v>
      </c>
      <c r="H304">
        <v>2500</v>
      </c>
      <c r="I304">
        <v>2875</v>
      </c>
      <c r="J304">
        <v>10</v>
      </c>
      <c r="K304">
        <v>18113.28</v>
      </c>
      <c r="L304">
        <v>613.28</v>
      </c>
      <c r="M304">
        <v>201250</v>
      </c>
      <c r="N304">
        <v>17500</v>
      </c>
      <c r="O304">
        <v>3.3858031234541732</v>
      </c>
      <c r="P304" t="s">
        <v>2076</v>
      </c>
      <c r="Q304" t="s">
        <v>2091</v>
      </c>
    </row>
    <row r="305" spans="1:17" x14ac:dyDescent="0.25">
      <c r="A305" t="s">
        <v>1337</v>
      </c>
      <c r="B305" s="18">
        <v>45712</v>
      </c>
      <c r="C305" t="s">
        <v>2028</v>
      </c>
      <c r="D305" t="s">
        <v>2048</v>
      </c>
      <c r="E305" t="s">
        <v>2057</v>
      </c>
      <c r="F305" t="s">
        <v>2061</v>
      </c>
      <c r="G305">
        <v>7</v>
      </c>
      <c r="H305">
        <v>80</v>
      </c>
      <c r="I305">
        <v>116</v>
      </c>
      <c r="J305">
        <v>24.03</v>
      </c>
      <c r="K305">
        <v>616.88</v>
      </c>
      <c r="L305">
        <v>56.88</v>
      </c>
      <c r="M305">
        <v>19512.36</v>
      </c>
      <c r="N305">
        <v>560</v>
      </c>
      <c r="O305">
        <v>9.2205939566852546</v>
      </c>
      <c r="P305" t="s">
        <v>2076</v>
      </c>
      <c r="Q305" t="s">
        <v>2091</v>
      </c>
    </row>
    <row r="306" spans="1:17" x14ac:dyDescent="0.25">
      <c r="A306" t="s">
        <v>1544</v>
      </c>
      <c r="B306" s="18">
        <v>45712</v>
      </c>
      <c r="C306" t="s">
        <v>2024</v>
      </c>
      <c r="D306" t="s">
        <v>2044</v>
      </c>
      <c r="E306" t="s">
        <v>2055</v>
      </c>
      <c r="F306" t="s">
        <v>2061</v>
      </c>
      <c r="G306">
        <v>7</v>
      </c>
      <c r="H306">
        <v>180</v>
      </c>
      <c r="I306">
        <v>243</v>
      </c>
      <c r="J306">
        <v>7.43</v>
      </c>
      <c r="K306">
        <v>1574.62</v>
      </c>
      <c r="L306">
        <v>314.62</v>
      </c>
      <c r="M306">
        <v>12638.43</v>
      </c>
      <c r="N306">
        <v>1260</v>
      </c>
      <c r="O306">
        <v>19.980693754683671</v>
      </c>
      <c r="P306" t="s">
        <v>2076</v>
      </c>
      <c r="Q306" t="s">
        <v>2092</v>
      </c>
    </row>
    <row r="307" spans="1:17" x14ac:dyDescent="0.25">
      <c r="A307" t="s">
        <v>1715</v>
      </c>
      <c r="B307" s="18">
        <v>45712</v>
      </c>
      <c r="C307" t="s">
        <v>2027</v>
      </c>
      <c r="D307" t="s">
        <v>2047</v>
      </c>
      <c r="E307" t="s">
        <v>2053</v>
      </c>
      <c r="F307" t="s">
        <v>2060</v>
      </c>
      <c r="G307">
        <v>5</v>
      </c>
      <c r="H307">
        <v>1100</v>
      </c>
      <c r="I307">
        <v>1298</v>
      </c>
      <c r="J307">
        <v>16.87</v>
      </c>
      <c r="K307">
        <v>5394.86</v>
      </c>
      <c r="L307">
        <v>-105.14</v>
      </c>
      <c r="M307">
        <v>109486.3</v>
      </c>
      <c r="N307">
        <v>5500</v>
      </c>
      <c r="O307">
        <v>-1.948892093585376</v>
      </c>
      <c r="P307" t="s">
        <v>2076</v>
      </c>
      <c r="Q307" t="s">
        <v>2093</v>
      </c>
    </row>
    <row r="308" spans="1:17" x14ac:dyDescent="0.25">
      <c r="A308" t="s">
        <v>147</v>
      </c>
      <c r="B308" s="18">
        <v>45713</v>
      </c>
      <c r="C308" t="s">
        <v>2031</v>
      </c>
      <c r="D308" t="s">
        <v>2051</v>
      </c>
      <c r="E308" t="s">
        <v>2058</v>
      </c>
      <c r="F308" t="s">
        <v>2062</v>
      </c>
      <c r="G308">
        <v>7</v>
      </c>
      <c r="H308">
        <v>3200</v>
      </c>
      <c r="I308">
        <v>3840</v>
      </c>
      <c r="J308">
        <v>18.71</v>
      </c>
      <c r="K308">
        <v>21851.8</v>
      </c>
      <c r="L308">
        <v>-548.20000000000005</v>
      </c>
      <c r="M308">
        <v>502924.80000000005</v>
      </c>
      <c r="N308">
        <v>22400</v>
      </c>
      <c r="O308">
        <v>-2.5087178172965157</v>
      </c>
      <c r="P308" t="s">
        <v>2076</v>
      </c>
      <c r="Q308" t="s">
        <v>2093</v>
      </c>
    </row>
    <row r="309" spans="1:17" x14ac:dyDescent="0.25">
      <c r="A309" t="s">
        <v>1090</v>
      </c>
      <c r="B309" s="18">
        <v>45713</v>
      </c>
      <c r="C309" t="s">
        <v>2026</v>
      </c>
      <c r="D309" t="s">
        <v>2046</v>
      </c>
      <c r="E309" t="s">
        <v>2052</v>
      </c>
      <c r="F309" t="s">
        <v>2062</v>
      </c>
      <c r="G309">
        <v>1</v>
      </c>
      <c r="H309">
        <v>3000</v>
      </c>
      <c r="I309">
        <v>3600</v>
      </c>
      <c r="J309">
        <v>21.58</v>
      </c>
      <c r="K309">
        <v>2823.03</v>
      </c>
      <c r="L309">
        <v>-176.97</v>
      </c>
      <c r="M309">
        <v>77688</v>
      </c>
      <c r="N309">
        <v>3000</v>
      </c>
      <c r="O309">
        <v>-6.2687962933443853</v>
      </c>
      <c r="P309" t="s">
        <v>2076</v>
      </c>
      <c r="Q309" t="s">
        <v>2093</v>
      </c>
    </row>
    <row r="310" spans="1:17" x14ac:dyDescent="0.25">
      <c r="A310" t="s">
        <v>1419</v>
      </c>
      <c r="B310" s="18">
        <v>45713</v>
      </c>
      <c r="C310" t="s">
        <v>2017</v>
      </c>
      <c r="D310" t="s">
        <v>2037</v>
      </c>
      <c r="E310" t="s">
        <v>2055</v>
      </c>
      <c r="F310" t="s">
        <v>2059</v>
      </c>
      <c r="G310">
        <v>3</v>
      </c>
      <c r="H310">
        <v>2500</v>
      </c>
      <c r="I310">
        <v>2875</v>
      </c>
      <c r="J310">
        <v>8.31</v>
      </c>
      <c r="K310">
        <v>7908.21</v>
      </c>
      <c r="L310">
        <v>408.21</v>
      </c>
      <c r="M310">
        <v>71673.75</v>
      </c>
      <c r="N310">
        <v>7500</v>
      </c>
      <c r="O310">
        <v>5.1618507854495519</v>
      </c>
      <c r="P310" t="s">
        <v>2076</v>
      </c>
      <c r="Q310" t="s">
        <v>2091</v>
      </c>
    </row>
    <row r="311" spans="1:17" x14ac:dyDescent="0.25">
      <c r="A311" t="s">
        <v>432</v>
      </c>
      <c r="B311" s="18">
        <v>45714</v>
      </c>
      <c r="C311" t="s">
        <v>2021</v>
      </c>
      <c r="D311" t="s">
        <v>2041</v>
      </c>
      <c r="E311" t="s">
        <v>2056</v>
      </c>
      <c r="F311" t="s">
        <v>2062</v>
      </c>
      <c r="G311">
        <v>5</v>
      </c>
      <c r="H311">
        <v>300</v>
      </c>
      <c r="I311">
        <v>405</v>
      </c>
      <c r="J311">
        <v>4.6500000000000004</v>
      </c>
      <c r="K311">
        <v>1930.8</v>
      </c>
      <c r="L311">
        <v>430.8</v>
      </c>
      <c r="M311">
        <v>9416.25</v>
      </c>
      <c r="N311">
        <v>1500</v>
      </c>
      <c r="O311">
        <v>22.311995027967683</v>
      </c>
      <c r="P311" t="s">
        <v>2076</v>
      </c>
      <c r="Q311" t="s">
        <v>2092</v>
      </c>
    </row>
    <row r="312" spans="1:17" x14ac:dyDescent="0.25">
      <c r="A312" t="s">
        <v>538</v>
      </c>
      <c r="B312" s="18">
        <v>45714</v>
      </c>
      <c r="C312" t="s">
        <v>2031</v>
      </c>
      <c r="D312" t="s">
        <v>2051</v>
      </c>
      <c r="E312" t="s">
        <v>2058</v>
      </c>
      <c r="F312" t="s">
        <v>2062</v>
      </c>
      <c r="G312">
        <v>3</v>
      </c>
      <c r="H312">
        <v>3200</v>
      </c>
      <c r="I312">
        <v>3840</v>
      </c>
      <c r="J312">
        <v>26.76</v>
      </c>
      <c r="K312">
        <v>8436.74</v>
      </c>
      <c r="L312">
        <v>-1163.26</v>
      </c>
      <c r="M312">
        <v>308275.20000000001</v>
      </c>
      <c r="N312">
        <v>9600</v>
      </c>
      <c r="O312">
        <v>-13.788027128962135</v>
      </c>
      <c r="P312" t="s">
        <v>2076</v>
      </c>
      <c r="Q312" t="s">
        <v>2093</v>
      </c>
    </row>
    <row r="313" spans="1:17" x14ac:dyDescent="0.25">
      <c r="A313" t="s">
        <v>622</v>
      </c>
      <c r="B313" s="18">
        <v>45714</v>
      </c>
      <c r="C313" t="s">
        <v>2024</v>
      </c>
      <c r="D313" t="s">
        <v>2044</v>
      </c>
      <c r="E313" t="s">
        <v>2055</v>
      </c>
      <c r="F313" t="s">
        <v>2061</v>
      </c>
      <c r="G313">
        <v>6</v>
      </c>
      <c r="H313">
        <v>180</v>
      </c>
      <c r="I313">
        <v>243</v>
      </c>
      <c r="J313">
        <v>11.25</v>
      </c>
      <c r="K313">
        <v>1293.92</v>
      </c>
      <c r="L313">
        <v>213.92</v>
      </c>
      <c r="M313">
        <v>16402.5</v>
      </c>
      <c r="N313">
        <v>1080</v>
      </c>
      <c r="O313">
        <v>16.532706813404229</v>
      </c>
      <c r="P313" t="s">
        <v>2076</v>
      </c>
      <c r="Q313" t="s">
        <v>2092</v>
      </c>
    </row>
    <row r="314" spans="1:17" x14ac:dyDescent="0.25">
      <c r="A314" t="s">
        <v>1273</v>
      </c>
      <c r="B314" s="18">
        <v>45714</v>
      </c>
      <c r="C314" t="s">
        <v>2029</v>
      </c>
      <c r="D314" t="s">
        <v>2049</v>
      </c>
      <c r="E314" t="s">
        <v>2055</v>
      </c>
      <c r="F314" t="s">
        <v>2059</v>
      </c>
      <c r="G314">
        <v>6</v>
      </c>
      <c r="H314">
        <v>1200</v>
      </c>
      <c r="I314">
        <v>1464</v>
      </c>
      <c r="J314">
        <v>8.7799999999999994</v>
      </c>
      <c r="K314">
        <v>8012.36</v>
      </c>
      <c r="L314">
        <v>812.36</v>
      </c>
      <c r="M314">
        <v>77123.51999999999</v>
      </c>
      <c r="N314">
        <v>7200</v>
      </c>
      <c r="O314">
        <v>10.138835499153807</v>
      </c>
      <c r="P314" t="s">
        <v>2076</v>
      </c>
      <c r="Q314" t="s">
        <v>2092</v>
      </c>
    </row>
    <row r="315" spans="1:17" x14ac:dyDescent="0.25">
      <c r="A315" t="s">
        <v>1609</v>
      </c>
      <c r="B315" s="18">
        <v>45714</v>
      </c>
      <c r="C315" t="s">
        <v>2026</v>
      </c>
      <c r="D315" t="s">
        <v>2046</v>
      </c>
      <c r="E315" t="s">
        <v>2052</v>
      </c>
      <c r="F315" t="s">
        <v>2059</v>
      </c>
      <c r="G315">
        <v>10</v>
      </c>
      <c r="H315">
        <v>3000</v>
      </c>
      <c r="I315">
        <v>3600</v>
      </c>
      <c r="J315">
        <v>19.82</v>
      </c>
      <c r="K315">
        <v>28863.79</v>
      </c>
      <c r="L315">
        <v>-1136.21</v>
      </c>
      <c r="M315">
        <v>713520</v>
      </c>
      <c r="N315">
        <v>30000</v>
      </c>
      <c r="O315">
        <v>-3.9364546374540557</v>
      </c>
      <c r="P315" t="s">
        <v>2076</v>
      </c>
      <c r="Q315" t="s">
        <v>2093</v>
      </c>
    </row>
    <row r="316" spans="1:17" x14ac:dyDescent="0.25">
      <c r="A316" t="s">
        <v>1980</v>
      </c>
      <c r="B316" s="18">
        <v>45714</v>
      </c>
      <c r="C316" t="s">
        <v>2016</v>
      </c>
      <c r="D316" t="s">
        <v>2036</v>
      </c>
      <c r="E316" t="s">
        <v>2052</v>
      </c>
      <c r="F316" t="s">
        <v>2061</v>
      </c>
      <c r="G316">
        <v>9</v>
      </c>
      <c r="H316">
        <v>900</v>
      </c>
      <c r="I316">
        <v>1170</v>
      </c>
      <c r="J316">
        <v>10.73</v>
      </c>
      <c r="K316">
        <v>9400.33</v>
      </c>
      <c r="L316">
        <v>1300.33</v>
      </c>
      <c r="M316">
        <v>112986.90000000001</v>
      </c>
      <c r="N316">
        <v>8100</v>
      </c>
      <c r="O316">
        <v>13.832812252335822</v>
      </c>
      <c r="P316" t="s">
        <v>2076</v>
      </c>
      <c r="Q316" t="s">
        <v>2092</v>
      </c>
    </row>
    <row r="317" spans="1:17" x14ac:dyDescent="0.25">
      <c r="A317" t="s">
        <v>2010</v>
      </c>
      <c r="B317" s="18">
        <v>45714</v>
      </c>
      <c r="C317" t="s">
        <v>2019</v>
      </c>
      <c r="D317" t="s">
        <v>2039</v>
      </c>
      <c r="E317" t="s">
        <v>2053</v>
      </c>
      <c r="F317" t="s">
        <v>2060</v>
      </c>
      <c r="G317">
        <v>9</v>
      </c>
      <c r="H317">
        <v>900</v>
      </c>
      <c r="I317">
        <v>1152</v>
      </c>
      <c r="J317">
        <v>13.1</v>
      </c>
      <c r="K317">
        <v>9010.18</v>
      </c>
      <c r="L317">
        <v>910.18</v>
      </c>
      <c r="M317">
        <v>135820.79999999999</v>
      </c>
      <c r="N317">
        <v>8100</v>
      </c>
      <c r="O317">
        <v>10.10168498298591</v>
      </c>
      <c r="P317" t="s">
        <v>2076</v>
      </c>
      <c r="Q317" t="s">
        <v>2092</v>
      </c>
    </row>
    <row r="318" spans="1:17" x14ac:dyDescent="0.25">
      <c r="A318" t="s">
        <v>655</v>
      </c>
      <c r="B318" s="18">
        <v>45715</v>
      </c>
      <c r="C318" t="s">
        <v>2012</v>
      </c>
      <c r="D318" t="s">
        <v>2032</v>
      </c>
      <c r="E318" t="s">
        <v>2052</v>
      </c>
      <c r="F318" t="s">
        <v>2059</v>
      </c>
      <c r="G318">
        <v>4</v>
      </c>
      <c r="H318">
        <v>6500</v>
      </c>
      <c r="I318">
        <v>8125</v>
      </c>
      <c r="J318">
        <v>4</v>
      </c>
      <c r="K318">
        <v>31200</v>
      </c>
      <c r="L318">
        <v>5200</v>
      </c>
      <c r="M318">
        <v>130000</v>
      </c>
      <c r="N318">
        <v>26000</v>
      </c>
      <c r="O318">
        <v>16.666666666666664</v>
      </c>
      <c r="P318" t="s">
        <v>2076</v>
      </c>
      <c r="Q318" t="s">
        <v>2092</v>
      </c>
    </row>
    <row r="319" spans="1:17" x14ac:dyDescent="0.25">
      <c r="A319" t="s">
        <v>1758</v>
      </c>
      <c r="B319" s="18">
        <v>45715</v>
      </c>
      <c r="C319" t="s">
        <v>2012</v>
      </c>
      <c r="D319" t="s">
        <v>2032</v>
      </c>
      <c r="E319" t="s">
        <v>2052</v>
      </c>
      <c r="F319" t="s">
        <v>2062</v>
      </c>
      <c r="G319">
        <v>6</v>
      </c>
      <c r="H319">
        <v>6500</v>
      </c>
      <c r="I319">
        <v>8125</v>
      </c>
      <c r="J319">
        <v>15</v>
      </c>
      <c r="K319">
        <v>41437.32</v>
      </c>
      <c r="L319">
        <v>2437.3200000000002</v>
      </c>
      <c r="M319">
        <v>731250</v>
      </c>
      <c r="N319">
        <v>39000</v>
      </c>
      <c r="O319">
        <v>5.8819441025626178</v>
      </c>
      <c r="P319" t="s">
        <v>2076</v>
      </c>
      <c r="Q319" t="s">
        <v>2091</v>
      </c>
    </row>
    <row r="320" spans="1:17" x14ac:dyDescent="0.25">
      <c r="A320" t="s">
        <v>633</v>
      </c>
      <c r="B320" s="18">
        <v>45716</v>
      </c>
      <c r="C320" t="s">
        <v>2027</v>
      </c>
      <c r="D320" t="s">
        <v>2047</v>
      </c>
      <c r="E320" t="s">
        <v>2053</v>
      </c>
      <c r="F320" t="s">
        <v>2062</v>
      </c>
      <c r="G320">
        <v>1</v>
      </c>
      <c r="H320">
        <v>1100</v>
      </c>
      <c r="I320">
        <v>1298</v>
      </c>
      <c r="J320">
        <v>10.199999999999999</v>
      </c>
      <c r="K320">
        <v>1165.57</v>
      </c>
      <c r="L320">
        <v>65.569999999999993</v>
      </c>
      <c r="M320">
        <v>13239.599999999999</v>
      </c>
      <c r="N320">
        <v>1100</v>
      </c>
      <c r="O320">
        <v>5.6255737536141108</v>
      </c>
      <c r="P320" t="s">
        <v>2076</v>
      </c>
      <c r="Q320" t="s">
        <v>2091</v>
      </c>
    </row>
    <row r="321" spans="1:17" x14ac:dyDescent="0.25">
      <c r="A321" t="s">
        <v>721</v>
      </c>
      <c r="B321" s="18">
        <v>45716</v>
      </c>
      <c r="C321" t="s">
        <v>2025</v>
      </c>
      <c r="D321" t="s">
        <v>2045</v>
      </c>
      <c r="E321" t="s">
        <v>2057</v>
      </c>
      <c r="F321" t="s">
        <v>2060</v>
      </c>
      <c r="G321">
        <v>1</v>
      </c>
      <c r="H321">
        <v>45</v>
      </c>
      <c r="I321">
        <v>63</v>
      </c>
      <c r="J321">
        <v>5.7</v>
      </c>
      <c r="K321">
        <v>59.41</v>
      </c>
      <c r="L321">
        <v>14.41</v>
      </c>
      <c r="M321">
        <v>359.1</v>
      </c>
      <c r="N321">
        <v>45</v>
      </c>
      <c r="O321">
        <v>24.255175896313755</v>
      </c>
      <c r="P321" t="s">
        <v>2076</v>
      </c>
      <c r="Q321" t="s">
        <v>2092</v>
      </c>
    </row>
    <row r="322" spans="1:17" x14ac:dyDescent="0.25">
      <c r="A322" t="s">
        <v>973</v>
      </c>
      <c r="B322" s="18">
        <v>45716</v>
      </c>
      <c r="C322" t="s">
        <v>2014</v>
      </c>
      <c r="D322" t="s">
        <v>2034</v>
      </c>
      <c r="E322" t="s">
        <v>2052</v>
      </c>
      <c r="F322" t="s">
        <v>2062</v>
      </c>
      <c r="G322">
        <v>8</v>
      </c>
      <c r="H322">
        <v>4500</v>
      </c>
      <c r="I322">
        <v>5220</v>
      </c>
      <c r="J322">
        <v>20.54</v>
      </c>
      <c r="K322">
        <v>33184.07</v>
      </c>
      <c r="L322">
        <v>-2815.93</v>
      </c>
      <c r="M322">
        <v>857750.39999999991</v>
      </c>
      <c r="N322">
        <v>36000</v>
      </c>
      <c r="O322">
        <v>-8.4857885123795835</v>
      </c>
      <c r="P322" t="s">
        <v>2076</v>
      </c>
      <c r="Q322" t="s">
        <v>2093</v>
      </c>
    </row>
    <row r="323" spans="1:17" x14ac:dyDescent="0.25">
      <c r="A323" t="s">
        <v>1141</v>
      </c>
      <c r="B323" s="18">
        <v>45716</v>
      </c>
      <c r="C323" t="s">
        <v>2015</v>
      </c>
      <c r="D323" t="s">
        <v>2035</v>
      </c>
      <c r="E323" t="s">
        <v>2054</v>
      </c>
      <c r="F323" t="s">
        <v>2061</v>
      </c>
      <c r="G323">
        <v>7</v>
      </c>
      <c r="H323">
        <v>900</v>
      </c>
      <c r="I323">
        <v>1170</v>
      </c>
      <c r="J323">
        <v>9.7200000000000006</v>
      </c>
      <c r="K323">
        <v>7394.26</v>
      </c>
      <c r="L323">
        <v>1094.26</v>
      </c>
      <c r="M323">
        <v>79606.8</v>
      </c>
      <c r="N323">
        <v>6300</v>
      </c>
      <c r="O323">
        <v>14.798776348140313</v>
      </c>
      <c r="P323" t="s">
        <v>2076</v>
      </c>
      <c r="Q323" t="s">
        <v>2092</v>
      </c>
    </row>
    <row r="324" spans="1:17" x14ac:dyDescent="0.25">
      <c r="A324" t="s">
        <v>1374</v>
      </c>
      <c r="B324" s="18">
        <v>45716</v>
      </c>
      <c r="C324" t="s">
        <v>2016</v>
      </c>
      <c r="D324" t="s">
        <v>2036</v>
      </c>
      <c r="E324" t="s">
        <v>2052</v>
      </c>
      <c r="F324" t="s">
        <v>2062</v>
      </c>
      <c r="G324">
        <v>3</v>
      </c>
      <c r="H324">
        <v>900</v>
      </c>
      <c r="I324">
        <v>1170</v>
      </c>
      <c r="J324">
        <v>11.88</v>
      </c>
      <c r="K324">
        <v>3092.9</v>
      </c>
      <c r="L324">
        <v>392.9</v>
      </c>
      <c r="M324">
        <v>41698.800000000003</v>
      </c>
      <c r="N324">
        <v>2700</v>
      </c>
      <c r="O324">
        <v>12.703288176145364</v>
      </c>
      <c r="P324" t="s">
        <v>2076</v>
      </c>
      <c r="Q324" t="s">
        <v>2092</v>
      </c>
    </row>
    <row r="325" spans="1:17" x14ac:dyDescent="0.25">
      <c r="A325" t="s">
        <v>1564</v>
      </c>
      <c r="B325" s="18">
        <v>45716</v>
      </c>
      <c r="C325" t="s">
        <v>2026</v>
      </c>
      <c r="D325" t="s">
        <v>2046</v>
      </c>
      <c r="E325" t="s">
        <v>2052</v>
      </c>
      <c r="F325" t="s">
        <v>2060</v>
      </c>
      <c r="G325">
        <v>5</v>
      </c>
      <c r="H325">
        <v>3000</v>
      </c>
      <c r="I325">
        <v>3600</v>
      </c>
      <c r="J325">
        <v>4.5599999999999996</v>
      </c>
      <c r="K325">
        <v>17179.68</v>
      </c>
      <c r="L325">
        <v>2179.6799999999998</v>
      </c>
      <c r="M325">
        <v>82080</v>
      </c>
      <c r="N325">
        <v>15000</v>
      </c>
      <c r="O325">
        <v>12.687547148724537</v>
      </c>
      <c r="P325" t="s">
        <v>2076</v>
      </c>
      <c r="Q325" t="s">
        <v>2092</v>
      </c>
    </row>
    <row r="326" spans="1:17" x14ac:dyDescent="0.25">
      <c r="A326" t="s">
        <v>1589</v>
      </c>
      <c r="B326" s="18">
        <v>45716</v>
      </c>
      <c r="C326" t="s">
        <v>2024</v>
      </c>
      <c r="D326" t="s">
        <v>2044</v>
      </c>
      <c r="E326" t="s">
        <v>2055</v>
      </c>
      <c r="F326" t="s">
        <v>2062</v>
      </c>
      <c r="G326">
        <v>2</v>
      </c>
      <c r="H326">
        <v>180</v>
      </c>
      <c r="I326">
        <v>243</v>
      </c>
      <c r="J326">
        <v>7.44</v>
      </c>
      <c r="K326">
        <v>449.83</v>
      </c>
      <c r="L326">
        <v>89.83</v>
      </c>
      <c r="M326">
        <v>3615.84</v>
      </c>
      <c r="N326">
        <v>360</v>
      </c>
      <c r="O326">
        <v>19.969766356179001</v>
      </c>
      <c r="P326" t="s">
        <v>2076</v>
      </c>
      <c r="Q326" t="s">
        <v>2092</v>
      </c>
    </row>
    <row r="327" spans="1:17" x14ac:dyDescent="0.25">
      <c r="A327" t="s">
        <v>1677</v>
      </c>
      <c r="B327" s="18">
        <v>45716</v>
      </c>
      <c r="C327" t="s">
        <v>2025</v>
      </c>
      <c r="D327" t="s">
        <v>2045</v>
      </c>
      <c r="E327" t="s">
        <v>2057</v>
      </c>
      <c r="F327" t="s">
        <v>2062</v>
      </c>
      <c r="G327">
        <v>6</v>
      </c>
      <c r="H327">
        <v>45</v>
      </c>
      <c r="I327">
        <v>63</v>
      </c>
      <c r="J327">
        <v>17.649999999999999</v>
      </c>
      <c r="K327">
        <v>311.29000000000002</v>
      </c>
      <c r="L327">
        <v>41.29</v>
      </c>
      <c r="M327">
        <v>6671.7</v>
      </c>
      <c r="N327">
        <v>270</v>
      </c>
      <c r="O327">
        <v>13.264158822962511</v>
      </c>
      <c r="P327" t="s">
        <v>2076</v>
      </c>
      <c r="Q327" t="s">
        <v>2092</v>
      </c>
    </row>
    <row r="328" spans="1:17" x14ac:dyDescent="0.25">
      <c r="A328" t="s">
        <v>1868</v>
      </c>
      <c r="B328" s="18">
        <v>45716</v>
      </c>
      <c r="C328" t="s">
        <v>2030</v>
      </c>
      <c r="D328" t="s">
        <v>2050</v>
      </c>
      <c r="E328" t="s">
        <v>2058</v>
      </c>
      <c r="F328" t="s">
        <v>2062</v>
      </c>
      <c r="G328">
        <v>7</v>
      </c>
      <c r="H328">
        <v>1800</v>
      </c>
      <c r="I328">
        <v>2124</v>
      </c>
      <c r="J328">
        <v>19.309999999999999</v>
      </c>
      <c r="K328">
        <v>11997.4</v>
      </c>
      <c r="L328">
        <v>-602.6</v>
      </c>
      <c r="M328">
        <v>287101.07999999996</v>
      </c>
      <c r="N328">
        <v>12600</v>
      </c>
      <c r="O328">
        <v>-5.0227549302348846</v>
      </c>
      <c r="P328" t="s">
        <v>2076</v>
      </c>
      <c r="Q328" t="s">
        <v>2093</v>
      </c>
    </row>
    <row r="329" spans="1:17" x14ac:dyDescent="0.25">
      <c r="A329" t="s">
        <v>1984</v>
      </c>
      <c r="B329" s="18">
        <v>45716</v>
      </c>
      <c r="C329" t="s">
        <v>2019</v>
      </c>
      <c r="D329" t="s">
        <v>2039</v>
      </c>
      <c r="E329" t="s">
        <v>2053</v>
      </c>
      <c r="F329" t="s">
        <v>2059</v>
      </c>
      <c r="G329">
        <v>3</v>
      </c>
      <c r="H329">
        <v>900</v>
      </c>
      <c r="I329">
        <v>1152</v>
      </c>
      <c r="J329">
        <v>7.17</v>
      </c>
      <c r="K329">
        <v>3208.16</v>
      </c>
      <c r="L329">
        <v>508.16</v>
      </c>
      <c r="M329">
        <v>24779.52</v>
      </c>
      <c r="N329">
        <v>2700</v>
      </c>
      <c r="O329">
        <v>15.839608997057505</v>
      </c>
      <c r="P329" t="s">
        <v>2076</v>
      </c>
      <c r="Q329" t="s">
        <v>2092</v>
      </c>
    </row>
    <row r="330" spans="1:17" x14ac:dyDescent="0.25">
      <c r="A330" t="s">
        <v>137</v>
      </c>
      <c r="B330" s="18">
        <v>45717</v>
      </c>
      <c r="C330" t="s">
        <v>2012</v>
      </c>
      <c r="D330" t="s">
        <v>2032</v>
      </c>
      <c r="E330" t="s">
        <v>2052</v>
      </c>
      <c r="F330" t="s">
        <v>2060</v>
      </c>
      <c r="G330">
        <v>1</v>
      </c>
      <c r="H330">
        <v>6500</v>
      </c>
      <c r="I330">
        <v>8125</v>
      </c>
      <c r="J330">
        <v>23.1</v>
      </c>
      <c r="K330">
        <v>6247.84</v>
      </c>
      <c r="L330">
        <v>-252.16</v>
      </c>
      <c r="M330">
        <v>187687.5</v>
      </c>
      <c r="N330">
        <v>6500</v>
      </c>
      <c r="O330">
        <v>-4.0359548259878615</v>
      </c>
      <c r="P330" t="s">
        <v>2077</v>
      </c>
      <c r="Q330" t="s">
        <v>2093</v>
      </c>
    </row>
    <row r="331" spans="1:17" x14ac:dyDescent="0.25">
      <c r="A331" t="s">
        <v>229</v>
      </c>
      <c r="B331" s="18">
        <v>45717</v>
      </c>
      <c r="C331" t="s">
        <v>2026</v>
      </c>
      <c r="D331" t="s">
        <v>2046</v>
      </c>
      <c r="E331" t="s">
        <v>2052</v>
      </c>
      <c r="F331" t="s">
        <v>2062</v>
      </c>
      <c r="G331">
        <v>10</v>
      </c>
      <c r="H331">
        <v>3000</v>
      </c>
      <c r="I331">
        <v>3600</v>
      </c>
      <c r="J331">
        <v>12.27</v>
      </c>
      <c r="K331">
        <v>31583.27</v>
      </c>
      <c r="L331">
        <v>1583.27</v>
      </c>
      <c r="M331">
        <v>441720</v>
      </c>
      <c r="N331">
        <v>30000</v>
      </c>
      <c r="O331">
        <v>5.0130021368908286</v>
      </c>
      <c r="P331" t="s">
        <v>2077</v>
      </c>
      <c r="Q331" t="s">
        <v>2091</v>
      </c>
    </row>
    <row r="332" spans="1:17" x14ac:dyDescent="0.25">
      <c r="A332" t="s">
        <v>453</v>
      </c>
      <c r="B332" s="18">
        <v>45717</v>
      </c>
      <c r="C332" t="s">
        <v>2012</v>
      </c>
      <c r="D332" t="s">
        <v>2032</v>
      </c>
      <c r="E332" t="s">
        <v>2052</v>
      </c>
      <c r="F332" t="s">
        <v>2059</v>
      </c>
      <c r="G332">
        <v>6</v>
      </c>
      <c r="H332">
        <v>6500</v>
      </c>
      <c r="I332">
        <v>8125</v>
      </c>
      <c r="J332">
        <v>7.21</v>
      </c>
      <c r="K332">
        <v>45236.07</v>
      </c>
      <c r="L332">
        <v>6236.07</v>
      </c>
      <c r="M332">
        <v>351487.5</v>
      </c>
      <c r="N332">
        <v>39000</v>
      </c>
      <c r="O332">
        <v>13.785614002277386</v>
      </c>
      <c r="P332" t="s">
        <v>2077</v>
      </c>
      <c r="Q332" t="s">
        <v>2092</v>
      </c>
    </row>
    <row r="333" spans="1:17" x14ac:dyDescent="0.25">
      <c r="A333" t="s">
        <v>738</v>
      </c>
      <c r="B333" s="18">
        <v>45717</v>
      </c>
      <c r="C333" t="s">
        <v>2018</v>
      </c>
      <c r="D333" t="s">
        <v>2038</v>
      </c>
      <c r="E333" t="s">
        <v>2053</v>
      </c>
      <c r="F333" t="s">
        <v>2061</v>
      </c>
      <c r="G333">
        <v>2</v>
      </c>
      <c r="H333">
        <v>500</v>
      </c>
      <c r="I333">
        <v>610</v>
      </c>
      <c r="J333">
        <v>17.27</v>
      </c>
      <c r="K333">
        <v>1009.27</v>
      </c>
      <c r="L333">
        <v>9.27</v>
      </c>
      <c r="M333">
        <v>21069.399999999998</v>
      </c>
      <c r="N333">
        <v>1000</v>
      </c>
      <c r="O333">
        <v>0.91848563813449324</v>
      </c>
      <c r="P333" t="s">
        <v>2077</v>
      </c>
      <c r="Q333" t="s">
        <v>2091</v>
      </c>
    </row>
    <row r="334" spans="1:17" x14ac:dyDescent="0.25">
      <c r="A334" t="s">
        <v>497</v>
      </c>
      <c r="B334" s="18">
        <v>45718</v>
      </c>
      <c r="C334" t="s">
        <v>2019</v>
      </c>
      <c r="D334" t="s">
        <v>2039</v>
      </c>
      <c r="E334" t="s">
        <v>2053</v>
      </c>
      <c r="F334" t="s">
        <v>2062</v>
      </c>
      <c r="G334">
        <v>4</v>
      </c>
      <c r="H334">
        <v>900</v>
      </c>
      <c r="I334">
        <v>1152</v>
      </c>
      <c r="J334">
        <v>8.57</v>
      </c>
      <c r="K334">
        <v>4213.2</v>
      </c>
      <c r="L334">
        <v>613.20000000000005</v>
      </c>
      <c r="M334">
        <v>39490.559999999998</v>
      </c>
      <c r="N334">
        <v>3600</v>
      </c>
      <c r="O334">
        <v>14.554258046140703</v>
      </c>
      <c r="P334" t="s">
        <v>2077</v>
      </c>
      <c r="Q334" t="s">
        <v>2092</v>
      </c>
    </row>
    <row r="335" spans="1:17" x14ac:dyDescent="0.25">
      <c r="A335" t="s">
        <v>603</v>
      </c>
      <c r="B335" s="18">
        <v>45718</v>
      </c>
      <c r="C335" t="s">
        <v>2031</v>
      </c>
      <c r="D335" t="s">
        <v>2051</v>
      </c>
      <c r="E335" t="s">
        <v>2058</v>
      </c>
      <c r="F335" t="s">
        <v>2059</v>
      </c>
      <c r="G335">
        <v>8</v>
      </c>
      <c r="H335">
        <v>3200</v>
      </c>
      <c r="I335">
        <v>3840</v>
      </c>
      <c r="J335">
        <v>9.7799999999999994</v>
      </c>
      <c r="K335">
        <v>27714.6</v>
      </c>
      <c r="L335">
        <v>2114.6</v>
      </c>
      <c r="M335">
        <v>300441.59999999998</v>
      </c>
      <c r="N335">
        <v>25600</v>
      </c>
      <c r="O335">
        <v>7.6299134752080127</v>
      </c>
      <c r="P335" t="s">
        <v>2077</v>
      </c>
      <c r="Q335" t="s">
        <v>2091</v>
      </c>
    </row>
    <row r="336" spans="1:17" x14ac:dyDescent="0.25">
      <c r="A336" t="s">
        <v>604</v>
      </c>
      <c r="B336" s="18">
        <v>45718</v>
      </c>
      <c r="C336" t="s">
        <v>2030</v>
      </c>
      <c r="D336" t="s">
        <v>2050</v>
      </c>
      <c r="E336" t="s">
        <v>2058</v>
      </c>
      <c r="F336" t="s">
        <v>2059</v>
      </c>
      <c r="G336">
        <v>7</v>
      </c>
      <c r="H336">
        <v>1800</v>
      </c>
      <c r="I336">
        <v>2124</v>
      </c>
      <c r="J336">
        <v>14.6</v>
      </c>
      <c r="K336">
        <v>12697.89</v>
      </c>
      <c r="L336">
        <v>97.89</v>
      </c>
      <c r="M336">
        <v>217072.8</v>
      </c>
      <c r="N336">
        <v>12600</v>
      </c>
      <c r="O336">
        <v>0.77091548280856115</v>
      </c>
      <c r="P336" t="s">
        <v>2077</v>
      </c>
      <c r="Q336" t="s">
        <v>2091</v>
      </c>
    </row>
    <row r="337" spans="1:17" x14ac:dyDescent="0.25">
      <c r="A337" t="s">
        <v>929</v>
      </c>
      <c r="B337" s="18">
        <v>45718</v>
      </c>
      <c r="C337" t="s">
        <v>2023</v>
      </c>
      <c r="D337" t="s">
        <v>2043</v>
      </c>
      <c r="E337" t="s">
        <v>2053</v>
      </c>
      <c r="F337" t="s">
        <v>2059</v>
      </c>
      <c r="G337">
        <v>2</v>
      </c>
      <c r="H337">
        <v>550</v>
      </c>
      <c r="I337">
        <v>742.5</v>
      </c>
      <c r="J337">
        <v>5.41</v>
      </c>
      <c r="K337">
        <v>1404.63</v>
      </c>
      <c r="L337">
        <v>304.63</v>
      </c>
      <c r="M337">
        <v>8033.85</v>
      </c>
      <c r="N337">
        <v>1100</v>
      </c>
      <c r="O337">
        <v>21.687561849027855</v>
      </c>
      <c r="P337" t="s">
        <v>2077</v>
      </c>
      <c r="Q337" t="s">
        <v>2092</v>
      </c>
    </row>
    <row r="338" spans="1:17" x14ac:dyDescent="0.25">
      <c r="A338" t="s">
        <v>1317</v>
      </c>
      <c r="B338" s="18">
        <v>45718</v>
      </c>
      <c r="C338" t="s">
        <v>2027</v>
      </c>
      <c r="D338" t="s">
        <v>2047</v>
      </c>
      <c r="E338" t="s">
        <v>2053</v>
      </c>
      <c r="F338" t="s">
        <v>2060</v>
      </c>
      <c r="G338">
        <v>6</v>
      </c>
      <c r="H338">
        <v>1100</v>
      </c>
      <c r="I338">
        <v>1298</v>
      </c>
      <c r="J338">
        <v>20.440000000000001</v>
      </c>
      <c r="K338">
        <v>6196.4</v>
      </c>
      <c r="L338">
        <v>-403.6</v>
      </c>
      <c r="M338">
        <v>159186.72</v>
      </c>
      <c r="N338">
        <v>6600</v>
      </c>
      <c r="O338">
        <v>-6.5134594280550004</v>
      </c>
      <c r="P338" t="s">
        <v>2077</v>
      </c>
      <c r="Q338" t="s">
        <v>2093</v>
      </c>
    </row>
    <row r="339" spans="1:17" x14ac:dyDescent="0.25">
      <c r="A339" t="s">
        <v>1626</v>
      </c>
      <c r="B339" s="18">
        <v>45718</v>
      </c>
      <c r="C339" t="s">
        <v>2031</v>
      </c>
      <c r="D339" t="s">
        <v>2051</v>
      </c>
      <c r="E339" t="s">
        <v>2058</v>
      </c>
      <c r="F339" t="s">
        <v>2059</v>
      </c>
      <c r="G339">
        <v>4</v>
      </c>
      <c r="H339">
        <v>3200</v>
      </c>
      <c r="I339">
        <v>3840</v>
      </c>
      <c r="J339">
        <v>21.91</v>
      </c>
      <c r="K339">
        <v>11995</v>
      </c>
      <c r="L339">
        <v>-805</v>
      </c>
      <c r="M339">
        <v>336537.59999999998</v>
      </c>
      <c r="N339">
        <v>12800</v>
      </c>
      <c r="O339">
        <v>-6.7111296373488951</v>
      </c>
      <c r="P339" t="s">
        <v>2077</v>
      </c>
      <c r="Q339" t="s">
        <v>2093</v>
      </c>
    </row>
    <row r="340" spans="1:17" x14ac:dyDescent="0.25">
      <c r="A340" t="s">
        <v>174</v>
      </c>
      <c r="B340" s="18">
        <v>45719</v>
      </c>
      <c r="C340" t="s">
        <v>2013</v>
      </c>
      <c r="D340" t="s">
        <v>2033</v>
      </c>
      <c r="E340" t="s">
        <v>2053</v>
      </c>
      <c r="F340" t="s">
        <v>2060</v>
      </c>
      <c r="G340">
        <v>4</v>
      </c>
      <c r="H340">
        <v>6500</v>
      </c>
      <c r="I340">
        <v>7150</v>
      </c>
      <c r="J340">
        <v>4</v>
      </c>
      <c r="K340">
        <v>27456</v>
      </c>
      <c r="L340">
        <v>1456</v>
      </c>
      <c r="M340">
        <v>114400</v>
      </c>
      <c r="N340">
        <v>26000</v>
      </c>
      <c r="O340">
        <v>5.3030303030303028</v>
      </c>
      <c r="P340" t="s">
        <v>2077</v>
      </c>
      <c r="Q340" t="s">
        <v>2091</v>
      </c>
    </row>
    <row r="341" spans="1:17" x14ac:dyDescent="0.25">
      <c r="A341" t="s">
        <v>184</v>
      </c>
      <c r="B341" s="18">
        <v>45719</v>
      </c>
      <c r="C341" t="s">
        <v>2020</v>
      </c>
      <c r="D341" t="s">
        <v>2040</v>
      </c>
      <c r="E341" t="s">
        <v>2053</v>
      </c>
      <c r="F341" t="s">
        <v>2060</v>
      </c>
      <c r="G341">
        <v>5</v>
      </c>
      <c r="H341">
        <v>350</v>
      </c>
      <c r="I341">
        <v>455</v>
      </c>
      <c r="J341">
        <v>23.13</v>
      </c>
      <c r="K341">
        <v>1748.82</v>
      </c>
      <c r="L341">
        <v>-1.18</v>
      </c>
      <c r="M341">
        <v>52620.75</v>
      </c>
      <c r="N341">
        <v>1750</v>
      </c>
      <c r="O341">
        <v>-6.7474068228862885E-2</v>
      </c>
      <c r="P341" t="s">
        <v>2077</v>
      </c>
      <c r="Q341" t="s">
        <v>2093</v>
      </c>
    </row>
    <row r="342" spans="1:17" x14ac:dyDescent="0.25">
      <c r="A342" t="s">
        <v>871</v>
      </c>
      <c r="B342" s="18">
        <v>45719</v>
      </c>
      <c r="C342" t="s">
        <v>2030</v>
      </c>
      <c r="D342" t="s">
        <v>2050</v>
      </c>
      <c r="E342" t="s">
        <v>2058</v>
      </c>
      <c r="F342" t="s">
        <v>2059</v>
      </c>
      <c r="G342">
        <v>4</v>
      </c>
      <c r="H342">
        <v>1800</v>
      </c>
      <c r="I342">
        <v>2124</v>
      </c>
      <c r="J342">
        <v>13.44</v>
      </c>
      <c r="K342">
        <v>7353.72</v>
      </c>
      <c r="L342">
        <v>153.72</v>
      </c>
      <c r="M342">
        <v>114186.23999999999</v>
      </c>
      <c r="N342">
        <v>7200</v>
      </c>
      <c r="O342">
        <v>2.0903705879473247</v>
      </c>
      <c r="P342" t="s">
        <v>2077</v>
      </c>
      <c r="Q342" t="s">
        <v>2091</v>
      </c>
    </row>
    <row r="343" spans="1:17" x14ac:dyDescent="0.25">
      <c r="A343" t="s">
        <v>1053</v>
      </c>
      <c r="B343" s="18">
        <v>45719</v>
      </c>
      <c r="C343" t="s">
        <v>2029</v>
      </c>
      <c r="D343" t="s">
        <v>2049</v>
      </c>
      <c r="E343" t="s">
        <v>2055</v>
      </c>
      <c r="F343" t="s">
        <v>2061</v>
      </c>
      <c r="G343">
        <v>4</v>
      </c>
      <c r="H343">
        <v>1200</v>
      </c>
      <c r="I343">
        <v>1464</v>
      </c>
      <c r="J343">
        <v>11.21</v>
      </c>
      <c r="K343">
        <v>5199.28</v>
      </c>
      <c r="L343">
        <v>399.28</v>
      </c>
      <c r="M343">
        <v>65645.760000000009</v>
      </c>
      <c r="N343">
        <v>4800</v>
      </c>
      <c r="O343">
        <v>7.679524857287932</v>
      </c>
      <c r="P343" t="s">
        <v>2077</v>
      </c>
      <c r="Q343" t="s">
        <v>2091</v>
      </c>
    </row>
    <row r="344" spans="1:17" x14ac:dyDescent="0.25">
      <c r="A344" t="s">
        <v>1631</v>
      </c>
      <c r="B344" s="18">
        <v>45719</v>
      </c>
      <c r="C344" t="s">
        <v>2022</v>
      </c>
      <c r="D344" t="s">
        <v>2042</v>
      </c>
      <c r="E344" t="s">
        <v>2053</v>
      </c>
      <c r="F344" t="s">
        <v>2059</v>
      </c>
      <c r="G344">
        <v>7</v>
      </c>
      <c r="H344">
        <v>8500</v>
      </c>
      <c r="I344">
        <v>9520</v>
      </c>
      <c r="J344">
        <v>12.77</v>
      </c>
      <c r="K344">
        <v>58130.31</v>
      </c>
      <c r="L344">
        <v>-1369.69</v>
      </c>
      <c r="M344">
        <v>850992.79999999993</v>
      </c>
      <c r="N344">
        <v>59500</v>
      </c>
      <c r="O344">
        <v>-2.3562406599930399</v>
      </c>
      <c r="P344" t="s">
        <v>2077</v>
      </c>
      <c r="Q344" t="s">
        <v>2093</v>
      </c>
    </row>
    <row r="345" spans="1:17" x14ac:dyDescent="0.25">
      <c r="A345" t="s">
        <v>171</v>
      </c>
      <c r="B345" s="18">
        <v>45720</v>
      </c>
      <c r="C345" t="s">
        <v>2013</v>
      </c>
      <c r="D345" t="s">
        <v>2033</v>
      </c>
      <c r="E345" t="s">
        <v>2053</v>
      </c>
      <c r="F345" t="s">
        <v>2060</v>
      </c>
      <c r="G345">
        <v>7</v>
      </c>
      <c r="H345">
        <v>6500</v>
      </c>
      <c r="I345">
        <v>7150</v>
      </c>
      <c r="J345">
        <v>15.67</v>
      </c>
      <c r="K345">
        <v>42207.48</v>
      </c>
      <c r="L345">
        <v>-3292.52</v>
      </c>
      <c r="M345">
        <v>784283.5</v>
      </c>
      <c r="N345">
        <v>45500</v>
      </c>
      <c r="O345">
        <v>-7.8007973942059552</v>
      </c>
      <c r="P345" t="s">
        <v>2077</v>
      </c>
      <c r="Q345" t="s">
        <v>2093</v>
      </c>
    </row>
    <row r="346" spans="1:17" x14ac:dyDescent="0.25">
      <c r="A346" t="s">
        <v>712</v>
      </c>
      <c r="B346" s="18">
        <v>45720</v>
      </c>
      <c r="C346" t="s">
        <v>2016</v>
      </c>
      <c r="D346" t="s">
        <v>2036</v>
      </c>
      <c r="E346" t="s">
        <v>2052</v>
      </c>
      <c r="F346" t="s">
        <v>2061</v>
      </c>
      <c r="G346">
        <v>10</v>
      </c>
      <c r="H346">
        <v>900</v>
      </c>
      <c r="I346">
        <v>1170</v>
      </c>
      <c r="J346">
        <v>8.33</v>
      </c>
      <c r="K346">
        <v>10725.14</v>
      </c>
      <c r="L346">
        <v>1725.14</v>
      </c>
      <c r="M346">
        <v>97461</v>
      </c>
      <c r="N346">
        <v>9000</v>
      </c>
      <c r="O346">
        <v>16.085011477705656</v>
      </c>
      <c r="P346" t="s">
        <v>2077</v>
      </c>
      <c r="Q346" t="s">
        <v>2092</v>
      </c>
    </row>
    <row r="347" spans="1:17" x14ac:dyDescent="0.25">
      <c r="A347" t="s">
        <v>836</v>
      </c>
      <c r="B347" s="18">
        <v>45720</v>
      </c>
      <c r="C347" t="s">
        <v>2014</v>
      </c>
      <c r="D347" t="s">
        <v>2034</v>
      </c>
      <c r="E347" t="s">
        <v>2052</v>
      </c>
      <c r="F347" t="s">
        <v>2061</v>
      </c>
      <c r="G347">
        <v>8</v>
      </c>
      <c r="H347">
        <v>4500</v>
      </c>
      <c r="I347">
        <v>5220</v>
      </c>
      <c r="J347">
        <v>17.739999999999998</v>
      </c>
      <c r="K347">
        <v>34353.480000000003</v>
      </c>
      <c r="L347">
        <v>-1646.52</v>
      </c>
      <c r="M347">
        <v>740822.39999999991</v>
      </c>
      <c r="N347">
        <v>36000</v>
      </c>
      <c r="O347">
        <v>-4.7928768788489551</v>
      </c>
      <c r="P347" t="s">
        <v>2077</v>
      </c>
      <c r="Q347" t="s">
        <v>2093</v>
      </c>
    </row>
    <row r="348" spans="1:17" x14ac:dyDescent="0.25">
      <c r="A348" t="s">
        <v>1076</v>
      </c>
      <c r="B348" s="18">
        <v>45720</v>
      </c>
      <c r="C348" t="s">
        <v>2017</v>
      </c>
      <c r="D348" t="s">
        <v>2037</v>
      </c>
      <c r="E348" t="s">
        <v>2055</v>
      </c>
      <c r="F348" t="s">
        <v>2062</v>
      </c>
      <c r="G348">
        <v>8</v>
      </c>
      <c r="H348">
        <v>2500</v>
      </c>
      <c r="I348">
        <v>2875</v>
      </c>
      <c r="J348">
        <v>6.17</v>
      </c>
      <c r="K348">
        <v>21580.71</v>
      </c>
      <c r="L348">
        <v>1580.71</v>
      </c>
      <c r="M348">
        <v>141910</v>
      </c>
      <c r="N348">
        <v>20000</v>
      </c>
      <c r="O348">
        <v>7.3246431651229278</v>
      </c>
      <c r="P348" t="s">
        <v>2077</v>
      </c>
      <c r="Q348" t="s">
        <v>2091</v>
      </c>
    </row>
    <row r="349" spans="1:17" x14ac:dyDescent="0.25">
      <c r="A349" t="s">
        <v>1247</v>
      </c>
      <c r="B349" s="18">
        <v>45720</v>
      </c>
      <c r="C349" t="s">
        <v>2026</v>
      </c>
      <c r="D349" t="s">
        <v>2046</v>
      </c>
      <c r="E349" t="s">
        <v>2052</v>
      </c>
      <c r="F349" t="s">
        <v>2062</v>
      </c>
      <c r="G349">
        <v>4</v>
      </c>
      <c r="H349">
        <v>3000</v>
      </c>
      <c r="I349">
        <v>3600</v>
      </c>
      <c r="J349">
        <v>13.4</v>
      </c>
      <c r="K349">
        <v>12470.88</v>
      </c>
      <c r="L349">
        <v>470.88</v>
      </c>
      <c r="M349">
        <v>192960</v>
      </c>
      <c r="N349">
        <v>12000</v>
      </c>
      <c r="O349">
        <v>3.7758361879835265</v>
      </c>
      <c r="P349" t="s">
        <v>2077</v>
      </c>
      <c r="Q349" t="s">
        <v>2091</v>
      </c>
    </row>
    <row r="350" spans="1:17" x14ac:dyDescent="0.25">
      <c r="A350" t="s">
        <v>1916</v>
      </c>
      <c r="B350" s="18">
        <v>45720</v>
      </c>
      <c r="C350" t="s">
        <v>2021</v>
      </c>
      <c r="D350" t="s">
        <v>2041</v>
      </c>
      <c r="E350" t="s">
        <v>2056</v>
      </c>
      <c r="F350" t="s">
        <v>2060</v>
      </c>
      <c r="G350">
        <v>3</v>
      </c>
      <c r="H350">
        <v>300</v>
      </c>
      <c r="I350">
        <v>405</v>
      </c>
      <c r="J350">
        <v>16.38</v>
      </c>
      <c r="K350">
        <v>1016.03</v>
      </c>
      <c r="L350">
        <v>116.03</v>
      </c>
      <c r="M350">
        <v>19901.699999999997</v>
      </c>
      <c r="N350">
        <v>900</v>
      </c>
      <c r="O350">
        <v>11.419938387646035</v>
      </c>
      <c r="P350" t="s">
        <v>2077</v>
      </c>
      <c r="Q350" t="s">
        <v>2092</v>
      </c>
    </row>
    <row r="351" spans="1:17" x14ac:dyDescent="0.25">
      <c r="A351" t="s">
        <v>876</v>
      </c>
      <c r="B351" s="18">
        <v>45721</v>
      </c>
      <c r="C351" t="s">
        <v>2019</v>
      </c>
      <c r="D351" t="s">
        <v>2039</v>
      </c>
      <c r="E351" t="s">
        <v>2053</v>
      </c>
      <c r="F351" t="s">
        <v>2060</v>
      </c>
      <c r="G351">
        <v>1</v>
      </c>
      <c r="H351">
        <v>900</v>
      </c>
      <c r="I351">
        <v>1152</v>
      </c>
      <c r="J351">
        <v>0.65</v>
      </c>
      <c r="K351">
        <v>1144.46</v>
      </c>
      <c r="L351">
        <v>244.46</v>
      </c>
      <c r="M351">
        <v>748.80000000000007</v>
      </c>
      <c r="N351">
        <v>900</v>
      </c>
      <c r="O351">
        <v>21.360292190203239</v>
      </c>
      <c r="P351" t="s">
        <v>2077</v>
      </c>
      <c r="Q351" t="s">
        <v>2092</v>
      </c>
    </row>
    <row r="352" spans="1:17" x14ac:dyDescent="0.25">
      <c r="A352" t="s">
        <v>1101</v>
      </c>
      <c r="B352" s="18">
        <v>45721</v>
      </c>
      <c r="C352" t="s">
        <v>2020</v>
      </c>
      <c r="D352" t="s">
        <v>2040</v>
      </c>
      <c r="E352" t="s">
        <v>2053</v>
      </c>
      <c r="F352" t="s">
        <v>2061</v>
      </c>
      <c r="G352">
        <v>8</v>
      </c>
      <c r="H352">
        <v>350</v>
      </c>
      <c r="I352">
        <v>455</v>
      </c>
      <c r="J352">
        <v>10.32</v>
      </c>
      <c r="K352">
        <v>3264.29</v>
      </c>
      <c r="L352">
        <v>464.29</v>
      </c>
      <c r="M352">
        <v>37564.800000000003</v>
      </c>
      <c r="N352">
        <v>2800</v>
      </c>
      <c r="O352">
        <v>14.223307365460791</v>
      </c>
      <c r="P352" t="s">
        <v>2077</v>
      </c>
      <c r="Q352" t="s">
        <v>2092</v>
      </c>
    </row>
    <row r="353" spans="1:17" x14ac:dyDescent="0.25">
      <c r="A353" t="s">
        <v>1191</v>
      </c>
      <c r="B353" s="18">
        <v>45721</v>
      </c>
      <c r="C353" t="s">
        <v>2015</v>
      </c>
      <c r="D353" t="s">
        <v>2035</v>
      </c>
      <c r="E353" t="s">
        <v>2054</v>
      </c>
      <c r="F353" t="s">
        <v>2059</v>
      </c>
      <c r="G353">
        <v>3</v>
      </c>
      <c r="H353">
        <v>900</v>
      </c>
      <c r="I353">
        <v>1170</v>
      </c>
      <c r="J353">
        <v>5.84</v>
      </c>
      <c r="K353">
        <v>3305.16</v>
      </c>
      <c r="L353">
        <v>605.16</v>
      </c>
      <c r="M353">
        <v>20498.399999999998</v>
      </c>
      <c r="N353">
        <v>2700</v>
      </c>
      <c r="O353">
        <v>18.309552336346805</v>
      </c>
      <c r="P353" t="s">
        <v>2077</v>
      </c>
      <c r="Q353" t="s">
        <v>2092</v>
      </c>
    </row>
    <row r="354" spans="1:17" x14ac:dyDescent="0.25">
      <c r="A354" t="s">
        <v>192</v>
      </c>
      <c r="B354" s="18">
        <v>45722</v>
      </c>
      <c r="C354" t="s">
        <v>2022</v>
      </c>
      <c r="D354" t="s">
        <v>2042</v>
      </c>
      <c r="E354" t="s">
        <v>2053</v>
      </c>
      <c r="F354" t="s">
        <v>2062</v>
      </c>
      <c r="G354">
        <v>4</v>
      </c>
      <c r="H354">
        <v>8500</v>
      </c>
      <c r="I354">
        <v>9520</v>
      </c>
      <c r="J354">
        <v>4.96</v>
      </c>
      <c r="K354">
        <v>36189.339999999997</v>
      </c>
      <c r="L354">
        <v>2189.34</v>
      </c>
      <c r="M354">
        <v>188876.79999999999</v>
      </c>
      <c r="N354">
        <v>34000</v>
      </c>
      <c r="O354">
        <v>6.049682033438577</v>
      </c>
      <c r="P354" t="s">
        <v>2077</v>
      </c>
      <c r="Q354" t="s">
        <v>2091</v>
      </c>
    </row>
    <row r="355" spans="1:17" x14ac:dyDescent="0.25">
      <c r="A355" t="s">
        <v>615</v>
      </c>
      <c r="B355" s="18">
        <v>45722</v>
      </c>
      <c r="C355" t="s">
        <v>2027</v>
      </c>
      <c r="D355" t="s">
        <v>2047</v>
      </c>
      <c r="E355" t="s">
        <v>2053</v>
      </c>
      <c r="F355" t="s">
        <v>2061</v>
      </c>
      <c r="G355">
        <v>6</v>
      </c>
      <c r="H355">
        <v>1100</v>
      </c>
      <c r="I355">
        <v>1298</v>
      </c>
      <c r="J355">
        <v>9.9600000000000009</v>
      </c>
      <c r="K355">
        <v>7012.13</v>
      </c>
      <c r="L355">
        <v>412.13</v>
      </c>
      <c r="M355">
        <v>77568.48000000001</v>
      </c>
      <c r="N355">
        <v>6600</v>
      </c>
      <c r="O355">
        <v>5.877386756948316</v>
      </c>
      <c r="P355" t="s">
        <v>2077</v>
      </c>
      <c r="Q355" t="s">
        <v>2091</v>
      </c>
    </row>
    <row r="356" spans="1:17" x14ac:dyDescent="0.25">
      <c r="A356" t="s">
        <v>889</v>
      </c>
      <c r="B356" s="18">
        <v>45722</v>
      </c>
      <c r="C356" t="s">
        <v>2030</v>
      </c>
      <c r="D356" t="s">
        <v>2050</v>
      </c>
      <c r="E356" t="s">
        <v>2058</v>
      </c>
      <c r="F356" t="s">
        <v>2062</v>
      </c>
      <c r="G356">
        <v>1</v>
      </c>
      <c r="H356">
        <v>1800</v>
      </c>
      <c r="I356">
        <v>2124</v>
      </c>
      <c r="J356">
        <v>19.29</v>
      </c>
      <c r="K356">
        <v>1714.29</v>
      </c>
      <c r="L356">
        <v>-85.71</v>
      </c>
      <c r="M356">
        <v>40971.96</v>
      </c>
      <c r="N356">
        <v>1800</v>
      </c>
      <c r="O356">
        <v>-4.9997375006562486</v>
      </c>
      <c r="P356" t="s">
        <v>2077</v>
      </c>
      <c r="Q356" t="s">
        <v>2093</v>
      </c>
    </row>
    <row r="357" spans="1:17" x14ac:dyDescent="0.25">
      <c r="A357" t="s">
        <v>1285</v>
      </c>
      <c r="B357" s="18">
        <v>45722</v>
      </c>
      <c r="C357" t="s">
        <v>2029</v>
      </c>
      <c r="D357" t="s">
        <v>2049</v>
      </c>
      <c r="E357" t="s">
        <v>2055</v>
      </c>
      <c r="F357" t="s">
        <v>2059</v>
      </c>
      <c r="G357">
        <v>10</v>
      </c>
      <c r="H357">
        <v>1200</v>
      </c>
      <c r="I357">
        <v>1464</v>
      </c>
      <c r="J357">
        <v>0.56999999999999995</v>
      </c>
      <c r="K357">
        <v>14556.62</v>
      </c>
      <c r="L357">
        <v>2556.62</v>
      </c>
      <c r="M357">
        <v>8344.7999999999993</v>
      </c>
      <c r="N357">
        <v>12000</v>
      </c>
      <c r="O357">
        <v>17.563280486816307</v>
      </c>
      <c r="P357" t="s">
        <v>2077</v>
      </c>
      <c r="Q357" t="s">
        <v>2092</v>
      </c>
    </row>
    <row r="358" spans="1:17" x14ac:dyDescent="0.25">
      <c r="A358" t="s">
        <v>1406</v>
      </c>
      <c r="B358" s="18">
        <v>45722</v>
      </c>
      <c r="C358" t="s">
        <v>2023</v>
      </c>
      <c r="D358" t="s">
        <v>2043</v>
      </c>
      <c r="E358" t="s">
        <v>2053</v>
      </c>
      <c r="F358" t="s">
        <v>2061</v>
      </c>
      <c r="G358">
        <v>8</v>
      </c>
      <c r="H358">
        <v>550</v>
      </c>
      <c r="I358">
        <v>742.5</v>
      </c>
      <c r="J358">
        <v>27.73</v>
      </c>
      <c r="K358">
        <v>4293.03</v>
      </c>
      <c r="L358">
        <v>-106.97</v>
      </c>
      <c r="M358">
        <v>164716.20000000001</v>
      </c>
      <c r="N358">
        <v>4400</v>
      </c>
      <c r="O358">
        <v>-2.4917133120430095</v>
      </c>
      <c r="P358" t="s">
        <v>2077</v>
      </c>
      <c r="Q358" t="s">
        <v>2093</v>
      </c>
    </row>
    <row r="359" spans="1:17" x14ac:dyDescent="0.25">
      <c r="A359" t="s">
        <v>1484</v>
      </c>
      <c r="B359" s="18">
        <v>45722</v>
      </c>
      <c r="C359" t="s">
        <v>2028</v>
      </c>
      <c r="D359" t="s">
        <v>2048</v>
      </c>
      <c r="E359" t="s">
        <v>2057</v>
      </c>
      <c r="F359" t="s">
        <v>2059</v>
      </c>
      <c r="G359">
        <v>10</v>
      </c>
      <c r="H359">
        <v>80</v>
      </c>
      <c r="I359">
        <v>116</v>
      </c>
      <c r="J359">
        <v>4.29</v>
      </c>
      <c r="K359">
        <v>1110.24</v>
      </c>
      <c r="L359">
        <v>310.24</v>
      </c>
      <c r="M359">
        <v>4976.3999999999996</v>
      </c>
      <c r="N359">
        <v>800</v>
      </c>
      <c r="O359">
        <v>27.943507710044674</v>
      </c>
      <c r="P359" t="s">
        <v>2077</v>
      </c>
      <c r="Q359" t="s">
        <v>2092</v>
      </c>
    </row>
    <row r="360" spans="1:17" x14ac:dyDescent="0.25">
      <c r="A360" t="s">
        <v>1923</v>
      </c>
      <c r="B360" s="18">
        <v>45722</v>
      </c>
      <c r="C360" t="s">
        <v>2014</v>
      </c>
      <c r="D360" t="s">
        <v>2034</v>
      </c>
      <c r="E360" t="s">
        <v>2052</v>
      </c>
      <c r="F360" t="s">
        <v>2060</v>
      </c>
      <c r="G360">
        <v>2</v>
      </c>
      <c r="H360">
        <v>4500</v>
      </c>
      <c r="I360">
        <v>5220</v>
      </c>
      <c r="J360">
        <v>12.75</v>
      </c>
      <c r="K360">
        <v>9108.92</v>
      </c>
      <c r="L360">
        <v>108.92</v>
      </c>
      <c r="M360">
        <v>133110</v>
      </c>
      <c r="N360">
        <v>9000</v>
      </c>
      <c r="O360">
        <v>1.1957509781620654</v>
      </c>
      <c r="P360" t="s">
        <v>2077</v>
      </c>
      <c r="Q360" t="s">
        <v>2091</v>
      </c>
    </row>
    <row r="361" spans="1:17" x14ac:dyDescent="0.25">
      <c r="A361" t="s">
        <v>59</v>
      </c>
      <c r="B361" s="18">
        <v>45723</v>
      </c>
      <c r="C361" t="s">
        <v>2024</v>
      </c>
      <c r="D361" t="s">
        <v>2044</v>
      </c>
      <c r="E361" t="s">
        <v>2055</v>
      </c>
      <c r="F361" t="s">
        <v>2059</v>
      </c>
      <c r="G361">
        <v>4</v>
      </c>
      <c r="H361">
        <v>180</v>
      </c>
      <c r="I361">
        <v>243</v>
      </c>
      <c r="J361">
        <v>7.67</v>
      </c>
      <c r="K361">
        <v>897.41</v>
      </c>
      <c r="L361">
        <v>177.41</v>
      </c>
      <c r="M361">
        <v>7455.24</v>
      </c>
      <c r="N361">
        <v>720</v>
      </c>
      <c r="O361">
        <v>19.769113337270593</v>
      </c>
      <c r="P361" t="s">
        <v>2077</v>
      </c>
      <c r="Q361" t="s">
        <v>2092</v>
      </c>
    </row>
    <row r="362" spans="1:17" x14ac:dyDescent="0.25">
      <c r="A362" t="s">
        <v>94</v>
      </c>
      <c r="B362" s="18">
        <v>45723</v>
      </c>
      <c r="C362" t="s">
        <v>2017</v>
      </c>
      <c r="D362" t="s">
        <v>2037</v>
      </c>
      <c r="E362" t="s">
        <v>2055</v>
      </c>
      <c r="F362" t="s">
        <v>2060</v>
      </c>
      <c r="G362">
        <v>6</v>
      </c>
      <c r="H362">
        <v>2500</v>
      </c>
      <c r="I362">
        <v>2875</v>
      </c>
      <c r="J362">
        <v>16.36</v>
      </c>
      <c r="K362">
        <v>14427.43</v>
      </c>
      <c r="L362">
        <v>-572.57000000000005</v>
      </c>
      <c r="M362">
        <v>282210</v>
      </c>
      <c r="N362">
        <v>15000</v>
      </c>
      <c r="O362">
        <v>-3.9686208839689403</v>
      </c>
      <c r="P362" t="s">
        <v>2077</v>
      </c>
      <c r="Q362" t="s">
        <v>2093</v>
      </c>
    </row>
    <row r="363" spans="1:17" x14ac:dyDescent="0.25">
      <c r="A363" t="s">
        <v>396</v>
      </c>
      <c r="B363" s="18">
        <v>45723</v>
      </c>
      <c r="C363" t="s">
        <v>2014</v>
      </c>
      <c r="D363" t="s">
        <v>2034</v>
      </c>
      <c r="E363" t="s">
        <v>2052</v>
      </c>
      <c r="F363" t="s">
        <v>2061</v>
      </c>
      <c r="G363">
        <v>10</v>
      </c>
      <c r="H363">
        <v>4500</v>
      </c>
      <c r="I363">
        <v>5220</v>
      </c>
      <c r="J363">
        <v>20.13</v>
      </c>
      <c r="K363">
        <v>41691.550000000003</v>
      </c>
      <c r="L363">
        <v>-3308.45</v>
      </c>
      <c r="M363">
        <v>1050786</v>
      </c>
      <c r="N363">
        <v>45000</v>
      </c>
      <c r="O363">
        <v>-7.9355408949775175</v>
      </c>
      <c r="P363" t="s">
        <v>2077</v>
      </c>
      <c r="Q363" t="s">
        <v>2093</v>
      </c>
    </row>
    <row r="364" spans="1:17" x14ac:dyDescent="0.25">
      <c r="A364" t="s">
        <v>623</v>
      </c>
      <c r="B364" s="18">
        <v>45723</v>
      </c>
      <c r="C364" t="s">
        <v>2031</v>
      </c>
      <c r="D364" t="s">
        <v>2051</v>
      </c>
      <c r="E364" t="s">
        <v>2058</v>
      </c>
      <c r="F364" t="s">
        <v>2062</v>
      </c>
      <c r="G364">
        <v>2</v>
      </c>
      <c r="H364">
        <v>3200</v>
      </c>
      <c r="I364">
        <v>3840</v>
      </c>
      <c r="J364">
        <v>17.100000000000001</v>
      </c>
      <c r="K364">
        <v>6366.87</v>
      </c>
      <c r="L364">
        <v>-33.130000000000003</v>
      </c>
      <c r="M364">
        <v>131328</v>
      </c>
      <c r="N364">
        <v>6400</v>
      </c>
      <c r="O364">
        <v>-0.52034987364277907</v>
      </c>
      <c r="P364" t="s">
        <v>2077</v>
      </c>
      <c r="Q364" t="s">
        <v>2093</v>
      </c>
    </row>
    <row r="365" spans="1:17" x14ac:dyDescent="0.25">
      <c r="A365" t="s">
        <v>658</v>
      </c>
      <c r="B365" s="18">
        <v>45723</v>
      </c>
      <c r="C365" t="s">
        <v>2029</v>
      </c>
      <c r="D365" t="s">
        <v>2049</v>
      </c>
      <c r="E365" t="s">
        <v>2055</v>
      </c>
      <c r="F365" t="s">
        <v>2061</v>
      </c>
      <c r="G365">
        <v>2</v>
      </c>
      <c r="H365">
        <v>1200</v>
      </c>
      <c r="I365">
        <v>1464</v>
      </c>
      <c r="J365">
        <v>11.29</v>
      </c>
      <c r="K365">
        <v>2597.46</v>
      </c>
      <c r="L365">
        <v>197.46</v>
      </c>
      <c r="M365">
        <v>33057.119999999995</v>
      </c>
      <c r="N365">
        <v>2400</v>
      </c>
      <c r="O365">
        <v>7.6020419948719136</v>
      </c>
      <c r="P365" t="s">
        <v>2077</v>
      </c>
      <c r="Q365" t="s">
        <v>2091</v>
      </c>
    </row>
    <row r="366" spans="1:17" x14ac:dyDescent="0.25">
      <c r="A366" t="s">
        <v>773</v>
      </c>
      <c r="B366" s="18">
        <v>45723</v>
      </c>
      <c r="C366" t="s">
        <v>2018</v>
      </c>
      <c r="D366" t="s">
        <v>2038</v>
      </c>
      <c r="E366" t="s">
        <v>2053</v>
      </c>
      <c r="F366" t="s">
        <v>2059</v>
      </c>
      <c r="G366">
        <v>3</v>
      </c>
      <c r="H366">
        <v>500</v>
      </c>
      <c r="I366">
        <v>610</v>
      </c>
      <c r="J366">
        <v>1.27</v>
      </c>
      <c r="K366">
        <v>1806.71</v>
      </c>
      <c r="L366">
        <v>306.70999999999998</v>
      </c>
      <c r="M366">
        <v>2324.1</v>
      </c>
      <c r="N366">
        <v>1500</v>
      </c>
      <c r="O366">
        <v>16.976161088387176</v>
      </c>
      <c r="P366" t="s">
        <v>2077</v>
      </c>
      <c r="Q366" t="s">
        <v>2092</v>
      </c>
    </row>
    <row r="367" spans="1:17" x14ac:dyDescent="0.25">
      <c r="A367" t="s">
        <v>1322</v>
      </c>
      <c r="B367" s="18">
        <v>45723</v>
      </c>
      <c r="C367" t="s">
        <v>2030</v>
      </c>
      <c r="D367" t="s">
        <v>2050</v>
      </c>
      <c r="E367" t="s">
        <v>2058</v>
      </c>
      <c r="F367" t="s">
        <v>2059</v>
      </c>
      <c r="G367">
        <v>4</v>
      </c>
      <c r="H367">
        <v>1800</v>
      </c>
      <c r="I367">
        <v>2124</v>
      </c>
      <c r="J367">
        <v>17.34</v>
      </c>
      <c r="K367">
        <v>7022.8</v>
      </c>
      <c r="L367">
        <v>-177.2</v>
      </c>
      <c r="M367">
        <v>147320.63999999998</v>
      </c>
      <c r="N367">
        <v>7200</v>
      </c>
      <c r="O367">
        <v>-2.5232101156233977</v>
      </c>
      <c r="P367" t="s">
        <v>2077</v>
      </c>
      <c r="Q367" t="s">
        <v>2093</v>
      </c>
    </row>
    <row r="368" spans="1:17" x14ac:dyDescent="0.25">
      <c r="A368" t="s">
        <v>88</v>
      </c>
      <c r="B368" s="18">
        <v>45724</v>
      </c>
      <c r="C368" t="s">
        <v>2012</v>
      </c>
      <c r="D368" t="s">
        <v>2032</v>
      </c>
      <c r="E368" t="s">
        <v>2052</v>
      </c>
      <c r="F368" t="s">
        <v>2059</v>
      </c>
      <c r="G368">
        <v>10</v>
      </c>
      <c r="H368">
        <v>6500</v>
      </c>
      <c r="I368">
        <v>8125</v>
      </c>
      <c r="J368">
        <v>18.29</v>
      </c>
      <c r="K368">
        <v>66390.67</v>
      </c>
      <c r="L368">
        <v>1390.67</v>
      </c>
      <c r="M368">
        <v>1486062.5</v>
      </c>
      <c r="N368">
        <v>65000</v>
      </c>
      <c r="O368">
        <v>2.0946768574560251</v>
      </c>
      <c r="P368" t="s">
        <v>2077</v>
      </c>
      <c r="Q368" t="s">
        <v>2091</v>
      </c>
    </row>
    <row r="369" spans="1:17" x14ac:dyDescent="0.25">
      <c r="A369" t="s">
        <v>785</v>
      </c>
      <c r="B369" s="18">
        <v>45724</v>
      </c>
      <c r="C369" t="s">
        <v>2016</v>
      </c>
      <c r="D369" t="s">
        <v>2036</v>
      </c>
      <c r="E369" t="s">
        <v>2052</v>
      </c>
      <c r="F369" t="s">
        <v>2061</v>
      </c>
      <c r="G369">
        <v>2</v>
      </c>
      <c r="H369">
        <v>900</v>
      </c>
      <c r="I369">
        <v>1170</v>
      </c>
      <c r="J369">
        <v>17.920000000000002</v>
      </c>
      <c r="K369">
        <v>1920.64</v>
      </c>
      <c r="L369">
        <v>120.64</v>
      </c>
      <c r="M369">
        <v>41932.800000000003</v>
      </c>
      <c r="N369">
        <v>1800</v>
      </c>
      <c r="O369">
        <v>6.2812395868043973</v>
      </c>
      <c r="P369" t="s">
        <v>2077</v>
      </c>
      <c r="Q369" t="s">
        <v>2091</v>
      </c>
    </row>
    <row r="370" spans="1:17" x14ac:dyDescent="0.25">
      <c r="A370" t="s">
        <v>916</v>
      </c>
      <c r="B370" s="18">
        <v>45724</v>
      </c>
      <c r="C370" t="s">
        <v>2019</v>
      </c>
      <c r="D370" t="s">
        <v>2039</v>
      </c>
      <c r="E370" t="s">
        <v>2053</v>
      </c>
      <c r="F370" t="s">
        <v>2062</v>
      </c>
      <c r="G370">
        <v>4</v>
      </c>
      <c r="H370">
        <v>900</v>
      </c>
      <c r="I370">
        <v>1152</v>
      </c>
      <c r="J370">
        <v>11.57</v>
      </c>
      <c r="K370">
        <v>4074.69</v>
      </c>
      <c r="L370">
        <v>474.69</v>
      </c>
      <c r="M370">
        <v>53314.559999999998</v>
      </c>
      <c r="N370">
        <v>3600</v>
      </c>
      <c r="O370">
        <v>11.649720592241373</v>
      </c>
      <c r="P370" t="s">
        <v>2077</v>
      </c>
      <c r="Q370" t="s">
        <v>2092</v>
      </c>
    </row>
    <row r="371" spans="1:17" x14ac:dyDescent="0.25">
      <c r="A371" t="s">
        <v>1112</v>
      </c>
      <c r="B371" s="18">
        <v>45724</v>
      </c>
      <c r="C371" t="s">
        <v>2027</v>
      </c>
      <c r="D371" t="s">
        <v>2047</v>
      </c>
      <c r="E371" t="s">
        <v>2053</v>
      </c>
      <c r="F371" t="s">
        <v>2059</v>
      </c>
      <c r="G371">
        <v>2</v>
      </c>
      <c r="H371">
        <v>1100</v>
      </c>
      <c r="I371">
        <v>1298</v>
      </c>
      <c r="J371">
        <v>17.25</v>
      </c>
      <c r="K371">
        <v>2148.2600000000002</v>
      </c>
      <c r="L371">
        <v>-51.74</v>
      </c>
      <c r="M371">
        <v>44781</v>
      </c>
      <c r="N371">
        <v>2200</v>
      </c>
      <c r="O371">
        <v>-2.4084608008341633</v>
      </c>
      <c r="P371" t="s">
        <v>2077</v>
      </c>
      <c r="Q371" t="s">
        <v>2093</v>
      </c>
    </row>
    <row r="372" spans="1:17" x14ac:dyDescent="0.25">
      <c r="A372" t="s">
        <v>1284</v>
      </c>
      <c r="B372" s="18">
        <v>45724</v>
      </c>
      <c r="C372" t="s">
        <v>2031</v>
      </c>
      <c r="D372" t="s">
        <v>2051</v>
      </c>
      <c r="E372" t="s">
        <v>2058</v>
      </c>
      <c r="F372" t="s">
        <v>2061</v>
      </c>
      <c r="G372">
        <v>9</v>
      </c>
      <c r="H372">
        <v>3200</v>
      </c>
      <c r="I372">
        <v>3840</v>
      </c>
      <c r="J372">
        <v>15.91</v>
      </c>
      <c r="K372">
        <v>29060.799999999999</v>
      </c>
      <c r="L372">
        <v>260.8</v>
      </c>
      <c r="M372">
        <v>549849.59999999998</v>
      </c>
      <c r="N372">
        <v>28800</v>
      </c>
      <c r="O372">
        <v>0.89742883884820801</v>
      </c>
      <c r="P372" t="s">
        <v>2077</v>
      </c>
      <c r="Q372" t="s">
        <v>2091</v>
      </c>
    </row>
    <row r="373" spans="1:17" x14ac:dyDescent="0.25">
      <c r="A373" t="s">
        <v>119</v>
      </c>
      <c r="B373" s="18">
        <v>45725</v>
      </c>
      <c r="C373" t="s">
        <v>2014</v>
      </c>
      <c r="D373" t="s">
        <v>2034</v>
      </c>
      <c r="E373" t="s">
        <v>2052</v>
      </c>
      <c r="F373" t="s">
        <v>2062</v>
      </c>
      <c r="G373">
        <v>5</v>
      </c>
      <c r="H373">
        <v>4500</v>
      </c>
      <c r="I373">
        <v>5220</v>
      </c>
      <c r="J373">
        <v>7.35</v>
      </c>
      <c r="K373">
        <v>24181.57</v>
      </c>
      <c r="L373">
        <v>1681.57</v>
      </c>
      <c r="M373">
        <v>191835</v>
      </c>
      <c r="N373">
        <v>22500</v>
      </c>
      <c r="O373">
        <v>6.9539322715605314</v>
      </c>
      <c r="P373" t="s">
        <v>2077</v>
      </c>
      <c r="Q373" t="s">
        <v>2091</v>
      </c>
    </row>
    <row r="374" spans="1:17" x14ac:dyDescent="0.25">
      <c r="A374" t="s">
        <v>644</v>
      </c>
      <c r="B374" s="18">
        <v>45725</v>
      </c>
      <c r="C374" t="s">
        <v>2030</v>
      </c>
      <c r="D374" t="s">
        <v>2050</v>
      </c>
      <c r="E374" t="s">
        <v>2058</v>
      </c>
      <c r="F374" t="s">
        <v>2060</v>
      </c>
      <c r="G374">
        <v>9</v>
      </c>
      <c r="H374">
        <v>1800</v>
      </c>
      <c r="I374">
        <v>2124</v>
      </c>
      <c r="J374">
        <v>18.52</v>
      </c>
      <c r="K374">
        <v>15575.02</v>
      </c>
      <c r="L374">
        <v>-624.98</v>
      </c>
      <c r="M374">
        <v>354028.32</v>
      </c>
      <c r="N374">
        <v>16200</v>
      </c>
      <c r="O374">
        <v>-4.012707527823399</v>
      </c>
      <c r="P374" t="s">
        <v>2077</v>
      </c>
      <c r="Q374" t="s">
        <v>2093</v>
      </c>
    </row>
    <row r="375" spans="1:17" x14ac:dyDescent="0.25">
      <c r="A375" t="s">
        <v>859</v>
      </c>
      <c r="B375" s="18">
        <v>45725</v>
      </c>
      <c r="C375" t="s">
        <v>2027</v>
      </c>
      <c r="D375" t="s">
        <v>2047</v>
      </c>
      <c r="E375" t="s">
        <v>2053</v>
      </c>
      <c r="F375" t="s">
        <v>2062</v>
      </c>
      <c r="G375">
        <v>8</v>
      </c>
      <c r="H375">
        <v>1100</v>
      </c>
      <c r="I375">
        <v>1298</v>
      </c>
      <c r="J375">
        <v>8.5</v>
      </c>
      <c r="K375">
        <v>9501.4500000000007</v>
      </c>
      <c r="L375">
        <v>701.45</v>
      </c>
      <c r="M375">
        <v>88264</v>
      </c>
      <c r="N375">
        <v>8800</v>
      </c>
      <c r="O375">
        <v>7.3825573991338169</v>
      </c>
      <c r="P375" t="s">
        <v>2077</v>
      </c>
      <c r="Q375" t="s">
        <v>2091</v>
      </c>
    </row>
    <row r="376" spans="1:17" x14ac:dyDescent="0.25">
      <c r="A376" t="s">
        <v>1146</v>
      </c>
      <c r="B376" s="18">
        <v>45725</v>
      </c>
      <c r="C376" t="s">
        <v>2028</v>
      </c>
      <c r="D376" t="s">
        <v>2048</v>
      </c>
      <c r="E376" t="s">
        <v>2057</v>
      </c>
      <c r="F376" t="s">
        <v>2059</v>
      </c>
      <c r="G376">
        <v>8</v>
      </c>
      <c r="H376">
        <v>80</v>
      </c>
      <c r="I376">
        <v>116</v>
      </c>
      <c r="J376">
        <v>8.18</v>
      </c>
      <c r="K376">
        <v>852.09</v>
      </c>
      <c r="L376">
        <v>212.09</v>
      </c>
      <c r="M376">
        <v>7591.04</v>
      </c>
      <c r="N376">
        <v>640</v>
      </c>
      <c r="O376">
        <v>24.890563203417479</v>
      </c>
      <c r="P376" t="s">
        <v>2077</v>
      </c>
      <c r="Q376" t="s">
        <v>2092</v>
      </c>
    </row>
    <row r="377" spans="1:17" x14ac:dyDescent="0.25">
      <c r="A377" t="s">
        <v>1600</v>
      </c>
      <c r="B377" s="18">
        <v>45725</v>
      </c>
      <c r="C377" t="s">
        <v>2021</v>
      </c>
      <c r="D377" t="s">
        <v>2041</v>
      </c>
      <c r="E377" t="s">
        <v>2056</v>
      </c>
      <c r="F377" t="s">
        <v>2060</v>
      </c>
      <c r="G377">
        <v>1</v>
      </c>
      <c r="H377">
        <v>300</v>
      </c>
      <c r="I377">
        <v>405</v>
      </c>
      <c r="J377">
        <v>8.9600000000000009</v>
      </c>
      <c r="K377">
        <v>368.73</v>
      </c>
      <c r="L377">
        <v>68.73</v>
      </c>
      <c r="M377">
        <v>3628.8</v>
      </c>
      <c r="N377">
        <v>300</v>
      </c>
      <c r="O377">
        <v>18.639655032137338</v>
      </c>
      <c r="P377" t="s">
        <v>2077</v>
      </c>
      <c r="Q377" t="s">
        <v>2092</v>
      </c>
    </row>
    <row r="378" spans="1:17" x14ac:dyDescent="0.25">
      <c r="A378" t="s">
        <v>1657</v>
      </c>
      <c r="B378" s="18">
        <v>45725</v>
      </c>
      <c r="C378" t="s">
        <v>2020</v>
      </c>
      <c r="D378" t="s">
        <v>2040</v>
      </c>
      <c r="E378" t="s">
        <v>2053</v>
      </c>
      <c r="F378" t="s">
        <v>2062</v>
      </c>
      <c r="G378">
        <v>9</v>
      </c>
      <c r="H378">
        <v>350</v>
      </c>
      <c r="I378">
        <v>455</v>
      </c>
      <c r="J378">
        <v>11.06</v>
      </c>
      <c r="K378">
        <v>3641.92</v>
      </c>
      <c r="L378">
        <v>491.92</v>
      </c>
      <c r="M378">
        <v>45290.700000000004</v>
      </c>
      <c r="N378">
        <v>3150</v>
      </c>
      <c r="O378">
        <v>13.507161057903524</v>
      </c>
      <c r="P378" t="s">
        <v>2077</v>
      </c>
      <c r="Q378" t="s">
        <v>2092</v>
      </c>
    </row>
    <row r="379" spans="1:17" x14ac:dyDescent="0.25">
      <c r="A379" t="s">
        <v>1773</v>
      </c>
      <c r="B379" s="18">
        <v>45725</v>
      </c>
      <c r="C379" t="s">
        <v>2016</v>
      </c>
      <c r="D379" t="s">
        <v>2036</v>
      </c>
      <c r="E379" t="s">
        <v>2052</v>
      </c>
      <c r="F379" t="s">
        <v>2059</v>
      </c>
      <c r="G379">
        <v>2</v>
      </c>
      <c r="H379">
        <v>900</v>
      </c>
      <c r="I379">
        <v>1170</v>
      </c>
      <c r="J379">
        <v>4.0599999999999996</v>
      </c>
      <c r="K379">
        <v>2244.9699999999998</v>
      </c>
      <c r="L379">
        <v>444.97</v>
      </c>
      <c r="M379">
        <v>9500.4</v>
      </c>
      <c r="N379">
        <v>1800</v>
      </c>
      <c r="O379">
        <v>19.82075484304913</v>
      </c>
      <c r="P379" t="s">
        <v>2077</v>
      </c>
      <c r="Q379" t="s">
        <v>2092</v>
      </c>
    </row>
    <row r="380" spans="1:17" x14ac:dyDescent="0.25">
      <c r="A380" t="s">
        <v>249</v>
      </c>
      <c r="B380" s="18">
        <v>45726</v>
      </c>
      <c r="C380" t="s">
        <v>2015</v>
      </c>
      <c r="D380" t="s">
        <v>2035</v>
      </c>
      <c r="E380" t="s">
        <v>2054</v>
      </c>
      <c r="F380" t="s">
        <v>2059</v>
      </c>
      <c r="G380">
        <v>6</v>
      </c>
      <c r="H380">
        <v>900</v>
      </c>
      <c r="I380">
        <v>1170</v>
      </c>
      <c r="J380">
        <v>9.2799999999999994</v>
      </c>
      <c r="K380">
        <v>6368.33</v>
      </c>
      <c r="L380">
        <v>968.33</v>
      </c>
      <c r="M380">
        <v>65145.599999999999</v>
      </c>
      <c r="N380">
        <v>5400</v>
      </c>
      <c r="O380">
        <v>15.205399217691296</v>
      </c>
      <c r="P380" t="s">
        <v>2077</v>
      </c>
      <c r="Q380" t="s">
        <v>2092</v>
      </c>
    </row>
    <row r="381" spans="1:17" x14ac:dyDescent="0.25">
      <c r="A381" t="s">
        <v>513</v>
      </c>
      <c r="B381" s="18">
        <v>45726</v>
      </c>
      <c r="C381" t="s">
        <v>2021</v>
      </c>
      <c r="D381" t="s">
        <v>2041</v>
      </c>
      <c r="E381" t="s">
        <v>2056</v>
      </c>
      <c r="F381" t="s">
        <v>2062</v>
      </c>
      <c r="G381">
        <v>9</v>
      </c>
      <c r="H381">
        <v>300</v>
      </c>
      <c r="I381">
        <v>405</v>
      </c>
      <c r="J381">
        <v>15.07</v>
      </c>
      <c r="K381">
        <v>3095.62</v>
      </c>
      <c r="L381">
        <v>395.62</v>
      </c>
      <c r="M381">
        <v>54930.15</v>
      </c>
      <c r="N381">
        <v>2700</v>
      </c>
      <c r="O381">
        <v>12.779992376325261</v>
      </c>
      <c r="P381" t="s">
        <v>2077</v>
      </c>
      <c r="Q381" t="s">
        <v>2092</v>
      </c>
    </row>
    <row r="382" spans="1:17" x14ac:dyDescent="0.25">
      <c r="A382" t="s">
        <v>587</v>
      </c>
      <c r="B382" s="18">
        <v>45726</v>
      </c>
      <c r="C382" t="s">
        <v>2016</v>
      </c>
      <c r="D382" t="s">
        <v>2036</v>
      </c>
      <c r="E382" t="s">
        <v>2052</v>
      </c>
      <c r="F382" t="s">
        <v>2061</v>
      </c>
      <c r="G382">
        <v>10</v>
      </c>
      <c r="H382">
        <v>900</v>
      </c>
      <c r="I382">
        <v>1170</v>
      </c>
      <c r="J382">
        <v>7.93</v>
      </c>
      <c r="K382">
        <v>10771.93</v>
      </c>
      <c r="L382">
        <v>1771.93</v>
      </c>
      <c r="M382">
        <v>92781</v>
      </c>
      <c r="N382">
        <v>9000</v>
      </c>
      <c r="O382">
        <v>16.449512761408588</v>
      </c>
      <c r="P382" t="s">
        <v>2077</v>
      </c>
      <c r="Q382" t="s">
        <v>2092</v>
      </c>
    </row>
    <row r="383" spans="1:17" x14ac:dyDescent="0.25">
      <c r="A383" t="s">
        <v>1147</v>
      </c>
      <c r="B383" s="18">
        <v>45726</v>
      </c>
      <c r="C383" t="s">
        <v>2022</v>
      </c>
      <c r="D383" t="s">
        <v>2042</v>
      </c>
      <c r="E383" t="s">
        <v>2053</v>
      </c>
      <c r="F383" t="s">
        <v>2061</v>
      </c>
      <c r="G383">
        <v>4</v>
      </c>
      <c r="H383">
        <v>8500</v>
      </c>
      <c r="I383">
        <v>9520</v>
      </c>
      <c r="J383">
        <v>7.91</v>
      </c>
      <c r="K383">
        <v>35066.019999999997</v>
      </c>
      <c r="L383">
        <v>1066.02</v>
      </c>
      <c r="M383">
        <v>301212.79999999999</v>
      </c>
      <c r="N383">
        <v>34000</v>
      </c>
      <c r="O383">
        <v>3.0400370501129017</v>
      </c>
      <c r="P383" t="s">
        <v>2077</v>
      </c>
      <c r="Q383" t="s">
        <v>2091</v>
      </c>
    </row>
    <row r="384" spans="1:17" x14ac:dyDescent="0.25">
      <c r="A384" t="s">
        <v>1821</v>
      </c>
      <c r="B384" s="18">
        <v>45726</v>
      </c>
      <c r="C384" t="s">
        <v>2020</v>
      </c>
      <c r="D384" t="s">
        <v>2040</v>
      </c>
      <c r="E384" t="s">
        <v>2053</v>
      </c>
      <c r="F384" t="s">
        <v>2059</v>
      </c>
      <c r="G384">
        <v>5</v>
      </c>
      <c r="H384">
        <v>350</v>
      </c>
      <c r="I384">
        <v>455</v>
      </c>
      <c r="J384">
        <v>12.03</v>
      </c>
      <c r="K384">
        <v>2001.29</v>
      </c>
      <c r="L384">
        <v>251.29</v>
      </c>
      <c r="M384">
        <v>27368.25</v>
      </c>
      <c r="N384">
        <v>1750</v>
      </c>
      <c r="O384">
        <v>12.556401121276775</v>
      </c>
      <c r="P384" t="s">
        <v>2077</v>
      </c>
      <c r="Q384" t="s">
        <v>2092</v>
      </c>
    </row>
    <row r="385" spans="1:17" x14ac:dyDescent="0.25">
      <c r="A385" t="s">
        <v>1982</v>
      </c>
      <c r="B385" s="18">
        <v>45726</v>
      </c>
      <c r="C385" t="s">
        <v>2023</v>
      </c>
      <c r="D385" t="s">
        <v>2043</v>
      </c>
      <c r="E385" t="s">
        <v>2053</v>
      </c>
      <c r="F385" t="s">
        <v>2060</v>
      </c>
      <c r="G385">
        <v>3</v>
      </c>
      <c r="H385">
        <v>550</v>
      </c>
      <c r="I385">
        <v>742.5</v>
      </c>
      <c r="J385">
        <v>0</v>
      </c>
      <c r="K385">
        <v>2227.5</v>
      </c>
      <c r="L385">
        <v>577.5</v>
      </c>
      <c r="M385">
        <v>0</v>
      </c>
      <c r="N385">
        <v>1650</v>
      </c>
      <c r="O385">
        <v>25.925925925925924</v>
      </c>
      <c r="P385" t="s">
        <v>2077</v>
      </c>
      <c r="Q385" t="s">
        <v>2092</v>
      </c>
    </row>
    <row r="386" spans="1:17" x14ac:dyDescent="0.25">
      <c r="A386" t="s">
        <v>412</v>
      </c>
      <c r="B386" s="18">
        <v>45727</v>
      </c>
      <c r="C386" t="s">
        <v>2013</v>
      </c>
      <c r="D386" t="s">
        <v>2033</v>
      </c>
      <c r="E386" t="s">
        <v>2053</v>
      </c>
      <c r="F386" t="s">
        <v>2062</v>
      </c>
      <c r="G386">
        <v>5</v>
      </c>
      <c r="H386">
        <v>6500</v>
      </c>
      <c r="I386">
        <v>7150</v>
      </c>
      <c r="J386">
        <v>11.22</v>
      </c>
      <c r="K386">
        <v>31738.09</v>
      </c>
      <c r="L386">
        <v>-761.91</v>
      </c>
      <c r="M386">
        <v>401115</v>
      </c>
      <c r="N386">
        <v>32500</v>
      </c>
      <c r="O386">
        <v>-2.4006170503644042</v>
      </c>
      <c r="P386" t="s">
        <v>2077</v>
      </c>
      <c r="Q386" t="s">
        <v>2093</v>
      </c>
    </row>
    <row r="387" spans="1:17" x14ac:dyDescent="0.25">
      <c r="A387" t="s">
        <v>521</v>
      </c>
      <c r="B387" s="18">
        <v>45727</v>
      </c>
      <c r="C387" t="s">
        <v>2031</v>
      </c>
      <c r="D387" t="s">
        <v>2051</v>
      </c>
      <c r="E387" t="s">
        <v>2058</v>
      </c>
      <c r="F387" t="s">
        <v>2062</v>
      </c>
      <c r="G387">
        <v>7</v>
      </c>
      <c r="H387">
        <v>3200</v>
      </c>
      <c r="I387">
        <v>3840</v>
      </c>
      <c r="J387">
        <v>14.15</v>
      </c>
      <c r="K387">
        <v>23076.97</v>
      </c>
      <c r="L387">
        <v>676.97</v>
      </c>
      <c r="M387">
        <v>380352</v>
      </c>
      <c r="N387">
        <v>22400</v>
      </c>
      <c r="O387">
        <v>2.9335307018209065</v>
      </c>
      <c r="P387" t="s">
        <v>2077</v>
      </c>
      <c r="Q387" t="s">
        <v>2091</v>
      </c>
    </row>
    <row r="388" spans="1:17" x14ac:dyDescent="0.25">
      <c r="A388" t="s">
        <v>557</v>
      </c>
      <c r="B388" s="18">
        <v>45727</v>
      </c>
      <c r="C388" t="s">
        <v>2019</v>
      </c>
      <c r="D388" t="s">
        <v>2039</v>
      </c>
      <c r="E388" t="s">
        <v>2053</v>
      </c>
      <c r="F388" t="s">
        <v>2061</v>
      </c>
      <c r="G388">
        <v>4</v>
      </c>
      <c r="H388">
        <v>900</v>
      </c>
      <c r="I388">
        <v>1152</v>
      </c>
      <c r="J388">
        <v>7.91</v>
      </c>
      <c r="K388">
        <v>4243.41</v>
      </c>
      <c r="L388">
        <v>643.41</v>
      </c>
      <c r="M388">
        <v>36449.279999999999</v>
      </c>
      <c r="N388">
        <v>3600</v>
      </c>
      <c r="O388">
        <v>15.162569725763007</v>
      </c>
      <c r="P388" t="s">
        <v>2077</v>
      </c>
      <c r="Q388" t="s">
        <v>2092</v>
      </c>
    </row>
    <row r="389" spans="1:17" x14ac:dyDescent="0.25">
      <c r="A389" t="s">
        <v>572</v>
      </c>
      <c r="B389" s="18">
        <v>45727</v>
      </c>
      <c r="C389" t="s">
        <v>2017</v>
      </c>
      <c r="D389" t="s">
        <v>2037</v>
      </c>
      <c r="E389" t="s">
        <v>2055</v>
      </c>
      <c r="F389" t="s">
        <v>2059</v>
      </c>
      <c r="G389">
        <v>7</v>
      </c>
      <c r="H389">
        <v>2500</v>
      </c>
      <c r="I389">
        <v>2875</v>
      </c>
      <c r="J389">
        <v>6.11</v>
      </c>
      <c r="K389">
        <v>18895.98</v>
      </c>
      <c r="L389">
        <v>1395.98</v>
      </c>
      <c r="M389">
        <v>122963.75</v>
      </c>
      <c r="N389">
        <v>17500</v>
      </c>
      <c r="O389">
        <v>7.3877089200983486</v>
      </c>
      <c r="P389" t="s">
        <v>2077</v>
      </c>
      <c r="Q389" t="s">
        <v>2091</v>
      </c>
    </row>
    <row r="390" spans="1:17" x14ac:dyDescent="0.25">
      <c r="A390" t="s">
        <v>1208</v>
      </c>
      <c r="B390" s="18">
        <v>45727</v>
      </c>
      <c r="C390" t="s">
        <v>2021</v>
      </c>
      <c r="D390" t="s">
        <v>2041</v>
      </c>
      <c r="E390" t="s">
        <v>2056</v>
      </c>
      <c r="F390" t="s">
        <v>2062</v>
      </c>
      <c r="G390">
        <v>2</v>
      </c>
      <c r="H390">
        <v>300</v>
      </c>
      <c r="I390">
        <v>405</v>
      </c>
      <c r="J390">
        <v>7.94</v>
      </c>
      <c r="K390">
        <v>745.66</v>
      </c>
      <c r="L390">
        <v>145.66</v>
      </c>
      <c r="M390">
        <v>6431.4000000000005</v>
      </c>
      <c r="N390">
        <v>600</v>
      </c>
      <c r="O390">
        <v>19.534372233994045</v>
      </c>
      <c r="P390" t="s">
        <v>2077</v>
      </c>
      <c r="Q390" t="s">
        <v>2092</v>
      </c>
    </row>
    <row r="391" spans="1:17" x14ac:dyDescent="0.25">
      <c r="A391" t="s">
        <v>1217</v>
      </c>
      <c r="B391" s="18">
        <v>45727</v>
      </c>
      <c r="C391" t="s">
        <v>2024</v>
      </c>
      <c r="D391" t="s">
        <v>2044</v>
      </c>
      <c r="E391" t="s">
        <v>2055</v>
      </c>
      <c r="F391" t="s">
        <v>2060</v>
      </c>
      <c r="G391">
        <v>9</v>
      </c>
      <c r="H391">
        <v>180</v>
      </c>
      <c r="I391">
        <v>243</v>
      </c>
      <c r="J391">
        <v>5.85</v>
      </c>
      <c r="K391">
        <v>2059.0100000000002</v>
      </c>
      <c r="L391">
        <v>439.01</v>
      </c>
      <c r="M391">
        <v>12793.949999999999</v>
      </c>
      <c r="N391">
        <v>1620</v>
      </c>
      <c r="O391">
        <v>21.32141174642182</v>
      </c>
      <c r="P391" t="s">
        <v>2077</v>
      </c>
      <c r="Q391" t="s">
        <v>2092</v>
      </c>
    </row>
    <row r="392" spans="1:17" x14ac:dyDescent="0.25">
      <c r="A392" t="s">
        <v>1654</v>
      </c>
      <c r="B392" s="18">
        <v>45727</v>
      </c>
      <c r="C392" t="s">
        <v>2018</v>
      </c>
      <c r="D392" t="s">
        <v>2038</v>
      </c>
      <c r="E392" t="s">
        <v>2053</v>
      </c>
      <c r="F392" t="s">
        <v>2061</v>
      </c>
      <c r="G392">
        <v>10</v>
      </c>
      <c r="H392">
        <v>500</v>
      </c>
      <c r="I392">
        <v>610</v>
      </c>
      <c r="J392">
        <v>11.02</v>
      </c>
      <c r="K392">
        <v>5427.75</v>
      </c>
      <c r="L392">
        <v>427.75</v>
      </c>
      <c r="M392">
        <v>67222</v>
      </c>
      <c r="N392">
        <v>5000</v>
      </c>
      <c r="O392">
        <v>7.8807977522914658</v>
      </c>
      <c r="P392" t="s">
        <v>2077</v>
      </c>
      <c r="Q392" t="s">
        <v>2091</v>
      </c>
    </row>
    <row r="393" spans="1:17" x14ac:dyDescent="0.25">
      <c r="A393" t="s">
        <v>1909</v>
      </c>
      <c r="B393" s="18">
        <v>45727</v>
      </c>
      <c r="C393" t="s">
        <v>2025</v>
      </c>
      <c r="D393" t="s">
        <v>2045</v>
      </c>
      <c r="E393" t="s">
        <v>2057</v>
      </c>
      <c r="F393" t="s">
        <v>2060</v>
      </c>
      <c r="G393">
        <v>3</v>
      </c>
      <c r="H393">
        <v>45</v>
      </c>
      <c r="I393">
        <v>63</v>
      </c>
      <c r="J393">
        <v>27.52</v>
      </c>
      <c r="K393">
        <v>136.99</v>
      </c>
      <c r="L393">
        <v>1.99</v>
      </c>
      <c r="M393">
        <v>5201.28</v>
      </c>
      <c r="N393">
        <v>135</v>
      </c>
      <c r="O393">
        <v>1.4526607781589895</v>
      </c>
      <c r="P393" t="s">
        <v>2077</v>
      </c>
      <c r="Q393" t="s">
        <v>2091</v>
      </c>
    </row>
    <row r="394" spans="1:17" x14ac:dyDescent="0.25">
      <c r="A394" t="s">
        <v>436</v>
      </c>
      <c r="B394" s="18">
        <v>45728</v>
      </c>
      <c r="C394" t="s">
        <v>2016</v>
      </c>
      <c r="D394" t="s">
        <v>2036</v>
      </c>
      <c r="E394" t="s">
        <v>2052</v>
      </c>
      <c r="F394" t="s">
        <v>2060</v>
      </c>
      <c r="G394">
        <v>3</v>
      </c>
      <c r="H394">
        <v>900</v>
      </c>
      <c r="I394">
        <v>1170</v>
      </c>
      <c r="J394">
        <v>2.96</v>
      </c>
      <c r="K394">
        <v>3406.14</v>
      </c>
      <c r="L394">
        <v>706.14</v>
      </c>
      <c r="M394">
        <v>10389.6</v>
      </c>
      <c r="N394">
        <v>2700</v>
      </c>
      <c r="O394">
        <v>20.731385086931247</v>
      </c>
      <c r="P394" t="s">
        <v>2077</v>
      </c>
      <c r="Q394" t="s">
        <v>2092</v>
      </c>
    </row>
    <row r="395" spans="1:17" x14ac:dyDescent="0.25">
      <c r="A395" t="s">
        <v>382</v>
      </c>
      <c r="B395" s="18">
        <v>45729</v>
      </c>
      <c r="C395" t="s">
        <v>2026</v>
      </c>
      <c r="D395" t="s">
        <v>2046</v>
      </c>
      <c r="E395" t="s">
        <v>2052</v>
      </c>
      <c r="F395" t="s">
        <v>2062</v>
      </c>
      <c r="G395">
        <v>10</v>
      </c>
      <c r="H395">
        <v>3000</v>
      </c>
      <c r="I395">
        <v>3600</v>
      </c>
      <c r="J395">
        <v>16.53</v>
      </c>
      <c r="K395">
        <v>30049.72</v>
      </c>
      <c r="L395">
        <v>49.72</v>
      </c>
      <c r="M395">
        <v>595080</v>
      </c>
      <c r="N395">
        <v>30000</v>
      </c>
      <c r="O395">
        <v>0.16545911243099767</v>
      </c>
      <c r="P395" t="s">
        <v>2077</v>
      </c>
      <c r="Q395" t="s">
        <v>2091</v>
      </c>
    </row>
    <row r="396" spans="1:17" x14ac:dyDescent="0.25">
      <c r="A396" t="s">
        <v>679</v>
      </c>
      <c r="B396" s="18">
        <v>45729</v>
      </c>
      <c r="C396" t="s">
        <v>2014</v>
      </c>
      <c r="D396" t="s">
        <v>2034</v>
      </c>
      <c r="E396" t="s">
        <v>2052</v>
      </c>
      <c r="F396" t="s">
        <v>2059</v>
      </c>
      <c r="G396">
        <v>4</v>
      </c>
      <c r="H396">
        <v>4500</v>
      </c>
      <c r="I396">
        <v>5220</v>
      </c>
      <c r="J396">
        <v>28.16</v>
      </c>
      <c r="K396">
        <v>15000.1</v>
      </c>
      <c r="L396">
        <v>-2999.9</v>
      </c>
      <c r="M396">
        <v>587980.80000000005</v>
      </c>
      <c r="N396">
        <v>18000</v>
      </c>
      <c r="O396">
        <v>-19.999200005333297</v>
      </c>
      <c r="P396" t="s">
        <v>2077</v>
      </c>
      <c r="Q396" t="s">
        <v>2093</v>
      </c>
    </row>
    <row r="397" spans="1:17" x14ac:dyDescent="0.25">
      <c r="A397" t="s">
        <v>923</v>
      </c>
      <c r="B397" s="18">
        <v>45729</v>
      </c>
      <c r="C397" t="s">
        <v>2014</v>
      </c>
      <c r="D397" t="s">
        <v>2034</v>
      </c>
      <c r="E397" t="s">
        <v>2052</v>
      </c>
      <c r="F397" t="s">
        <v>2059</v>
      </c>
      <c r="G397">
        <v>7</v>
      </c>
      <c r="H397">
        <v>4500</v>
      </c>
      <c r="I397">
        <v>5220</v>
      </c>
      <c r="J397">
        <v>19.850000000000001</v>
      </c>
      <c r="K397">
        <v>29285.31</v>
      </c>
      <c r="L397">
        <v>-2214.69</v>
      </c>
      <c r="M397">
        <v>725319</v>
      </c>
      <c r="N397">
        <v>31500</v>
      </c>
      <c r="O397">
        <v>-7.5624604964058779</v>
      </c>
      <c r="P397" t="s">
        <v>2077</v>
      </c>
      <c r="Q397" t="s">
        <v>2093</v>
      </c>
    </row>
    <row r="398" spans="1:17" x14ac:dyDescent="0.25">
      <c r="A398" t="s">
        <v>989</v>
      </c>
      <c r="B398" s="18">
        <v>45729</v>
      </c>
      <c r="C398" t="s">
        <v>2016</v>
      </c>
      <c r="D398" t="s">
        <v>2036</v>
      </c>
      <c r="E398" t="s">
        <v>2052</v>
      </c>
      <c r="F398" t="s">
        <v>2060</v>
      </c>
      <c r="G398">
        <v>10</v>
      </c>
      <c r="H398">
        <v>900</v>
      </c>
      <c r="I398">
        <v>1170</v>
      </c>
      <c r="J398">
        <v>3.38</v>
      </c>
      <c r="K398">
        <v>11305.08</v>
      </c>
      <c r="L398">
        <v>2305.08</v>
      </c>
      <c r="M398">
        <v>39546</v>
      </c>
      <c r="N398">
        <v>9000</v>
      </c>
      <c r="O398">
        <v>20.38977167786517</v>
      </c>
      <c r="P398" t="s">
        <v>2077</v>
      </c>
      <c r="Q398" t="s">
        <v>2092</v>
      </c>
    </row>
    <row r="399" spans="1:17" x14ac:dyDescent="0.25">
      <c r="A399" t="s">
        <v>1311</v>
      </c>
      <c r="B399" s="18">
        <v>45729</v>
      </c>
      <c r="C399" t="s">
        <v>2014</v>
      </c>
      <c r="D399" t="s">
        <v>2034</v>
      </c>
      <c r="E399" t="s">
        <v>2052</v>
      </c>
      <c r="F399" t="s">
        <v>2059</v>
      </c>
      <c r="G399">
        <v>10</v>
      </c>
      <c r="H399">
        <v>4500</v>
      </c>
      <c r="I399">
        <v>5220</v>
      </c>
      <c r="J399">
        <v>17.23</v>
      </c>
      <c r="K399">
        <v>43206.53</v>
      </c>
      <c r="L399">
        <v>-1793.47</v>
      </c>
      <c r="M399">
        <v>899406</v>
      </c>
      <c r="N399">
        <v>45000</v>
      </c>
      <c r="O399">
        <v>-4.1509234830938757</v>
      </c>
      <c r="P399" t="s">
        <v>2077</v>
      </c>
      <c r="Q399" t="s">
        <v>2093</v>
      </c>
    </row>
    <row r="400" spans="1:17" x14ac:dyDescent="0.25">
      <c r="A400" t="s">
        <v>92</v>
      </c>
      <c r="B400" s="18">
        <v>45730</v>
      </c>
      <c r="C400" t="s">
        <v>2016</v>
      </c>
      <c r="D400" t="s">
        <v>2036</v>
      </c>
      <c r="E400" t="s">
        <v>2052</v>
      </c>
      <c r="F400" t="s">
        <v>2059</v>
      </c>
      <c r="G400">
        <v>10</v>
      </c>
      <c r="H400">
        <v>900</v>
      </c>
      <c r="I400">
        <v>1170</v>
      </c>
      <c r="J400">
        <v>18.88</v>
      </c>
      <c r="K400">
        <v>9491</v>
      </c>
      <c r="L400">
        <v>491</v>
      </c>
      <c r="M400">
        <v>220896</v>
      </c>
      <c r="N400">
        <v>9000</v>
      </c>
      <c r="O400">
        <v>5.1733220946159522</v>
      </c>
      <c r="P400" t="s">
        <v>2077</v>
      </c>
      <c r="Q400" t="s">
        <v>2091</v>
      </c>
    </row>
    <row r="401" spans="1:17" x14ac:dyDescent="0.25">
      <c r="A401" t="s">
        <v>837</v>
      </c>
      <c r="B401" s="18">
        <v>45730</v>
      </c>
      <c r="C401" t="s">
        <v>2023</v>
      </c>
      <c r="D401" t="s">
        <v>2043</v>
      </c>
      <c r="E401" t="s">
        <v>2053</v>
      </c>
      <c r="F401" t="s">
        <v>2059</v>
      </c>
      <c r="G401">
        <v>8</v>
      </c>
      <c r="H401">
        <v>550</v>
      </c>
      <c r="I401">
        <v>742.5</v>
      </c>
      <c r="J401">
        <v>28.85</v>
      </c>
      <c r="K401">
        <v>4226.51</v>
      </c>
      <c r="L401">
        <v>-173.49</v>
      </c>
      <c r="M401">
        <v>171369</v>
      </c>
      <c r="N401">
        <v>4400</v>
      </c>
      <c r="O401">
        <v>-4.1048051465630033</v>
      </c>
      <c r="P401" t="s">
        <v>2077</v>
      </c>
      <c r="Q401" t="s">
        <v>2093</v>
      </c>
    </row>
    <row r="402" spans="1:17" x14ac:dyDescent="0.25">
      <c r="A402" t="s">
        <v>1064</v>
      </c>
      <c r="B402" s="18">
        <v>45730</v>
      </c>
      <c r="C402" t="s">
        <v>2030</v>
      </c>
      <c r="D402" t="s">
        <v>2050</v>
      </c>
      <c r="E402" t="s">
        <v>2058</v>
      </c>
      <c r="F402" t="s">
        <v>2061</v>
      </c>
      <c r="G402">
        <v>6</v>
      </c>
      <c r="H402">
        <v>1800</v>
      </c>
      <c r="I402">
        <v>2124</v>
      </c>
      <c r="J402">
        <v>13.3</v>
      </c>
      <c r="K402">
        <v>11049.38</v>
      </c>
      <c r="L402">
        <v>249.38</v>
      </c>
      <c r="M402">
        <v>169495.2</v>
      </c>
      <c r="N402">
        <v>10800</v>
      </c>
      <c r="O402">
        <v>2.2569592140011476</v>
      </c>
      <c r="P402" t="s">
        <v>2077</v>
      </c>
      <c r="Q402" t="s">
        <v>2091</v>
      </c>
    </row>
    <row r="403" spans="1:17" x14ac:dyDescent="0.25">
      <c r="A403" t="s">
        <v>1907</v>
      </c>
      <c r="B403" s="18">
        <v>45730</v>
      </c>
      <c r="C403" t="s">
        <v>2012</v>
      </c>
      <c r="D403" t="s">
        <v>2032</v>
      </c>
      <c r="E403" t="s">
        <v>2052</v>
      </c>
      <c r="F403" t="s">
        <v>2059</v>
      </c>
      <c r="G403">
        <v>9</v>
      </c>
      <c r="H403">
        <v>6500</v>
      </c>
      <c r="I403">
        <v>8125</v>
      </c>
      <c r="J403">
        <v>4</v>
      </c>
      <c r="K403">
        <v>70200</v>
      </c>
      <c r="L403">
        <v>11700</v>
      </c>
      <c r="M403">
        <v>292500</v>
      </c>
      <c r="N403">
        <v>58500</v>
      </c>
      <c r="O403">
        <v>16.666666666666664</v>
      </c>
      <c r="P403" t="s">
        <v>2077</v>
      </c>
      <c r="Q403" t="s">
        <v>2092</v>
      </c>
    </row>
    <row r="404" spans="1:17" x14ac:dyDescent="0.25">
      <c r="A404" t="s">
        <v>517</v>
      </c>
      <c r="B404" s="18">
        <v>45731</v>
      </c>
      <c r="C404" t="s">
        <v>2024</v>
      </c>
      <c r="D404" t="s">
        <v>2044</v>
      </c>
      <c r="E404" t="s">
        <v>2055</v>
      </c>
      <c r="F404" t="s">
        <v>2059</v>
      </c>
      <c r="G404">
        <v>10</v>
      </c>
      <c r="H404">
        <v>180</v>
      </c>
      <c r="I404">
        <v>243</v>
      </c>
      <c r="J404">
        <v>3.75</v>
      </c>
      <c r="K404">
        <v>2338.86</v>
      </c>
      <c r="L404">
        <v>538.86</v>
      </c>
      <c r="M404">
        <v>9112.5</v>
      </c>
      <c r="N404">
        <v>1800</v>
      </c>
      <c r="O404">
        <v>23.039429465637102</v>
      </c>
      <c r="P404" t="s">
        <v>2077</v>
      </c>
      <c r="Q404" t="s">
        <v>2092</v>
      </c>
    </row>
    <row r="405" spans="1:17" x14ac:dyDescent="0.25">
      <c r="A405" t="s">
        <v>674</v>
      </c>
      <c r="B405" s="18">
        <v>45731</v>
      </c>
      <c r="C405" t="s">
        <v>2020</v>
      </c>
      <c r="D405" t="s">
        <v>2040</v>
      </c>
      <c r="E405" t="s">
        <v>2053</v>
      </c>
      <c r="F405" t="s">
        <v>2060</v>
      </c>
      <c r="G405">
        <v>6</v>
      </c>
      <c r="H405">
        <v>350</v>
      </c>
      <c r="I405">
        <v>455</v>
      </c>
      <c r="J405">
        <v>16.48</v>
      </c>
      <c r="K405">
        <v>2280.0300000000002</v>
      </c>
      <c r="L405">
        <v>180.03</v>
      </c>
      <c r="M405">
        <v>44990.400000000001</v>
      </c>
      <c r="N405">
        <v>2100</v>
      </c>
      <c r="O405">
        <v>7.895948737516612</v>
      </c>
      <c r="P405" t="s">
        <v>2077</v>
      </c>
      <c r="Q405" t="s">
        <v>2091</v>
      </c>
    </row>
    <row r="406" spans="1:17" x14ac:dyDescent="0.25">
      <c r="A406" t="s">
        <v>1359</v>
      </c>
      <c r="B406" s="18">
        <v>45731</v>
      </c>
      <c r="C406" t="s">
        <v>2028</v>
      </c>
      <c r="D406" t="s">
        <v>2048</v>
      </c>
      <c r="E406" t="s">
        <v>2057</v>
      </c>
      <c r="F406" t="s">
        <v>2062</v>
      </c>
      <c r="G406">
        <v>9</v>
      </c>
      <c r="H406">
        <v>80</v>
      </c>
      <c r="I406">
        <v>116</v>
      </c>
      <c r="J406">
        <v>0</v>
      </c>
      <c r="K406">
        <v>1044</v>
      </c>
      <c r="L406">
        <v>324</v>
      </c>
      <c r="M406">
        <v>0</v>
      </c>
      <c r="N406">
        <v>720</v>
      </c>
      <c r="O406">
        <v>31.03448275862069</v>
      </c>
      <c r="P406" t="s">
        <v>2077</v>
      </c>
      <c r="Q406" t="s">
        <v>2092</v>
      </c>
    </row>
    <row r="407" spans="1:17" x14ac:dyDescent="0.25">
      <c r="A407" t="s">
        <v>1500</v>
      </c>
      <c r="B407" s="18">
        <v>45731</v>
      </c>
      <c r="C407" t="s">
        <v>2013</v>
      </c>
      <c r="D407" t="s">
        <v>2033</v>
      </c>
      <c r="E407" t="s">
        <v>2053</v>
      </c>
      <c r="F407" t="s">
        <v>2060</v>
      </c>
      <c r="G407">
        <v>6</v>
      </c>
      <c r="H407">
        <v>6500</v>
      </c>
      <c r="I407">
        <v>7150</v>
      </c>
      <c r="J407">
        <v>16.28</v>
      </c>
      <c r="K407">
        <v>35915.370000000003</v>
      </c>
      <c r="L407">
        <v>-3084.63</v>
      </c>
      <c r="M407">
        <v>698412</v>
      </c>
      <c r="N407">
        <v>39000</v>
      </c>
      <c r="O407">
        <v>-8.588607050407667</v>
      </c>
      <c r="P407" t="s">
        <v>2077</v>
      </c>
      <c r="Q407" t="s">
        <v>2093</v>
      </c>
    </row>
    <row r="408" spans="1:17" x14ac:dyDescent="0.25">
      <c r="A408" t="s">
        <v>1704</v>
      </c>
      <c r="B408" s="18">
        <v>45731</v>
      </c>
      <c r="C408" t="s">
        <v>2014</v>
      </c>
      <c r="D408" t="s">
        <v>2034</v>
      </c>
      <c r="E408" t="s">
        <v>2052</v>
      </c>
      <c r="F408" t="s">
        <v>2062</v>
      </c>
      <c r="G408">
        <v>6</v>
      </c>
      <c r="H408">
        <v>4500</v>
      </c>
      <c r="I408">
        <v>5220</v>
      </c>
      <c r="J408">
        <v>14.2</v>
      </c>
      <c r="K408">
        <v>26872.79</v>
      </c>
      <c r="L408">
        <v>-127.21</v>
      </c>
      <c r="M408">
        <v>444744</v>
      </c>
      <c r="N408">
        <v>27000</v>
      </c>
      <c r="O408">
        <v>-0.47337846200561978</v>
      </c>
      <c r="P408" t="s">
        <v>2077</v>
      </c>
      <c r="Q408" t="s">
        <v>2093</v>
      </c>
    </row>
    <row r="409" spans="1:17" x14ac:dyDescent="0.25">
      <c r="A409" t="s">
        <v>409</v>
      </c>
      <c r="B409" s="18">
        <v>45732</v>
      </c>
      <c r="C409" t="s">
        <v>2027</v>
      </c>
      <c r="D409" t="s">
        <v>2047</v>
      </c>
      <c r="E409" t="s">
        <v>2053</v>
      </c>
      <c r="F409" t="s">
        <v>2061</v>
      </c>
      <c r="G409">
        <v>6</v>
      </c>
      <c r="H409">
        <v>1100</v>
      </c>
      <c r="I409">
        <v>1298</v>
      </c>
      <c r="J409">
        <v>10.88</v>
      </c>
      <c r="K409">
        <v>6940.51</v>
      </c>
      <c r="L409">
        <v>340.51</v>
      </c>
      <c r="M409">
        <v>84733.440000000002</v>
      </c>
      <c r="N409">
        <v>6600</v>
      </c>
      <c r="O409">
        <v>4.9061236133944046</v>
      </c>
      <c r="P409" t="s">
        <v>2077</v>
      </c>
      <c r="Q409" t="s">
        <v>2091</v>
      </c>
    </row>
    <row r="410" spans="1:17" x14ac:dyDescent="0.25">
      <c r="A410" t="s">
        <v>492</v>
      </c>
      <c r="B410" s="18">
        <v>45732</v>
      </c>
      <c r="C410" t="s">
        <v>2013</v>
      </c>
      <c r="D410" t="s">
        <v>2033</v>
      </c>
      <c r="E410" t="s">
        <v>2053</v>
      </c>
      <c r="F410" t="s">
        <v>2062</v>
      </c>
      <c r="G410">
        <v>5</v>
      </c>
      <c r="H410">
        <v>6500</v>
      </c>
      <c r="I410">
        <v>7150</v>
      </c>
      <c r="J410">
        <v>26.81</v>
      </c>
      <c r="K410">
        <v>26165.53</v>
      </c>
      <c r="L410">
        <v>-6334.47</v>
      </c>
      <c r="M410">
        <v>958457.5</v>
      </c>
      <c r="N410">
        <v>32500</v>
      </c>
      <c r="O410">
        <v>-24.20921724115659</v>
      </c>
      <c r="P410" t="s">
        <v>2077</v>
      </c>
      <c r="Q410" t="s">
        <v>2093</v>
      </c>
    </row>
    <row r="411" spans="1:17" x14ac:dyDescent="0.25">
      <c r="A411" t="s">
        <v>759</v>
      </c>
      <c r="B411" s="18">
        <v>45732</v>
      </c>
      <c r="C411" t="s">
        <v>2029</v>
      </c>
      <c r="D411" t="s">
        <v>2049</v>
      </c>
      <c r="E411" t="s">
        <v>2055</v>
      </c>
      <c r="F411" t="s">
        <v>2061</v>
      </c>
      <c r="G411">
        <v>9</v>
      </c>
      <c r="H411">
        <v>1200</v>
      </c>
      <c r="I411">
        <v>1464</v>
      </c>
      <c r="J411">
        <v>4.33</v>
      </c>
      <c r="K411">
        <v>12604.86</v>
      </c>
      <c r="L411">
        <v>1804.86</v>
      </c>
      <c r="M411">
        <v>57052.08</v>
      </c>
      <c r="N411">
        <v>10800</v>
      </c>
      <c r="O411">
        <v>14.318762762934295</v>
      </c>
      <c r="P411" t="s">
        <v>2077</v>
      </c>
      <c r="Q411" t="s">
        <v>2092</v>
      </c>
    </row>
    <row r="412" spans="1:17" x14ac:dyDescent="0.25">
      <c r="A412" t="s">
        <v>1079</v>
      </c>
      <c r="B412" s="18">
        <v>45732</v>
      </c>
      <c r="C412" t="s">
        <v>2016</v>
      </c>
      <c r="D412" t="s">
        <v>2036</v>
      </c>
      <c r="E412" t="s">
        <v>2052</v>
      </c>
      <c r="F412" t="s">
        <v>2061</v>
      </c>
      <c r="G412">
        <v>6</v>
      </c>
      <c r="H412">
        <v>900</v>
      </c>
      <c r="I412">
        <v>1170</v>
      </c>
      <c r="J412">
        <v>0</v>
      </c>
      <c r="K412">
        <v>7020</v>
      </c>
      <c r="L412">
        <v>1620</v>
      </c>
      <c r="M412">
        <v>0</v>
      </c>
      <c r="N412">
        <v>5400</v>
      </c>
      <c r="O412">
        <v>23.076923076923077</v>
      </c>
      <c r="P412" t="s">
        <v>2077</v>
      </c>
      <c r="Q412" t="s">
        <v>2092</v>
      </c>
    </row>
    <row r="413" spans="1:17" x14ac:dyDescent="0.25">
      <c r="A413" t="s">
        <v>1113</v>
      </c>
      <c r="B413" s="18">
        <v>45732</v>
      </c>
      <c r="C413" t="s">
        <v>2027</v>
      </c>
      <c r="D413" t="s">
        <v>2047</v>
      </c>
      <c r="E413" t="s">
        <v>2053</v>
      </c>
      <c r="F413" t="s">
        <v>2060</v>
      </c>
      <c r="G413">
        <v>10</v>
      </c>
      <c r="H413">
        <v>1100</v>
      </c>
      <c r="I413">
        <v>1298</v>
      </c>
      <c r="J413">
        <v>1.53</v>
      </c>
      <c r="K413">
        <v>12781.77</v>
      </c>
      <c r="L413">
        <v>1781.77</v>
      </c>
      <c r="M413">
        <v>19859.400000000001</v>
      </c>
      <c r="N413">
        <v>11000</v>
      </c>
      <c r="O413">
        <v>13.939931637011149</v>
      </c>
      <c r="P413" t="s">
        <v>2077</v>
      </c>
      <c r="Q413" t="s">
        <v>2092</v>
      </c>
    </row>
    <row r="414" spans="1:17" x14ac:dyDescent="0.25">
      <c r="A414" t="s">
        <v>1222</v>
      </c>
      <c r="B414" s="18">
        <v>45732</v>
      </c>
      <c r="C414" t="s">
        <v>2021</v>
      </c>
      <c r="D414" t="s">
        <v>2041</v>
      </c>
      <c r="E414" t="s">
        <v>2056</v>
      </c>
      <c r="F414" t="s">
        <v>2062</v>
      </c>
      <c r="G414">
        <v>4</v>
      </c>
      <c r="H414">
        <v>300</v>
      </c>
      <c r="I414">
        <v>405</v>
      </c>
      <c r="J414">
        <v>12.28</v>
      </c>
      <c r="K414">
        <v>1421.13</v>
      </c>
      <c r="L414">
        <v>221.13</v>
      </c>
      <c r="M414">
        <v>19893.599999999999</v>
      </c>
      <c r="N414">
        <v>1200</v>
      </c>
      <c r="O414">
        <v>15.560152836123365</v>
      </c>
      <c r="P414" t="s">
        <v>2077</v>
      </c>
      <c r="Q414" t="s">
        <v>2092</v>
      </c>
    </row>
    <row r="415" spans="1:17" x14ac:dyDescent="0.25">
      <c r="A415" t="s">
        <v>1309</v>
      </c>
      <c r="B415" s="18">
        <v>45732</v>
      </c>
      <c r="C415" t="s">
        <v>2023</v>
      </c>
      <c r="D415" t="s">
        <v>2043</v>
      </c>
      <c r="E415" t="s">
        <v>2053</v>
      </c>
      <c r="F415" t="s">
        <v>2059</v>
      </c>
      <c r="G415">
        <v>8</v>
      </c>
      <c r="H415">
        <v>550</v>
      </c>
      <c r="I415">
        <v>742.5</v>
      </c>
      <c r="J415">
        <v>20</v>
      </c>
      <c r="K415">
        <v>4752.21</v>
      </c>
      <c r="L415">
        <v>352.21</v>
      </c>
      <c r="M415">
        <v>118800</v>
      </c>
      <c r="N415">
        <v>4400</v>
      </c>
      <c r="O415">
        <v>7.4114990709585644</v>
      </c>
      <c r="P415" t="s">
        <v>2077</v>
      </c>
      <c r="Q415" t="s">
        <v>2091</v>
      </c>
    </row>
    <row r="416" spans="1:17" x14ac:dyDescent="0.25">
      <c r="A416" t="s">
        <v>1383</v>
      </c>
      <c r="B416" s="18">
        <v>45732</v>
      </c>
      <c r="C416" t="s">
        <v>2029</v>
      </c>
      <c r="D416" t="s">
        <v>2049</v>
      </c>
      <c r="E416" t="s">
        <v>2055</v>
      </c>
      <c r="F416" t="s">
        <v>2060</v>
      </c>
      <c r="G416">
        <v>4</v>
      </c>
      <c r="H416">
        <v>1200</v>
      </c>
      <c r="I416">
        <v>1464</v>
      </c>
      <c r="J416">
        <v>11.36</v>
      </c>
      <c r="K416">
        <v>5190.7700000000004</v>
      </c>
      <c r="L416">
        <v>390.77</v>
      </c>
      <c r="M416">
        <v>66524.160000000003</v>
      </c>
      <c r="N416">
        <v>4800</v>
      </c>
      <c r="O416">
        <v>7.5281701944027555</v>
      </c>
      <c r="P416" t="s">
        <v>2077</v>
      </c>
      <c r="Q416" t="s">
        <v>2091</v>
      </c>
    </row>
    <row r="417" spans="1:17" x14ac:dyDescent="0.25">
      <c r="A417" t="s">
        <v>459</v>
      </c>
      <c r="B417" s="18">
        <v>45733</v>
      </c>
      <c r="C417" t="s">
        <v>2018</v>
      </c>
      <c r="D417" t="s">
        <v>2038</v>
      </c>
      <c r="E417" t="s">
        <v>2053</v>
      </c>
      <c r="F417" t="s">
        <v>2059</v>
      </c>
      <c r="G417">
        <v>3</v>
      </c>
      <c r="H417">
        <v>500</v>
      </c>
      <c r="I417">
        <v>610</v>
      </c>
      <c r="J417">
        <v>5.79</v>
      </c>
      <c r="K417">
        <v>1724.07</v>
      </c>
      <c r="L417">
        <v>224.07</v>
      </c>
      <c r="M417">
        <v>10595.7</v>
      </c>
      <c r="N417">
        <v>1500</v>
      </c>
      <c r="O417">
        <v>12.996572064939357</v>
      </c>
      <c r="P417" t="s">
        <v>2077</v>
      </c>
      <c r="Q417" t="s">
        <v>2092</v>
      </c>
    </row>
    <row r="418" spans="1:17" x14ac:dyDescent="0.25">
      <c r="A418" t="s">
        <v>630</v>
      </c>
      <c r="B418" s="18">
        <v>45733</v>
      </c>
      <c r="C418" t="s">
        <v>2022</v>
      </c>
      <c r="D418" t="s">
        <v>2042</v>
      </c>
      <c r="E418" t="s">
        <v>2053</v>
      </c>
      <c r="F418" t="s">
        <v>2059</v>
      </c>
      <c r="G418">
        <v>3</v>
      </c>
      <c r="H418">
        <v>8500</v>
      </c>
      <c r="I418">
        <v>9520</v>
      </c>
      <c r="J418">
        <v>20.36</v>
      </c>
      <c r="K418">
        <v>22743.93</v>
      </c>
      <c r="L418">
        <v>-2756.07</v>
      </c>
      <c r="M418">
        <v>581481.6</v>
      </c>
      <c r="N418">
        <v>25500</v>
      </c>
      <c r="O418">
        <v>-12.117826602526478</v>
      </c>
      <c r="P418" t="s">
        <v>2077</v>
      </c>
      <c r="Q418" t="s">
        <v>2093</v>
      </c>
    </row>
    <row r="419" spans="1:17" x14ac:dyDescent="0.25">
      <c r="A419" t="s">
        <v>745</v>
      </c>
      <c r="B419" s="18">
        <v>45733</v>
      </c>
      <c r="C419" t="s">
        <v>2014</v>
      </c>
      <c r="D419" t="s">
        <v>2034</v>
      </c>
      <c r="E419" t="s">
        <v>2052</v>
      </c>
      <c r="F419" t="s">
        <v>2061</v>
      </c>
      <c r="G419">
        <v>7</v>
      </c>
      <c r="H419">
        <v>4500</v>
      </c>
      <c r="I419">
        <v>5220</v>
      </c>
      <c r="J419">
        <v>5.53</v>
      </c>
      <c r="K419">
        <v>34519.74</v>
      </c>
      <c r="L419">
        <v>3019.74</v>
      </c>
      <c r="M419">
        <v>202066.2</v>
      </c>
      <c r="N419">
        <v>31500</v>
      </c>
      <c r="O419">
        <v>8.7478642654898326</v>
      </c>
      <c r="P419" t="s">
        <v>2077</v>
      </c>
      <c r="Q419" t="s">
        <v>2091</v>
      </c>
    </row>
    <row r="420" spans="1:17" x14ac:dyDescent="0.25">
      <c r="A420" t="s">
        <v>894</v>
      </c>
      <c r="B420" s="18">
        <v>45733</v>
      </c>
      <c r="C420" t="s">
        <v>2016</v>
      </c>
      <c r="D420" t="s">
        <v>2036</v>
      </c>
      <c r="E420" t="s">
        <v>2052</v>
      </c>
      <c r="F420" t="s">
        <v>2061</v>
      </c>
      <c r="G420">
        <v>4</v>
      </c>
      <c r="H420">
        <v>900</v>
      </c>
      <c r="I420">
        <v>1170</v>
      </c>
      <c r="J420">
        <v>11.12</v>
      </c>
      <c r="K420">
        <v>4159.4799999999996</v>
      </c>
      <c r="L420">
        <v>559.48</v>
      </c>
      <c r="M420">
        <v>52041.599999999999</v>
      </c>
      <c r="N420">
        <v>3600</v>
      </c>
      <c r="O420">
        <v>13.450719801513653</v>
      </c>
      <c r="P420" t="s">
        <v>2077</v>
      </c>
      <c r="Q420" t="s">
        <v>2092</v>
      </c>
    </row>
    <row r="421" spans="1:17" x14ac:dyDescent="0.25">
      <c r="A421" t="s">
        <v>915</v>
      </c>
      <c r="B421" s="18">
        <v>45733</v>
      </c>
      <c r="C421" t="s">
        <v>2022</v>
      </c>
      <c r="D421" t="s">
        <v>2042</v>
      </c>
      <c r="E421" t="s">
        <v>2053</v>
      </c>
      <c r="F421" t="s">
        <v>2059</v>
      </c>
      <c r="G421">
        <v>9</v>
      </c>
      <c r="H421">
        <v>8500</v>
      </c>
      <c r="I421">
        <v>9520</v>
      </c>
      <c r="J421">
        <v>25.56</v>
      </c>
      <c r="K421">
        <v>63780.06</v>
      </c>
      <c r="L421">
        <v>-12719.94</v>
      </c>
      <c r="M421">
        <v>2189980.7999999998</v>
      </c>
      <c r="N421">
        <v>76500</v>
      </c>
      <c r="O421">
        <v>-19.943443138811723</v>
      </c>
      <c r="P421" t="s">
        <v>2077</v>
      </c>
      <c r="Q421" t="s">
        <v>2093</v>
      </c>
    </row>
    <row r="422" spans="1:17" x14ac:dyDescent="0.25">
      <c r="A422" t="s">
        <v>1780</v>
      </c>
      <c r="B422" s="18">
        <v>45733</v>
      </c>
      <c r="C422" t="s">
        <v>2015</v>
      </c>
      <c r="D422" t="s">
        <v>2035</v>
      </c>
      <c r="E422" t="s">
        <v>2054</v>
      </c>
      <c r="F422" t="s">
        <v>2059</v>
      </c>
      <c r="G422">
        <v>6</v>
      </c>
      <c r="H422">
        <v>900</v>
      </c>
      <c r="I422">
        <v>1170</v>
      </c>
      <c r="J422">
        <v>3.49</v>
      </c>
      <c r="K422">
        <v>6774.77</v>
      </c>
      <c r="L422">
        <v>1374.77</v>
      </c>
      <c r="M422">
        <v>24499.800000000003</v>
      </c>
      <c r="N422">
        <v>5400</v>
      </c>
      <c r="O422">
        <v>20.292497014658796</v>
      </c>
      <c r="P422" t="s">
        <v>2077</v>
      </c>
      <c r="Q422" t="s">
        <v>2092</v>
      </c>
    </row>
    <row r="423" spans="1:17" x14ac:dyDescent="0.25">
      <c r="A423" t="s">
        <v>1918</v>
      </c>
      <c r="B423" s="18">
        <v>45733</v>
      </c>
      <c r="C423" t="s">
        <v>2025</v>
      </c>
      <c r="D423" t="s">
        <v>2045</v>
      </c>
      <c r="E423" t="s">
        <v>2057</v>
      </c>
      <c r="F423" t="s">
        <v>2060</v>
      </c>
      <c r="G423">
        <v>9</v>
      </c>
      <c r="H423">
        <v>45</v>
      </c>
      <c r="I423">
        <v>63</v>
      </c>
      <c r="J423">
        <v>1.01</v>
      </c>
      <c r="K423">
        <v>561.29</v>
      </c>
      <c r="L423">
        <v>156.29</v>
      </c>
      <c r="M423">
        <v>572.66999999999996</v>
      </c>
      <c r="N423">
        <v>405</v>
      </c>
      <c r="O423">
        <v>27.844786117693172</v>
      </c>
      <c r="P423" t="s">
        <v>2077</v>
      </c>
      <c r="Q423" t="s">
        <v>2092</v>
      </c>
    </row>
    <row r="424" spans="1:17" x14ac:dyDescent="0.25">
      <c r="A424" t="s">
        <v>1140</v>
      </c>
      <c r="B424" s="18">
        <v>45734</v>
      </c>
      <c r="C424" t="s">
        <v>2027</v>
      </c>
      <c r="D424" t="s">
        <v>2047</v>
      </c>
      <c r="E424" t="s">
        <v>2053</v>
      </c>
      <c r="F424" t="s">
        <v>2059</v>
      </c>
      <c r="G424">
        <v>8</v>
      </c>
      <c r="H424">
        <v>1100</v>
      </c>
      <c r="I424">
        <v>1298</v>
      </c>
      <c r="J424">
        <v>9.26</v>
      </c>
      <c r="K424">
        <v>9422.5</v>
      </c>
      <c r="L424">
        <v>622.5</v>
      </c>
      <c r="M424">
        <v>96155.839999999997</v>
      </c>
      <c r="N424">
        <v>8800</v>
      </c>
      <c r="O424">
        <v>6.6065269302202179</v>
      </c>
      <c r="P424" t="s">
        <v>2077</v>
      </c>
      <c r="Q424" t="s">
        <v>2091</v>
      </c>
    </row>
    <row r="425" spans="1:17" x14ac:dyDescent="0.25">
      <c r="A425" t="s">
        <v>289</v>
      </c>
      <c r="B425" s="18">
        <v>45735</v>
      </c>
      <c r="C425" t="s">
        <v>2014</v>
      </c>
      <c r="D425" t="s">
        <v>2034</v>
      </c>
      <c r="E425" t="s">
        <v>2052</v>
      </c>
      <c r="F425" t="s">
        <v>2061</v>
      </c>
      <c r="G425">
        <v>1</v>
      </c>
      <c r="H425">
        <v>4500</v>
      </c>
      <c r="I425">
        <v>5220</v>
      </c>
      <c r="J425">
        <v>18.239999999999998</v>
      </c>
      <c r="K425">
        <v>4267.97</v>
      </c>
      <c r="L425">
        <v>-232.03</v>
      </c>
      <c r="M425">
        <v>95212.799999999988</v>
      </c>
      <c r="N425">
        <v>4500</v>
      </c>
      <c r="O425">
        <v>-5.436542431179225</v>
      </c>
      <c r="P425" t="s">
        <v>2077</v>
      </c>
      <c r="Q425" t="s">
        <v>2093</v>
      </c>
    </row>
    <row r="426" spans="1:17" x14ac:dyDescent="0.25">
      <c r="A426" t="s">
        <v>490</v>
      </c>
      <c r="B426" s="18">
        <v>45735</v>
      </c>
      <c r="C426" t="s">
        <v>2012</v>
      </c>
      <c r="D426" t="s">
        <v>2032</v>
      </c>
      <c r="E426" t="s">
        <v>2052</v>
      </c>
      <c r="F426" t="s">
        <v>2060</v>
      </c>
      <c r="G426">
        <v>2</v>
      </c>
      <c r="H426">
        <v>6500</v>
      </c>
      <c r="I426">
        <v>8125</v>
      </c>
      <c r="J426">
        <v>5.94</v>
      </c>
      <c r="K426">
        <v>15285.47</v>
      </c>
      <c r="L426">
        <v>2285.4699999999998</v>
      </c>
      <c r="M426">
        <v>96525</v>
      </c>
      <c r="N426">
        <v>13000</v>
      </c>
      <c r="O426">
        <v>14.951911848310845</v>
      </c>
      <c r="P426" t="s">
        <v>2077</v>
      </c>
      <c r="Q426" t="s">
        <v>2092</v>
      </c>
    </row>
    <row r="427" spans="1:17" x14ac:dyDescent="0.25">
      <c r="A427" t="s">
        <v>1634</v>
      </c>
      <c r="B427" s="18">
        <v>45735</v>
      </c>
      <c r="C427" t="s">
        <v>2027</v>
      </c>
      <c r="D427" t="s">
        <v>2047</v>
      </c>
      <c r="E427" t="s">
        <v>2053</v>
      </c>
      <c r="F427" t="s">
        <v>2062</v>
      </c>
      <c r="G427">
        <v>5</v>
      </c>
      <c r="H427">
        <v>1100</v>
      </c>
      <c r="I427">
        <v>1298</v>
      </c>
      <c r="J427">
        <v>3.96</v>
      </c>
      <c r="K427">
        <v>6232.97</v>
      </c>
      <c r="L427">
        <v>732.97</v>
      </c>
      <c r="M427">
        <v>25700.400000000001</v>
      </c>
      <c r="N427">
        <v>5500</v>
      </c>
      <c r="O427">
        <v>11.759562455779509</v>
      </c>
      <c r="P427" t="s">
        <v>2077</v>
      </c>
      <c r="Q427" t="s">
        <v>2092</v>
      </c>
    </row>
    <row r="428" spans="1:17" x14ac:dyDescent="0.25">
      <c r="A428" t="s">
        <v>1932</v>
      </c>
      <c r="B428" s="18">
        <v>45735</v>
      </c>
      <c r="C428" t="s">
        <v>2017</v>
      </c>
      <c r="D428" t="s">
        <v>2037</v>
      </c>
      <c r="E428" t="s">
        <v>2055</v>
      </c>
      <c r="F428" t="s">
        <v>2060</v>
      </c>
      <c r="G428">
        <v>9</v>
      </c>
      <c r="H428">
        <v>2500</v>
      </c>
      <c r="I428">
        <v>2875</v>
      </c>
      <c r="J428">
        <v>2.27</v>
      </c>
      <c r="K428">
        <v>25288.02</v>
      </c>
      <c r="L428">
        <v>2788.02</v>
      </c>
      <c r="M428">
        <v>58736.25</v>
      </c>
      <c r="N428">
        <v>22500</v>
      </c>
      <c r="O428">
        <v>11.025062460406152</v>
      </c>
      <c r="P428" t="s">
        <v>2077</v>
      </c>
      <c r="Q428" t="s">
        <v>2092</v>
      </c>
    </row>
    <row r="429" spans="1:17" x14ac:dyDescent="0.25">
      <c r="A429" t="s">
        <v>118</v>
      </c>
      <c r="B429" s="18">
        <v>45736</v>
      </c>
      <c r="C429" t="s">
        <v>2027</v>
      </c>
      <c r="D429" t="s">
        <v>2047</v>
      </c>
      <c r="E429" t="s">
        <v>2053</v>
      </c>
      <c r="F429" t="s">
        <v>2062</v>
      </c>
      <c r="G429">
        <v>9</v>
      </c>
      <c r="H429">
        <v>1100</v>
      </c>
      <c r="I429">
        <v>1298</v>
      </c>
      <c r="J429">
        <v>22.23</v>
      </c>
      <c r="K429">
        <v>9084.65</v>
      </c>
      <c r="L429">
        <v>-815.35</v>
      </c>
      <c r="M429">
        <v>259690.86000000002</v>
      </c>
      <c r="N429">
        <v>9900</v>
      </c>
      <c r="O429">
        <v>-8.9750293076783372</v>
      </c>
      <c r="P429" t="s">
        <v>2077</v>
      </c>
      <c r="Q429" t="s">
        <v>2093</v>
      </c>
    </row>
    <row r="430" spans="1:17" x14ac:dyDescent="0.25">
      <c r="A430" t="s">
        <v>188</v>
      </c>
      <c r="B430" s="18">
        <v>45736</v>
      </c>
      <c r="C430" t="s">
        <v>2023</v>
      </c>
      <c r="D430" t="s">
        <v>2043</v>
      </c>
      <c r="E430" t="s">
        <v>2053</v>
      </c>
      <c r="F430" t="s">
        <v>2062</v>
      </c>
      <c r="G430">
        <v>5</v>
      </c>
      <c r="H430">
        <v>550</v>
      </c>
      <c r="I430">
        <v>742.5</v>
      </c>
      <c r="J430">
        <v>0</v>
      </c>
      <c r="K430">
        <v>3712.5</v>
      </c>
      <c r="L430">
        <v>962.5</v>
      </c>
      <c r="M430">
        <v>0</v>
      </c>
      <c r="N430">
        <v>2750</v>
      </c>
      <c r="O430">
        <v>25.925925925925924</v>
      </c>
      <c r="P430" t="s">
        <v>2077</v>
      </c>
      <c r="Q430" t="s">
        <v>2092</v>
      </c>
    </row>
    <row r="431" spans="1:17" x14ac:dyDescent="0.25">
      <c r="A431" t="s">
        <v>245</v>
      </c>
      <c r="B431" s="18">
        <v>45736</v>
      </c>
      <c r="C431" t="s">
        <v>2019</v>
      </c>
      <c r="D431" t="s">
        <v>2039</v>
      </c>
      <c r="E431" t="s">
        <v>2053</v>
      </c>
      <c r="F431" t="s">
        <v>2062</v>
      </c>
      <c r="G431">
        <v>2</v>
      </c>
      <c r="H431">
        <v>900</v>
      </c>
      <c r="I431">
        <v>1152</v>
      </c>
      <c r="J431">
        <v>24.63</v>
      </c>
      <c r="K431">
        <v>1736.63</v>
      </c>
      <c r="L431">
        <v>-63.37</v>
      </c>
      <c r="M431">
        <v>56747.519999999997</v>
      </c>
      <c r="N431">
        <v>1800</v>
      </c>
      <c r="O431">
        <v>-3.6490213804897991</v>
      </c>
      <c r="P431" t="s">
        <v>2077</v>
      </c>
      <c r="Q431" t="s">
        <v>2093</v>
      </c>
    </row>
    <row r="432" spans="1:17" x14ac:dyDescent="0.25">
      <c r="A432" t="s">
        <v>649</v>
      </c>
      <c r="B432" s="18">
        <v>45736</v>
      </c>
      <c r="C432" t="s">
        <v>2018</v>
      </c>
      <c r="D432" t="s">
        <v>2038</v>
      </c>
      <c r="E432" t="s">
        <v>2053</v>
      </c>
      <c r="F432" t="s">
        <v>2061</v>
      </c>
      <c r="G432">
        <v>10</v>
      </c>
      <c r="H432">
        <v>500</v>
      </c>
      <c r="I432">
        <v>610</v>
      </c>
      <c r="J432">
        <v>17.579999999999998</v>
      </c>
      <c r="K432">
        <v>5027.6899999999996</v>
      </c>
      <c r="L432">
        <v>27.69</v>
      </c>
      <c r="M432">
        <v>107237.99999999999</v>
      </c>
      <c r="N432">
        <v>5000</v>
      </c>
      <c r="O432">
        <v>0.55074994679465128</v>
      </c>
      <c r="P432" t="s">
        <v>2077</v>
      </c>
      <c r="Q432" t="s">
        <v>2091</v>
      </c>
    </row>
    <row r="433" spans="1:17" x14ac:dyDescent="0.25">
      <c r="A433" t="s">
        <v>1387</v>
      </c>
      <c r="B433" s="18">
        <v>45736</v>
      </c>
      <c r="C433" t="s">
        <v>2031</v>
      </c>
      <c r="D433" t="s">
        <v>2051</v>
      </c>
      <c r="E433" t="s">
        <v>2058</v>
      </c>
      <c r="F433" t="s">
        <v>2062</v>
      </c>
      <c r="G433">
        <v>1</v>
      </c>
      <c r="H433">
        <v>3200</v>
      </c>
      <c r="I433">
        <v>3840</v>
      </c>
      <c r="J433">
        <v>24.51</v>
      </c>
      <c r="K433">
        <v>2898.83</v>
      </c>
      <c r="L433">
        <v>-301.17</v>
      </c>
      <c r="M433">
        <v>94118.400000000009</v>
      </c>
      <c r="N433">
        <v>3200</v>
      </c>
      <c r="O433">
        <v>-10.389363984780067</v>
      </c>
      <c r="P433" t="s">
        <v>2077</v>
      </c>
      <c r="Q433" t="s">
        <v>2093</v>
      </c>
    </row>
    <row r="434" spans="1:17" x14ac:dyDescent="0.25">
      <c r="A434" t="s">
        <v>1572</v>
      </c>
      <c r="B434" s="18">
        <v>45736</v>
      </c>
      <c r="C434" t="s">
        <v>2023</v>
      </c>
      <c r="D434" t="s">
        <v>2043</v>
      </c>
      <c r="E434" t="s">
        <v>2053</v>
      </c>
      <c r="F434" t="s">
        <v>2059</v>
      </c>
      <c r="G434">
        <v>6</v>
      </c>
      <c r="H434">
        <v>550</v>
      </c>
      <c r="I434">
        <v>742.5</v>
      </c>
      <c r="J434">
        <v>10.87</v>
      </c>
      <c r="K434">
        <v>3970.86</v>
      </c>
      <c r="L434">
        <v>670.86</v>
      </c>
      <c r="M434">
        <v>48425.85</v>
      </c>
      <c r="N434">
        <v>3300</v>
      </c>
      <c r="O434">
        <v>16.894576993396896</v>
      </c>
      <c r="P434" t="s">
        <v>2077</v>
      </c>
      <c r="Q434" t="s">
        <v>2092</v>
      </c>
    </row>
    <row r="435" spans="1:17" x14ac:dyDescent="0.25">
      <c r="A435" t="s">
        <v>1997</v>
      </c>
      <c r="B435" s="18">
        <v>45736</v>
      </c>
      <c r="C435" t="s">
        <v>2016</v>
      </c>
      <c r="D435" t="s">
        <v>2036</v>
      </c>
      <c r="E435" t="s">
        <v>2052</v>
      </c>
      <c r="F435" t="s">
        <v>2060</v>
      </c>
      <c r="G435">
        <v>2</v>
      </c>
      <c r="H435">
        <v>900</v>
      </c>
      <c r="I435">
        <v>1170</v>
      </c>
      <c r="J435">
        <v>4.84</v>
      </c>
      <c r="K435">
        <v>2226.7199999999998</v>
      </c>
      <c r="L435">
        <v>426.72</v>
      </c>
      <c r="M435">
        <v>11325.6</v>
      </c>
      <c r="N435">
        <v>1800</v>
      </c>
      <c r="O435">
        <v>19.163612847596468</v>
      </c>
      <c r="P435" t="s">
        <v>2077</v>
      </c>
      <c r="Q435" t="s">
        <v>2092</v>
      </c>
    </row>
    <row r="436" spans="1:17" x14ac:dyDescent="0.25">
      <c r="A436" t="s">
        <v>155</v>
      </c>
      <c r="B436" s="18">
        <v>45737</v>
      </c>
      <c r="C436" t="s">
        <v>2023</v>
      </c>
      <c r="D436" t="s">
        <v>2043</v>
      </c>
      <c r="E436" t="s">
        <v>2053</v>
      </c>
      <c r="F436" t="s">
        <v>2060</v>
      </c>
      <c r="G436">
        <v>5</v>
      </c>
      <c r="H436">
        <v>550</v>
      </c>
      <c r="I436">
        <v>742.5</v>
      </c>
      <c r="J436">
        <v>23.45</v>
      </c>
      <c r="K436">
        <v>2841.99</v>
      </c>
      <c r="L436">
        <v>91.99</v>
      </c>
      <c r="M436">
        <v>87058.125</v>
      </c>
      <c r="N436">
        <v>2750</v>
      </c>
      <c r="O436">
        <v>3.2368164560747923</v>
      </c>
      <c r="P436" t="s">
        <v>2077</v>
      </c>
      <c r="Q436" t="s">
        <v>2091</v>
      </c>
    </row>
    <row r="437" spans="1:17" x14ac:dyDescent="0.25">
      <c r="A437" t="s">
        <v>1952</v>
      </c>
      <c r="B437" s="18">
        <v>45737</v>
      </c>
      <c r="C437" t="s">
        <v>2014</v>
      </c>
      <c r="D437" t="s">
        <v>2034</v>
      </c>
      <c r="E437" t="s">
        <v>2052</v>
      </c>
      <c r="F437" t="s">
        <v>2061</v>
      </c>
      <c r="G437">
        <v>7</v>
      </c>
      <c r="H437">
        <v>4500</v>
      </c>
      <c r="I437">
        <v>5220</v>
      </c>
      <c r="J437">
        <v>19.899999999999999</v>
      </c>
      <c r="K437">
        <v>29269.05</v>
      </c>
      <c r="L437">
        <v>-2230.9499999999998</v>
      </c>
      <c r="M437">
        <v>727146</v>
      </c>
      <c r="N437">
        <v>31500</v>
      </c>
      <c r="O437">
        <v>-7.6222152751797543</v>
      </c>
      <c r="P437" t="s">
        <v>2077</v>
      </c>
      <c r="Q437" t="s">
        <v>2093</v>
      </c>
    </row>
    <row r="438" spans="1:17" x14ac:dyDescent="0.25">
      <c r="A438" t="s">
        <v>601</v>
      </c>
      <c r="B438" s="18">
        <v>45738</v>
      </c>
      <c r="C438" t="s">
        <v>2031</v>
      </c>
      <c r="D438" t="s">
        <v>2051</v>
      </c>
      <c r="E438" t="s">
        <v>2058</v>
      </c>
      <c r="F438" t="s">
        <v>2059</v>
      </c>
      <c r="G438">
        <v>8</v>
      </c>
      <c r="H438">
        <v>3200</v>
      </c>
      <c r="I438">
        <v>3840</v>
      </c>
      <c r="J438">
        <v>10.99</v>
      </c>
      <c r="K438">
        <v>27345.32</v>
      </c>
      <c r="L438">
        <v>1745.32</v>
      </c>
      <c r="M438">
        <v>337612.79999999999</v>
      </c>
      <c r="N438">
        <v>25600</v>
      </c>
      <c r="O438">
        <v>6.3825181054747215</v>
      </c>
      <c r="P438" t="s">
        <v>2077</v>
      </c>
      <c r="Q438" t="s">
        <v>2091</v>
      </c>
    </row>
    <row r="439" spans="1:17" x14ac:dyDescent="0.25">
      <c r="A439" t="s">
        <v>1045</v>
      </c>
      <c r="B439" s="18">
        <v>45738</v>
      </c>
      <c r="C439" t="s">
        <v>2029</v>
      </c>
      <c r="D439" t="s">
        <v>2049</v>
      </c>
      <c r="E439" t="s">
        <v>2055</v>
      </c>
      <c r="F439" t="s">
        <v>2061</v>
      </c>
      <c r="G439">
        <v>5</v>
      </c>
      <c r="H439">
        <v>1200</v>
      </c>
      <c r="I439">
        <v>1464</v>
      </c>
      <c r="J439">
        <v>13.15</v>
      </c>
      <c r="K439">
        <v>6357.62</v>
      </c>
      <c r="L439">
        <v>357.62</v>
      </c>
      <c r="M439">
        <v>96258</v>
      </c>
      <c r="N439">
        <v>6000</v>
      </c>
      <c r="O439">
        <v>5.6250609504814699</v>
      </c>
      <c r="P439" t="s">
        <v>2077</v>
      </c>
      <c r="Q439" t="s">
        <v>2091</v>
      </c>
    </row>
    <row r="440" spans="1:17" x14ac:dyDescent="0.25">
      <c r="A440" t="s">
        <v>1694</v>
      </c>
      <c r="B440" s="18">
        <v>45738</v>
      </c>
      <c r="C440" t="s">
        <v>2024</v>
      </c>
      <c r="D440" t="s">
        <v>2044</v>
      </c>
      <c r="E440" t="s">
        <v>2055</v>
      </c>
      <c r="F440" t="s">
        <v>2059</v>
      </c>
      <c r="G440">
        <v>3</v>
      </c>
      <c r="H440">
        <v>180</v>
      </c>
      <c r="I440">
        <v>243</v>
      </c>
      <c r="J440">
        <v>10.28</v>
      </c>
      <c r="K440">
        <v>654.09</v>
      </c>
      <c r="L440">
        <v>114.09</v>
      </c>
      <c r="M440">
        <v>7494.12</v>
      </c>
      <c r="N440">
        <v>540</v>
      </c>
      <c r="O440">
        <v>17.442553777003162</v>
      </c>
      <c r="P440" t="s">
        <v>2077</v>
      </c>
      <c r="Q440" t="s">
        <v>2092</v>
      </c>
    </row>
    <row r="441" spans="1:17" x14ac:dyDescent="0.25">
      <c r="A441" t="s">
        <v>1893</v>
      </c>
      <c r="B441" s="18">
        <v>45738</v>
      </c>
      <c r="C441" t="s">
        <v>2026</v>
      </c>
      <c r="D441" t="s">
        <v>2046</v>
      </c>
      <c r="E441" t="s">
        <v>2052</v>
      </c>
      <c r="F441" t="s">
        <v>2062</v>
      </c>
      <c r="G441">
        <v>6</v>
      </c>
      <c r="H441">
        <v>3000</v>
      </c>
      <c r="I441">
        <v>3600</v>
      </c>
      <c r="J441">
        <v>4</v>
      </c>
      <c r="K441">
        <v>20736</v>
      </c>
      <c r="L441">
        <v>2736</v>
      </c>
      <c r="M441">
        <v>86400</v>
      </c>
      <c r="N441">
        <v>18000</v>
      </c>
      <c r="O441">
        <v>13.194444444444445</v>
      </c>
      <c r="P441" t="s">
        <v>2077</v>
      </c>
      <c r="Q441" t="s">
        <v>2092</v>
      </c>
    </row>
    <row r="442" spans="1:17" x14ac:dyDescent="0.25">
      <c r="A442" t="s">
        <v>1904</v>
      </c>
      <c r="B442" s="18">
        <v>45738</v>
      </c>
      <c r="C442" t="s">
        <v>2025</v>
      </c>
      <c r="D442" t="s">
        <v>2045</v>
      </c>
      <c r="E442" t="s">
        <v>2057</v>
      </c>
      <c r="F442" t="s">
        <v>2062</v>
      </c>
      <c r="G442">
        <v>8</v>
      </c>
      <c r="H442">
        <v>45</v>
      </c>
      <c r="I442">
        <v>63</v>
      </c>
      <c r="J442">
        <v>11.36</v>
      </c>
      <c r="K442">
        <v>446.74</v>
      </c>
      <c r="L442">
        <v>86.74</v>
      </c>
      <c r="M442">
        <v>5725.44</v>
      </c>
      <c r="N442">
        <v>360</v>
      </c>
      <c r="O442">
        <v>19.416215248242825</v>
      </c>
      <c r="P442" t="s">
        <v>2077</v>
      </c>
      <c r="Q442" t="s">
        <v>2092</v>
      </c>
    </row>
    <row r="443" spans="1:17" x14ac:dyDescent="0.25">
      <c r="A443" t="s">
        <v>82</v>
      </c>
      <c r="B443" s="18">
        <v>45739</v>
      </c>
      <c r="C443" t="s">
        <v>2014</v>
      </c>
      <c r="D443" t="s">
        <v>2034</v>
      </c>
      <c r="E443" t="s">
        <v>2052</v>
      </c>
      <c r="F443" t="s">
        <v>2060</v>
      </c>
      <c r="G443">
        <v>4</v>
      </c>
      <c r="H443">
        <v>4500</v>
      </c>
      <c r="I443">
        <v>5220</v>
      </c>
      <c r="J443">
        <v>9.26</v>
      </c>
      <c r="K443">
        <v>18947.060000000001</v>
      </c>
      <c r="L443">
        <v>947.06</v>
      </c>
      <c r="M443">
        <v>193348.8</v>
      </c>
      <c r="N443">
        <v>18000</v>
      </c>
      <c r="O443">
        <v>4.9984535859389254</v>
      </c>
      <c r="P443" t="s">
        <v>2077</v>
      </c>
      <c r="Q443" t="s">
        <v>2091</v>
      </c>
    </row>
    <row r="444" spans="1:17" x14ac:dyDescent="0.25">
      <c r="A444" t="s">
        <v>214</v>
      </c>
      <c r="B444" s="18">
        <v>45739</v>
      </c>
      <c r="C444" t="s">
        <v>2013</v>
      </c>
      <c r="D444" t="s">
        <v>2033</v>
      </c>
      <c r="E444" t="s">
        <v>2053</v>
      </c>
      <c r="F444" t="s">
        <v>2062</v>
      </c>
      <c r="G444">
        <v>10</v>
      </c>
      <c r="H444">
        <v>6500</v>
      </c>
      <c r="I444">
        <v>7150</v>
      </c>
      <c r="J444">
        <v>17.55</v>
      </c>
      <c r="K444">
        <v>58954.45</v>
      </c>
      <c r="L444">
        <v>-6045.55</v>
      </c>
      <c r="M444">
        <v>1254825</v>
      </c>
      <c r="N444">
        <v>65000</v>
      </c>
      <c r="O444">
        <v>-10.254611823195706</v>
      </c>
      <c r="P444" t="s">
        <v>2077</v>
      </c>
      <c r="Q444" t="s">
        <v>2093</v>
      </c>
    </row>
    <row r="445" spans="1:17" x14ac:dyDescent="0.25">
      <c r="A445" t="s">
        <v>450</v>
      </c>
      <c r="B445" s="18">
        <v>45739</v>
      </c>
      <c r="C445" t="s">
        <v>2020</v>
      </c>
      <c r="D445" t="s">
        <v>2040</v>
      </c>
      <c r="E445" t="s">
        <v>2053</v>
      </c>
      <c r="F445" t="s">
        <v>2061</v>
      </c>
      <c r="G445">
        <v>8</v>
      </c>
      <c r="H445">
        <v>350</v>
      </c>
      <c r="I445">
        <v>455</v>
      </c>
      <c r="J445">
        <v>12.98</v>
      </c>
      <c r="K445">
        <v>3167.57</v>
      </c>
      <c r="L445">
        <v>367.57</v>
      </c>
      <c r="M445">
        <v>47247.200000000004</v>
      </c>
      <c r="N445">
        <v>2800</v>
      </c>
      <c r="O445">
        <v>11.604163443901792</v>
      </c>
      <c r="P445" t="s">
        <v>2077</v>
      </c>
      <c r="Q445" t="s">
        <v>2092</v>
      </c>
    </row>
    <row r="446" spans="1:17" x14ac:dyDescent="0.25">
      <c r="A446" t="s">
        <v>586</v>
      </c>
      <c r="B446" s="18">
        <v>45739</v>
      </c>
      <c r="C446" t="s">
        <v>2026</v>
      </c>
      <c r="D446" t="s">
        <v>2046</v>
      </c>
      <c r="E446" t="s">
        <v>2052</v>
      </c>
      <c r="F446" t="s">
        <v>2062</v>
      </c>
      <c r="G446">
        <v>7</v>
      </c>
      <c r="H446">
        <v>3000</v>
      </c>
      <c r="I446">
        <v>3600</v>
      </c>
      <c r="J446">
        <v>7.15</v>
      </c>
      <c r="K446">
        <v>23398.69</v>
      </c>
      <c r="L446">
        <v>2398.69</v>
      </c>
      <c r="M446">
        <v>180180</v>
      </c>
      <c r="N446">
        <v>21000</v>
      </c>
      <c r="O446">
        <v>10.25138586818322</v>
      </c>
      <c r="P446" t="s">
        <v>2077</v>
      </c>
      <c r="Q446" t="s">
        <v>2092</v>
      </c>
    </row>
    <row r="447" spans="1:17" x14ac:dyDescent="0.25">
      <c r="A447" t="s">
        <v>1012</v>
      </c>
      <c r="B447" s="18">
        <v>45739</v>
      </c>
      <c r="C447" t="s">
        <v>2012</v>
      </c>
      <c r="D447" t="s">
        <v>2032</v>
      </c>
      <c r="E447" t="s">
        <v>2052</v>
      </c>
      <c r="F447" t="s">
        <v>2062</v>
      </c>
      <c r="G447">
        <v>7</v>
      </c>
      <c r="H447">
        <v>6500</v>
      </c>
      <c r="I447">
        <v>8125</v>
      </c>
      <c r="J447">
        <v>22.47</v>
      </c>
      <c r="K447">
        <v>44095.39</v>
      </c>
      <c r="L447">
        <v>-1404.61</v>
      </c>
      <c r="M447">
        <v>1277981.25</v>
      </c>
      <c r="N447">
        <v>45500</v>
      </c>
      <c r="O447">
        <v>-3.1853896745215313</v>
      </c>
      <c r="P447" t="s">
        <v>2077</v>
      </c>
      <c r="Q447" t="s">
        <v>2093</v>
      </c>
    </row>
    <row r="448" spans="1:17" x14ac:dyDescent="0.25">
      <c r="A448" t="s">
        <v>1230</v>
      </c>
      <c r="B448" s="18">
        <v>45739</v>
      </c>
      <c r="C448" t="s">
        <v>2016</v>
      </c>
      <c r="D448" t="s">
        <v>2036</v>
      </c>
      <c r="E448" t="s">
        <v>2052</v>
      </c>
      <c r="F448" t="s">
        <v>2062</v>
      </c>
      <c r="G448">
        <v>8</v>
      </c>
      <c r="H448">
        <v>900</v>
      </c>
      <c r="I448">
        <v>1170</v>
      </c>
      <c r="J448">
        <v>15.07</v>
      </c>
      <c r="K448">
        <v>7949.23</v>
      </c>
      <c r="L448">
        <v>749.23</v>
      </c>
      <c r="M448">
        <v>141055.20000000001</v>
      </c>
      <c r="N448">
        <v>7200</v>
      </c>
      <c r="O448">
        <v>9.4251896095596681</v>
      </c>
      <c r="P448" t="s">
        <v>2077</v>
      </c>
      <c r="Q448" t="s">
        <v>2091</v>
      </c>
    </row>
    <row r="449" spans="1:17" x14ac:dyDescent="0.25">
      <c r="A449" t="s">
        <v>1754</v>
      </c>
      <c r="B449" s="18">
        <v>45739</v>
      </c>
      <c r="C449" t="s">
        <v>2029</v>
      </c>
      <c r="D449" t="s">
        <v>2049</v>
      </c>
      <c r="E449" t="s">
        <v>2055</v>
      </c>
      <c r="F449" t="s">
        <v>2061</v>
      </c>
      <c r="G449">
        <v>10</v>
      </c>
      <c r="H449">
        <v>1200</v>
      </c>
      <c r="I449">
        <v>1464</v>
      </c>
      <c r="J449">
        <v>10.47</v>
      </c>
      <c r="K449">
        <v>13107.58</v>
      </c>
      <c r="L449">
        <v>1107.58</v>
      </c>
      <c r="M449">
        <v>153280.80000000002</v>
      </c>
      <c r="N449">
        <v>12000</v>
      </c>
      <c r="O449">
        <v>8.4499198173881052</v>
      </c>
      <c r="P449" t="s">
        <v>2077</v>
      </c>
      <c r="Q449" t="s">
        <v>2091</v>
      </c>
    </row>
    <row r="450" spans="1:17" x14ac:dyDescent="0.25">
      <c r="A450" t="s">
        <v>148</v>
      </c>
      <c r="B450" s="18">
        <v>45740</v>
      </c>
      <c r="C450" t="s">
        <v>2022</v>
      </c>
      <c r="D450" t="s">
        <v>2042</v>
      </c>
      <c r="E450" t="s">
        <v>2053</v>
      </c>
      <c r="F450" t="s">
        <v>2060</v>
      </c>
      <c r="G450">
        <v>1</v>
      </c>
      <c r="H450">
        <v>8500</v>
      </c>
      <c r="I450">
        <v>9520</v>
      </c>
      <c r="J450">
        <v>17.760000000000002</v>
      </c>
      <c r="K450">
        <v>7829.1</v>
      </c>
      <c r="L450">
        <v>-670.9</v>
      </c>
      <c r="M450">
        <v>169075.20000000001</v>
      </c>
      <c r="N450">
        <v>8500</v>
      </c>
      <c r="O450">
        <v>-8.5693119260195925</v>
      </c>
      <c r="P450" t="s">
        <v>2077</v>
      </c>
      <c r="Q450" t="s">
        <v>2093</v>
      </c>
    </row>
    <row r="451" spans="1:17" x14ac:dyDescent="0.25">
      <c r="A451" t="s">
        <v>828</v>
      </c>
      <c r="B451" s="18">
        <v>45740</v>
      </c>
      <c r="C451" t="s">
        <v>2022</v>
      </c>
      <c r="D451" t="s">
        <v>2042</v>
      </c>
      <c r="E451" t="s">
        <v>2053</v>
      </c>
      <c r="F451" t="s">
        <v>2061</v>
      </c>
      <c r="G451">
        <v>3</v>
      </c>
      <c r="H451">
        <v>8500</v>
      </c>
      <c r="I451">
        <v>9520</v>
      </c>
      <c r="J451">
        <v>27.38</v>
      </c>
      <c r="K451">
        <v>20739.8</v>
      </c>
      <c r="L451">
        <v>-4760.2</v>
      </c>
      <c r="M451">
        <v>781972.79999999993</v>
      </c>
      <c r="N451">
        <v>25500</v>
      </c>
      <c r="O451">
        <v>-22.952005323098586</v>
      </c>
      <c r="P451" t="s">
        <v>2077</v>
      </c>
      <c r="Q451" t="s">
        <v>2093</v>
      </c>
    </row>
    <row r="452" spans="1:17" x14ac:dyDescent="0.25">
      <c r="A452" t="s">
        <v>1318</v>
      </c>
      <c r="B452" s="18">
        <v>45740</v>
      </c>
      <c r="C452" t="s">
        <v>2027</v>
      </c>
      <c r="D452" t="s">
        <v>2047</v>
      </c>
      <c r="E452" t="s">
        <v>2053</v>
      </c>
      <c r="F452" t="s">
        <v>2059</v>
      </c>
      <c r="G452">
        <v>4</v>
      </c>
      <c r="H452">
        <v>1100</v>
      </c>
      <c r="I452">
        <v>1298</v>
      </c>
      <c r="J452">
        <v>14.12</v>
      </c>
      <c r="K452">
        <v>4459.0200000000004</v>
      </c>
      <c r="L452">
        <v>59.02</v>
      </c>
      <c r="M452">
        <v>73311.039999999994</v>
      </c>
      <c r="N452">
        <v>4400</v>
      </c>
      <c r="O452">
        <v>1.3236092235513632</v>
      </c>
      <c r="P452" t="s">
        <v>2077</v>
      </c>
      <c r="Q452" t="s">
        <v>2091</v>
      </c>
    </row>
    <row r="453" spans="1:17" x14ac:dyDescent="0.25">
      <c r="A453" t="s">
        <v>1415</v>
      </c>
      <c r="B453" s="18">
        <v>45740</v>
      </c>
      <c r="C453" t="s">
        <v>2012</v>
      </c>
      <c r="D453" t="s">
        <v>2032</v>
      </c>
      <c r="E453" t="s">
        <v>2052</v>
      </c>
      <c r="F453" t="s">
        <v>2061</v>
      </c>
      <c r="G453">
        <v>4</v>
      </c>
      <c r="H453">
        <v>6500</v>
      </c>
      <c r="I453">
        <v>8125</v>
      </c>
      <c r="J453">
        <v>20.79</v>
      </c>
      <c r="K453">
        <v>25743.17</v>
      </c>
      <c r="L453">
        <v>-256.83</v>
      </c>
      <c r="M453">
        <v>675675</v>
      </c>
      <c r="N453">
        <v>26000</v>
      </c>
      <c r="O453">
        <v>-0.99766268101403199</v>
      </c>
      <c r="P453" t="s">
        <v>2077</v>
      </c>
      <c r="Q453" t="s">
        <v>2093</v>
      </c>
    </row>
    <row r="454" spans="1:17" x14ac:dyDescent="0.25">
      <c r="A454" t="s">
        <v>1966</v>
      </c>
      <c r="B454" s="18">
        <v>45740</v>
      </c>
      <c r="C454" t="s">
        <v>2012</v>
      </c>
      <c r="D454" t="s">
        <v>2032</v>
      </c>
      <c r="E454" t="s">
        <v>2052</v>
      </c>
      <c r="F454" t="s">
        <v>2060</v>
      </c>
      <c r="G454">
        <v>6</v>
      </c>
      <c r="H454">
        <v>6500</v>
      </c>
      <c r="I454">
        <v>8125</v>
      </c>
      <c r="J454">
        <v>12.34</v>
      </c>
      <c r="K454">
        <v>42733.65</v>
      </c>
      <c r="L454">
        <v>3733.65</v>
      </c>
      <c r="M454">
        <v>601575</v>
      </c>
      <c r="N454">
        <v>39000</v>
      </c>
      <c r="O454">
        <v>8.7370257396688569</v>
      </c>
      <c r="P454" t="s">
        <v>2077</v>
      </c>
      <c r="Q454" t="s">
        <v>2091</v>
      </c>
    </row>
    <row r="455" spans="1:17" x14ac:dyDescent="0.25">
      <c r="A455" t="s">
        <v>47</v>
      </c>
      <c r="B455" s="18">
        <v>45741</v>
      </c>
      <c r="C455" t="s">
        <v>2030</v>
      </c>
      <c r="D455" t="s">
        <v>2050</v>
      </c>
      <c r="E455" t="s">
        <v>2058</v>
      </c>
      <c r="F455" t="s">
        <v>2061</v>
      </c>
      <c r="G455">
        <v>3</v>
      </c>
      <c r="H455">
        <v>1800</v>
      </c>
      <c r="I455">
        <v>2124</v>
      </c>
      <c r="J455">
        <v>12.44</v>
      </c>
      <c r="K455">
        <v>5579.46</v>
      </c>
      <c r="L455">
        <v>179.46</v>
      </c>
      <c r="M455">
        <v>79267.679999999993</v>
      </c>
      <c r="N455">
        <v>5400</v>
      </c>
      <c r="O455">
        <v>3.2164403006742588</v>
      </c>
      <c r="P455" t="s">
        <v>2077</v>
      </c>
      <c r="Q455" t="s">
        <v>2091</v>
      </c>
    </row>
    <row r="456" spans="1:17" x14ac:dyDescent="0.25">
      <c r="A456" t="s">
        <v>540</v>
      </c>
      <c r="B456" s="18">
        <v>45741</v>
      </c>
      <c r="C456" t="s">
        <v>2018</v>
      </c>
      <c r="D456" t="s">
        <v>2038</v>
      </c>
      <c r="E456" t="s">
        <v>2053</v>
      </c>
      <c r="F456" t="s">
        <v>2062</v>
      </c>
      <c r="G456">
        <v>10</v>
      </c>
      <c r="H456">
        <v>500</v>
      </c>
      <c r="I456">
        <v>610</v>
      </c>
      <c r="J456">
        <v>0</v>
      </c>
      <c r="K456">
        <v>6100</v>
      </c>
      <c r="L456">
        <v>1100</v>
      </c>
      <c r="M456">
        <v>0</v>
      </c>
      <c r="N456">
        <v>5000</v>
      </c>
      <c r="O456">
        <v>18.032786885245901</v>
      </c>
      <c r="P456" t="s">
        <v>2077</v>
      </c>
      <c r="Q456" t="s">
        <v>2092</v>
      </c>
    </row>
    <row r="457" spans="1:17" x14ac:dyDescent="0.25">
      <c r="A457" t="s">
        <v>564</v>
      </c>
      <c r="B457" s="18">
        <v>45741</v>
      </c>
      <c r="C457" t="s">
        <v>2031</v>
      </c>
      <c r="D457" t="s">
        <v>2051</v>
      </c>
      <c r="E457" t="s">
        <v>2058</v>
      </c>
      <c r="F457" t="s">
        <v>2061</v>
      </c>
      <c r="G457">
        <v>8</v>
      </c>
      <c r="H457">
        <v>3200</v>
      </c>
      <c r="I457">
        <v>3840</v>
      </c>
      <c r="J457">
        <v>13.56</v>
      </c>
      <c r="K457">
        <v>26553.32</v>
      </c>
      <c r="L457">
        <v>953.32</v>
      </c>
      <c r="M457">
        <v>416563.20000000001</v>
      </c>
      <c r="N457">
        <v>25600</v>
      </c>
      <c r="O457">
        <v>3.5902101884058193</v>
      </c>
      <c r="P457" t="s">
        <v>2077</v>
      </c>
      <c r="Q457" t="s">
        <v>2091</v>
      </c>
    </row>
    <row r="458" spans="1:17" x14ac:dyDescent="0.25">
      <c r="A458" t="s">
        <v>820</v>
      </c>
      <c r="B458" s="18">
        <v>45741</v>
      </c>
      <c r="C458" t="s">
        <v>2020</v>
      </c>
      <c r="D458" t="s">
        <v>2040</v>
      </c>
      <c r="E458" t="s">
        <v>2053</v>
      </c>
      <c r="F458" t="s">
        <v>2062</v>
      </c>
      <c r="G458">
        <v>4</v>
      </c>
      <c r="H458">
        <v>350</v>
      </c>
      <c r="I458">
        <v>455</v>
      </c>
      <c r="J458">
        <v>9.82</v>
      </c>
      <c r="K458">
        <v>1641.22</v>
      </c>
      <c r="L458">
        <v>241.22</v>
      </c>
      <c r="M458">
        <v>17872.400000000001</v>
      </c>
      <c r="N458">
        <v>1400</v>
      </c>
      <c r="O458">
        <v>14.697603002644374</v>
      </c>
      <c r="P458" t="s">
        <v>2077</v>
      </c>
      <c r="Q458" t="s">
        <v>2092</v>
      </c>
    </row>
    <row r="459" spans="1:17" x14ac:dyDescent="0.25">
      <c r="A459" t="s">
        <v>1015</v>
      </c>
      <c r="B459" s="18">
        <v>45741</v>
      </c>
      <c r="C459" t="s">
        <v>2024</v>
      </c>
      <c r="D459" t="s">
        <v>2044</v>
      </c>
      <c r="E459" t="s">
        <v>2055</v>
      </c>
      <c r="F459" t="s">
        <v>2062</v>
      </c>
      <c r="G459">
        <v>3</v>
      </c>
      <c r="H459">
        <v>180</v>
      </c>
      <c r="I459">
        <v>243</v>
      </c>
      <c r="J459">
        <v>5.54</v>
      </c>
      <c r="K459">
        <v>688.65</v>
      </c>
      <c r="L459">
        <v>148.65</v>
      </c>
      <c r="M459">
        <v>4038.66</v>
      </c>
      <c r="N459">
        <v>540</v>
      </c>
      <c r="O459">
        <v>21.58571117403616</v>
      </c>
      <c r="P459" t="s">
        <v>2077</v>
      </c>
      <c r="Q459" t="s">
        <v>2092</v>
      </c>
    </row>
    <row r="460" spans="1:17" x14ac:dyDescent="0.25">
      <c r="A460" t="s">
        <v>1036</v>
      </c>
      <c r="B460" s="18">
        <v>45741</v>
      </c>
      <c r="C460" t="s">
        <v>2023</v>
      </c>
      <c r="D460" t="s">
        <v>2043</v>
      </c>
      <c r="E460" t="s">
        <v>2053</v>
      </c>
      <c r="F460" t="s">
        <v>2059</v>
      </c>
      <c r="G460">
        <v>7</v>
      </c>
      <c r="H460">
        <v>550</v>
      </c>
      <c r="I460">
        <v>742.5</v>
      </c>
      <c r="J460">
        <v>13.74</v>
      </c>
      <c r="K460">
        <v>4483.17</v>
      </c>
      <c r="L460">
        <v>633.16999999999996</v>
      </c>
      <c r="M460">
        <v>71413.649999999994</v>
      </c>
      <c r="N460">
        <v>3850</v>
      </c>
      <c r="O460">
        <v>14.123265457254575</v>
      </c>
      <c r="P460" t="s">
        <v>2077</v>
      </c>
      <c r="Q460" t="s">
        <v>2092</v>
      </c>
    </row>
    <row r="461" spans="1:17" x14ac:dyDescent="0.25">
      <c r="A461" t="s">
        <v>1617</v>
      </c>
      <c r="B461" s="18">
        <v>45741</v>
      </c>
      <c r="C461" t="s">
        <v>2029</v>
      </c>
      <c r="D461" t="s">
        <v>2049</v>
      </c>
      <c r="E461" t="s">
        <v>2055</v>
      </c>
      <c r="F461" t="s">
        <v>2059</v>
      </c>
      <c r="G461">
        <v>6</v>
      </c>
      <c r="H461">
        <v>1200</v>
      </c>
      <c r="I461">
        <v>1464</v>
      </c>
      <c r="J461">
        <v>4.3899999999999997</v>
      </c>
      <c r="K461">
        <v>8398.4699999999993</v>
      </c>
      <c r="L461">
        <v>1198.47</v>
      </c>
      <c r="M461">
        <v>38561.759999999995</v>
      </c>
      <c r="N461">
        <v>7200</v>
      </c>
      <c r="O461">
        <v>14.270099196639388</v>
      </c>
      <c r="P461" t="s">
        <v>2077</v>
      </c>
      <c r="Q461" t="s">
        <v>2092</v>
      </c>
    </row>
    <row r="462" spans="1:17" x14ac:dyDescent="0.25">
      <c r="A462" t="s">
        <v>1696</v>
      </c>
      <c r="B462" s="18">
        <v>45741</v>
      </c>
      <c r="C462" t="s">
        <v>2019</v>
      </c>
      <c r="D462" t="s">
        <v>2039</v>
      </c>
      <c r="E462" t="s">
        <v>2053</v>
      </c>
      <c r="F462" t="s">
        <v>2061</v>
      </c>
      <c r="G462">
        <v>5</v>
      </c>
      <c r="H462">
        <v>900</v>
      </c>
      <c r="I462">
        <v>1152</v>
      </c>
      <c r="J462">
        <v>10.37</v>
      </c>
      <c r="K462">
        <v>5162.5</v>
      </c>
      <c r="L462">
        <v>662.5</v>
      </c>
      <c r="M462">
        <v>59731.199999999997</v>
      </c>
      <c r="N462">
        <v>4500</v>
      </c>
      <c r="O462">
        <v>12.832929782082324</v>
      </c>
      <c r="P462" t="s">
        <v>2077</v>
      </c>
      <c r="Q462" t="s">
        <v>2092</v>
      </c>
    </row>
    <row r="463" spans="1:17" x14ac:dyDescent="0.25">
      <c r="A463" t="s">
        <v>1793</v>
      </c>
      <c r="B463" s="18">
        <v>45741</v>
      </c>
      <c r="C463" t="s">
        <v>2023</v>
      </c>
      <c r="D463" t="s">
        <v>2043</v>
      </c>
      <c r="E463" t="s">
        <v>2053</v>
      </c>
      <c r="F463" t="s">
        <v>2060</v>
      </c>
      <c r="G463">
        <v>4</v>
      </c>
      <c r="H463">
        <v>550</v>
      </c>
      <c r="I463">
        <v>742.5</v>
      </c>
      <c r="J463">
        <v>16.309999999999999</v>
      </c>
      <c r="K463">
        <v>2485.58</v>
      </c>
      <c r="L463">
        <v>285.58</v>
      </c>
      <c r="M463">
        <v>48440.7</v>
      </c>
      <c r="N463">
        <v>2200</v>
      </c>
      <c r="O463">
        <v>11.489471270287014</v>
      </c>
      <c r="P463" t="s">
        <v>2077</v>
      </c>
      <c r="Q463" t="s">
        <v>2092</v>
      </c>
    </row>
    <row r="464" spans="1:17" x14ac:dyDescent="0.25">
      <c r="A464" t="s">
        <v>1995</v>
      </c>
      <c r="B464" s="18">
        <v>45741</v>
      </c>
      <c r="C464" t="s">
        <v>2027</v>
      </c>
      <c r="D464" t="s">
        <v>2047</v>
      </c>
      <c r="E464" t="s">
        <v>2053</v>
      </c>
      <c r="F464" t="s">
        <v>2059</v>
      </c>
      <c r="G464">
        <v>2</v>
      </c>
      <c r="H464">
        <v>1100</v>
      </c>
      <c r="I464">
        <v>1298</v>
      </c>
      <c r="J464">
        <v>10.84</v>
      </c>
      <c r="K464">
        <v>2314.5700000000002</v>
      </c>
      <c r="L464">
        <v>114.57</v>
      </c>
      <c r="M464">
        <v>28140.639999999999</v>
      </c>
      <c r="N464">
        <v>2200</v>
      </c>
      <c r="O464">
        <v>4.9499475064482814</v>
      </c>
      <c r="P464" t="s">
        <v>2077</v>
      </c>
      <c r="Q464" t="s">
        <v>2091</v>
      </c>
    </row>
    <row r="465" spans="1:17" x14ac:dyDescent="0.25">
      <c r="A465" t="s">
        <v>678</v>
      </c>
      <c r="B465" s="18">
        <v>45742</v>
      </c>
      <c r="C465" t="s">
        <v>2029</v>
      </c>
      <c r="D465" t="s">
        <v>2049</v>
      </c>
      <c r="E465" t="s">
        <v>2055</v>
      </c>
      <c r="F465" t="s">
        <v>2061</v>
      </c>
      <c r="G465">
        <v>6</v>
      </c>
      <c r="H465">
        <v>1200</v>
      </c>
      <c r="I465">
        <v>1464</v>
      </c>
      <c r="J465">
        <v>3.23</v>
      </c>
      <c r="K465">
        <v>8499.9</v>
      </c>
      <c r="L465">
        <v>1299.9000000000001</v>
      </c>
      <c r="M465">
        <v>28372.32</v>
      </c>
      <c r="N465">
        <v>7200</v>
      </c>
      <c r="O465">
        <v>15.293121095542302</v>
      </c>
      <c r="P465" t="s">
        <v>2077</v>
      </c>
      <c r="Q465" t="s">
        <v>2092</v>
      </c>
    </row>
    <row r="466" spans="1:17" x14ac:dyDescent="0.25">
      <c r="A466" t="s">
        <v>1837</v>
      </c>
      <c r="B466" s="18">
        <v>45742</v>
      </c>
      <c r="C466" t="s">
        <v>2024</v>
      </c>
      <c r="D466" t="s">
        <v>2044</v>
      </c>
      <c r="E466" t="s">
        <v>2055</v>
      </c>
      <c r="F466" t="s">
        <v>2060</v>
      </c>
      <c r="G466">
        <v>9</v>
      </c>
      <c r="H466">
        <v>180</v>
      </c>
      <c r="I466">
        <v>243</v>
      </c>
      <c r="J466">
        <v>0</v>
      </c>
      <c r="K466">
        <v>2187</v>
      </c>
      <c r="L466">
        <v>567</v>
      </c>
      <c r="M466">
        <v>0</v>
      </c>
      <c r="N466">
        <v>1620</v>
      </c>
      <c r="O466">
        <v>25.925925925925924</v>
      </c>
      <c r="P466" t="s">
        <v>2077</v>
      </c>
      <c r="Q466" t="s">
        <v>2092</v>
      </c>
    </row>
    <row r="467" spans="1:17" x14ac:dyDescent="0.25">
      <c r="A467" t="s">
        <v>181</v>
      </c>
      <c r="B467" s="18">
        <v>45743</v>
      </c>
      <c r="C467" t="s">
        <v>2024</v>
      </c>
      <c r="D467" t="s">
        <v>2044</v>
      </c>
      <c r="E467" t="s">
        <v>2055</v>
      </c>
      <c r="F467" t="s">
        <v>2062</v>
      </c>
      <c r="G467">
        <v>1</v>
      </c>
      <c r="H467">
        <v>180</v>
      </c>
      <c r="I467">
        <v>243</v>
      </c>
      <c r="J467">
        <v>5.89</v>
      </c>
      <c r="K467">
        <v>228.69</v>
      </c>
      <c r="L467">
        <v>48.69</v>
      </c>
      <c r="M467">
        <v>1431.27</v>
      </c>
      <c r="N467">
        <v>180</v>
      </c>
      <c r="O467">
        <v>21.290830381739472</v>
      </c>
      <c r="P467" t="s">
        <v>2077</v>
      </c>
      <c r="Q467" t="s">
        <v>2092</v>
      </c>
    </row>
    <row r="468" spans="1:17" x14ac:dyDescent="0.25">
      <c r="A468" t="s">
        <v>345</v>
      </c>
      <c r="B468" s="18">
        <v>45743</v>
      </c>
      <c r="C468" t="s">
        <v>2020</v>
      </c>
      <c r="D468" t="s">
        <v>2040</v>
      </c>
      <c r="E468" t="s">
        <v>2053</v>
      </c>
      <c r="F468" t="s">
        <v>2059</v>
      </c>
      <c r="G468">
        <v>10</v>
      </c>
      <c r="H468">
        <v>350</v>
      </c>
      <c r="I468">
        <v>455</v>
      </c>
      <c r="J468">
        <v>17.84</v>
      </c>
      <c r="K468">
        <v>3738.35</v>
      </c>
      <c r="L468">
        <v>238.35</v>
      </c>
      <c r="M468">
        <v>81172</v>
      </c>
      <c r="N468">
        <v>3500</v>
      </c>
      <c r="O468">
        <v>6.3758075086602375</v>
      </c>
      <c r="P468" t="s">
        <v>2077</v>
      </c>
      <c r="Q468" t="s">
        <v>2091</v>
      </c>
    </row>
    <row r="469" spans="1:17" x14ac:dyDescent="0.25">
      <c r="A469" t="s">
        <v>399</v>
      </c>
      <c r="B469" s="18">
        <v>45743</v>
      </c>
      <c r="C469" t="s">
        <v>2013</v>
      </c>
      <c r="D469" t="s">
        <v>2033</v>
      </c>
      <c r="E469" t="s">
        <v>2053</v>
      </c>
      <c r="F469" t="s">
        <v>2061</v>
      </c>
      <c r="G469">
        <v>2</v>
      </c>
      <c r="H469">
        <v>6500</v>
      </c>
      <c r="I469">
        <v>7150</v>
      </c>
      <c r="J469">
        <v>12</v>
      </c>
      <c r="K469">
        <v>12584.16</v>
      </c>
      <c r="L469">
        <v>-415.84</v>
      </c>
      <c r="M469">
        <v>171600</v>
      </c>
      <c r="N469">
        <v>13000</v>
      </c>
      <c r="O469">
        <v>-3.3044716532529779</v>
      </c>
      <c r="P469" t="s">
        <v>2077</v>
      </c>
      <c r="Q469" t="s">
        <v>2093</v>
      </c>
    </row>
    <row r="470" spans="1:17" x14ac:dyDescent="0.25">
      <c r="A470" t="s">
        <v>599</v>
      </c>
      <c r="B470" s="18">
        <v>45743</v>
      </c>
      <c r="C470" t="s">
        <v>2023</v>
      </c>
      <c r="D470" t="s">
        <v>2043</v>
      </c>
      <c r="E470" t="s">
        <v>2053</v>
      </c>
      <c r="F470" t="s">
        <v>2061</v>
      </c>
      <c r="G470">
        <v>9</v>
      </c>
      <c r="H470">
        <v>550</v>
      </c>
      <c r="I470">
        <v>742.5</v>
      </c>
      <c r="J470">
        <v>4.67</v>
      </c>
      <c r="K470">
        <v>6370.74</v>
      </c>
      <c r="L470">
        <v>1420.74</v>
      </c>
      <c r="M470">
        <v>31207.274999999998</v>
      </c>
      <c r="N470">
        <v>4950</v>
      </c>
      <c r="O470">
        <v>22.301019975701411</v>
      </c>
      <c r="P470" t="s">
        <v>2077</v>
      </c>
      <c r="Q470" t="s">
        <v>2092</v>
      </c>
    </row>
    <row r="471" spans="1:17" x14ac:dyDescent="0.25">
      <c r="A471" t="s">
        <v>609</v>
      </c>
      <c r="B471" s="18">
        <v>45743</v>
      </c>
      <c r="C471" t="s">
        <v>2027</v>
      </c>
      <c r="D471" t="s">
        <v>2047</v>
      </c>
      <c r="E471" t="s">
        <v>2053</v>
      </c>
      <c r="F471" t="s">
        <v>2062</v>
      </c>
      <c r="G471">
        <v>7</v>
      </c>
      <c r="H471">
        <v>1100</v>
      </c>
      <c r="I471">
        <v>1298</v>
      </c>
      <c r="J471">
        <v>14.14</v>
      </c>
      <c r="K471">
        <v>7800.85</v>
      </c>
      <c r="L471">
        <v>100.85</v>
      </c>
      <c r="M471">
        <v>128476.04000000001</v>
      </c>
      <c r="N471">
        <v>7700</v>
      </c>
      <c r="O471">
        <v>1.292807835043617</v>
      </c>
      <c r="P471" t="s">
        <v>2077</v>
      </c>
      <c r="Q471" t="s">
        <v>2091</v>
      </c>
    </row>
    <row r="472" spans="1:17" x14ac:dyDescent="0.25">
      <c r="A472" t="s">
        <v>629</v>
      </c>
      <c r="B472" s="18">
        <v>45743</v>
      </c>
      <c r="C472" t="s">
        <v>2026</v>
      </c>
      <c r="D472" t="s">
        <v>2046</v>
      </c>
      <c r="E472" t="s">
        <v>2052</v>
      </c>
      <c r="F472" t="s">
        <v>2059</v>
      </c>
      <c r="G472">
        <v>8</v>
      </c>
      <c r="H472">
        <v>3000</v>
      </c>
      <c r="I472">
        <v>3600</v>
      </c>
      <c r="J472">
        <v>10.59</v>
      </c>
      <c r="K472">
        <v>25750.9</v>
      </c>
      <c r="L472">
        <v>1750.9</v>
      </c>
      <c r="M472">
        <v>304992</v>
      </c>
      <c r="N472">
        <v>24000</v>
      </c>
      <c r="O472">
        <v>6.7993740024620495</v>
      </c>
      <c r="P472" t="s">
        <v>2077</v>
      </c>
      <c r="Q472" t="s">
        <v>2091</v>
      </c>
    </row>
    <row r="473" spans="1:17" x14ac:dyDescent="0.25">
      <c r="A473" t="s">
        <v>865</v>
      </c>
      <c r="B473" s="18">
        <v>45743</v>
      </c>
      <c r="C473" t="s">
        <v>2022</v>
      </c>
      <c r="D473" t="s">
        <v>2042</v>
      </c>
      <c r="E473" t="s">
        <v>2053</v>
      </c>
      <c r="F473" t="s">
        <v>2059</v>
      </c>
      <c r="G473">
        <v>9</v>
      </c>
      <c r="H473">
        <v>8500</v>
      </c>
      <c r="I473">
        <v>9520</v>
      </c>
      <c r="J473">
        <v>16.239999999999998</v>
      </c>
      <c r="K473">
        <v>71763.360000000001</v>
      </c>
      <c r="L473">
        <v>-4736.6400000000003</v>
      </c>
      <c r="M473">
        <v>1391443.2</v>
      </c>
      <c r="N473">
        <v>76500</v>
      </c>
      <c r="O473">
        <v>-6.6003598493716025</v>
      </c>
      <c r="P473" t="s">
        <v>2077</v>
      </c>
      <c r="Q473" t="s">
        <v>2093</v>
      </c>
    </row>
    <row r="474" spans="1:17" x14ac:dyDescent="0.25">
      <c r="A474" t="s">
        <v>1632</v>
      </c>
      <c r="B474" s="18">
        <v>45743</v>
      </c>
      <c r="C474" t="s">
        <v>2029</v>
      </c>
      <c r="D474" t="s">
        <v>2049</v>
      </c>
      <c r="E474" t="s">
        <v>2055</v>
      </c>
      <c r="F474" t="s">
        <v>2060</v>
      </c>
      <c r="G474">
        <v>3</v>
      </c>
      <c r="H474">
        <v>1200</v>
      </c>
      <c r="I474">
        <v>1464</v>
      </c>
      <c r="J474">
        <v>13.12</v>
      </c>
      <c r="K474">
        <v>3815.65</v>
      </c>
      <c r="L474">
        <v>215.65</v>
      </c>
      <c r="M474">
        <v>57623.039999999994</v>
      </c>
      <c r="N474">
        <v>3600</v>
      </c>
      <c r="O474">
        <v>5.6517238216293428</v>
      </c>
      <c r="P474" t="s">
        <v>2077</v>
      </c>
      <c r="Q474" t="s">
        <v>2091</v>
      </c>
    </row>
    <row r="475" spans="1:17" x14ac:dyDescent="0.25">
      <c r="A475" t="s">
        <v>1701</v>
      </c>
      <c r="B475" s="18">
        <v>45743</v>
      </c>
      <c r="C475" t="s">
        <v>2021</v>
      </c>
      <c r="D475" t="s">
        <v>2041</v>
      </c>
      <c r="E475" t="s">
        <v>2056</v>
      </c>
      <c r="F475" t="s">
        <v>2062</v>
      </c>
      <c r="G475">
        <v>1</v>
      </c>
      <c r="H475">
        <v>300</v>
      </c>
      <c r="I475">
        <v>405</v>
      </c>
      <c r="J475">
        <v>13.87</v>
      </c>
      <c r="K475">
        <v>348.83</v>
      </c>
      <c r="L475">
        <v>48.83</v>
      </c>
      <c r="M475">
        <v>5617.3499999999995</v>
      </c>
      <c r="N475">
        <v>300</v>
      </c>
      <c r="O475">
        <v>13.99822262993435</v>
      </c>
      <c r="P475" t="s">
        <v>2077</v>
      </c>
      <c r="Q475" t="s">
        <v>2092</v>
      </c>
    </row>
    <row r="476" spans="1:17" x14ac:dyDescent="0.25">
      <c r="A476" t="s">
        <v>250</v>
      </c>
      <c r="B476" s="18">
        <v>45744</v>
      </c>
      <c r="C476" t="s">
        <v>2024</v>
      </c>
      <c r="D476" t="s">
        <v>2044</v>
      </c>
      <c r="E476" t="s">
        <v>2055</v>
      </c>
      <c r="F476" t="s">
        <v>2061</v>
      </c>
      <c r="G476">
        <v>6</v>
      </c>
      <c r="H476">
        <v>180</v>
      </c>
      <c r="I476">
        <v>243</v>
      </c>
      <c r="J476">
        <v>2.52</v>
      </c>
      <c r="K476">
        <v>1421.32</v>
      </c>
      <c r="L476">
        <v>341.32</v>
      </c>
      <c r="M476">
        <v>3674.16</v>
      </c>
      <c r="N476">
        <v>1080</v>
      </c>
      <c r="O476">
        <v>24.014296569386204</v>
      </c>
      <c r="P476" t="s">
        <v>2077</v>
      </c>
      <c r="Q476" t="s">
        <v>2092</v>
      </c>
    </row>
    <row r="477" spans="1:17" x14ac:dyDescent="0.25">
      <c r="A477" t="s">
        <v>255</v>
      </c>
      <c r="B477" s="18">
        <v>45744</v>
      </c>
      <c r="C477" t="s">
        <v>2013</v>
      </c>
      <c r="D477" t="s">
        <v>2033</v>
      </c>
      <c r="E477" t="s">
        <v>2053</v>
      </c>
      <c r="F477" t="s">
        <v>2060</v>
      </c>
      <c r="G477">
        <v>10</v>
      </c>
      <c r="H477">
        <v>6500</v>
      </c>
      <c r="I477">
        <v>7150</v>
      </c>
      <c r="J477">
        <v>13.49</v>
      </c>
      <c r="K477">
        <v>61853.07</v>
      </c>
      <c r="L477">
        <v>-3146.93</v>
      </c>
      <c r="M477">
        <v>964535</v>
      </c>
      <c r="N477">
        <v>65000</v>
      </c>
      <c r="O477">
        <v>-5.0877506969338784</v>
      </c>
      <c r="P477" t="s">
        <v>2077</v>
      </c>
      <c r="Q477" t="s">
        <v>2093</v>
      </c>
    </row>
    <row r="478" spans="1:17" x14ac:dyDescent="0.25">
      <c r="A478" t="s">
        <v>589</v>
      </c>
      <c r="B478" s="18">
        <v>45744</v>
      </c>
      <c r="C478" t="s">
        <v>2021</v>
      </c>
      <c r="D478" t="s">
        <v>2041</v>
      </c>
      <c r="E478" t="s">
        <v>2056</v>
      </c>
      <c r="F478" t="s">
        <v>2062</v>
      </c>
      <c r="G478">
        <v>4</v>
      </c>
      <c r="H478">
        <v>300</v>
      </c>
      <c r="I478">
        <v>405</v>
      </c>
      <c r="J478">
        <v>0</v>
      </c>
      <c r="K478">
        <v>1620</v>
      </c>
      <c r="L478">
        <v>420</v>
      </c>
      <c r="M478">
        <v>0</v>
      </c>
      <c r="N478">
        <v>1200</v>
      </c>
      <c r="O478">
        <v>25.925925925925924</v>
      </c>
      <c r="P478" t="s">
        <v>2077</v>
      </c>
      <c r="Q478" t="s">
        <v>2092</v>
      </c>
    </row>
    <row r="479" spans="1:17" x14ac:dyDescent="0.25">
      <c r="A479" t="s">
        <v>924</v>
      </c>
      <c r="B479" s="18">
        <v>45744</v>
      </c>
      <c r="C479" t="s">
        <v>2023</v>
      </c>
      <c r="D479" t="s">
        <v>2043</v>
      </c>
      <c r="E479" t="s">
        <v>2053</v>
      </c>
      <c r="F479" t="s">
        <v>2061</v>
      </c>
      <c r="G479">
        <v>5</v>
      </c>
      <c r="H479">
        <v>550</v>
      </c>
      <c r="I479">
        <v>742.5</v>
      </c>
      <c r="J479">
        <v>7.89</v>
      </c>
      <c r="K479">
        <v>3419.63</v>
      </c>
      <c r="L479">
        <v>669.63</v>
      </c>
      <c r="M479">
        <v>29291.625</v>
      </c>
      <c r="N479">
        <v>2750</v>
      </c>
      <c r="O479">
        <v>19.581943075712868</v>
      </c>
      <c r="P479" t="s">
        <v>2077</v>
      </c>
      <c r="Q479" t="s">
        <v>2092</v>
      </c>
    </row>
    <row r="480" spans="1:17" x14ac:dyDescent="0.25">
      <c r="A480" t="s">
        <v>1134</v>
      </c>
      <c r="B480" s="18">
        <v>45744</v>
      </c>
      <c r="C480" t="s">
        <v>2028</v>
      </c>
      <c r="D480" t="s">
        <v>2048</v>
      </c>
      <c r="E480" t="s">
        <v>2057</v>
      </c>
      <c r="F480" t="s">
        <v>2062</v>
      </c>
      <c r="G480">
        <v>10</v>
      </c>
      <c r="H480">
        <v>80</v>
      </c>
      <c r="I480">
        <v>116</v>
      </c>
      <c r="J480">
        <v>3.15</v>
      </c>
      <c r="K480">
        <v>1123.43</v>
      </c>
      <c r="L480">
        <v>323.43</v>
      </c>
      <c r="M480">
        <v>3654</v>
      </c>
      <c r="N480">
        <v>800</v>
      </c>
      <c r="O480">
        <v>28.789510694925362</v>
      </c>
      <c r="P480" t="s">
        <v>2077</v>
      </c>
      <c r="Q480" t="s">
        <v>2092</v>
      </c>
    </row>
    <row r="481" spans="1:17" x14ac:dyDescent="0.25">
      <c r="A481" t="s">
        <v>359</v>
      </c>
      <c r="B481" s="18">
        <v>45745</v>
      </c>
      <c r="C481" t="s">
        <v>2012</v>
      </c>
      <c r="D481" t="s">
        <v>2032</v>
      </c>
      <c r="E481" t="s">
        <v>2052</v>
      </c>
      <c r="F481" t="s">
        <v>2060</v>
      </c>
      <c r="G481">
        <v>8</v>
      </c>
      <c r="H481">
        <v>6500</v>
      </c>
      <c r="I481">
        <v>8125</v>
      </c>
      <c r="J481">
        <v>4.97</v>
      </c>
      <c r="K481">
        <v>61771.1</v>
      </c>
      <c r="L481">
        <v>9771.1</v>
      </c>
      <c r="M481">
        <v>323050</v>
      </c>
      <c r="N481">
        <v>52000</v>
      </c>
      <c r="O481">
        <v>15.818238626153654</v>
      </c>
      <c r="P481" t="s">
        <v>2077</v>
      </c>
      <c r="Q481" t="s">
        <v>2092</v>
      </c>
    </row>
    <row r="482" spans="1:17" x14ac:dyDescent="0.25">
      <c r="A482" t="s">
        <v>1397</v>
      </c>
      <c r="B482" s="18">
        <v>45745</v>
      </c>
      <c r="C482" t="s">
        <v>2020</v>
      </c>
      <c r="D482" t="s">
        <v>2040</v>
      </c>
      <c r="E482" t="s">
        <v>2053</v>
      </c>
      <c r="F482" t="s">
        <v>2062</v>
      </c>
      <c r="G482">
        <v>6</v>
      </c>
      <c r="H482">
        <v>350</v>
      </c>
      <c r="I482">
        <v>455</v>
      </c>
      <c r="J482">
        <v>17.02</v>
      </c>
      <c r="K482">
        <v>2265.3200000000002</v>
      </c>
      <c r="L482">
        <v>165.32</v>
      </c>
      <c r="M482">
        <v>46464.6</v>
      </c>
      <c r="N482">
        <v>2100</v>
      </c>
      <c r="O482">
        <v>7.2978652022672286</v>
      </c>
      <c r="P482" t="s">
        <v>2077</v>
      </c>
      <c r="Q482" t="s">
        <v>2091</v>
      </c>
    </row>
    <row r="483" spans="1:17" x14ac:dyDescent="0.25">
      <c r="A483" t="s">
        <v>1697</v>
      </c>
      <c r="B483" s="18">
        <v>45745</v>
      </c>
      <c r="C483" t="s">
        <v>2027</v>
      </c>
      <c r="D483" t="s">
        <v>2047</v>
      </c>
      <c r="E483" t="s">
        <v>2053</v>
      </c>
      <c r="F483" t="s">
        <v>2060</v>
      </c>
      <c r="G483">
        <v>10</v>
      </c>
      <c r="H483">
        <v>1100</v>
      </c>
      <c r="I483">
        <v>1298</v>
      </c>
      <c r="J483">
        <v>5.31</v>
      </c>
      <c r="K483">
        <v>12290.2</v>
      </c>
      <c r="L483">
        <v>1290.2</v>
      </c>
      <c r="M483">
        <v>68923.799999999988</v>
      </c>
      <c r="N483">
        <v>11000</v>
      </c>
      <c r="O483">
        <v>10.497794991131144</v>
      </c>
      <c r="P483" t="s">
        <v>2077</v>
      </c>
      <c r="Q483" t="s">
        <v>2092</v>
      </c>
    </row>
    <row r="484" spans="1:17" x14ac:dyDescent="0.25">
      <c r="A484" t="s">
        <v>1894</v>
      </c>
      <c r="B484" s="18">
        <v>45745</v>
      </c>
      <c r="C484" t="s">
        <v>2025</v>
      </c>
      <c r="D484" t="s">
        <v>2045</v>
      </c>
      <c r="E484" t="s">
        <v>2057</v>
      </c>
      <c r="F484" t="s">
        <v>2062</v>
      </c>
      <c r="G484">
        <v>3</v>
      </c>
      <c r="H484">
        <v>45</v>
      </c>
      <c r="I484">
        <v>63</v>
      </c>
      <c r="J484">
        <v>4.5199999999999996</v>
      </c>
      <c r="K484">
        <v>180.46</v>
      </c>
      <c r="L484">
        <v>45.46</v>
      </c>
      <c r="M484">
        <v>854.28</v>
      </c>
      <c r="N484">
        <v>135</v>
      </c>
      <c r="O484">
        <v>25.19117810041006</v>
      </c>
      <c r="P484" t="s">
        <v>2077</v>
      </c>
      <c r="Q484" t="s">
        <v>2092</v>
      </c>
    </row>
    <row r="485" spans="1:17" x14ac:dyDescent="0.25">
      <c r="A485" t="s">
        <v>668</v>
      </c>
      <c r="B485" s="18">
        <v>45746</v>
      </c>
      <c r="C485" t="s">
        <v>2030</v>
      </c>
      <c r="D485" t="s">
        <v>2050</v>
      </c>
      <c r="E485" t="s">
        <v>2058</v>
      </c>
      <c r="F485" t="s">
        <v>2062</v>
      </c>
      <c r="G485">
        <v>4</v>
      </c>
      <c r="H485">
        <v>1800</v>
      </c>
      <c r="I485">
        <v>2124</v>
      </c>
      <c r="J485">
        <v>13.46</v>
      </c>
      <c r="K485">
        <v>7352.44</v>
      </c>
      <c r="L485">
        <v>152.44</v>
      </c>
      <c r="M485">
        <v>114356.16</v>
      </c>
      <c r="N485">
        <v>7200</v>
      </c>
      <c r="O485">
        <v>2.0733253178536653</v>
      </c>
      <c r="P485" t="s">
        <v>2077</v>
      </c>
      <c r="Q485" t="s">
        <v>2091</v>
      </c>
    </row>
    <row r="486" spans="1:17" x14ac:dyDescent="0.25">
      <c r="A486" t="s">
        <v>850</v>
      </c>
      <c r="B486" s="18">
        <v>45746</v>
      </c>
      <c r="C486" t="s">
        <v>2027</v>
      </c>
      <c r="D486" t="s">
        <v>2047</v>
      </c>
      <c r="E486" t="s">
        <v>2053</v>
      </c>
      <c r="F486" t="s">
        <v>2061</v>
      </c>
      <c r="G486">
        <v>6</v>
      </c>
      <c r="H486">
        <v>1100</v>
      </c>
      <c r="I486">
        <v>1298</v>
      </c>
      <c r="J486">
        <v>4.9800000000000004</v>
      </c>
      <c r="K486">
        <v>7399.89</v>
      </c>
      <c r="L486">
        <v>799.89</v>
      </c>
      <c r="M486">
        <v>38784.240000000005</v>
      </c>
      <c r="N486">
        <v>6600</v>
      </c>
      <c r="O486">
        <v>10.809485005858194</v>
      </c>
      <c r="P486" t="s">
        <v>2077</v>
      </c>
      <c r="Q486" t="s">
        <v>2092</v>
      </c>
    </row>
    <row r="487" spans="1:17" x14ac:dyDescent="0.25">
      <c r="A487" t="s">
        <v>1668</v>
      </c>
      <c r="B487" s="18">
        <v>45746</v>
      </c>
      <c r="C487" t="s">
        <v>2031</v>
      </c>
      <c r="D487" t="s">
        <v>2051</v>
      </c>
      <c r="E487" t="s">
        <v>2058</v>
      </c>
      <c r="F487" t="s">
        <v>2061</v>
      </c>
      <c r="G487">
        <v>8</v>
      </c>
      <c r="H487">
        <v>3200</v>
      </c>
      <c r="I487">
        <v>3840</v>
      </c>
      <c r="J487">
        <v>19.600000000000001</v>
      </c>
      <c r="K487">
        <v>24699.3</v>
      </c>
      <c r="L487">
        <v>-900.7</v>
      </c>
      <c r="M487">
        <v>602112</v>
      </c>
      <c r="N487">
        <v>25600</v>
      </c>
      <c r="O487">
        <v>-3.6466620511512478</v>
      </c>
      <c r="P487" t="s">
        <v>2077</v>
      </c>
      <c r="Q487" t="s">
        <v>2093</v>
      </c>
    </row>
    <row r="488" spans="1:17" x14ac:dyDescent="0.25">
      <c r="A488" t="s">
        <v>1733</v>
      </c>
      <c r="B488" s="18">
        <v>45746</v>
      </c>
      <c r="C488" t="s">
        <v>2022</v>
      </c>
      <c r="D488" t="s">
        <v>2042</v>
      </c>
      <c r="E488" t="s">
        <v>2053</v>
      </c>
      <c r="F488" t="s">
        <v>2059</v>
      </c>
      <c r="G488">
        <v>5</v>
      </c>
      <c r="H488">
        <v>8500</v>
      </c>
      <c r="I488">
        <v>9520</v>
      </c>
      <c r="J488">
        <v>14.42</v>
      </c>
      <c r="K488">
        <v>40735.599999999999</v>
      </c>
      <c r="L488">
        <v>-1764.4</v>
      </c>
      <c r="M488">
        <v>686392</v>
      </c>
      <c r="N488">
        <v>42500</v>
      </c>
      <c r="O488">
        <v>-4.3313465371812372</v>
      </c>
      <c r="P488" t="s">
        <v>2077</v>
      </c>
      <c r="Q488" t="s">
        <v>2093</v>
      </c>
    </row>
    <row r="489" spans="1:17" x14ac:dyDescent="0.25">
      <c r="A489" t="s">
        <v>1954</v>
      </c>
      <c r="B489" s="18">
        <v>45746</v>
      </c>
      <c r="C489" t="s">
        <v>2012</v>
      </c>
      <c r="D489" t="s">
        <v>2032</v>
      </c>
      <c r="E489" t="s">
        <v>2052</v>
      </c>
      <c r="F489" t="s">
        <v>2062</v>
      </c>
      <c r="G489">
        <v>3</v>
      </c>
      <c r="H489">
        <v>6500</v>
      </c>
      <c r="I489">
        <v>8125</v>
      </c>
      <c r="J489">
        <v>8.27</v>
      </c>
      <c r="K489">
        <v>22358.95</v>
      </c>
      <c r="L489">
        <v>2858.95</v>
      </c>
      <c r="M489">
        <v>201581.25</v>
      </c>
      <c r="N489">
        <v>19500</v>
      </c>
      <c r="O489">
        <v>12.78660223311023</v>
      </c>
      <c r="P489" t="s">
        <v>2077</v>
      </c>
      <c r="Q489" t="s">
        <v>2092</v>
      </c>
    </row>
    <row r="490" spans="1:17" x14ac:dyDescent="0.25">
      <c r="A490" t="s">
        <v>401</v>
      </c>
      <c r="B490" s="18">
        <v>45747</v>
      </c>
      <c r="C490" t="s">
        <v>2021</v>
      </c>
      <c r="D490" t="s">
        <v>2041</v>
      </c>
      <c r="E490" t="s">
        <v>2056</v>
      </c>
      <c r="F490" t="s">
        <v>2059</v>
      </c>
      <c r="G490">
        <v>3</v>
      </c>
      <c r="H490">
        <v>300</v>
      </c>
      <c r="I490">
        <v>405</v>
      </c>
      <c r="J490">
        <v>4.55</v>
      </c>
      <c r="K490">
        <v>1159.76</v>
      </c>
      <c r="L490">
        <v>259.76</v>
      </c>
      <c r="M490">
        <v>5528.25</v>
      </c>
      <c r="N490">
        <v>900</v>
      </c>
      <c r="O490">
        <v>22.397737462923363</v>
      </c>
      <c r="P490" t="s">
        <v>2077</v>
      </c>
      <c r="Q490" t="s">
        <v>2092</v>
      </c>
    </row>
    <row r="491" spans="1:17" x14ac:dyDescent="0.25">
      <c r="A491" t="s">
        <v>495</v>
      </c>
      <c r="B491" s="18">
        <v>45747</v>
      </c>
      <c r="C491" t="s">
        <v>2026</v>
      </c>
      <c r="D491" t="s">
        <v>2046</v>
      </c>
      <c r="E491" t="s">
        <v>2052</v>
      </c>
      <c r="F491" t="s">
        <v>2061</v>
      </c>
      <c r="G491">
        <v>5</v>
      </c>
      <c r="H491">
        <v>3000</v>
      </c>
      <c r="I491">
        <v>3600</v>
      </c>
      <c r="J491">
        <v>10.9</v>
      </c>
      <c r="K491">
        <v>16037.12</v>
      </c>
      <c r="L491">
        <v>1037.1199999999999</v>
      </c>
      <c r="M491">
        <v>196200</v>
      </c>
      <c r="N491">
        <v>15000</v>
      </c>
      <c r="O491">
        <v>6.4669965679623269</v>
      </c>
      <c r="P491" t="s">
        <v>2077</v>
      </c>
      <c r="Q491" t="s">
        <v>2091</v>
      </c>
    </row>
    <row r="492" spans="1:17" x14ac:dyDescent="0.25">
      <c r="A492" t="s">
        <v>522</v>
      </c>
      <c r="B492" s="18">
        <v>45747</v>
      </c>
      <c r="C492" t="s">
        <v>2016</v>
      </c>
      <c r="D492" t="s">
        <v>2036</v>
      </c>
      <c r="E492" t="s">
        <v>2052</v>
      </c>
      <c r="F492" t="s">
        <v>2061</v>
      </c>
      <c r="G492">
        <v>4</v>
      </c>
      <c r="H492">
        <v>900</v>
      </c>
      <c r="I492">
        <v>1170</v>
      </c>
      <c r="J492">
        <v>9.5399999999999991</v>
      </c>
      <c r="K492">
        <v>4233.6400000000003</v>
      </c>
      <c r="L492">
        <v>633.64</v>
      </c>
      <c r="M492">
        <v>44647.199999999997</v>
      </c>
      <c r="N492">
        <v>3600</v>
      </c>
      <c r="O492">
        <v>14.966789807352537</v>
      </c>
      <c r="P492" t="s">
        <v>2077</v>
      </c>
      <c r="Q492" t="s">
        <v>2092</v>
      </c>
    </row>
    <row r="493" spans="1:17" x14ac:dyDescent="0.25">
      <c r="A493" t="s">
        <v>954</v>
      </c>
      <c r="B493" s="18">
        <v>45747</v>
      </c>
      <c r="C493" t="s">
        <v>2018</v>
      </c>
      <c r="D493" t="s">
        <v>2038</v>
      </c>
      <c r="E493" t="s">
        <v>2053</v>
      </c>
      <c r="F493" t="s">
        <v>2061</v>
      </c>
      <c r="G493">
        <v>9</v>
      </c>
      <c r="H493">
        <v>500</v>
      </c>
      <c r="I493">
        <v>610</v>
      </c>
      <c r="J493">
        <v>5.43</v>
      </c>
      <c r="K493">
        <v>5192.0600000000004</v>
      </c>
      <c r="L493">
        <v>692.06</v>
      </c>
      <c r="M493">
        <v>29810.699999999997</v>
      </c>
      <c r="N493">
        <v>4500</v>
      </c>
      <c r="O493">
        <v>13.329198815113843</v>
      </c>
      <c r="P493" t="s">
        <v>2077</v>
      </c>
      <c r="Q493" t="s">
        <v>2092</v>
      </c>
    </row>
    <row r="494" spans="1:17" x14ac:dyDescent="0.25">
      <c r="A494" t="s">
        <v>994</v>
      </c>
      <c r="B494" s="18">
        <v>45747</v>
      </c>
      <c r="C494" t="s">
        <v>2027</v>
      </c>
      <c r="D494" t="s">
        <v>2047</v>
      </c>
      <c r="E494" t="s">
        <v>2053</v>
      </c>
      <c r="F494" t="s">
        <v>2059</v>
      </c>
      <c r="G494">
        <v>2</v>
      </c>
      <c r="H494">
        <v>1100</v>
      </c>
      <c r="I494">
        <v>1298</v>
      </c>
      <c r="J494">
        <v>12.78</v>
      </c>
      <c r="K494">
        <v>2264.1</v>
      </c>
      <c r="L494">
        <v>64.099999999999994</v>
      </c>
      <c r="M494">
        <v>33176.879999999997</v>
      </c>
      <c r="N494">
        <v>2200</v>
      </c>
      <c r="O494">
        <v>2.8311470341416016</v>
      </c>
      <c r="P494" t="s">
        <v>2077</v>
      </c>
      <c r="Q494" t="s">
        <v>2091</v>
      </c>
    </row>
    <row r="495" spans="1:17" x14ac:dyDescent="0.25">
      <c r="A495" t="s">
        <v>1576</v>
      </c>
      <c r="B495" s="18">
        <v>45747</v>
      </c>
      <c r="C495" t="s">
        <v>2023</v>
      </c>
      <c r="D495" t="s">
        <v>2043</v>
      </c>
      <c r="E495" t="s">
        <v>2053</v>
      </c>
      <c r="F495" t="s">
        <v>2062</v>
      </c>
      <c r="G495">
        <v>2</v>
      </c>
      <c r="H495">
        <v>550</v>
      </c>
      <c r="I495">
        <v>742.5</v>
      </c>
      <c r="J495">
        <v>6.9</v>
      </c>
      <c r="K495">
        <v>1382.56</v>
      </c>
      <c r="L495">
        <v>282.56</v>
      </c>
      <c r="M495">
        <v>10246.5</v>
      </c>
      <c r="N495">
        <v>1100</v>
      </c>
      <c r="O495">
        <v>20.437449369285961</v>
      </c>
      <c r="P495" t="s">
        <v>2077</v>
      </c>
      <c r="Q495" t="s">
        <v>2092</v>
      </c>
    </row>
    <row r="496" spans="1:17" x14ac:dyDescent="0.25">
      <c r="A496" t="s">
        <v>1590</v>
      </c>
      <c r="B496" s="18">
        <v>45747</v>
      </c>
      <c r="C496" t="s">
        <v>2016</v>
      </c>
      <c r="D496" t="s">
        <v>2036</v>
      </c>
      <c r="E496" t="s">
        <v>2052</v>
      </c>
      <c r="F496" t="s">
        <v>2061</v>
      </c>
      <c r="G496">
        <v>6</v>
      </c>
      <c r="H496">
        <v>900</v>
      </c>
      <c r="I496">
        <v>1170</v>
      </c>
      <c r="J496">
        <v>29.89</v>
      </c>
      <c r="K496">
        <v>4921.99</v>
      </c>
      <c r="L496">
        <v>-478.01</v>
      </c>
      <c r="M496">
        <v>209827.80000000002</v>
      </c>
      <c r="N496">
        <v>5400</v>
      </c>
      <c r="O496">
        <v>-9.7117222911871011</v>
      </c>
      <c r="P496" t="s">
        <v>2077</v>
      </c>
      <c r="Q496" t="s">
        <v>2093</v>
      </c>
    </row>
    <row r="497" spans="1:17" x14ac:dyDescent="0.25">
      <c r="A497" t="s">
        <v>1664</v>
      </c>
      <c r="B497" s="18">
        <v>45747</v>
      </c>
      <c r="C497" t="s">
        <v>2017</v>
      </c>
      <c r="D497" t="s">
        <v>2037</v>
      </c>
      <c r="E497" t="s">
        <v>2055</v>
      </c>
      <c r="F497" t="s">
        <v>2061</v>
      </c>
      <c r="G497">
        <v>9</v>
      </c>
      <c r="H497">
        <v>2500</v>
      </c>
      <c r="I497">
        <v>2875</v>
      </c>
      <c r="J497">
        <v>10.69</v>
      </c>
      <c r="K497">
        <v>23109.439999999999</v>
      </c>
      <c r="L497">
        <v>609.44000000000005</v>
      </c>
      <c r="M497">
        <v>276603.75</v>
      </c>
      <c r="N497">
        <v>22500</v>
      </c>
      <c r="O497">
        <v>2.6371906891729098</v>
      </c>
      <c r="P497" t="s">
        <v>2077</v>
      </c>
      <c r="Q497" t="s">
        <v>2091</v>
      </c>
    </row>
    <row r="498" spans="1:17" x14ac:dyDescent="0.25">
      <c r="A498" t="s">
        <v>808</v>
      </c>
      <c r="B498" s="18">
        <v>45748</v>
      </c>
      <c r="C498" t="s">
        <v>2027</v>
      </c>
      <c r="D498" t="s">
        <v>2047</v>
      </c>
      <c r="E498" t="s">
        <v>2053</v>
      </c>
      <c r="F498" t="s">
        <v>2059</v>
      </c>
      <c r="G498">
        <v>2</v>
      </c>
      <c r="H498">
        <v>1100</v>
      </c>
      <c r="I498">
        <v>1298</v>
      </c>
      <c r="J498">
        <v>14.59</v>
      </c>
      <c r="K498">
        <v>2217.1999999999998</v>
      </c>
      <c r="L498">
        <v>17.2</v>
      </c>
      <c r="M498">
        <v>37875.64</v>
      </c>
      <c r="N498">
        <v>2200</v>
      </c>
      <c r="O498">
        <v>0.77575320223705579</v>
      </c>
      <c r="P498" t="s">
        <v>2078</v>
      </c>
      <c r="Q498" t="s">
        <v>2091</v>
      </c>
    </row>
    <row r="499" spans="1:17" x14ac:dyDescent="0.25">
      <c r="A499" t="s">
        <v>1192</v>
      </c>
      <c r="B499" s="18">
        <v>45748</v>
      </c>
      <c r="C499" t="s">
        <v>2020</v>
      </c>
      <c r="D499" t="s">
        <v>2040</v>
      </c>
      <c r="E499" t="s">
        <v>2053</v>
      </c>
      <c r="F499" t="s">
        <v>2061</v>
      </c>
      <c r="G499">
        <v>6</v>
      </c>
      <c r="H499">
        <v>350</v>
      </c>
      <c r="I499">
        <v>455</v>
      </c>
      <c r="J499">
        <v>8.4499999999999993</v>
      </c>
      <c r="K499">
        <v>2499.4499999999998</v>
      </c>
      <c r="L499">
        <v>399.45</v>
      </c>
      <c r="M499">
        <v>23068.499999999996</v>
      </c>
      <c r="N499">
        <v>2100</v>
      </c>
      <c r="O499">
        <v>15.981515933505372</v>
      </c>
      <c r="P499" t="s">
        <v>2078</v>
      </c>
      <c r="Q499" t="s">
        <v>2092</v>
      </c>
    </row>
    <row r="500" spans="1:17" x14ac:dyDescent="0.25">
      <c r="A500" t="s">
        <v>1716</v>
      </c>
      <c r="B500" s="18">
        <v>45748</v>
      </c>
      <c r="C500" t="s">
        <v>2013</v>
      </c>
      <c r="D500" t="s">
        <v>2033</v>
      </c>
      <c r="E500" t="s">
        <v>2053</v>
      </c>
      <c r="F500" t="s">
        <v>2062</v>
      </c>
      <c r="G500">
        <v>10</v>
      </c>
      <c r="H500">
        <v>6500</v>
      </c>
      <c r="I500">
        <v>7150</v>
      </c>
      <c r="J500">
        <v>26.02</v>
      </c>
      <c r="K500">
        <v>52894.76</v>
      </c>
      <c r="L500">
        <v>-12105.24</v>
      </c>
      <c r="M500">
        <v>1860430</v>
      </c>
      <c r="N500">
        <v>65000</v>
      </c>
      <c r="O500">
        <v>-22.885518338678537</v>
      </c>
      <c r="P500" t="s">
        <v>2078</v>
      </c>
      <c r="Q500" t="s">
        <v>2093</v>
      </c>
    </row>
    <row r="501" spans="1:17" x14ac:dyDescent="0.25">
      <c r="A501" t="s">
        <v>1744</v>
      </c>
      <c r="B501" s="18">
        <v>45748</v>
      </c>
      <c r="C501" t="s">
        <v>2022</v>
      </c>
      <c r="D501" t="s">
        <v>2042</v>
      </c>
      <c r="E501" t="s">
        <v>2053</v>
      </c>
      <c r="F501" t="s">
        <v>2061</v>
      </c>
      <c r="G501">
        <v>1</v>
      </c>
      <c r="H501">
        <v>8500</v>
      </c>
      <c r="I501">
        <v>9520</v>
      </c>
      <c r="J501">
        <v>10.55</v>
      </c>
      <c r="K501">
        <v>8515.9</v>
      </c>
      <c r="L501">
        <v>15.9</v>
      </c>
      <c r="M501">
        <v>100436</v>
      </c>
      <c r="N501">
        <v>8500</v>
      </c>
      <c r="O501">
        <v>0.18670956681031955</v>
      </c>
      <c r="P501" t="s">
        <v>2078</v>
      </c>
      <c r="Q501" t="s">
        <v>2091</v>
      </c>
    </row>
    <row r="502" spans="1:17" x14ac:dyDescent="0.25">
      <c r="A502" t="s">
        <v>1753</v>
      </c>
      <c r="B502" s="18">
        <v>45748</v>
      </c>
      <c r="C502" t="s">
        <v>2013</v>
      </c>
      <c r="D502" t="s">
        <v>2033</v>
      </c>
      <c r="E502" t="s">
        <v>2053</v>
      </c>
      <c r="F502" t="s">
        <v>2060</v>
      </c>
      <c r="G502">
        <v>3</v>
      </c>
      <c r="H502">
        <v>6500</v>
      </c>
      <c r="I502">
        <v>7150</v>
      </c>
      <c r="J502">
        <v>13.07</v>
      </c>
      <c r="K502">
        <v>18646.240000000002</v>
      </c>
      <c r="L502">
        <v>-853.76</v>
      </c>
      <c r="M502">
        <v>280351.5</v>
      </c>
      <c r="N502">
        <v>19500</v>
      </c>
      <c r="O502">
        <v>-4.5787247187636746</v>
      </c>
      <c r="P502" t="s">
        <v>2078</v>
      </c>
      <c r="Q502" t="s">
        <v>2093</v>
      </c>
    </row>
    <row r="503" spans="1:17" x14ac:dyDescent="0.25">
      <c r="A503" t="s">
        <v>125</v>
      </c>
      <c r="B503" s="18">
        <v>45749</v>
      </c>
      <c r="C503" t="s">
        <v>2012</v>
      </c>
      <c r="D503" t="s">
        <v>2032</v>
      </c>
      <c r="E503" t="s">
        <v>2052</v>
      </c>
      <c r="F503" t="s">
        <v>2061</v>
      </c>
      <c r="G503">
        <v>1</v>
      </c>
      <c r="H503">
        <v>6500</v>
      </c>
      <c r="I503">
        <v>8125</v>
      </c>
      <c r="J503">
        <v>8.23</v>
      </c>
      <c r="K503">
        <v>7456.3</v>
      </c>
      <c r="L503">
        <v>956.3</v>
      </c>
      <c r="M503">
        <v>66868.75</v>
      </c>
      <c r="N503">
        <v>6500</v>
      </c>
      <c r="O503">
        <v>12.825395973874439</v>
      </c>
      <c r="P503" t="s">
        <v>2078</v>
      </c>
      <c r="Q503" t="s">
        <v>2092</v>
      </c>
    </row>
    <row r="504" spans="1:17" x14ac:dyDescent="0.25">
      <c r="A504" t="s">
        <v>178</v>
      </c>
      <c r="B504" s="18">
        <v>45749</v>
      </c>
      <c r="C504" t="s">
        <v>2019</v>
      </c>
      <c r="D504" t="s">
        <v>2039</v>
      </c>
      <c r="E504" t="s">
        <v>2053</v>
      </c>
      <c r="F504" t="s">
        <v>2062</v>
      </c>
      <c r="G504">
        <v>6</v>
      </c>
      <c r="H504">
        <v>900</v>
      </c>
      <c r="I504">
        <v>1152</v>
      </c>
      <c r="J504">
        <v>7.77</v>
      </c>
      <c r="K504">
        <v>6374.96</v>
      </c>
      <c r="L504">
        <v>974.96</v>
      </c>
      <c r="M504">
        <v>53706.239999999998</v>
      </c>
      <c r="N504">
        <v>5400</v>
      </c>
      <c r="O504">
        <v>15.293586155834705</v>
      </c>
      <c r="P504" t="s">
        <v>2078</v>
      </c>
      <c r="Q504" t="s">
        <v>2092</v>
      </c>
    </row>
    <row r="505" spans="1:17" x14ac:dyDescent="0.25">
      <c r="A505" t="s">
        <v>652</v>
      </c>
      <c r="B505" s="18">
        <v>45749</v>
      </c>
      <c r="C505" t="s">
        <v>2016</v>
      </c>
      <c r="D505" t="s">
        <v>2036</v>
      </c>
      <c r="E505" t="s">
        <v>2052</v>
      </c>
      <c r="F505" t="s">
        <v>2062</v>
      </c>
      <c r="G505">
        <v>1</v>
      </c>
      <c r="H505">
        <v>900</v>
      </c>
      <c r="I505">
        <v>1170</v>
      </c>
      <c r="J505">
        <v>0</v>
      </c>
      <c r="K505">
        <v>1170</v>
      </c>
      <c r="L505">
        <v>270</v>
      </c>
      <c r="M505">
        <v>0</v>
      </c>
      <c r="N505">
        <v>900</v>
      </c>
      <c r="O505">
        <v>23.076923076923077</v>
      </c>
      <c r="P505" t="s">
        <v>2078</v>
      </c>
      <c r="Q505" t="s">
        <v>2092</v>
      </c>
    </row>
    <row r="506" spans="1:17" x14ac:dyDescent="0.25">
      <c r="A506" t="s">
        <v>1166</v>
      </c>
      <c r="B506" s="18">
        <v>45749</v>
      </c>
      <c r="C506" t="s">
        <v>2023</v>
      </c>
      <c r="D506" t="s">
        <v>2043</v>
      </c>
      <c r="E506" t="s">
        <v>2053</v>
      </c>
      <c r="F506" t="s">
        <v>2059</v>
      </c>
      <c r="G506">
        <v>5</v>
      </c>
      <c r="H506">
        <v>550</v>
      </c>
      <c r="I506">
        <v>742.5</v>
      </c>
      <c r="J506">
        <v>13.63</v>
      </c>
      <c r="K506">
        <v>3206.36</v>
      </c>
      <c r="L506">
        <v>456.36</v>
      </c>
      <c r="M506">
        <v>50601.375</v>
      </c>
      <c r="N506">
        <v>2750</v>
      </c>
      <c r="O506">
        <v>14.232961988048753</v>
      </c>
      <c r="P506" t="s">
        <v>2078</v>
      </c>
      <c r="Q506" t="s">
        <v>2092</v>
      </c>
    </row>
    <row r="507" spans="1:17" x14ac:dyDescent="0.25">
      <c r="A507" t="s">
        <v>1231</v>
      </c>
      <c r="B507" s="18">
        <v>45749</v>
      </c>
      <c r="C507" t="s">
        <v>2029</v>
      </c>
      <c r="D507" t="s">
        <v>2049</v>
      </c>
      <c r="E507" t="s">
        <v>2055</v>
      </c>
      <c r="F507" t="s">
        <v>2060</v>
      </c>
      <c r="G507">
        <v>1</v>
      </c>
      <c r="H507">
        <v>1200</v>
      </c>
      <c r="I507">
        <v>1464</v>
      </c>
      <c r="J507">
        <v>3.83</v>
      </c>
      <c r="K507">
        <v>1407.97</v>
      </c>
      <c r="L507">
        <v>207.97</v>
      </c>
      <c r="M507">
        <v>5607.12</v>
      </c>
      <c r="N507">
        <v>1200</v>
      </c>
      <c r="O507">
        <v>14.770911312030796</v>
      </c>
      <c r="P507" t="s">
        <v>2078</v>
      </c>
      <c r="Q507" t="s">
        <v>2092</v>
      </c>
    </row>
    <row r="508" spans="1:17" x14ac:dyDescent="0.25">
      <c r="A508" t="s">
        <v>1530</v>
      </c>
      <c r="B508" s="18">
        <v>45749</v>
      </c>
      <c r="C508" t="s">
        <v>2014</v>
      </c>
      <c r="D508" t="s">
        <v>2034</v>
      </c>
      <c r="E508" t="s">
        <v>2052</v>
      </c>
      <c r="F508" t="s">
        <v>2059</v>
      </c>
      <c r="G508">
        <v>10</v>
      </c>
      <c r="H508">
        <v>4500</v>
      </c>
      <c r="I508">
        <v>5220</v>
      </c>
      <c r="J508">
        <v>15.2</v>
      </c>
      <c r="K508">
        <v>44264.98</v>
      </c>
      <c r="L508">
        <v>-735.02</v>
      </c>
      <c r="M508">
        <v>793440</v>
      </c>
      <c r="N508">
        <v>45000</v>
      </c>
      <c r="O508">
        <v>-1.6605000160397676</v>
      </c>
      <c r="P508" t="s">
        <v>2078</v>
      </c>
      <c r="Q508" t="s">
        <v>2093</v>
      </c>
    </row>
    <row r="509" spans="1:17" x14ac:dyDescent="0.25">
      <c r="A509" t="s">
        <v>902</v>
      </c>
      <c r="B509" s="18">
        <v>45750</v>
      </c>
      <c r="C509" t="s">
        <v>2014</v>
      </c>
      <c r="D509" t="s">
        <v>2034</v>
      </c>
      <c r="E509" t="s">
        <v>2052</v>
      </c>
      <c r="F509" t="s">
        <v>2061</v>
      </c>
      <c r="G509">
        <v>1</v>
      </c>
      <c r="H509">
        <v>4500</v>
      </c>
      <c r="I509">
        <v>5220</v>
      </c>
      <c r="J509">
        <v>17.32</v>
      </c>
      <c r="K509">
        <v>4315.7</v>
      </c>
      <c r="L509">
        <v>-184.3</v>
      </c>
      <c r="M509">
        <v>90410.400000000009</v>
      </c>
      <c r="N509">
        <v>4500</v>
      </c>
      <c r="O509">
        <v>-4.2704543874690089</v>
      </c>
      <c r="P509" t="s">
        <v>2078</v>
      </c>
      <c r="Q509" t="s">
        <v>2093</v>
      </c>
    </row>
    <row r="510" spans="1:17" x14ac:dyDescent="0.25">
      <c r="A510" t="s">
        <v>936</v>
      </c>
      <c r="B510" s="18">
        <v>45750</v>
      </c>
      <c r="C510" t="s">
        <v>2025</v>
      </c>
      <c r="D510" t="s">
        <v>2045</v>
      </c>
      <c r="E510" t="s">
        <v>2057</v>
      </c>
      <c r="F510" t="s">
        <v>2062</v>
      </c>
      <c r="G510">
        <v>6</v>
      </c>
      <c r="H510">
        <v>45</v>
      </c>
      <c r="I510">
        <v>63</v>
      </c>
      <c r="J510">
        <v>11.08</v>
      </c>
      <c r="K510">
        <v>336.13</v>
      </c>
      <c r="L510">
        <v>66.13</v>
      </c>
      <c r="M510">
        <v>4188.24</v>
      </c>
      <c r="N510">
        <v>270</v>
      </c>
      <c r="O510">
        <v>19.673935679647755</v>
      </c>
      <c r="P510" t="s">
        <v>2078</v>
      </c>
      <c r="Q510" t="s">
        <v>2092</v>
      </c>
    </row>
    <row r="511" spans="1:17" x14ac:dyDescent="0.25">
      <c r="A511" t="s">
        <v>1040</v>
      </c>
      <c r="B511" s="18">
        <v>45750</v>
      </c>
      <c r="C511" t="s">
        <v>2024</v>
      </c>
      <c r="D511" t="s">
        <v>2044</v>
      </c>
      <c r="E511" t="s">
        <v>2055</v>
      </c>
      <c r="F511" t="s">
        <v>2061</v>
      </c>
      <c r="G511">
        <v>10</v>
      </c>
      <c r="H511">
        <v>180</v>
      </c>
      <c r="I511">
        <v>243</v>
      </c>
      <c r="J511">
        <v>5.47</v>
      </c>
      <c r="K511">
        <v>2297.19</v>
      </c>
      <c r="L511">
        <v>497.19</v>
      </c>
      <c r="M511">
        <v>13292.099999999999</v>
      </c>
      <c r="N511">
        <v>1800</v>
      </c>
      <c r="O511">
        <v>21.643399109346635</v>
      </c>
      <c r="P511" t="s">
        <v>2078</v>
      </c>
      <c r="Q511" t="s">
        <v>2092</v>
      </c>
    </row>
    <row r="512" spans="1:17" x14ac:dyDescent="0.25">
      <c r="A512" t="s">
        <v>1641</v>
      </c>
      <c r="B512" s="18">
        <v>45750</v>
      </c>
      <c r="C512" t="s">
        <v>2023</v>
      </c>
      <c r="D512" t="s">
        <v>2043</v>
      </c>
      <c r="E512" t="s">
        <v>2053</v>
      </c>
      <c r="F512" t="s">
        <v>2060</v>
      </c>
      <c r="G512">
        <v>6</v>
      </c>
      <c r="H512">
        <v>550</v>
      </c>
      <c r="I512">
        <v>742.5</v>
      </c>
      <c r="J512">
        <v>18.38</v>
      </c>
      <c r="K512">
        <v>3636.16</v>
      </c>
      <c r="L512">
        <v>336.16</v>
      </c>
      <c r="M512">
        <v>81882.899999999994</v>
      </c>
      <c r="N512">
        <v>3300</v>
      </c>
      <c r="O512">
        <v>9.244917715392063</v>
      </c>
      <c r="P512" t="s">
        <v>2078</v>
      </c>
      <c r="Q512" t="s">
        <v>2091</v>
      </c>
    </row>
    <row r="513" spans="1:17" x14ac:dyDescent="0.25">
      <c r="A513" t="s">
        <v>1700</v>
      </c>
      <c r="B513" s="18">
        <v>45750</v>
      </c>
      <c r="C513" t="s">
        <v>2016</v>
      </c>
      <c r="D513" t="s">
        <v>2036</v>
      </c>
      <c r="E513" t="s">
        <v>2052</v>
      </c>
      <c r="F513" t="s">
        <v>2059</v>
      </c>
      <c r="G513">
        <v>9</v>
      </c>
      <c r="H513">
        <v>900</v>
      </c>
      <c r="I513">
        <v>1170</v>
      </c>
      <c r="J513">
        <v>13.75</v>
      </c>
      <c r="K513">
        <v>9081.73</v>
      </c>
      <c r="L513">
        <v>981.73</v>
      </c>
      <c r="M513">
        <v>144787.5</v>
      </c>
      <c r="N513">
        <v>8100</v>
      </c>
      <c r="O513">
        <v>10.809944801265839</v>
      </c>
      <c r="P513" t="s">
        <v>2078</v>
      </c>
      <c r="Q513" t="s">
        <v>2092</v>
      </c>
    </row>
    <row r="514" spans="1:17" x14ac:dyDescent="0.25">
      <c r="A514" t="s">
        <v>1734</v>
      </c>
      <c r="B514" s="18">
        <v>45750</v>
      </c>
      <c r="C514" t="s">
        <v>2021</v>
      </c>
      <c r="D514" t="s">
        <v>2041</v>
      </c>
      <c r="E514" t="s">
        <v>2056</v>
      </c>
      <c r="F514" t="s">
        <v>2061</v>
      </c>
      <c r="G514">
        <v>9</v>
      </c>
      <c r="H514">
        <v>300</v>
      </c>
      <c r="I514">
        <v>405</v>
      </c>
      <c r="J514">
        <v>1.05</v>
      </c>
      <c r="K514">
        <v>3606.88</v>
      </c>
      <c r="L514">
        <v>906.88</v>
      </c>
      <c r="M514">
        <v>3827.25</v>
      </c>
      <c r="N514">
        <v>2700</v>
      </c>
      <c r="O514">
        <v>25.143059929911722</v>
      </c>
      <c r="P514" t="s">
        <v>2078</v>
      </c>
      <c r="Q514" t="s">
        <v>2092</v>
      </c>
    </row>
    <row r="515" spans="1:17" x14ac:dyDescent="0.25">
      <c r="A515" t="s">
        <v>1437</v>
      </c>
      <c r="B515" s="18">
        <v>45751</v>
      </c>
      <c r="C515" t="s">
        <v>2016</v>
      </c>
      <c r="D515" t="s">
        <v>2036</v>
      </c>
      <c r="E515" t="s">
        <v>2052</v>
      </c>
      <c r="F515" t="s">
        <v>2061</v>
      </c>
      <c r="G515">
        <v>8</v>
      </c>
      <c r="H515">
        <v>900</v>
      </c>
      <c r="I515">
        <v>1170</v>
      </c>
      <c r="J515">
        <v>15.52</v>
      </c>
      <c r="K515">
        <v>7907.61</v>
      </c>
      <c r="L515">
        <v>707.61</v>
      </c>
      <c r="M515">
        <v>145267.19999999998</v>
      </c>
      <c r="N515">
        <v>7200</v>
      </c>
      <c r="O515">
        <v>8.9484686270567213</v>
      </c>
      <c r="P515" t="s">
        <v>2078</v>
      </c>
      <c r="Q515" t="s">
        <v>2091</v>
      </c>
    </row>
    <row r="516" spans="1:17" x14ac:dyDescent="0.25">
      <c r="A516" t="s">
        <v>1691</v>
      </c>
      <c r="B516" s="18">
        <v>45751</v>
      </c>
      <c r="C516" t="s">
        <v>2020</v>
      </c>
      <c r="D516" t="s">
        <v>2040</v>
      </c>
      <c r="E516" t="s">
        <v>2053</v>
      </c>
      <c r="F516" t="s">
        <v>2062</v>
      </c>
      <c r="G516">
        <v>9</v>
      </c>
      <c r="H516">
        <v>350</v>
      </c>
      <c r="I516">
        <v>455</v>
      </c>
      <c r="J516">
        <v>18.829999999999998</v>
      </c>
      <c r="K516">
        <v>3324.03</v>
      </c>
      <c r="L516">
        <v>174.03</v>
      </c>
      <c r="M516">
        <v>77108.849999999991</v>
      </c>
      <c r="N516">
        <v>3150</v>
      </c>
      <c r="O516">
        <v>5.235512314870804</v>
      </c>
      <c r="P516" t="s">
        <v>2078</v>
      </c>
      <c r="Q516" t="s">
        <v>2091</v>
      </c>
    </row>
    <row r="517" spans="1:17" x14ac:dyDescent="0.25">
      <c r="A517" t="s">
        <v>1739</v>
      </c>
      <c r="B517" s="18">
        <v>45751</v>
      </c>
      <c r="C517" t="s">
        <v>2028</v>
      </c>
      <c r="D517" t="s">
        <v>2048</v>
      </c>
      <c r="E517" t="s">
        <v>2057</v>
      </c>
      <c r="F517" t="s">
        <v>2060</v>
      </c>
      <c r="G517">
        <v>3</v>
      </c>
      <c r="H517">
        <v>80</v>
      </c>
      <c r="I517">
        <v>116</v>
      </c>
      <c r="J517">
        <v>5.62</v>
      </c>
      <c r="K517">
        <v>328.44</v>
      </c>
      <c r="L517">
        <v>88.44</v>
      </c>
      <c r="M517">
        <v>1955.76</v>
      </c>
      <c r="N517">
        <v>240</v>
      </c>
      <c r="O517">
        <v>26.927292656192915</v>
      </c>
      <c r="P517" t="s">
        <v>2078</v>
      </c>
      <c r="Q517" t="s">
        <v>2092</v>
      </c>
    </row>
    <row r="518" spans="1:17" x14ac:dyDescent="0.25">
      <c r="A518" t="s">
        <v>107</v>
      </c>
      <c r="B518" s="18">
        <v>45752</v>
      </c>
      <c r="C518" t="s">
        <v>2021</v>
      </c>
      <c r="D518" t="s">
        <v>2041</v>
      </c>
      <c r="E518" t="s">
        <v>2056</v>
      </c>
      <c r="F518" t="s">
        <v>2060</v>
      </c>
      <c r="G518">
        <v>9</v>
      </c>
      <c r="H518">
        <v>300</v>
      </c>
      <c r="I518">
        <v>405</v>
      </c>
      <c r="J518">
        <v>10.01</v>
      </c>
      <c r="K518">
        <v>3280.06</v>
      </c>
      <c r="L518">
        <v>580.05999999999995</v>
      </c>
      <c r="M518">
        <v>36486.449999999997</v>
      </c>
      <c r="N518">
        <v>2700</v>
      </c>
      <c r="O518">
        <v>17.684432601842648</v>
      </c>
      <c r="P518" t="s">
        <v>2078</v>
      </c>
      <c r="Q518" t="s">
        <v>2092</v>
      </c>
    </row>
    <row r="519" spans="1:17" x14ac:dyDescent="0.25">
      <c r="A519" t="s">
        <v>358</v>
      </c>
      <c r="B519" s="18">
        <v>45752</v>
      </c>
      <c r="C519" t="s">
        <v>2027</v>
      </c>
      <c r="D519" t="s">
        <v>2047</v>
      </c>
      <c r="E519" t="s">
        <v>2053</v>
      </c>
      <c r="F519" t="s">
        <v>2059</v>
      </c>
      <c r="G519">
        <v>2</v>
      </c>
      <c r="H519">
        <v>1100</v>
      </c>
      <c r="I519">
        <v>1298</v>
      </c>
      <c r="J519">
        <v>19.03</v>
      </c>
      <c r="K519">
        <v>2101.94</v>
      </c>
      <c r="L519">
        <v>-98.06</v>
      </c>
      <c r="M519">
        <v>49401.880000000005</v>
      </c>
      <c r="N519">
        <v>2200</v>
      </c>
      <c r="O519">
        <v>-4.6652140403627129</v>
      </c>
      <c r="P519" t="s">
        <v>2078</v>
      </c>
      <c r="Q519" t="s">
        <v>2093</v>
      </c>
    </row>
    <row r="520" spans="1:17" x14ac:dyDescent="0.25">
      <c r="A520" t="s">
        <v>1956</v>
      </c>
      <c r="B520" s="18">
        <v>45752</v>
      </c>
      <c r="C520" t="s">
        <v>2025</v>
      </c>
      <c r="D520" t="s">
        <v>2045</v>
      </c>
      <c r="E520" t="s">
        <v>2057</v>
      </c>
      <c r="F520" t="s">
        <v>2059</v>
      </c>
      <c r="G520">
        <v>6</v>
      </c>
      <c r="H520">
        <v>45</v>
      </c>
      <c r="I520">
        <v>63</v>
      </c>
      <c r="J520">
        <v>17.329999999999998</v>
      </c>
      <c r="K520">
        <v>312.5</v>
      </c>
      <c r="L520">
        <v>42.5</v>
      </c>
      <c r="M520">
        <v>6550.74</v>
      </c>
      <c r="N520">
        <v>270</v>
      </c>
      <c r="O520">
        <v>13.600000000000001</v>
      </c>
      <c r="P520" t="s">
        <v>2078</v>
      </c>
      <c r="Q520" t="s">
        <v>2092</v>
      </c>
    </row>
    <row r="521" spans="1:17" x14ac:dyDescent="0.25">
      <c r="A521" t="s">
        <v>124</v>
      </c>
      <c r="B521" s="18">
        <v>45753</v>
      </c>
      <c r="C521" t="s">
        <v>2030</v>
      </c>
      <c r="D521" t="s">
        <v>2050</v>
      </c>
      <c r="E521" t="s">
        <v>2058</v>
      </c>
      <c r="F521" t="s">
        <v>2062</v>
      </c>
      <c r="G521">
        <v>10</v>
      </c>
      <c r="H521">
        <v>1800</v>
      </c>
      <c r="I521">
        <v>2124</v>
      </c>
      <c r="J521">
        <v>9.24</v>
      </c>
      <c r="K521">
        <v>19276.39</v>
      </c>
      <c r="L521">
        <v>1276.3900000000001</v>
      </c>
      <c r="M521">
        <v>196257.6</v>
      </c>
      <c r="N521">
        <v>18000</v>
      </c>
      <c r="O521">
        <v>6.6215199007698029</v>
      </c>
      <c r="P521" t="s">
        <v>2078</v>
      </c>
      <c r="Q521" t="s">
        <v>2091</v>
      </c>
    </row>
    <row r="522" spans="1:17" x14ac:dyDescent="0.25">
      <c r="A522" t="s">
        <v>1392</v>
      </c>
      <c r="B522" s="18">
        <v>45753</v>
      </c>
      <c r="C522" t="s">
        <v>2016</v>
      </c>
      <c r="D522" t="s">
        <v>2036</v>
      </c>
      <c r="E522" t="s">
        <v>2052</v>
      </c>
      <c r="F522" t="s">
        <v>2061</v>
      </c>
      <c r="G522">
        <v>4</v>
      </c>
      <c r="H522">
        <v>900</v>
      </c>
      <c r="I522">
        <v>1170</v>
      </c>
      <c r="J522">
        <v>11.33</v>
      </c>
      <c r="K522">
        <v>4149.62</v>
      </c>
      <c r="L522">
        <v>549.62</v>
      </c>
      <c r="M522">
        <v>53024.4</v>
      </c>
      <c r="N522">
        <v>3600</v>
      </c>
      <c r="O522">
        <v>13.245068223114407</v>
      </c>
      <c r="P522" t="s">
        <v>2078</v>
      </c>
      <c r="Q522" t="s">
        <v>2092</v>
      </c>
    </row>
    <row r="523" spans="1:17" x14ac:dyDescent="0.25">
      <c r="A523" t="s">
        <v>1581</v>
      </c>
      <c r="B523" s="18">
        <v>45753</v>
      </c>
      <c r="C523" t="s">
        <v>2022</v>
      </c>
      <c r="D523" t="s">
        <v>2042</v>
      </c>
      <c r="E523" t="s">
        <v>2053</v>
      </c>
      <c r="F523" t="s">
        <v>2061</v>
      </c>
      <c r="G523">
        <v>10</v>
      </c>
      <c r="H523">
        <v>8500</v>
      </c>
      <c r="I523">
        <v>9520</v>
      </c>
      <c r="J523">
        <v>10.73</v>
      </c>
      <c r="K523">
        <v>84983.7</v>
      </c>
      <c r="L523">
        <v>-16.3</v>
      </c>
      <c r="M523">
        <v>1021496</v>
      </c>
      <c r="N523">
        <v>85000</v>
      </c>
      <c r="O523">
        <v>-1.918014866380259E-2</v>
      </c>
      <c r="P523" t="s">
        <v>2078</v>
      </c>
      <c r="Q523" t="s">
        <v>2093</v>
      </c>
    </row>
    <row r="524" spans="1:17" x14ac:dyDescent="0.25">
      <c r="A524" t="s">
        <v>1898</v>
      </c>
      <c r="B524" s="18">
        <v>45753</v>
      </c>
      <c r="C524" t="s">
        <v>2024</v>
      </c>
      <c r="D524" t="s">
        <v>2044</v>
      </c>
      <c r="E524" t="s">
        <v>2055</v>
      </c>
      <c r="F524" t="s">
        <v>2059</v>
      </c>
      <c r="G524">
        <v>6</v>
      </c>
      <c r="H524">
        <v>180</v>
      </c>
      <c r="I524">
        <v>243</v>
      </c>
      <c r="J524">
        <v>10.99</v>
      </c>
      <c r="K524">
        <v>1297.78</v>
      </c>
      <c r="L524">
        <v>217.78</v>
      </c>
      <c r="M524">
        <v>16023.42</v>
      </c>
      <c r="N524">
        <v>1080</v>
      </c>
      <c r="O524">
        <v>16.78096441615682</v>
      </c>
      <c r="P524" t="s">
        <v>2078</v>
      </c>
      <c r="Q524" t="s">
        <v>2092</v>
      </c>
    </row>
    <row r="525" spans="1:17" x14ac:dyDescent="0.25">
      <c r="A525" t="s">
        <v>157</v>
      </c>
      <c r="B525" s="18">
        <v>45754</v>
      </c>
      <c r="C525" t="s">
        <v>2031</v>
      </c>
      <c r="D525" t="s">
        <v>2051</v>
      </c>
      <c r="E525" t="s">
        <v>2058</v>
      </c>
      <c r="F525" t="s">
        <v>2061</v>
      </c>
      <c r="G525">
        <v>10</v>
      </c>
      <c r="H525">
        <v>3200</v>
      </c>
      <c r="I525">
        <v>3840</v>
      </c>
      <c r="J525">
        <v>18.84</v>
      </c>
      <c r="K525">
        <v>31164.65</v>
      </c>
      <c r="L525">
        <v>-835.35</v>
      </c>
      <c r="M525">
        <v>723456</v>
      </c>
      <c r="N525">
        <v>32000</v>
      </c>
      <c r="O525">
        <v>-2.6804408199674952</v>
      </c>
      <c r="P525" t="s">
        <v>2078</v>
      </c>
      <c r="Q525" t="s">
        <v>2093</v>
      </c>
    </row>
    <row r="526" spans="1:17" x14ac:dyDescent="0.25">
      <c r="A526" t="s">
        <v>232</v>
      </c>
      <c r="B526" s="18">
        <v>45754</v>
      </c>
      <c r="C526" t="s">
        <v>2024</v>
      </c>
      <c r="D526" t="s">
        <v>2044</v>
      </c>
      <c r="E526" t="s">
        <v>2055</v>
      </c>
      <c r="F526" t="s">
        <v>2059</v>
      </c>
      <c r="G526">
        <v>7</v>
      </c>
      <c r="H526">
        <v>180</v>
      </c>
      <c r="I526">
        <v>243</v>
      </c>
      <c r="J526">
        <v>9.4700000000000006</v>
      </c>
      <c r="K526">
        <v>1539.99</v>
      </c>
      <c r="L526">
        <v>279.99</v>
      </c>
      <c r="M526">
        <v>16108.470000000001</v>
      </c>
      <c r="N526">
        <v>1260</v>
      </c>
      <c r="O526">
        <v>18.181286891473324</v>
      </c>
      <c r="P526" t="s">
        <v>2078</v>
      </c>
      <c r="Q526" t="s">
        <v>2092</v>
      </c>
    </row>
    <row r="527" spans="1:17" x14ac:dyDescent="0.25">
      <c r="A527" t="s">
        <v>662</v>
      </c>
      <c r="B527" s="18">
        <v>45754</v>
      </c>
      <c r="C527" t="s">
        <v>2027</v>
      </c>
      <c r="D527" t="s">
        <v>2047</v>
      </c>
      <c r="E527" t="s">
        <v>2053</v>
      </c>
      <c r="F527" t="s">
        <v>2060</v>
      </c>
      <c r="G527">
        <v>7</v>
      </c>
      <c r="H527">
        <v>1100</v>
      </c>
      <c r="I527">
        <v>1298</v>
      </c>
      <c r="J527">
        <v>9.67</v>
      </c>
      <c r="K527">
        <v>8207.73</v>
      </c>
      <c r="L527">
        <v>507.73</v>
      </c>
      <c r="M527">
        <v>87861.62</v>
      </c>
      <c r="N527">
        <v>7700</v>
      </c>
      <c r="O527">
        <v>6.185997833749405</v>
      </c>
      <c r="P527" t="s">
        <v>2078</v>
      </c>
      <c r="Q527" t="s">
        <v>2091</v>
      </c>
    </row>
    <row r="528" spans="1:17" x14ac:dyDescent="0.25">
      <c r="A528" t="s">
        <v>1978</v>
      </c>
      <c r="B528" s="18">
        <v>45754</v>
      </c>
      <c r="C528" t="s">
        <v>2030</v>
      </c>
      <c r="D528" t="s">
        <v>2050</v>
      </c>
      <c r="E528" t="s">
        <v>2058</v>
      </c>
      <c r="F528" t="s">
        <v>2059</v>
      </c>
      <c r="G528">
        <v>4</v>
      </c>
      <c r="H528">
        <v>1800</v>
      </c>
      <c r="I528">
        <v>2124</v>
      </c>
      <c r="J528">
        <v>8.66</v>
      </c>
      <c r="K528">
        <v>7760.65</v>
      </c>
      <c r="L528">
        <v>560.65</v>
      </c>
      <c r="M528">
        <v>73575.360000000001</v>
      </c>
      <c r="N528">
        <v>7200</v>
      </c>
      <c r="O528">
        <v>7.2242660086461825</v>
      </c>
      <c r="P528" t="s">
        <v>2078</v>
      </c>
      <c r="Q528" t="s">
        <v>2091</v>
      </c>
    </row>
    <row r="529" spans="1:17" x14ac:dyDescent="0.25">
      <c r="A529" t="s">
        <v>612</v>
      </c>
      <c r="B529" s="18">
        <v>45755</v>
      </c>
      <c r="C529" t="s">
        <v>2025</v>
      </c>
      <c r="D529" t="s">
        <v>2045</v>
      </c>
      <c r="E529" t="s">
        <v>2057</v>
      </c>
      <c r="F529" t="s">
        <v>2060</v>
      </c>
      <c r="G529">
        <v>4</v>
      </c>
      <c r="H529">
        <v>45</v>
      </c>
      <c r="I529">
        <v>63</v>
      </c>
      <c r="J529">
        <v>8.25</v>
      </c>
      <c r="K529">
        <v>231.21</v>
      </c>
      <c r="L529">
        <v>51.21</v>
      </c>
      <c r="M529">
        <v>2079</v>
      </c>
      <c r="N529">
        <v>180</v>
      </c>
      <c r="O529">
        <v>22.148695990657842</v>
      </c>
      <c r="P529" t="s">
        <v>2078</v>
      </c>
      <c r="Q529" t="s">
        <v>2092</v>
      </c>
    </row>
    <row r="530" spans="1:17" x14ac:dyDescent="0.25">
      <c r="A530" t="s">
        <v>614</v>
      </c>
      <c r="B530" s="18">
        <v>45755</v>
      </c>
      <c r="C530" t="s">
        <v>2031</v>
      </c>
      <c r="D530" t="s">
        <v>2051</v>
      </c>
      <c r="E530" t="s">
        <v>2058</v>
      </c>
      <c r="F530" t="s">
        <v>2060</v>
      </c>
      <c r="G530">
        <v>10</v>
      </c>
      <c r="H530">
        <v>3200</v>
      </c>
      <c r="I530">
        <v>3840</v>
      </c>
      <c r="J530">
        <v>16.309999999999999</v>
      </c>
      <c r="K530">
        <v>32136.43</v>
      </c>
      <c r="L530">
        <v>136.43</v>
      </c>
      <c r="M530">
        <v>626304</v>
      </c>
      <c r="N530">
        <v>32000</v>
      </c>
      <c r="O530">
        <v>0.42453377677607629</v>
      </c>
      <c r="P530" t="s">
        <v>2078</v>
      </c>
      <c r="Q530" t="s">
        <v>2091</v>
      </c>
    </row>
    <row r="531" spans="1:17" x14ac:dyDescent="0.25">
      <c r="A531" t="s">
        <v>625</v>
      </c>
      <c r="B531" s="18">
        <v>45755</v>
      </c>
      <c r="C531" t="s">
        <v>2020</v>
      </c>
      <c r="D531" t="s">
        <v>2040</v>
      </c>
      <c r="E531" t="s">
        <v>2053</v>
      </c>
      <c r="F531" t="s">
        <v>2060</v>
      </c>
      <c r="G531">
        <v>5</v>
      </c>
      <c r="H531">
        <v>350</v>
      </c>
      <c r="I531">
        <v>455</v>
      </c>
      <c r="J531">
        <v>9.3800000000000008</v>
      </c>
      <c r="K531">
        <v>2061.71</v>
      </c>
      <c r="L531">
        <v>311.70999999999998</v>
      </c>
      <c r="M531">
        <v>21339.5</v>
      </c>
      <c r="N531">
        <v>1750</v>
      </c>
      <c r="O531">
        <v>15.119003157573083</v>
      </c>
      <c r="P531" t="s">
        <v>2078</v>
      </c>
      <c r="Q531" t="s">
        <v>2092</v>
      </c>
    </row>
    <row r="532" spans="1:17" x14ac:dyDescent="0.25">
      <c r="A532" t="s">
        <v>1569</v>
      </c>
      <c r="B532" s="18">
        <v>45755</v>
      </c>
      <c r="C532" t="s">
        <v>2029</v>
      </c>
      <c r="D532" t="s">
        <v>2049</v>
      </c>
      <c r="E532" t="s">
        <v>2055</v>
      </c>
      <c r="F532" t="s">
        <v>2061</v>
      </c>
      <c r="G532">
        <v>4</v>
      </c>
      <c r="H532">
        <v>1200</v>
      </c>
      <c r="I532">
        <v>1464</v>
      </c>
      <c r="J532">
        <v>0</v>
      </c>
      <c r="K532">
        <v>5856</v>
      </c>
      <c r="L532">
        <v>1056</v>
      </c>
      <c r="M532">
        <v>0</v>
      </c>
      <c r="N532">
        <v>4800</v>
      </c>
      <c r="O532">
        <v>18.032786885245901</v>
      </c>
      <c r="P532" t="s">
        <v>2078</v>
      </c>
      <c r="Q532" t="s">
        <v>2092</v>
      </c>
    </row>
    <row r="533" spans="1:17" x14ac:dyDescent="0.25">
      <c r="A533" t="s">
        <v>149</v>
      </c>
      <c r="B533" s="18">
        <v>45756</v>
      </c>
      <c r="C533" t="s">
        <v>2021</v>
      </c>
      <c r="D533" t="s">
        <v>2041</v>
      </c>
      <c r="E533" t="s">
        <v>2056</v>
      </c>
      <c r="F533" t="s">
        <v>2060</v>
      </c>
      <c r="G533">
        <v>1</v>
      </c>
      <c r="H533">
        <v>300</v>
      </c>
      <c r="I533">
        <v>405</v>
      </c>
      <c r="J533">
        <v>16.47</v>
      </c>
      <c r="K533">
        <v>338.29</v>
      </c>
      <c r="L533">
        <v>38.29</v>
      </c>
      <c r="M533">
        <v>6670.3499999999995</v>
      </c>
      <c r="N533">
        <v>300</v>
      </c>
      <c r="O533">
        <v>11.318691063880101</v>
      </c>
      <c r="P533" t="s">
        <v>2078</v>
      </c>
      <c r="Q533" t="s">
        <v>2092</v>
      </c>
    </row>
    <row r="534" spans="1:17" x14ac:dyDescent="0.25">
      <c r="A534" t="s">
        <v>635</v>
      </c>
      <c r="B534" s="18">
        <v>45756</v>
      </c>
      <c r="C534" t="s">
        <v>2019</v>
      </c>
      <c r="D534" t="s">
        <v>2039</v>
      </c>
      <c r="E534" t="s">
        <v>2053</v>
      </c>
      <c r="F534" t="s">
        <v>2061</v>
      </c>
      <c r="G534">
        <v>10</v>
      </c>
      <c r="H534">
        <v>900</v>
      </c>
      <c r="I534">
        <v>1152</v>
      </c>
      <c r="J534">
        <v>0</v>
      </c>
      <c r="K534">
        <v>11520</v>
      </c>
      <c r="L534">
        <v>2520</v>
      </c>
      <c r="M534">
        <v>0</v>
      </c>
      <c r="N534">
        <v>9000</v>
      </c>
      <c r="O534">
        <v>21.875</v>
      </c>
      <c r="P534" t="s">
        <v>2078</v>
      </c>
      <c r="Q534" t="s">
        <v>2092</v>
      </c>
    </row>
    <row r="535" spans="1:17" x14ac:dyDescent="0.25">
      <c r="A535" t="s">
        <v>1063</v>
      </c>
      <c r="B535" s="18">
        <v>45756</v>
      </c>
      <c r="C535" t="s">
        <v>2017</v>
      </c>
      <c r="D535" t="s">
        <v>2037</v>
      </c>
      <c r="E535" t="s">
        <v>2055</v>
      </c>
      <c r="F535" t="s">
        <v>2062</v>
      </c>
      <c r="G535">
        <v>4</v>
      </c>
      <c r="H535">
        <v>2500</v>
      </c>
      <c r="I535">
        <v>2875</v>
      </c>
      <c r="J535">
        <v>11.27</v>
      </c>
      <c r="K535">
        <v>10204.48</v>
      </c>
      <c r="L535">
        <v>204.48</v>
      </c>
      <c r="M535">
        <v>129605</v>
      </c>
      <c r="N535">
        <v>10000</v>
      </c>
      <c r="O535">
        <v>2.0038257706419143</v>
      </c>
      <c r="P535" t="s">
        <v>2078</v>
      </c>
      <c r="Q535" t="s">
        <v>2091</v>
      </c>
    </row>
    <row r="536" spans="1:17" x14ac:dyDescent="0.25">
      <c r="A536" t="s">
        <v>1173</v>
      </c>
      <c r="B536" s="18">
        <v>45756</v>
      </c>
      <c r="C536" t="s">
        <v>2018</v>
      </c>
      <c r="D536" t="s">
        <v>2038</v>
      </c>
      <c r="E536" t="s">
        <v>2053</v>
      </c>
      <c r="F536" t="s">
        <v>2062</v>
      </c>
      <c r="G536">
        <v>2</v>
      </c>
      <c r="H536">
        <v>500</v>
      </c>
      <c r="I536">
        <v>610</v>
      </c>
      <c r="J536">
        <v>4.5</v>
      </c>
      <c r="K536">
        <v>1165.1300000000001</v>
      </c>
      <c r="L536">
        <v>165.13</v>
      </c>
      <c r="M536">
        <v>5490</v>
      </c>
      <c r="N536">
        <v>1000</v>
      </c>
      <c r="O536">
        <v>14.172667427669014</v>
      </c>
      <c r="P536" t="s">
        <v>2078</v>
      </c>
      <c r="Q536" t="s">
        <v>2092</v>
      </c>
    </row>
    <row r="537" spans="1:17" x14ac:dyDescent="0.25">
      <c r="A537" t="s">
        <v>1741</v>
      </c>
      <c r="B537" s="18">
        <v>45756</v>
      </c>
      <c r="C537" t="s">
        <v>2013</v>
      </c>
      <c r="D537" t="s">
        <v>2033</v>
      </c>
      <c r="E537" t="s">
        <v>2053</v>
      </c>
      <c r="F537" t="s">
        <v>2059</v>
      </c>
      <c r="G537">
        <v>7</v>
      </c>
      <c r="H537">
        <v>6500</v>
      </c>
      <c r="I537">
        <v>7150</v>
      </c>
      <c r="J537">
        <v>21.99</v>
      </c>
      <c r="K537">
        <v>39044.910000000003</v>
      </c>
      <c r="L537">
        <v>-6455.09</v>
      </c>
      <c r="M537">
        <v>1100599.5</v>
      </c>
      <c r="N537">
        <v>45500</v>
      </c>
      <c r="O537">
        <v>-16.53247503964025</v>
      </c>
      <c r="P537" t="s">
        <v>2078</v>
      </c>
      <c r="Q537" t="s">
        <v>2093</v>
      </c>
    </row>
    <row r="538" spans="1:17" x14ac:dyDescent="0.25">
      <c r="A538" t="s">
        <v>1779</v>
      </c>
      <c r="B538" s="18">
        <v>45756</v>
      </c>
      <c r="C538" t="s">
        <v>2023</v>
      </c>
      <c r="D538" t="s">
        <v>2043</v>
      </c>
      <c r="E538" t="s">
        <v>2053</v>
      </c>
      <c r="F538" t="s">
        <v>2060</v>
      </c>
      <c r="G538">
        <v>9</v>
      </c>
      <c r="H538">
        <v>550</v>
      </c>
      <c r="I538">
        <v>742.5</v>
      </c>
      <c r="J538">
        <v>18.079999999999998</v>
      </c>
      <c r="K538">
        <v>5474.33</v>
      </c>
      <c r="L538">
        <v>524.33000000000004</v>
      </c>
      <c r="M538">
        <v>120819.59999999999</v>
      </c>
      <c r="N538">
        <v>4950</v>
      </c>
      <c r="O538">
        <v>9.5779757522838427</v>
      </c>
      <c r="P538" t="s">
        <v>2078</v>
      </c>
      <c r="Q538" t="s">
        <v>2091</v>
      </c>
    </row>
    <row r="539" spans="1:17" x14ac:dyDescent="0.25">
      <c r="A539" t="s">
        <v>530</v>
      </c>
      <c r="B539" s="18">
        <v>45757</v>
      </c>
      <c r="C539" t="s">
        <v>2017</v>
      </c>
      <c r="D539" t="s">
        <v>2037</v>
      </c>
      <c r="E539" t="s">
        <v>2055</v>
      </c>
      <c r="F539" t="s">
        <v>2062</v>
      </c>
      <c r="G539">
        <v>4</v>
      </c>
      <c r="H539">
        <v>2500</v>
      </c>
      <c r="I539">
        <v>2875</v>
      </c>
      <c r="J539">
        <v>13.88</v>
      </c>
      <c r="K539">
        <v>9904.07</v>
      </c>
      <c r="L539">
        <v>-95.93</v>
      </c>
      <c r="M539">
        <v>159620</v>
      </c>
      <c r="N539">
        <v>10000</v>
      </c>
      <c r="O539">
        <v>-0.9685917001798251</v>
      </c>
      <c r="P539" t="s">
        <v>2078</v>
      </c>
      <c r="Q539" t="s">
        <v>2093</v>
      </c>
    </row>
    <row r="540" spans="1:17" x14ac:dyDescent="0.25">
      <c r="A540" t="s">
        <v>813</v>
      </c>
      <c r="B540" s="18">
        <v>45757</v>
      </c>
      <c r="C540" t="s">
        <v>2015</v>
      </c>
      <c r="D540" t="s">
        <v>2035</v>
      </c>
      <c r="E540" t="s">
        <v>2054</v>
      </c>
      <c r="F540" t="s">
        <v>2060</v>
      </c>
      <c r="G540">
        <v>4</v>
      </c>
      <c r="H540">
        <v>900</v>
      </c>
      <c r="I540">
        <v>1170</v>
      </c>
      <c r="J540">
        <v>5.57</v>
      </c>
      <c r="K540">
        <v>4419.51</v>
      </c>
      <c r="L540">
        <v>819.51</v>
      </c>
      <c r="M540">
        <v>26067.600000000002</v>
      </c>
      <c r="N540">
        <v>3600</v>
      </c>
      <c r="O540">
        <v>18.54300589884399</v>
      </c>
      <c r="P540" t="s">
        <v>2078</v>
      </c>
      <c r="Q540" t="s">
        <v>2092</v>
      </c>
    </row>
    <row r="541" spans="1:17" x14ac:dyDescent="0.25">
      <c r="A541" t="s">
        <v>1084</v>
      </c>
      <c r="B541" s="18">
        <v>45757</v>
      </c>
      <c r="C541" t="s">
        <v>2015</v>
      </c>
      <c r="D541" t="s">
        <v>2035</v>
      </c>
      <c r="E541" t="s">
        <v>2054</v>
      </c>
      <c r="F541" t="s">
        <v>2060</v>
      </c>
      <c r="G541">
        <v>10</v>
      </c>
      <c r="H541">
        <v>900</v>
      </c>
      <c r="I541">
        <v>1170</v>
      </c>
      <c r="J541">
        <v>0</v>
      </c>
      <c r="K541">
        <v>11700</v>
      </c>
      <c r="L541">
        <v>2700</v>
      </c>
      <c r="M541">
        <v>0</v>
      </c>
      <c r="N541">
        <v>9000</v>
      </c>
      <c r="O541">
        <v>23.076923076923077</v>
      </c>
      <c r="P541" t="s">
        <v>2078</v>
      </c>
      <c r="Q541" t="s">
        <v>2092</v>
      </c>
    </row>
    <row r="542" spans="1:17" x14ac:dyDescent="0.25">
      <c r="A542" t="s">
        <v>1411</v>
      </c>
      <c r="B542" s="18">
        <v>45757</v>
      </c>
      <c r="C542" t="s">
        <v>2031</v>
      </c>
      <c r="D542" t="s">
        <v>2051</v>
      </c>
      <c r="E542" t="s">
        <v>2058</v>
      </c>
      <c r="F542" t="s">
        <v>2061</v>
      </c>
      <c r="G542">
        <v>3</v>
      </c>
      <c r="H542">
        <v>3200</v>
      </c>
      <c r="I542">
        <v>3840</v>
      </c>
      <c r="J542">
        <v>6.48</v>
      </c>
      <c r="K542">
        <v>10773.21</v>
      </c>
      <c r="L542">
        <v>1173.21</v>
      </c>
      <c r="M542">
        <v>74649.600000000006</v>
      </c>
      <c r="N542">
        <v>9600</v>
      </c>
      <c r="O542">
        <v>10.890068976655984</v>
      </c>
      <c r="P542" t="s">
        <v>2078</v>
      </c>
      <c r="Q542" t="s">
        <v>2092</v>
      </c>
    </row>
    <row r="543" spans="1:17" x14ac:dyDescent="0.25">
      <c r="A543" t="s">
        <v>1460</v>
      </c>
      <c r="B543" s="18">
        <v>45757</v>
      </c>
      <c r="C543" t="s">
        <v>2029</v>
      </c>
      <c r="D543" t="s">
        <v>2049</v>
      </c>
      <c r="E543" t="s">
        <v>2055</v>
      </c>
      <c r="F543" t="s">
        <v>2062</v>
      </c>
      <c r="G543">
        <v>6</v>
      </c>
      <c r="H543">
        <v>1200</v>
      </c>
      <c r="I543">
        <v>1464</v>
      </c>
      <c r="J543">
        <v>14.42</v>
      </c>
      <c r="K543">
        <v>7517.17</v>
      </c>
      <c r="L543">
        <v>317.17</v>
      </c>
      <c r="M543">
        <v>126665.28</v>
      </c>
      <c r="N543">
        <v>7200</v>
      </c>
      <c r="O543">
        <v>4.2192740087027429</v>
      </c>
      <c r="P543" t="s">
        <v>2078</v>
      </c>
      <c r="Q543" t="s">
        <v>2091</v>
      </c>
    </row>
    <row r="544" spans="1:17" x14ac:dyDescent="0.25">
      <c r="A544" t="s">
        <v>1467</v>
      </c>
      <c r="B544" s="18">
        <v>45757</v>
      </c>
      <c r="C544" t="s">
        <v>2013</v>
      </c>
      <c r="D544" t="s">
        <v>2033</v>
      </c>
      <c r="E544" t="s">
        <v>2053</v>
      </c>
      <c r="F544" t="s">
        <v>2060</v>
      </c>
      <c r="G544">
        <v>9</v>
      </c>
      <c r="H544">
        <v>6500</v>
      </c>
      <c r="I544">
        <v>7150</v>
      </c>
      <c r="J544">
        <v>17.75</v>
      </c>
      <c r="K544">
        <v>52927.26</v>
      </c>
      <c r="L544">
        <v>-5572.74</v>
      </c>
      <c r="M544">
        <v>1142212.5</v>
      </c>
      <c r="N544">
        <v>58500</v>
      </c>
      <c r="O544">
        <v>-10.529054404101023</v>
      </c>
      <c r="P544" t="s">
        <v>2078</v>
      </c>
      <c r="Q544" t="s">
        <v>2093</v>
      </c>
    </row>
    <row r="545" spans="1:17" x14ac:dyDescent="0.25">
      <c r="A545" t="s">
        <v>1926</v>
      </c>
      <c r="B545" s="18">
        <v>45757</v>
      </c>
      <c r="C545" t="s">
        <v>2016</v>
      </c>
      <c r="D545" t="s">
        <v>2036</v>
      </c>
      <c r="E545" t="s">
        <v>2052</v>
      </c>
      <c r="F545" t="s">
        <v>2061</v>
      </c>
      <c r="G545">
        <v>10</v>
      </c>
      <c r="H545">
        <v>900</v>
      </c>
      <c r="I545">
        <v>1170</v>
      </c>
      <c r="J545">
        <v>3.8</v>
      </c>
      <c r="K545">
        <v>11255.9</v>
      </c>
      <c r="L545">
        <v>2255.9</v>
      </c>
      <c r="M545">
        <v>44460</v>
      </c>
      <c r="N545">
        <v>9000</v>
      </c>
      <c r="O545">
        <v>20.041933563731025</v>
      </c>
      <c r="P545" t="s">
        <v>2078</v>
      </c>
      <c r="Q545" t="s">
        <v>2092</v>
      </c>
    </row>
    <row r="546" spans="1:17" x14ac:dyDescent="0.25">
      <c r="A546" t="s">
        <v>75</v>
      </c>
      <c r="B546" s="18">
        <v>45758</v>
      </c>
      <c r="C546" t="s">
        <v>2014</v>
      </c>
      <c r="D546" t="s">
        <v>2034</v>
      </c>
      <c r="E546" t="s">
        <v>2052</v>
      </c>
      <c r="F546" t="s">
        <v>2061</v>
      </c>
      <c r="G546">
        <v>9</v>
      </c>
      <c r="H546">
        <v>4500</v>
      </c>
      <c r="I546">
        <v>5220</v>
      </c>
      <c r="J546">
        <v>12</v>
      </c>
      <c r="K546">
        <v>41343.75</v>
      </c>
      <c r="L546">
        <v>843.75</v>
      </c>
      <c r="M546">
        <v>563760</v>
      </c>
      <c r="N546">
        <v>40500</v>
      </c>
      <c r="O546">
        <v>2.0408163265306123</v>
      </c>
      <c r="P546" t="s">
        <v>2078</v>
      </c>
      <c r="Q546" t="s">
        <v>2091</v>
      </c>
    </row>
    <row r="547" spans="1:17" x14ac:dyDescent="0.25">
      <c r="A547" t="s">
        <v>163</v>
      </c>
      <c r="B547" s="18">
        <v>45758</v>
      </c>
      <c r="C547" t="s">
        <v>2028</v>
      </c>
      <c r="D547" t="s">
        <v>2048</v>
      </c>
      <c r="E547" t="s">
        <v>2057</v>
      </c>
      <c r="F547" t="s">
        <v>2059</v>
      </c>
      <c r="G547">
        <v>5</v>
      </c>
      <c r="H547">
        <v>80</v>
      </c>
      <c r="I547">
        <v>116</v>
      </c>
      <c r="J547">
        <v>0</v>
      </c>
      <c r="K547">
        <v>580</v>
      </c>
      <c r="L547">
        <v>180</v>
      </c>
      <c r="M547">
        <v>0</v>
      </c>
      <c r="N547">
        <v>400</v>
      </c>
      <c r="O547">
        <v>31.03448275862069</v>
      </c>
      <c r="P547" t="s">
        <v>2078</v>
      </c>
      <c r="Q547" t="s">
        <v>2092</v>
      </c>
    </row>
    <row r="548" spans="1:17" x14ac:dyDescent="0.25">
      <c r="A548" t="s">
        <v>251</v>
      </c>
      <c r="B548" s="18">
        <v>45758</v>
      </c>
      <c r="C548" t="s">
        <v>2016</v>
      </c>
      <c r="D548" t="s">
        <v>2036</v>
      </c>
      <c r="E548" t="s">
        <v>2052</v>
      </c>
      <c r="F548" t="s">
        <v>2061</v>
      </c>
      <c r="G548">
        <v>1</v>
      </c>
      <c r="H548">
        <v>900</v>
      </c>
      <c r="I548">
        <v>1170</v>
      </c>
      <c r="J548">
        <v>0</v>
      </c>
      <c r="K548">
        <v>1170</v>
      </c>
      <c r="L548">
        <v>270</v>
      </c>
      <c r="M548">
        <v>0</v>
      </c>
      <c r="N548">
        <v>900</v>
      </c>
      <c r="O548">
        <v>23.076923076923077</v>
      </c>
      <c r="P548" t="s">
        <v>2078</v>
      </c>
      <c r="Q548" t="s">
        <v>2092</v>
      </c>
    </row>
    <row r="549" spans="1:17" x14ac:dyDescent="0.25">
      <c r="A549" t="s">
        <v>415</v>
      </c>
      <c r="B549" s="18">
        <v>45758</v>
      </c>
      <c r="C549" t="s">
        <v>2023</v>
      </c>
      <c r="D549" t="s">
        <v>2043</v>
      </c>
      <c r="E549" t="s">
        <v>2053</v>
      </c>
      <c r="F549" t="s">
        <v>2060</v>
      </c>
      <c r="G549">
        <v>7</v>
      </c>
      <c r="H549">
        <v>550</v>
      </c>
      <c r="I549">
        <v>742.5</v>
      </c>
      <c r="J549">
        <v>12.74</v>
      </c>
      <c r="K549">
        <v>4535.32</v>
      </c>
      <c r="L549">
        <v>685.32</v>
      </c>
      <c r="M549">
        <v>66216.149999999994</v>
      </c>
      <c r="N549">
        <v>3850</v>
      </c>
      <c r="O549">
        <v>15.110730885582496</v>
      </c>
      <c r="P549" t="s">
        <v>2078</v>
      </c>
      <c r="Q549" t="s">
        <v>2092</v>
      </c>
    </row>
    <row r="550" spans="1:17" x14ac:dyDescent="0.25">
      <c r="A550" t="s">
        <v>699</v>
      </c>
      <c r="B550" s="18">
        <v>45758</v>
      </c>
      <c r="C550" t="s">
        <v>2020</v>
      </c>
      <c r="D550" t="s">
        <v>2040</v>
      </c>
      <c r="E550" t="s">
        <v>2053</v>
      </c>
      <c r="F550" t="s">
        <v>2062</v>
      </c>
      <c r="G550">
        <v>10</v>
      </c>
      <c r="H550">
        <v>350</v>
      </c>
      <c r="I550">
        <v>455</v>
      </c>
      <c r="J550">
        <v>8.73</v>
      </c>
      <c r="K550">
        <v>4152.99</v>
      </c>
      <c r="L550">
        <v>652.99</v>
      </c>
      <c r="M550">
        <v>39721.5</v>
      </c>
      <c r="N550">
        <v>3500</v>
      </c>
      <c r="O550">
        <v>15.723370390971326</v>
      </c>
      <c r="P550" t="s">
        <v>2078</v>
      </c>
      <c r="Q550" t="s">
        <v>2092</v>
      </c>
    </row>
    <row r="551" spans="1:17" x14ac:dyDescent="0.25">
      <c r="A551" t="s">
        <v>702</v>
      </c>
      <c r="B551" s="18">
        <v>45758</v>
      </c>
      <c r="C551" t="s">
        <v>2015</v>
      </c>
      <c r="D551" t="s">
        <v>2035</v>
      </c>
      <c r="E551" t="s">
        <v>2054</v>
      </c>
      <c r="F551" t="s">
        <v>2060</v>
      </c>
      <c r="G551">
        <v>5</v>
      </c>
      <c r="H551">
        <v>900</v>
      </c>
      <c r="I551">
        <v>1170</v>
      </c>
      <c r="J551">
        <v>16.97</v>
      </c>
      <c r="K551">
        <v>4857.26</v>
      </c>
      <c r="L551">
        <v>357.26</v>
      </c>
      <c r="M551">
        <v>99274.5</v>
      </c>
      <c r="N551">
        <v>4500</v>
      </c>
      <c r="O551">
        <v>7.3551755516484603</v>
      </c>
      <c r="P551" t="s">
        <v>2078</v>
      </c>
      <c r="Q551" t="s">
        <v>2091</v>
      </c>
    </row>
    <row r="552" spans="1:17" x14ac:dyDescent="0.25">
      <c r="A552" t="s">
        <v>1188</v>
      </c>
      <c r="B552" s="18">
        <v>45758</v>
      </c>
      <c r="C552" t="s">
        <v>2015</v>
      </c>
      <c r="D552" t="s">
        <v>2035</v>
      </c>
      <c r="E552" t="s">
        <v>2054</v>
      </c>
      <c r="F552" t="s">
        <v>2059</v>
      </c>
      <c r="G552">
        <v>9</v>
      </c>
      <c r="H552">
        <v>900</v>
      </c>
      <c r="I552">
        <v>1170</v>
      </c>
      <c r="J552">
        <v>3.02</v>
      </c>
      <c r="K552">
        <v>10212.36</v>
      </c>
      <c r="L552">
        <v>2112.36</v>
      </c>
      <c r="M552">
        <v>31800.6</v>
      </c>
      <c r="N552">
        <v>8100</v>
      </c>
      <c r="O552">
        <v>20.684347202801312</v>
      </c>
      <c r="P552" t="s">
        <v>2078</v>
      </c>
      <c r="Q552" t="s">
        <v>2092</v>
      </c>
    </row>
    <row r="553" spans="1:17" x14ac:dyDescent="0.25">
      <c r="A553" t="s">
        <v>1431</v>
      </c>
      <c r="B553" s="18">
        <v>45758</v>
      </c>
      <c r="C553" t="s">
        <v>2020</v>
      </c>
      <c r="D553" t="s">
        <v>2040</v>
      </c>
      <c r="E553" t="s">
        <v>2053</v>
      </c>
      <c r="F553" t="s">
        <v>2059</v>
      </c>
      <c r="G553">
        <v>1</v>
      </c>
      <c r="H553">
        <v>350</v>
      </c>
      <c r="I553">
        <v>455</v>
      </c>
      <c r="J553">
        <v>0</v>
      </c>
      <c r="K553">
        <v>455</v>
      </c>
      <c r="L553">
        <v>105</v>
      </c>
      <c r="M553">
        <v>0</v>
      </c>
      <c r="N553">
        <v>350</v>
      </c>
      <c r="O553">
        <v>23.076923076923077</v>
      </c>
      <c r="P553" t="s">
        <v>2078</v>
      </c>
      <c r="Q553" t="s">
        <v>2092</v>
      </c>
    </row>
    <row r="554" spans="1:17" x14ac:dyDescent="0.25">
      <c r="A554" t="s">
        <v>1445</v>
      </c>
      <c r="B554" s="18">
        <v>45758</v>
      </c>
      <c r="C554" t="s">
        <v>2025</v>
      </c>
      <c r="D554" t="s">
        <v>2045</v>
      </c>
      <c r="E554" t="s">
        <v>2057</v>
      </c>
      <c r="F554" t="s">
        <v>2059</v>
      </c>
      <c r="G554">
        <v>5</v>
      </c>
      <c r="H554">
        <v>45</v>
      </c>
      <c r="I554">
        <v>63</v>
      </c>
      <c r="J554">
        <v>13.07</v>
      </c>
      <c r="K554">
        <v>273.83999999999997</v>
      </c>
      <c r="L554">
        <v>48.84</v>
      </c>
      <c r="M554">
        <v>4117.05</v>
      </c>
      <c r="N554">
        <v>225</v>
      </c>
      <c r="O554">
        <v>17.835232252410169</v>
      </c>
      <c r="P554" t="s">
        <v>2078</v>
      </c>
      <c r="Q554" t="s">
        <v>2092</v>
      </c>
    </row>
    <row r="555" spans="1:17" x14ac:dyDescent="0.25">
      <c r="A555" t="s">
        <v>1706</v>
      </c>
      <c r="B555" s="18">
        <v>45758</v>
      </c>
      <c r="C555" t="s">
        <v>2025</v>
      </c>
      <c r="D555" t="s">
        <v>2045</v>
      </c>
      <c r="E555" t="s">
        <v>2057</v>
      </c>
      <c r="F555" t="s">
        <v>2062</v>
      </c>
      <c r="G555">
        <v>8</v>
      </c>
      <c r="H555">
        <v>45</v>
      </c>
      <c r="I555">
        <v>63</v>
      </c>
      <c r="J555">
        <v>15.34</v>
      </c>
      <c r="K555">
        <v>426.71</v>
      </c>
      <c r="L555">
        <v>66.709999999999994</v>
      </c>
      <c r="M555">
        <v>7731.36</v>
      </c>
      <c r="N555">
        <v>360</v>
      </c>
      <c r="O555">
        <v>15.633568465702702</v>
      </c>
      <c r="P555" t="s">
        <v>2078</v>
      </c>
      <c r="Q555" t="s">
        <v>2092</v>
      </c>
    </row>
    <row r="556" spans="1:17" x14ac:dyDescent="0.25">
      <c r="A556" t="s">
        <v>1718</v>
      </c>
      <c r="B556" s="18">
        <v>45758</v>
      </c>
      <c r="C556" t="s">
        <v>2015</v>
      </c>
      <c r="D556" t="s">
        <v>2035</v>
      </c>
      <c r="E556" t="s">
        <v>2054</v>
      </c>
      <c r="F556" t="s">
        <v>2061</v>
      </c>
      <c r="G556">
        <v>2</v>
      </c>
      <c r="H556">
        <v>900</v>
      </c>
      <c r="I556">
        <v>1170</v>
      </c>
      <c r="J556">
        <v>16.75</v>
      </c>
      <c r="K556">
        <v>1947.94</v>
      </c>
      <c r="L556">
        <v>147.94</v>
      </c>
      <c r="M556">
        <v>39195</v>
      </c>
      <c r="N556">
        <v>1800</v>
      </c>
      <c r="O556">
        <v>7.5946897748390603</v>
      </c>
      <c r="P556" t="s">
        <v>2078</v>
      </c>
      <c r="Q556" t="s">
        <v>2091</v>
      </c>
    </row>
    <row r="557" spans="1:17" x14ac:dyDescent="0.25">
      <c r="A557" t="s">
        <v>719</v>
      </c>
      <c r="B557" s="18">
        <v>45759</v>
      </c>
      <c r="C557" t="s">
        <v>2027</v>
      </c>
      <c r="D557" t="s">
        <v>2047</v>
      </c>
      <c r="E557" t="s">
        <v>2053</v>
      </c>
      <c r="F557" t="s">
        <v>2062</v>
      </c>
      <c r="G557">
        <v>4</v>
      </c>
      <c r="H557">
        <v>1100</v>
      </c>
      <c r="I557">
        <v>1298</v>
      </c>
      <c r="J557">
        <v>0.25</v>
      </c>
      <c r="K557">
        <v>5178.8100000000004</v>
      </c>
      <c r="L557">
        <v>778.81</v>
      </c>
      <c r="M557">
        <v>1298</v>
      </c>
      <c r="N557">
        <v>4400</v>
      </c>
      <c r="O557">
        <v>15.038396851786413</v>
      </c>
      <c r="P557" t="s">
        <v>2078</v>
      </c>
      <c r="Q557" t="s">
        <v>2092</v>
      </c>
    </row>
    <row r="558" spans="1:17" x14ac:dyDescent="0.25">
      <c r="A558" t="s">
        <v>825</v>
      </c>
      <c r="B558" s="18">
        <v>45759</v>
      </c>
      <c r="C558" t="s">
        <v>2031</v>
      </c>
      <c r="D558" t="s">
        <v>2051</v>
      </c>
      <c r="E558" t="s">
        <v>2058</v>
      </c>
      <c r="F558" t="s">
        <v>2061</v>
      </c>
      <c r="G558">
        <v>7</v>
      </c>
      <c r="H558">
        <v>3200</v>
      </c>
      <c r="I558">
        <v>3840</v>
      </c>
      <c r="J558">
        <v>15.89</v>
      </c>
      <c r="K558">
        <v>22608.38</v>
      </c>
      <c r="L558">
        <v>208.38</v>
      </c>
      <c r="M558">
        <v>427123.20000000001</v>
      </c>
      <c r="N558">
        <v>22400</v>
      </c>
      <c r="O558">
        <v>0.92169363749193878</v>
      </c>
      <c r="P558" t="s">
        <v>2078</v>
      </c>
      <c r="Q558" t="s">
        <v>2091</v>
      </c>
    </row>
    <row r="559" spans="1:17" x14ac:dyDescent="0.25">
      <c r="A559" t="s">
        <v>1221</v>
      </c>
      <c r="B559" s="18">
        <v>45759</v>
      </c>
      <c r="C559" t="s">
        <v>2014</v>
      </c>
      <c r="D559" t="s">
        <v>2034</v>
      </c>
      <c r="E559" t="s">
        <v>2052</v>
      </c>
      <c r="F559" t="s">
        <v>2060</v>
      </c>
      <c r="G559">
        <v>2</v>
      </c>
      <c r="H559">
        <v>4500</v>
      </c>
      <c r="I559">
        <v>5220</v>
      </c>
      <c r="J559">
        <v>12.75</v>
      </c>
      <c r="K559">
        <v>9108.7099999999991</v>
      </c>
      <c r="L559">
        <v>108.71</v>
      </c>
      <c r="M559">
        <v>133110</v>
      </c>
      <c r="N559">
        <v>9000</v>
      </c>
      <c r="O559">
        <v>1.19347306040043</v>
      </c>
      <c r="P559" t="s">
        <v>2078</v>
      </c>
      <c r="Q559" t="s">
        <v>2091</v>
      </c>
    </row>
    <row r="560" spans="1:17" x14ac:dyDescent="0.25">
      <c r="A560" t="s">
        <v>1504</v>
      </c>
      <c r="B560" s="18">
        <v>45759</v>
      </c>
      <c r="C560" t="s">
        <v>2019</v>
      </c>
      <c r="D560" t="s">
        <v>2039</v>
      </c>
      <c r="E560" t="s">
        <v>2053</v>
      </c>
      <c r="F560" t="s">
        <v>2060</v>
      </c>
      <c r="G560">
        <v>5</v>
      </c>
      <c r="H560">
        <v>900</v>
      </c>
      <c r="I560">
        <v>1152</v>
      </c>
      <c r="J560">
        <v>11.47</v>
      </c>
      <c r="K560">
        <v>5099.5200000000004</v>
      </c>
      <c r="L560">
        <v>599.52</v>
      </c>
      <c r="M560">
        <v>66067.199999999997</v>
      </c>
      <c r="N560">
        <v>4500</v>
      </c>
      <c r="O560">
        <v>11.756400602409638</v>
      </c>
      <c r="P560" t="s">
        <v>2078</v>
      </c>
      <c r="Q560" t="s">
        <v>2092</v>
      </c>
    </row>
    <row r="561" spans="1:17" x14ac:dyDescent="0.25">
      <c r="A561" t="s">
        <v>1512</v>
      </c>
      <c r="B561" s="18">
        <v>45759</v>
      </c>
      <c r="C561" t="s">
        <v>2029</v>
      </c>
      <c r="D561" t="s">
        <v>2049</v>
      </c>
      <c r="E561" t="s">
        <v>2055</v>
      </c>
      <c r="F561" t="s">
        <v>2060</v>
      </c>
      <c r="G561">
        <v>1</v>
      </c>
      <c r="H561">
        <v>1200</v>
      </c>
      <c r="I561">
        <v>1464</v>
      </c>
      <c r="J561">
        <v>18.829999999999998</v>
      </c>
      <c r="K561">
        <v>1188.33</v>
      </c>
      <c r="L561">
        <v>-11.67</v>
      </c>
      <c r="M561">
        <v>27567.119999999999</v>
      </c>
      <c r="N561">
        <v>1200</v>
      </c>
      <c r="O561">
        <v>-0.98205044053419521</v>
      </c>
      <c r="P561" t="s">
        <v>2078</v>
      </c>
      <c r="Q561" t="s">
        <v>2093</v>
      </c>
    </row>
    <row r="562" spans="1:17" x14ac:dyDescent="0.25">
      <c r="A562" t="s">
        <v>1606</v>
      </c>
      <c r="B562" s="18">
        <v>45759</v>
      </c>
      <c r="C562" t="s">
        <v>2012</v>
      </c>
      <c r="D562" t="s">
        <v>2032</v>
      </c>
      <c r="E562" t="s">
        <v>2052</v>
      </c>
      <c r="F562" t="s">
        <v>2062</v>
      </c>
      <c r="G562">
        <v>5</v>
      </c>
      <c r="H562">
        <v>6500</v>
      </c>
      <c r="I562">
        <v>8125</v>
      </c>
      <c r="J562">
        <v>21.64</v>
      </c>
      <c r="K562">
        <v>31834.54</v>
      </c>
      <c r="L562">
        <v>-665.46</v>
      </c>
      <c r="M562">
        <v>879125</v>
      </c>
      <c r="N562">
        <v>32500</v>
      </c>
      <c r="O562">
        <v>-2.0903710246794835</v>
      </c>
      <c r="P562" t="s">
        <v>2078</v>
      </c>
      <c r="Q562" t="s">
        <v>2093</v>
      </c>
    </row>
    <row r="563" spans="1:17" x14ac:dyDescent="0.25">
      <c r="A563" t="s">
        <v>1886</v>
      </c>
      <c r="B563" s="18">
        <v>45759</v>
      </c>
      <c r="C563" t="s">
        <v>2018</v>
      </c>
      <c r="D563" t="s">
        <v>2038</v>
      </c>
      <c r="E563" t="s">
        <v>2053</v>
      </c>
      <c r="F563" t="s">
        <v>2059</v>
      </c>
      <c r="G563">
        <v>1</v>
      </c>
      <c r="H563">
        <v>500</v>
      </c>
      <c r="I563">
        <v>610</v>
      </c>
      <c r="J563">
        <v>9.1999999999999993</v>
      </c>
      <c r="K563">
        <v>553.88</v>
      </c>
      <c r="L563">
        <v>53.88</v>
      </c>
      <c r="M563">
        <v>5612</v>
      </c>
      <c r="N563">
        <v>500</v>
      </c>
      <c r="O563">
        <v>9.727738860402976</v>
      </c>
      <c r="P563" t="s">
        <v>2078</v>
      </c>
      <c r="Q563" t="s">
        <v>2091</v>
      </c>
    </row>
    <row r="564" spans="1:17" x14ac:dyDescent="0.25">
      <c r="A564" t="s">
        <v>160</v>
      </c>
      <c r="B564" s="18">
        <v>45760</v>
      </c>
      <c r="C564" t="s">
        <v>2012</v>
      </c>
      <c r="D564" t="s">
        <v>2032</v>
      </c>
      <c r="E564" t="s">
        <v>2052</v>
      </c>
      <c r="F564" t="s">
        <v>2060</v>
      </c>
      <c r="G564">
        <v>8</v>
      </c>
      <c r="H564">
        <v>6500</v>
      </c>
      <c r="I564">
        <v>8125</v>
      </c>
      <c r="J564">
        <v>7.78</v>
      </c>
      <c r="K564">
        <v>59942.51</v>
      </c>
      <c r="L564">
        <v>7942.51</v>
      </c>
      <c r="M564">
        <v>505700</v>
      </c>
      <c r="N564">
        <v>52000</v>
      </c>
      <c r="O564">
        <v>13.25021257868581</v>
      </c>
      <c r="P564" t="s">
        <v>2078</v>
      </c>
      <c r="Q564" t="s">
        <v>2092</v>
      </c>
    </row>
    <row r="565" spans="1:17" x14ac:dyDescent="0.25">
      <c r="A565" t="s">
        <v>995</v>
      </c>
      <c r="B565" s="18">
        <v>45760</v>
      </c>
      <c r="C565" t="s">
        <v>2030</v>
      </c>
      <c r="D565" t="s">
        <v>2050</v>
      </c>
      <c r="E565" t="s">
        <v>2058</v>
      </c>
      <c r="F565" t="s">
        <v>2061</v>
      </c>
      <c r="G565">
        <v>4</v>
      </c>
      <c r="H565">
        <v>1800</v>
      </c>
      <c r="I565">
        <v>2124</v>
      </c>
      <c r="J565">
        <v>21.12</v>
      </c>
      <c r="K565">
        <v>6701.95</v>
      </c>
      <c r="L565">
        <v>-498.05</v>
      </c>
      <c r="M565">
        <v>179435.52000000002</v>
      </c>
      <c r="N565">
        <v>7200</v>
      </c>
      <c r="O565">
        <v>-7.4314192138109068</v>
      </c>
      <c r="P565" t="s">
        <v>2078</v>
      </c>
      <c r="Q565" t="s">
        <v>2093</v>
      </c>
    </row>
    <row r="566" spans="1:17" x14ac:dyDescent="0.25">
      <c r="A566" t="s">
        <v>1801</v>
      </c>
      <c r="B566" s="18">
        <v>45760</v>
      </c>
      <c r="C566" t="s">
        <v>2020</v>
      </c>
      <c r="D566" t="s">
        <v>2040</v>
      </c>
      <c r="E566" t="s">
        <v>2053</v>
      </c>
      <c r="F566" t="s">
        <v>2061</v>
      </c>
      <c r="G566">
        <v>9</v>
      </c>
      <c r="H566">
        <v>350</v>
      </c>
      <c r="I566">
        <v>455</v>
      </c>
      <c r="J566">
        <v>5.61</v>
      </c>
      <c r="K566">
        <v>3865.13</v>
      </c>
      <c r="L566">
        <v>715.13</v>
      </c>
      <c r="M566">
        <v>22972.95</v>
      </c>
      <c r="N566">
        <v>3150</v>
      </c>
      <c r="O566">
        <v>18.502094366813019</v>
      </c>
      <c r="P566" t="s">
        <v>2078</v>
      </c>
      <c r="Q566" t="s">
        <v>2092</v>
      </c>
    </row>
    <row r="567" spans="1:17" x14ac:dyDescent="0.25">
      <c r="A567" t="s">
        <v>1836</v>
      </c>
      <c r="B567" s="18">
        <v>45760</v>
      </c>
      <c r="C567" t="s">
        <v>2023</v>
      </c>
      <c r="D567" t="s">
        <v>2043</v>
      </c>
      <c r="E567" t="s">
        <v>2053</v>
      </c>
      <c r="F567" t="s">
        <v>2059</v>
      </c>
      <c r="G567">
        <v>9</v>
      </c>
      <c r="H567">
        <v>550</v>
      </c>
      <c r="I567">
        <v>742.5</v>
      </c>
      <c r="J567">
        <v>7.78</v>
      </c>
      <c r="K567">
        <v>6162.66</v>
      </c>
      <c r="L567">
        <v>1212.6600000000001</v>
      </c>
      <c r="M567">
        <v>51989.85</v>
      </c>
      <c r="N567">
        <v>4950</v>
      </c>
      <c r="O567">
        <v>19.677541840698662</v>
      </c>
      <c r="P567" t="s">
        <v>2078</v>
      </c>
      <c r="Q567" t="s">
        <v>2092</v>
      </c>
    </row>
    <row r="568" spans="1:17" x14ac:dyDescent="0.25">
      <c r="A568" t="s">
        <v>37</v>
      </c>
      <c r="B568" s="18">
        <v>45761</v>
      </c>
      <c r="C568" t="s">
        <v>2021</v>
      </c>
      <c r="D568" t="s">
        <v>2041</v>
      </c>
      <c r="E568" t="s">
        <v>2056</v>
      </c>
      <c r="F568" t="s">
        <v>2059</v>
      </c>
      <c r="G568">
        <v>10</v>
      </c>
      <c r="H568">
        <v>300</v>
      </c>
      <c r="I568">
        <v>405</v>
      </c>
      <c r="J568">
        <v>6.07</v>
      </c>
      <c r="K568">
        <v>3804.18</v>
      </c>
      <c r="L568">
        <v>804.18</v>
      </c>
      <c r="M568">
        <v>24583.5</v>
      </c>
      <c r="N568">
        <v>3000</v>
      </c>
      <c r="O568">
        <v>21.139378262858223</v>
      </c>
      <c r="P568" t="s">
        <v>2078</v>
      </c>
      <c r="Q568" t="s">
        <v>2092</v>
      </c>
    </row>
    <row r="569" spans="1:17" x14ac:dyDescent="0.25">
      <c r="A569" t="s">
        <v>387</v>
      </c>
      <c r="B569" s="18">
        <v>45761</v>
      </c>
      <c r="C569" t="s">
        <v>2012</v>
      </c>
      <c r="D569" t="s">
        <v>2032</v>
      </c>
      <c r="E569" t="s">
        <v>2052</v>
      </c>
      <c r="F569" t="s">
        <v>2059</v>
      </c>
      <c r="G569">
        <v>6</v>
      </c>
      <c r="H569">
        <v>6500</v>
      </c>
      <c r="I569">
        <v>8125</v>
      </c>
      <c r="J569">
        <v>19.489999999999998</v>
      </c>
      <c r="K569">
        <v>39249.72</v>
      </c>
      <c r="L569">
        <v>249.72</v>
      </c>
      <c r="M569">
        <v>950137.49999999988</v>
      </c>
      <c r="N569">
        <v>39000</v>
      </c>
      <c r="O569">
        <v>0.63623383810126544</v>
      </c>
      <c r="P569" t="s">
        <v>2078</v>
      </c>
      <c r="Q569" t="s">
        <v>2091</v>
      </c>
    </row>
    <row r="570" spans="1:17" x14ac:dyDescent="0.25">
      <c r="A570" t="s">
        <v>683</v>
      </c>
      <c r="B570" s="18">
        <v>45761</v>
      </c>
      <c r="C570" t="s">
        <v>2022</v>
      </c>
      <c r="D570" t="s">
        <v>2042</v>
      </c>
      <c r="E570" t="s">
        <v>2053</v>
      </c>
      <c r="F570" t="s">
        <v>2062</v>
      </c>
      <c r="G570">
        <v>6</v>
      </c>
      <c r="H570">
        <v>8500</v>
      </c>
      <c r="I570">
        <v>9520</v>
      </c>
      <c r="J570">
        <v>20.170000000000002</v>
      </c>
      <c r="K570">
        <v>45599.96</v>
      </c>
      <c r="L570">
        <v>-5400.04</v>
      </c>
      <c r="M570">
        <v>1152110.4000000001</v>
      </c>
      <c r="N570">
        <v>51000</v>
      </c>
      <c r="O570">
        <v>-11.842203370353834</v>
      </c>
      <c r="P570" t="s">
        <v>2078</v>
      </c>
      <c r="Q570" t="s">
        <v>2093</v>
      </c>
    </row>
    <row r="571" spans="1:17" x14ac:dyDescent="0.25">
      <c r="A571" t="s">
        <v>1176</v>
      </c>
      <c r="B571" s="18">
        <v>45761</v>
      </c>
      <c r="C571" t="s">
        <v>2016</v>
      </c>
      <c r="D571" t="s">
        <v>2036</v>
      </c>
      <c r="E571" t="s">
        <v>2052</v>
      </c>
      <c r="F571" t="s">
        <v>2060</v>
      </c>
      <c r="G571">
        <v>5</v>
      </c>
      <c r="H571">
        <v>900</v>
      </c>
      <c r="I571">
        <v>1170</v>
      </c>
      <c r="J571">
        <v>0.12</v>
      </c>
      <c r="K571">
        <v>5843.15</v>
      </c>
      <c r="L571">
        <v>1343.15</v>
      </c>
      <c r="M571">
        <v>702</v>
      </c>
      <c r="N571">
        <v>4500</v>
      </c>
      <c r="O571">
        <v>22.986745163139748</v>
      </c>
      <c r="P571" t="s">
        <v>2078</v>
      </c>
      <c r="Q571" t="s">
        <v>2092</v>
      </c>
    </row>
    <row r="572" spans="1:17" x14ac:dyDescent="0.25">
      <c r="A572" t="s">
        <v>1303</v>
      </c>
      <c r="B572" s="18">
        <v>45761</v>
      </c>
      <c r="C572" t="s">
        <v>2030</v>
      </c>
      <c r="D572" t="s">
        <v>2050</v>
      </c>
      <c r="E572" t="s">
        <v>2058</v>
      </c>
      <c r="F572" t="s">
        <v>2061</v>
      </c>
      <c r="G572">
        <v>7</v>
      </c>
      <c r="H572">
        <v>1800</v>
      </c>
      <c r="I572">
        <v>2124</v>
      </c>
      <c r="J572">
        <v>6.99</v>
      </c>
      <c r="K572">
        <v>13829.28</v>
      </c>
      <c r="L572">
        <v>1229.28</v>
      </c>
      <c r="M572">
        <v>103927.32</v>
      </c>
      <c r="N572">
        <v>12600</v>
      </c>
      <c r="O572">
        <v>8.8889660199229468</v>
      </c>
      <c r="P572" t="s">
        <v>2078</v>
      </c>
      <c r="Q572" t="s">
        <v>2091</v>
      </c>
    </row>
    <row r="573" spans="1:17" x14ac:dyDescent="0.25">
      <c r="A573" t="s">
        <v>1529</v>
      </c>
      <c r="B573" s="18">
        <v>45761</v>
      </c>
      <c r="C573" t="s">
        <v>2030</v>
      </c>
      <c r="D573" t="s">
        <v>2050</v>
      </c>
      <c r="E573" t="s">
        <v>2058</v>
      </c>
      <c r="F573" t="s">
        <v>2059</v>
      </c>
      <c r="G573">
        <v>7</v>
      </c>
      <c r="H573">
        <v>1800</v>
      </c>
      <c r="I573">
        <v>2124</v>
      </c>
      <c r="J573">
        <v>10</v>
      </c>
      <c r="K573">
        <v>13381.14</v>
      </c>
      <c r="L573">
        <v>781.14</v>
      </c>
      <c r="M573">
        <v>148680</v>
      </c>
      <c r="N573">
        <v>12600</v>
      </c>
      <c r="O573">
        <v>5.8376192162999567</v>
      </c>
      <c r="P573" t="s">
        <v>2078</v>
      </c>
      <c r="Q573" t="s">
        <v>2091</v>
      </c>
    </row>
    <row r="574" spans="1:17" x14ac:dyDescent="0.25">
      <c r="A574" t="s">
        <v>1566</v>
      </c>
      <c r="B574" s="18">
        <v>45761</v>
      </c>
      <c r="C574" t="s">
        <v>2023</v>
      </c>
      <c r="D574" t="s">
        <v>2043</v>
      </c>
      <c r="E574" t="s">
        <v>2053</v>
      </c>
      <c r="F574" t="s">
        <v>2059</v>
      </c>
      <c r="G574">
        <v>1</v>
      </c>
      <c r="H574">
        <v>550</v>
      </c>
      <c r="I574">
        <v>742.5</v>
      </c>
      <c r="J574">
        <v>0</v>
      </c>
      <c r="K574">
        <v>742.5</v>
      </c>
      <c r="L574">
        <v>192.5</v>
      </c>
      <c r="M574">
        <v>0</v>
      </c>
      <c r="N574">
        <v>550</v>
      </c>
      <c r="O574">
        <v>25.925925925925924</v>
      </c>
      <c r="P574" t="s">
        <v>2078</v>
      </c>
      <c r="Q574" t="s">
        <v>2092</v>
      </c>
    </row>
    <row r="575" spans="1:17" x14ac:dyDescent="0.25">
      <c r="A575" t="s">
        <v>1577</v>
      </c>
      <c r="B575" s="18">
        <v>45761</v>
      </c>
      <c r="C575" t="s">
        <v>2031</v>
      </c>
      <c r="D575" t="s">
        <v>2051</v>
      </c>
      <c r="E575" t="s">
        <v>2058</v>
      </c>
      <c r="F575" t="s">
        <v>2062</v>
      </c>
      <c r="G575">
        <v>6</v>
      </c>
      <c r="H575">
        <v>3200</v>
      </c>
      <c r="I575">
        <v>3840</v>
      </c>
      <c r="J575">
        <v>22.54</v>
      </c>
      <c r="K575">
        <v>17846.060000000001</v>
      </c>
      <c r="L575">
        <v>-1353.94</v>
      </c>
      <c r="M575">
        <v>519321.59999999998</v>
      </c>
      <c r="N575">
        <v>19200</v>
      </c>
      <c r="O575">
        <v>-7.5867726545803382</v>
      </c>
      <c r="P575" t="s">
        <v>2078</v>
      </c>
      <c r="Q575" t="s">
        <v>2093</v>
      </c>
    </row>
    <row r="576" spans="1:17" x14ac:dyDescent="0.25">
      <c r="A576" t="s">
        <v>1896</v>
      </c>
      <c r="B576" s="18">
        <v>45761</v>
      </c>
      <c r="C576" t="s">
        <v>2029</v>
      </c>
      <c r="D576" t="s">
        <v>2049</v>
      </c>
      <c r="E576" t="s">
        <v>2055</v>
      </c>
      <c r="F576" t="s">
        <v>2061</v>
      </c>
      <c r="G576">
        <v>3</v>
      </c>
      <c r="H576">
        <v>1200</v>
      </c>
      <c r="I576">
        <v>1464</v>
      </c>
      <c r="J576">
        <v>2.33</v>
      </c>
      <c r="K576">
        <v>4289.7700000000004</v>
      </c>
      <c r="L576">
        <v>689.77</v>
      </c>
      <c r="M576">
        <v>10233.36</v>
      </c>
      <c r="N576">
        <v>3600</v>
      </c>
      <c r="O576">
        <v>16.079416845192167</v>
      </c>
      <c r="P576" t="s">
        <v>2078</v>
      </c>
      <c r="Q576" t="s">
        <v>2092</v>
      </c>
    </row>
    <row r="577" spans="1:17" x14ac:dyDescent="0.25">
      <c r="A577" t="s">
        <v>223</v>
      </c>
      <c r="B577" s="18">
        <v>45762</v>
      </c>
      <c r="C577" t="s">
        <v>2023</v>
      </c>
      <c r="D577" t="s">
        <v>2043</v>
      </c>
      <c r="E577" t="s">
        <v>2053</v>
      </c>
      <c r="F577" t="s">
        <v>2059</v>
      </c>
      <c r="G577">
        <v>3</v>
      </c>
      <c r="H577">
        <v>550</v>
      </c>
      <c r="I577">
        <v>742.5</v>
      </c>
      <c r="J577">
        <v>0</v>
      </c>
      <c r="K577">
        <v>2227.5</v>
      </c>
      <c r="L577">
        <v>577.5</v>
      </c>
      <c r="M577">
        <v>0</v>
      </c>
      <c r="N577">
        <v>1650</v>
      </c>
      <c r="O577">
        <v>25.925925925925924</v>
      </c>
      <c r="P577" t="s">
        <v>2078</v>
      </c>
      <c r="Q577" t="s">
        <v>2092</v>
      </c>
    </row>
    <row r="578" spans="1:17" x14ac:dyDescent="0.25">
      <c r="A578" t="s">
        <v>290</v>
      </c>
      <c r="B578" s="18">
        <v>45762</v>
      </c>
      <c r="C578" t="s">
        <v>2023</v>
      </c>
      <c r="D578" t="s">
        <v>2043</v>
      </c>
      <c r="E578" t="s">
        <v>2053</v>
      </c>
      <c r="F578" t="s">
        <v>2059</v>
      </c>
      <c r="G578">
        <v>7</v>
      </c>
      <c r="H578">
        <v>550</v>
      </c>
      <c r="I578">
        <v>742.5</v>
      </c>
      <c r="J578">
        <v>10.5</v>
      </c>
      <c r="K578">
        <v>4651.96</v>
      </c>
      <c r="L578">
        <v>801.96</v>
      </c>
      <c r="M578">
        <v>54573.75</v>
      </c>
      <c r="N578">
        <v>3850</v>
      </c>
      <c r="O578">
        <v>17.239185203656092</v>
      </c>
      <c r="P578" t="s">
        <v>2078</v>
      </c>
      <c r="Q578" t="s">
        <v>2092</v>
      </c>
    </row>
    <row r="579" spans="1:17" x14ac:dyDescent="0.25">
      <c r="A579" t="s">
        <v>1024</v>
      </c>
      <c r="B579" s="18">
        <v>45762</v>
      </c>
      <c r="C579" t="s">
        <v>2015</v>
      </c>
      <c r="D579" t="s">
        <v>2035</v>
      </c>
      <c r="E579" t="s">
        <v>2054</v>
      </c>
      <c r="F579" t="s">
        <v>2062</v>
      </c>
      <c r="G579">
        <v>2</v>
      </c>
      <c r="H579">
        <v>900</v>
      </c>
      <c r="I579">
        <v>1170</v>
      </c>
      <c r="J579">
        <v>5.25</v>
      </c>
      <c r="K579">
        <v>2217.23</v>
      </c>
      <c r="L579">
        <v>417.23</v>
      </c>
      <c r="M579">
        <v>12285</v>
      </c>
      <c r="N579">
        <v>1800</v>
      </c>
      <c r="O579">
        <v>18.817623791848387</v>
      </c>
      <c r="P579" t="s">
        <v>2078</v>
      </c>
      <c r="Q579" t="s">
        <v>2092</v>
      </c>
    </row>
    <row r="580" spans="1:17" x14ac:dyDescent="0.25">
      <c r="A580" t="s">
        <v>1767</v>
      </c>
      <c r="B580" s="18">
        <v>45762</v>
      </c>
      <c r="C580" t="s">
        <v>2026</v>
      </c>
      <c r="D580" t="s">
        <v>2046</v>
      </c>
      <c r="E580" t="s">
        <v>2052</v>
      </c>
      <c r="F580" t="s">
        <v>2060</v>
      </c>
      <c r="G580">
        <v>4</v>
      </c>
      <c r="H580">
        <v>3000</v>
      </c>
      <c r="I580">
        <v>3600</v>
      </c>
      <c r="J580">
        <v>12.57</v>
      </c>
      <c r="K580">
        <v>12589.85</v>
      </c>
      <c r="L580">
        <v>589.85</v>
      </c>
      <c r="M580">
        <v>181008</v>
      </c>
      <c r="N580">
        <v>12000</v>
      </c>
      <c r="O580">
        <v>4.6851233334789537</v>
      </c>
      <c r="P580" t="s">
        <v>2078</v>
      </c>
      <c r="Q580" t="s">
        <v>2091</v>
      </c>
    </row>
    <row r="581" spans="1:17" x14ac:dyDescent="0.25">
      <c r="A581" t="s">
        <v>23</v>
      </c>
      <c r="B581" s="18">
        <v>45763</v>
      </c>
      <c r="C581" t="s">
        <v>2019</v>
      </c>
      <c r="D581" t="s">
        <v>2039</v>
      </c>
      <c r="E581" t="s">
        <v>2053</v>
      </c>
      <c r="F581" t="s">
        <v>2059</v>
      </c>
      <c r="G581">
        <v>9</v>
      </c>
      <c r="H581">
        <v>900</v>
      </c>
      <c r="I581">
        <v>1152</v>
      </c>
      <c r="J581">
        <v>7.56</v>
      </c>
      <c r="K581">
        <v>9584.48</v>
      </c>
      <c r="L581">
        <v>1484.48</v>
      </c>
      <c r="M581">
        <v>78382.080000000002</v>
      </c>
      <c r="N581">
        <v>8100</v>
      </c>
      <c r="O581">
        <v>15.488372869472315</v>
      </c>
      <c r="P581" t="s">
        <v>2078</v>
      </c>
      <c r="Q581" t="s">
        <v>2092</v>
      </c>
    </row>
    <row r="582" spans="1:17" x14ac:dyDescent="0.25">
      <c r="A582" t="s">
        <v>545</v>
      </c>
      <c r="B582" s="18">
        <v>45763</v>
      </c>
      <c r="C582" t="s">
        <v>2025</v>
      </c>
      <c r="D582" t="s">
        <v>2045</v>
      </c>
      <c r="E582" t="s">
        <v>2057</v>
      </c>
      <c r="F582" t="s">
        <v>2060</v>
      </c>
      <c r="G582">
        <v>2</v>
      </c>
      <c r="H582">
        <v>45</v>
      </c>
      <c r="I582">
        <v>63</v>
      </c>
      <c r="J582">
        <v>11.18</v>
      </c>
      <c r="K582">
        <v>111.91</v>
      </c>
      <c r="L582">
        <v>21.91</v>
      </c>
      <c r="M582">
        <v>1408.68</v>
      </c>
      <c r="N582">
        <v>90</v>
      </c>
      <c r="O582">
        <v>19.578232508265572</v>
      </c>
      <c r="P582" t="s">
        <v>2078</v>
      </c>
      <c r="Q582" t="s">
        <v>2092</v>
      </c>
    </row>
    <row r="583" spans="1:17" x14ac:dyDescent="0.25">
      <c r="A583" t="s">
        <v>554</v>
      </c>
      <c r="B583" s="18">
        <v>45763</v>
      </c>
      <c r="C583" t="s">
        <v>2028</v>
      </c>
      <c r="D583" t="s">
        <v>2048</v>
      </c>
      <c r="E583" t="s">
        <v>2057</v>
      </c>
      <c r="F583" t="s">
        <v>2061</v>
      </c>
      <c r="G583">
        <v>8</v>
      </c>
      <c r="H583">
        <v>80</v>
      </c>
      <c r="I583">
        <v>116</v>
      </c>
      <c r="J583">
        <v>13.13</v>
      </c>
      <c r="K583">
        <v>806.13</v>
      </c>
      <c r="L583">
        <v>166.13</v>
      </c>
      <c r="M583">
        <v>12184.640000000001</v>
      </c>
      <c r="N583">
        <v>640</v>
      </c>
      <c r="O583">
        <v>20.608338605435847</v>
      </c>
      <c r="P583" t="s">
        <v>2078</v>
      </c>
      <c r="Q583" t="s">
        <v>2092</v>
      </c>
    </row>
    <row r="584" spans="1:17" x14ac:dyDescent="0.25">
      <c r="A584" t="s">
        <v>960</v>
      </c>
      <c r="B584" s="18">
        <v>45763</v>
      </c>
      <c r="C584" t="s">
        <v>2025</v>
      </c>
      <c r="D584" t="s">
        <v>2045</v>
      </c>
      <c r="E584" t="s">
        <v>2057</v>
      </c>
      <c r="F584" t="s">
        <v>2060</v>
      </c>
      <c r="G584">
        <v>6</v>
      </c>
      <c r="H584">
        <v>45</v>
      </c>
      <c r="I584">
        <v>63</v>
      </c>
      <c r="J584">
        <v>0</v>
      </c>
      <c r="K584">
        <v>378</v>
      </c>
      <c r="L584">
        <v>108</v>
      </c>
      <c r="M584">
        <v>0</v>
      </c>
      <c r="N584">
        <v>270</v>
      </c>
      <c r="O584">
        <v>28.571428571428569</v>
      </c>
      <c r="P584" t="s">
        <v>2078</v>
      </c>
      <c r="Q584" t="s">
        <v>2092</v>
      </c>
    </row>
    <row r="585" spans="1:17" x14ac:dyDescent="0.25">
      <c r="A585" t="s">
        <v>501</v>
      </c>
      <c r="B585" s="18">
        <v>45764</v>
      </c>
      <c r="C585" t="s">
        <v>2026</v>
      </c>
      <c r="D585" t="s">
        <v>2046</v>
      </c>
      <c r="E585" t="s">
        <v>2052</v>
      </c>
      <c r="F585" t="s">
        <v>2059</v>
      </c>
      <c r="G585">
        <v>4</v>
      </c>
      <c r="H585">
        <v>3000</v>
      </c>
      <c r="I585">
        <v>3600</v>
      </c>
      <c r="J585">
        <v>11.68</v>
      </c>
      <c r="K585">
        <v>12717.53</v>
      </c>
      <c r="L585">
        <v>717.53</v>
      </c>
      <c r="M585">
        <v>168192</v>
      </c>
      <c r="N585">
        <v>12000</v>
      </c>
      <c r="O585">
        <v>5.6420547071640481</v>
      </c>
      <c r="P585" t="s">
        <v>2078</v>
      </c>
      <c r="Q585" t="s">
        <v>2091</v>
      </c>
    </row>
    <row r="586" spans="1:17" x14ac:dyDescent="0.25">
      <c r="A586" t="s">
        <v>563</v>
      </c>
      <c r="B586" s="18">
        <v>45764</v>
      </c>
      <c r="C586" t="s">
        <v>2021</v>
      </c>
      <c r="D586" t="s">
        <v>2041</v>
      </c>
      <c r="E586" t="s">
        <v>2056</v>
      </c>
      <c r="F586" t="s">
        <v>2059</v>
      </c>
      <c r="G586">
        <v>7</v>
      </c>
      <c r="H586">
        <v>300</v>
      </c>
      <c r="I586">
        <v>405</v>
      </c>
      <c r="J586">
        <v>12.42</v>
      </c>
      <c r="K586">
        <v>2482.9899999999998</v>
      </c>
      <c r="L586">
        <v>382.99</v>
      </c>
      <c r="M586">
        <v>35210.699999999997</v>
      </c>
      <c r="N586">
        <v>2100</v>
      </c>
      <c r="O586">
        <v>15.424548628870838</v>
      </c>
      <c r="P586" t="s">
        <v>2078</v>
      </c>
      <c r="Q586" t="s">
        <v>2092</v>
      </c>
    </row>
    <row r="587" spans="1:17" x14ac:dyDescent="0.25">
      <c r="A587" t="s">
        <v>701</v>
      </c>
      <c r="B587" s="18">
        <v>45764</v>
      </c>
      <c r="C587" t="s">
        <v>2015</v>
      </c>
      <c r="D587" t="s">
        <v>2035</v>
      </c>
      <c r="E587" t="s">
        <v>2054</v>
      </c>
      <c r="F587" t="s">
        <v>2060</v>
      </c>
      <c r="G587">
        <v>1</v>
      </c>
      <c r="H587">
        <v>900</v>
      </c>
      <c r="I587">
        <v>1170</v>
      </c>
      <c r="J587">
        <v>19.14</v>
      </c>
      <c r="K587">
        <v>946.07</v>
      </c>
      <c r="L587">
        <v>46.07</v>
      </c>
      <c r="M587">
        <v>22393.8</v>
      </c>
      <c r="N587">
        <v>900</v>
      </c>
      <c r="O587">
        <v>4.8696185271702932</v>
      </c>
      <c r="P587" t="s">
        <v>2078</v>
      </c>
      <c r="Q587" t="s">
        <v>2091</v>
      </c>
    </row>
    <row r="588" spans="1:17" x14ac:dyDescent="0.25">
      <c r="A588" t="s">
        <v>1061</v>
      </c>
      <c r="B588" s="18">
        <v>45764</v>
      </c>
      <c r="C588" t="s">
        <v>2025</v>
      </c>
      <c r="D588" t="s">
        <v>2045</v>
      </c>
      <c r="E588" t="s">
        <v>2057</v>
      </c>
      <c r="F588" t="s">
        <v>2061</v>
      </c>
      <c r="G588">
        <v>5</v>
      </c>
      <c r="H588">
        <v>45</v>
      </c>
      <c r="I588">
        <v>63</v>
      </c>
      <c r="J588">
        <v>2.72</v>
      </c>
      <c r="K588">
        <v>306.44</v>
      </c>
      <c r="L588">
        <v>81.44</v>
      </c>
      <c r="M588">
        <v>856.80000000000007</v>
      </c>
      <c r="N588">
        <v>225</v>
      </c>
      <c r="O588">
        <v>26.576164991515466</v>
      </c>
      <c r="P588" t="s">
        <v>2078</v>
      </c>
      <c r="Q588" t="s">
        <v>2092</v>
      </c>
    </row>
    <row r="589" spans="1:17" x14ac:dyDescent="0.25">
      <c r="A589" t="s">
        <v>1407</v>
      </c>
      <c r="B589" s="18">
        <v>45764</v>
      </c>
      <c r="C589" t="s">
        <v>2026</v>
      </c>
      <c r="D589" t="s">
        <v>2046</v>
      </c>
      <c r="E589" t="s">
        <v>2052</v>
      </c>
      <c r="F589" t="s">
        <v>2061</v>
      </c>
      <c r="G589">
        <v>4</v>
      </c>
      <c r="H589">
        <v>3000</v>
      </c>
      <c r="I589">
        <v>3600</v>
      </c>
      <c r="J589">
        <v>13.85</v>
      </c>
      <c r="K589">
        <v>12405.06</v>
      </c>
      <c r="L589">
        <v>405.06</v>
      </c>
      <c r="M589">
        <v>199440</v>
      </c>
      <c r="N589">
        <v>12000</v>
      </c>
      <c r="O589">
        <v>3.2652804581356318</v>
      </c>
      <c r="P589" t="s">
        <v>2078</v>
      </c>
      <c r="Q589" t="s">
        <v>2091</v>
      </c>
    </row>
    <row r="590" spans="1:17" x14ac:dyDescent="0.25">
      <c r="A590" t="s">
        <v>1681</v>
      </c>
      <c r="B590" s="18">
        <v>45764</v>
      </c>
      <c r="C590" t="s">
        <v>2020</v>
      </c>
      <c r="D590" t="s">
        <v>2040</v>
      </c>
      <c r="E590" t="s">
        <v>2053</v>
      </c>
      <c r="F590" t="s">
        <v>2059</v>
      </c>
      <c r="G590">
        <v>9</v>
      </c>
      <c r="H590">
        <v>350</v>
      </c>
      <c r="I590">
        <v>455</v>
      </c>
      <c r="J590">
        <v>16.07</v>
      </c>
      <c r="K590">
        <v>3436.99</v>
      </c>
      <c r="L590">
        <v>286.99</v>
      </c>
      <c r="M590">
        <v>65806.649999999994</v>
      </c>
      <c r="N590">
        <v>3150</v>
      </c>
      <c r="O590">
        <v>8.3500388421263967</v>
      </c>
      <c r="P590" t="s">
        <v>2078</v>
      </c>
      <c r="Q590" t="s">
        <v>2091</v>
      </c>
    </row>
    <row r="591" spans="1:17" x14ac:dyDescent="0.25">
      <c r="A591" t="s">
        <v>373</v>
      </c>
      <c r="B591" s="18">
        <v>45765</v>
      </c>
      <c r="C591" t="s">
        <v>2024</v>
      </c>
      <c r="D591" t="s">
        <v>2044</v>
      </c>
      <c r="E591" t="s">
        <v>2055</v>
      </c>
      <c r="F591" t="s">
        <v>2060</v>
      </c>
      <c r="G591">
        <v>3</v>
      </c>
      <c r="H591">
        <v>180</v>
      </c>
      <c r="I591">
        <v>243</v>
      </c>
      <c r="J591">
        <v>4.2300000000000004</v>
      </c>
      <c r="K591">
        <v>698.17</v>
      </c>
      <c r="L591">
        <v>158.16999999999999</v>
      </c>
      <c r="M591">
        <v>3083.6700000000005</v>
      </c>
      <c r="N591">
        <v>540</v>
      </c>
      <c r="O591">
        <v>22.654940773737057</v>
      </c>
      <c r="P591" t="s">
        <v>2078</v>
      </c>
      <c r="Q591" t="s">
        <v>2092</v>
      </c>
    </row>
    <row r="592" spans="1:17" x14ac:dyDescent="0.25">
      <c r="A592" t="s">
        <v>765</v>
      </c>
      <c r="B592" s="18">
        <v>45765</v>
      </c>
      <c r="C592" t="s">
        <v>2025</v>
      </c>
      <c r="D592" t="s">
        <v>2045</v>
      </c>
      <c r="E592" t="s">
        <v>2057</v>
      </c>
      <c r="F592" t="s">
        <v>2061</v>
      </c>
      <c r="G592">
        <v>1</v>
      </c>
      <c r="H592">
        <v>45</v>
      </c>
      <c r="I592">
        <v>63</v>
      </c>
      <c r="J592">
        <v>19.12</v>
      </c>
      <c r="K592">
        <v>50.95</v>
      </c>
      <c r="L592">
        <v>5.95</v>
      </c>
      <c r="M592">
        <v>1204.5600000000002</v>
      </c>
      <c r="N592">
        <v>45</v>
      </c>
      <c r="O592">
        <v>11.678115799803729</v>
      </c>
      <c r="P592" t="s">
        <v>2078</v>
      </c>
      <c r="Q592" t="s">
        <v>2092</v>
      </c>
    </row>
    <row r="593" spans="1:17" x14ac:dyDescent="0.25">
      <c r="A593" t="s">
        <v>986</v>
      </c>
      <c r="B593" s="18">
        <v>45765</v>
      </c>
      <c r="C593" t="s">
        <v>2028</v>
      </c>
      <c r="D593" t="s">
        <v>2048</v>
      </c>
      <c r="E593" t="s">
        <v>2057</v>
      </c>
      <c r="F593" t="s">
        <v>2061</v>
      </c>
      <c r="G593">
        <v>2</v>
      </c>
      <c r="H593">
        <v>80</v>
      </c>
      <c r="I593">
        <v>116</v>
      </c>
      <c r="J593">
        <v>13.28</v>
      </c>
      <c r="K593">
        <v>201.2</v>
      </c>
      <c r="L593">
        <v>41.2</v>
      </c>
      <c r="M593">
        <v>3080.96</v>
      </c>
      <c r="N593">
        <v>160</v>
      </c>
      <c r="O593">
        <v>20.477137176938374</v>
      </c>
      <c r="P593" t="s">
        <v>2078</v>
      </c>
      <c r="Q593" t="s">
        <v>2092</v>
      </c>
    </row>
    <row r="594" spans="1:17" x14ac:dyDescent="0.25">
      <c r="A594" t="s">
        <v>1213</v>
      </c>
      <c r="B594" s="18">
        <v>45765</v>
      </c>
      <c r="C594" t="s">
        <v>2021</v>
      </c>
      <c r="D594" t="s">
        <v>2041</v>
      </c>
      <c r="E594" t="s">
        <v>2056</v>
      </c>
      <c r="F594" t="s">
        <v>2061</v>
      </c>
      <c r="G594">
        <v>4</v>
      </c>
      <c r="H594">
        <v>300</v>
      </c>
      <c r="I594">
        <v>405</v>
      </c>
      <c r="J594">
        <v>7.32</v>
      </c>
      <c r="K594">
        <v>1501.37</v>
      </c>
      <c r="L594">
        <v>301.37</v>
      </c>
      <c r="M594">
        <v>11858.4</v>
      </c>
      <c r="N594">
        <v>1200</v>
      </c>
      <c r="O594">
        <v>20.072999993339419</v>
      </c>
      <c r="P594" t="s">
        <v>2078</v>
      </c>
      <c r="Q594" t="s">
        <v>2092</v>
      </c>
    </row>
    <row r="595" spans="1:17" x14ac:dyDescent="0.25">
      <c r="A595" t="s">
        <v>1644</v>
      </c>
      <c r="B595" s="18">
        <v>45765</v>
      </c>
      <c r="C595" t="s">
        <v>2024</v>
      </c>
      <c r="D595" t="s">
        <v>2044</v>
      </c>
      <c r="E595" t="s">
        <v>2055</v>
      </c>
      <c r="F595" t="s">
        <v>2061</v>
      </c>
      <c r="G595">
        <v>5</v>
      </c>
      <c r="H595">
        <v>180</v>
      </c>
      <c r="I595">
        <v>243</v>
      </c>
      <c r="J595">
        <v>8.8000000000000007</v>
      </c>
      <c r="K595">
        <v>1108.1099999999999</v>
      </c>
      <c r="L595">
        <v>208.11</v>
      </c>
      <c r="M595">
        <v>10692</v>
      </c>
      <c r="N595">
        <v>900</v>
      </c>
      <c r="O595">
        <v>18.780626472101147</v>
      </c>
      <c r="P595" t="s">
        <v>2078</v>
      </c>
      <c r="Q595" t="s">
        <v>2092</v>
      </c>
    </row>
    <row r="596" spans="1:17" x14ac:dyDescent="0.25">
      <c r="A596" t="s">
        <v>1675</v>
      </c>
      <c r="B596" s="18">
        <v>45765</v>
      </c>
      <c r="C596" t="s">
        <v>2018</v>
      </c>
      <c r="D596" t="s">
        <v>2038</v>
      </c>
      <c r="E596" t="s">
        <v>2053</v>
      </c>
      <c r="F596" t="s">
        <v>2059</v>
      </c>
      <c r="G596">
        <v>10</v>
      </c>
      <c r="H596">
        <v>500</v>
      </c>
      <c r="I596">
        <v>610</v>
      </c>
      <c r="J596">
        <v>0</v>
      </c>
      <c r="K596">
        <v>6100</v>
      </c>
      <c r="L596">
        <v>1100</v>
      </c>
      <c r="M596">
        <v>0</v>
      </c>
      <c r="N596">
        <v>5000</v>
      </c>
      <c r="O596">
        <v>18.032786885245901</v>
      </c>
      <c r="P596" t="s">
        <v>2078</v>
      </c>
      <c r="Q596" t="s">
        <v>2092</v>
      </c>
    </row>
    <row r="597" spans="1:17" x14ac:dyDescent="0.25">
      <c r="A597" t="s">
        <v>257</v>
      </c>
      <c r="B597" s="18">
        <v>45766</v>
      </c>
      <c r="C597" t="s">
        <v>2026</v>
      </c>
      <c r="D597" t="s">
        <v>2046</v>
      </c>
      <c r="E597" t="s">
        <v>2052</v>
      </c>
      <c r="F597" t="s">
        <v>2061</v>
      </c>
      <c r="G597">
        <v>3</v>
      </c>
      <c r="H597">
        <v>3000</v>
      </c>
      <c r="I597">
        <v>3600</v>
      </c>
      <c r="J597">
        <v>21.66</v>
      </c>
      <c r="K597">
        <v>8460.68</v>
      </c>
      <c r="L597">
        <v>-539.32000000000005</v>
      </c>
      <c r="M597">
        <v>233928</v>
      </c>
      <c r="N597">
        <v>9000</v>
      </c>
      <c r="O597">
        <v>-6.3744285329311587</v>
      </c>
      <c r="P597" t="s">
        <v>2078</v>
      </c>
      <c r="Q597" t="s">
        <v>2093</v>
      </c>
    </row>
    <row r="598" spans="1:17" x14ac:dyDescent="0.25">
      <c r="A598" t="s">
        <v>458</v>
      </c>
      <c r="B598" s="18">
        <v>45766</v>
      </c>
      <c r="C598" t="s">
        <v>2018</v>
      </c>
      <c r="D598" t="s">
        <v>2038</v>
      </c>
      <c r="E598" t="s">
        <v>2053</v>
      </c>
      <c r="F598" t="s">
        <v>2061</v>
      </c>
      <c r="G598">
        <v>1</v>
      </c>
      <c r="H598">
        <v>500</v>
      </c>
      <c r="I598">
        <v>610</v>
      </c>
      <c r="J598">
        <v>17.73</v>
      </c>
      <c r="K598">
        <v>501.84</v>
      </c>
      <c r="L598">
        <v>1.84</v>
      </c>
      <c r="M598">
        <v>10815.300000000001</v>
      </c>
      <c r="N598">
        <v>500</v>
      </c>
      <c r="O598">
        <v>0.36665072533078275</v>
      </c>
      <c r="P598" t="s">
        <v>2078</v>
      </c>
      <c r="Q598" t="s">
        <v>2091</v>
      </c>
    </row>
    <row r="599" spans="1:17" x14ac:dyDescent="0.25">
      <c r="A599" t="s">
        <v>713</v>
      </c>
      <c r="B599" s="18">
        <v>45766</v>
      </c>
      <c r="C599" t="s">
        <v>2018</v>
      </c>
      <c r="D599" t="s">
        <v>2038</v>
      </c>
      <c r="E599" t="s">
        <v>2053</v>
      </c>
      <c r="F599" t="s">
        <v>2062</v>
      </c>
      <c r="G599">
        <v>2</v>
      </c>
      <c r="H599">
        <v>500</v>
      </c>
      <c r="I599">
        <v>610</v>
      </c>
      <c r="J599">
        <v>1.31</v>
      </c>
      <c r="K599">
        <v>1203.98</v>
      </c>
      <c r="L599">
        <v>203.98</v>
      </c>
      <c r="M599">
        <v>1598.2</v>
      </c>
      <c r="N599">
        <v>1000</v>
      </c>
      <c r="O599">
        <v>16.942141896044784</v>
      </c>
      <c r="P599" t="s">
        <v>2078</v>
      </c>
      <c r="Q599" t="s">
        <v>2092</v>
      </c>
    </row>
    <row r="600" spans="1:17" x14ac:dyDescent="0.25">
      <c r="A600" t="s">
        <v>937</v>
      </c>
      <c r="B600" s="18">
        <v>45766</v>
      </c>
      <c r="C600" t="s">
        <v>2023</v>
      </c>
      <c r="D600" t="s">
        <v>2043</v>
      </c>
      <c r="E600" t="s">
        <v>2053</v>
      </c>
      <c r="F600" t="s">
        <v>2059</v>
      </c>
      <c r="G600">
        <v>10</v>
      </c>
      <c r="H600">
        <v>550</v>
      </c>
      <c r="I600">
        <v>742.5</v>
      </c>
      <c r="J600">
        <v>13.63</v>
      </c>
      <c r="K600">
        <v>6412.73</v>
      </c>
      <c r="L600">
        <v>912.73</v>
      </c>
      <c r="M600">
        <v>101202.75</v>
      </c>
      <c r="N600">
        <v>5500</v>
      </c>
      <c r="O600">
        <v>14.233095733018544</v>
      </c>
      <c r="P600" t="s">
        <v>2078</v>
      </c>
      <c r="Q600" t="s">
        <v>2092</v>
      </c>
    </row>
    <row r="601" spans="1:17" x14ac:dyDescent="0.25">
      <c r="A601" t="s">
        <v>990</v>
      </c>
      <c r="B601" s="18">
        <v>45766</v>
      </c>
      <c r="C601" t="s">
        <v>2028</v>
      </c>
      <c r="D601" t="s">
        <v>2048</v>
      </c>
      <c r="E601" t="s">
        <v>2057</v>
      </c>
      <c r="F601" t="s">
        <v>2060</v>
      </c>
      <c r="G601">
        <v>4</v>
      </c>
      <c r="H601">
        <v>80</v>
      </c>
      <c r="I601">
        <v>116</v>
      </c>
      <c r="J601">
        <v>9.52</v>
      </c>
      <c r="K601">
        <v>419.83</v>
      </c>
      <c r="L601">
        <v>99.83</v>
      </c>
      <c r="M601">
        <v>4417.28</v>
      </c>
      <c r="N601">
        <v>320</v>
      </c>
      <c r="O601">
        <v>23.77867231974847</v>
      </c>
      <c r="P601" t="s">
        <v>2078</v>
      </c>
      <c r="Q601" t="s">
        <v>2092</v>
      </c>
    </row>
    <row r="602" spans="1:17" x14ac:dyDescent="0.25">
      <c r="A602" t="s">
        <v>1143</v>
      </c>
      <c r="B602" s="18">
        <v>45766</v>
      </c>
      <c r="C602" t="s">
        <v>2029</v>
      </c>
      <c r="D602" t="s">
        <v>2049</v>
      </c>
      <c r="E602" t="s">
        <v>2055</v>
      </c>
      <c r="F602" t="s">
        <v>2059</v>
      </c>
      <c r="G602">
        <v>8</v>
      </c>
      <c r="H602">
        <v>1200</v>
      </c>
      <c r="I602">
        <v>1464</v>
      </c>
      <c r="J602">
        <v>7.03</v>
      </c>
      <c r="K602">
        <v>10888.28</v>
      </c>
      <c r="L602">
        <v>1288.28</v>
      </c>
      <c r="M602">
        <v>82335.360000000001</v>
      </c>
      <c r="N602">
        <v>9600</v>
      </c>
      <c r="O602">
        <v>11.831804472331717</v>
      </c>
      <c r="P602" t="s">
        <v>2078</v>
      </c>
      <c r="Q602" t="s">
        <v>2092</v>
      </c>
    </row>
    <row r="603" spans="1:17" x14ac:dyDescent="0.25">
      <c r="A603" t="s">
        <v>1157</v>
      </c>
      <c r="B603" s="18">
        <v>45766</v>
      </c>
      <c r="C603" t="s">
        <v>2021</v>
      </c>
      <c r="D603" t="s">
        <v>2041</v>
      </c>
      <c r="E603" t="s">
        <v>2056</v>
      </c>
      <c r="F603" t="s">
        <v>2061</v>
      </c>
      <c r="G603">
        <v>7</v>
      </c>
      <c r="H603">
        <v>300</v>
      </c>
      <c r="I603">
        <v>405</v>
      </c>
      <c r="J603">
        <v>11.75</v>
      </c>
      <c r="K603">
        <v>2502.0100000000002</v>
      </c>
      <c r="L603">
        <v>402.01</v>
      </c>
      <c r="M603">
        <v>33311.25</v>
      </c>
      <c r="N603">
        <v>2100</v>
      </c>
      <c r="O603">
        <v>16.067481744677277</v>
      </c>
      <c r="P603" t="s">
        <v>2078</v>
      </c>
      <c r="Q603" t="s">
        <v>2092</v>
      </c>
    </row>
    <row r="604" spans="1:17" x14ac:dyDescent="0.25">
      <c r="A604" t="s">
        <v>1468</v>
      </c>
      <c r="B604" s="18">
        <v>45766</v>
      </c>
      <c r="C604" t="s">
        <v>2021</v>
      </c>
      <c r="D604" t="s">
        <v>2041</v>
      </c>
      <c r="E604" t="s">
        <v>2056</v>
      </c>
      <c r="F604" t="s">
        <v>2062</v>
      </c>
      <c r="G604">
        <v>6</v>
      </c>
      <c r="H604">
        <v>300</v>
      </c>
      <c r="I604">
        <v>405</v>
      </c>
      <c r="J604">
        <v>7.62</v>
      </c>
      <c r="K604">
        <v>2244.7399999999998</v>
      </c>
      <c r="L604">
        <v>444.74</v>
      </c>
      <c r="M604">
        <v>18516.599999999999</v>
      </c>
      <c r="N604">
        <v>1800</v>
      </c>
      <c r="O604">
        <v>19.812539536872869</v>
      </c>
      <c r="P604" t="s">
        <v>2078</v>
      </c>
      <c r="Q604" t="s">
        <v>2092</v>
      </c>
    </row>
    <row r="605" spans="1:17" x14ac:dyDescent="0.25">
      <c r="A605" t="s">
        <v>1782</v>
      </c>
      <c r="B605" s="18">
        <v>45766</v>
      </c>
      <c r="C605" t="s">
        <v>2029</v>
      </c>
      <c r="D605" t="s">
        <v>2049</v>
      </c>
      <c r="E605" t="s">
        <v>2055</v>
      </c>
      <c r="F605" t="s">
        <v>2060</v>
      </c>
      <c r="G605">
        <v>2</v>
      </c>
      <c r="H605">
        <v>1200</v>
      </c>
      <c r="I605">
        <v>1464</v>
      </c>
      <c r="J605">
        <v>12.09</v>
      </c>
      <c r="K605">
        <v>2573.9299999999998</v>
      </c>
      <c r="L605">
        <v>173.93</v>
      </c>
      <c r="M605">
        <v>35399.519999999997</v>
      </c>
      <c r="N605">
        <v>2400</v>
      </c>
      <c r="O605">
        <v>6.7573710240760239</v>
      </c>
      <c r="P605" t="s">
        <v>2078</v>
      </c>
      <c r="Q605" t="s">
        <v>2091</v>
      </c>
    </row>
    <row r="606" spans="1:17" x14ac:dyDescent="0.25">
      <c r="A606" t="s">
        <v>1796</v>
      </c>
      <c r="B606" s="18">
        <v>45766</v>
      </c>
      <c r="C606" t="s">
        <v>2026</v>
      </c>
      <c r="D606" t="s">
        <v>2046</v>
      </c>
      <c r="E606" t="s">
        <v>2052</v>
      </c>
      <c r="F606" t="s">
        <v>2060</v>
      </c>
      <c r="G606">
        <v>1</v>
      </c>
      <c r="H606">
        <v>3000</v>
      </c>
      <c r="I606">
        <v>3600</v>
      </c>
      <c r="J606">
        <v>13.45</v>
      </c>
      <c r="K606">
        <v>3115.79</v>
      </c>
      <c r="L606">
        <v>115.79</v>
      </c>
      <c r="M606">
        <v>48420</v>
      </c>
      <c r="N606">
        <v>3000</v>
      </c>
      <c r="O606">
        <v>3.7162324803661355</v>
      </c>
      <c r="P606" t="s">
        <v>2078</v>
      </c>
      <c r="Q606" t="s">
        <v>2091</v>
      </c>
    </row>
    <row r="607" spans="1:17" x14ac:dyDescent="0.25">
      <c r="A607" t="s">
        <v>1920</v>
      </c>
      <c r="B607" s="18">
        <v>45766</v>
      </c>
      <c r="C607" t="s">
        <v>2031</v>
      </c>
      <c r="D607" t="s">
        <v>2051</v>
      </c>
      <c r="E607" t="s">
        <v>2058</v>
      </c>
      <c r="F607" t="s">
        <v>2062</v>
      </c>
      <c r="G607">
        <v>8</v>
      </c>
      <c r="H607">
        <v>3200</v>
      </c>
      <c r="I607">
        <v>3840</v>
      </c>
      <c r="J607">
        <v>9.86</v>
      </c>
      <c r="K607">
        <v>27691.26</v>
      </c>
      <c r="L607">
        <v>2091.2600000000002</v>
      </c>
      <c r="M607">
        <v>302899.19999999995</v>
      </c>
      <c r="N607">
        <v>25600</v>
      </c>
      <c r="O607">
        <v>7.5520579417476865</v>
      </c>
      <c r="P607" t="s">
        <v>2078</v>
      </c>
      <c r="Q607" t="s">
        <v>2091</v>
      </c>
    </row>
    <row r="608" spans="1:17" x14ac:dyDescent="0.25">
      <c r="A608" t="s">
        <v>110</v>
      </c>
      <c r="B608" s="18">
        <v>45767</v>
      </c>
      <c r="C608" t="s">
        <v>2026</v>
      </c>
      <c r="D608" t="s">
        <v>2046</v>
      </c>
      <c r="E608" t="s">
        <v>2052</v>
      </c>
      <c r="F608" t="s">
        <v>2061</v>
      </c>
      <c r="G608">
        <v>4</v>
      </c>
      <c r="H608">
        <v>3000</v>
      </c>
      <c r="I608">
        <v>3600</v>
      </c>
      <c r="J608">
        <v>11.63</v>
      </c>
      <c r="K608">
        <v>12725.29</v>
      </c>
      <c r="L608">
        <v>725.29</v>
      </c>
      <c r="M608">
        <v>167472</v>
      </c>
      <c r="N608">
        <v>12000</v>
      </c>
      <c r="O608">
        <v>5.6995950583444452</v>
      </c>
      <c r="P608" t="s">
        <v>2078</v>
      </c>
      <c r="Q608" t="s">
        <v>2091</v>
      </c>
    </row>
    <row r="609" spans="1:17" x14ac:dyDescent="0.25">
      <c r="A609" t="s">
        <v>829</v>
      </c>
      <c r="B609" s="18">
        <v>45767</v>
      </c>
      <c r="C609" t="s">
        <v>2018</v>
      </c>
      <c r="D609" t="s">
        <v>2038</v>
      </c>
      <c r="E609" t="s">
        <v>2053</v>
      </c>
      <c r="F609" t="s">
        <v>2060</v>
      </c>
      <c r="G609">
        <v>8</v>
      </c>
      <c r="H609">
        <v>500</v>
      </c>
      <c r="I609">
        <v>610</v>
      </c>
      <c r="J609">
        <v>13.32</v>
      </c>
      <c r="K609">
        <v>4229.8999999999996</v>
      </c>
      <c r="L609">
        <v>229.9</v>
      </c>
      <c r="M609">
        <v>65001.599999999999</v>
      </c>
      <c r="N609">
        <v>4000</v>
      </c>
      <c r="O609">
        <v>5.4351166694248096</v>
      </c>
      <c r="P609" t="s">
        <v>2078</v>
      </c>
      <c r="Q609" t="s">
        <v>2091</v>
      </c>
    </row>
    <row r="610" spans="1:17" x14ac:dyDescent="0.25">
      <c r="A610" t="s">
        <v>864</v>
      </c>
      <c r="B610" s="18">
        <v>45767</v>
      </c>
      <c r="C610" t="s">
        <v>2014</v>
      </c>
      <c r="D610" t="s">
        <v>2034</v>
      </c>
      <c r="E610" t="s">
        <v>2052</v>
      </c>
      <c r="F610" t="s">
        <v>2059</v>
      </c>
      <c r="G610">
        <v>3</v>
      </c>
      <c r="H610">
        <v>4500</v>
      </c>
      <c r="I610">
        <v>5220</v>
      </c>
      <c r="J610">
        <v>15.99</v>
      </c>
      <c r="K610">
        <v>13155.74</v>
      </c>
      <c r="L610">
        <v>-344.26</v>
      </c>
      <c r="M610">
        <v>250403.4</v>
      </c>
      <c r="N610">
        <v>13500</v>
      </c>
      <c r="O610">
        <v>-2.6168045279094905</v>
      </c>
      <c r="P610" t="s">
        <v>2078</v>
      </c>
      <c r="Q610" t="s">
        <v>2093</v>
      </c>
    </row>
    <row r="611" spans="1:17" x14ac:dyDescent="0.25">
      <c r="A611" t="s">
        <v>278</v>
      </c>
      <c r="B611" s="18">
        <v>45768</v>
      </c>
      <c r="C611" t="s">
        <v>2026</v>
      </c>
      <c r="D611" t="s">
        <v>2046</v>
      </c>
      <c r="E611" t="s">
        <v>2052</v>
      </c>
      <c r="F611" t="s">
        <v>2061</v>
      </c>
      <c r="G611">
        <v>2</v>
      </c>
      <c r="H611">
        <v>3000</v>
      </c>
      <c r="I611">
        <v>3600</v>
      </c>
      <c r="J611">
        <v>10.98</v>
      </c>
      <c r="K611">
        <v>6409.75</v>
      </c>
      <c r="L611">
        <v>409.75</v>
      </c>
      <c r="M611">
        <v>79056</v>
      </c>
      <c r="N611">
        <v>6000</v>
      </c>
      <c r="O611">
        <v>6.3926050157962475</v>
      </c>
      <c r="P611" t="s">
        <v>2078</v>
      </c>
      <c r="Q611" t="s">
        <v>2091</v>
      </c>
    </row>
    <row r="612" spans="1:17" x14ac:dyDescent="0.25">
      <c r="A612" t="s">
        <v>377</v>
      </c>
      <c r="B612" s="18">
        <v>45768</v>
      </c>
      <c r="C612" t="s">
        <v>2021</v>
      </c>
      <c r="D612" t="s">
        <v>2041</v>
      </c>
      <c r="E612" t="s">
        <v>2056</v>
      </c>
      <c r="F612" t="s">
        <v>2062</v>
      </c>
      <c r="G612">
        <v>10</v>
      </c>
      <c r="H612">
        <v>300</v>
      </c>
      <c r="I612">
        <v>405</v>
      </c>
      <c r="J612">
        <v>1.1200000000000001</v>
      </c>
      <c r="K612">
        <v>4004.79</v>
      </c>
      <c r="L612">
        <v>1004.79</v>
      </c>
      <c r="M612">
        <v>4536</v>
      </c>
      <c r="N612">
        <v>3000</v>
      </c>
      <c r="O612">
        <v>25.089705078168894</v>
      </c>
      <c r="P612" t="s">
        <v>2078</v>
      </c>
      <c r="Q612" t="s">
        <v>2092</v>
      </c>
    </row>
    <row r="613" spans="1:17" x14ac:dyDescent="0.25">
      <c r="A613" t="s">
        <v>418</v>
      </c>
      <c r="B613" s="18">
        <v>45768</v>
      </c>
      <c r="C613" t="s">
        <v>2018</v>
      </c>
      <c r="D613" t="s">
        <v>2038</v>
      </c>
      <c r="E613" t="s">
        <v>2053</v>
      </c>
      <c r="F613" t="s">
        <v>2059</v>
      </c>
      <c r="G613">
        <v>7</v>
      </c>
      <c r="H613">
        <v>500</v>
      </c>
      <c r="I613">
        <v>610</v>
      </c>
      <c r="J613">
        <v>0</v>
      </c>
      <c r="K613">
        <v>4270</v>
      </c>
      <c r="L613">
        <v>770</v>
      </c>
      <c r="M613">
        <v>0</v>
      </c>
      <c r="N613">
        <v>3500</v>
      </c>
      <c r="O613">
        <v>18.032786885245901</v>
      </c>
      <c r="P613" t="s">
        <v>2078</v>
      </c>
      <c r="Q613" t="s">
        <v>2092</v>
      </c>
    </row>
    <row r="614" spans="1:17" x14ac:dyDescent="0.25">
      <c r="A614" t="s">
        <v>1169</v>
      </c>
      <c r="B614" s="18">
        <v>45768</v>
      </c>
      <c r="C614" t="s">
        <v>2017</v>
      </c>
      <c r="D614" t="s">
        <v>2037</v>
      </c>
      <c r="E614" t="s">
        <v>2055</v>
      </c>
      <c r="F614" t="s">
        <v>2062</v>
      </c>
      <c r="G614">
        <v>4</v>
      </c>
      <c r="H614">
        <v>2500</v>
      </c>
      <c r="I614">
        <v>2875</v>
      </c>
      <c r="J614">
        <v>4.45</v>
      </c>
      <c r="K614">
        <v>10988.76</v>
      </c>
      <c r="L614">
        <v>988.76</v>
      </c>
      <c r="M614">
        <v>51175</v>
      </c>
      <c r="N614">
        <v>10000</v>
      </c>
      <c r="O614">
        <v>8.9979215125273466</v>
      </c>
      <c r="P614" t="s">
        <v>2078</v>
      </c>
      <c r="Q614" t="s">
        <v>2091</v>
      </c>
    </row>
    <row r="615" spans="1:17" x14ac:dyDescent="0.25">
      <c r="A615" t="s">
        <v>1332</v>
      </c>
      <c r="B615" s="18">
        <v>45768</v>
      </c>
      <c r="C615" t="s">
        <v>2031</v>
      </c>
      <c r="D615" t="s">
        <v>2051</v>
      </c>
      <c r="E615" t="s">
        <v>2058</v>
      </c>
      <c r="F615" t="s">
        <v>2062</v>
      </c>
      <c r="G615">
        <v>3</v>
      </c>
      <c r="H615">
        <v>3200</v>
      </c>
      <c r="I615">
        <v>3840</v>
      </c>
      <c r="J615">
        <v>15.44</v>
      </c>
      <c r="K615">
        <v>9741.83</v>
      </c>
      <c r="L615">
        <v>141.83000000000001</v>
      </c>
      <c r="M615">
        <v>177868.79999999999</v>
      </c>
      <c r="N615">
        <v>9600</v>
      </c>
      <c r="O615">
        <v>1.4558866249975622</v>
      </c>
      <c r="P615" t="s">
        <v>2078</v>
      </c>
      <c r="Q615" t="s">
        <v>2091</v>
      </c>
    </row>
    <row r="616" spans="1:17" x14ac:dyDescent="0.25">
      <c r="A616" t="s">
        <v>1511</v>
      </c>
      <c r="B616" s="18">
        <v>45768</v>
      </c>
      <c r="C616" t="s">
        <v>2021</v>
      </c>
      <c r="D616" t="s">
        <v>2041</v>
      </c>
      <c r="E616" t="s">
        <v>2056</v>
      </c>
      <c r="F616" t="s">
        <v>2060</v>
      </c>
      <c r="G616">
        <v>4</v>
      </c>
      <c r="H616">
        <v>300</v>
      </c>
      <c r="I616">
        <v>405</v>
      </c>
      <c r="J616">
        <v>10.59</v>
      </c>
      <c r="K616">
        <v>1448.45</v>
      </c>
      <c r="L616">
        <v>248.45</v>
      </c>
      <c r="M616">
        <v>17155.8</v>
      </c>
      <c r="N616">
        <v>1200</v>
      </c>
      <c r="O616">
        <v>17.152818530152921</v>
      </c>
      <c r="P616" t="s">
        <v>2078</v>
      </c>
      <c r="Q616" t="s">
        <v>2092</v>
      </c>
    </row>
    <row r="617" spans="1:17" x14ac:dyDescent="0.25">
      <c r="A617" t="s">
        <v>1555</v>
      </c>
      <c r="B617" s="18">
        <v>45768</v>
      </c>
      <c r="C617" t="s">
        <v>2028</v>
      </c>
      <c r="D617" t="s">
        <v>2048</v>
      </c>
      <c r="E617" t="s">
        <v>2057</v>
      </c>
      <c r="F617" t="s">
        <v>2060</v>
      </c>
      <c r="G617">
        <v>9</v>
      </c>
      <c r="H617">
        <v>80</v>
      </c>
      <c r="I617">
        <v>116</v>
      </c>
      <c r="J617">
        <v>0</v>
      </c>
      <c r="K617">
        <v>1044</v>
      </c>
      <c r="L617">
        <v>324</v>
      </c>
      <c r="M617">
        <v>0</v>
      </c>
      <c r="N617">
        <v>720</v>
      </c>
      <c r="O617">
        <v>31.03448275862069</v>
      </c>
      <c r="P617" t="s">
        <v>2078</v>
      </c>
      <c r="Q617" t="s">
        <v>2092</v>
      </c>
    </row>
    <row r="618" spans="1:17" x14ac:dyDescent="0.25">
      <c r="A618" t="s">
        <v>1882</v>
      </c>
      <c r="B618" s="18">
        <v>45768</v>
      </c>
      <c r="C618" t="s">
        <v>2031</v>
      </c>
      <c r="D618" t="s">
        <v>2051</v>
      </c>
      <c r="E618" t="s">
        <v>2058</v>
      </c>
      <c r="F618" t="s">
        <v>2062</v>
      </c>
      <c r="G618">
        <v>9</v>
      </c>
      <c r="H618">
        <v>3200</v>
      </c>
      <c r="I618">
        <v>3840</v>
      </c>
      <c r="J618">
        <v>11.84</v>
      </c>
      <c r="K618">
        <v>30468.81</v>
      </c>
      <c r="L618">
        <v>1668.81</v>
      </c>
      <c r="M618">
        <v>409190.40000000002</v>
      </c>
      <c r="N618">
        <v>28800</v>
      </c>
      <c r="O618">
        <v>5.4771092143080082</v>
      </c>
      <c r="P618" t="s">
        <v>2078</v>
      </c>
      <c r="Q618" t="s">
        <v>2091</v>
      </c>
    </row>
    <row r="619" spans="1:17" x14ac:dyDescent="0.25">
      <c r="A619" t="s">
        <v>212</v>
      </c>
      <c r="B619" s="18">
        <v>45769</v>
      </c>
      <c r="C619" t="s">
        <v>2019</v>
      </c>
      <c r="D619" t="s">
        <v>2039</v>
      </c>
      <c r="E619" t="s">
        <v>2053</v>
      </c>
      <c r="F619" t="s">
        <v>2062</v>
      </c>
      <c r="G619">
        <v>10</v>
      </c>
      <c r="H619">
        <v>900</v>
      </c>
      <c r="I619">
        <v>1152</v>
      </c>
      <c r="J619">
        <v>17.850000000000001</v>
      </c>
      <c r="K619">
        <v>9463.15</v>
      </c>
      <c r="L619">
        <v>463.15</v>
      </c>
      <c r="M619">
        <v>205632.00000000003</v>
      </c>
      <c r="N619">
        <v>9000</v>
      </c>
      <c r="O619">
        <v>4.8942476870809406</v>
      </c>
      <c r="P619" t="s">
        <v>2078</v>
      </c>
      <c r="Q619" t="s">
        <v>2091</v>
      </c>
    </row>
    <row r="620" spans="1:17" x14ac:dyDescent="0.25">
      <c r="A620" t="s">
        <v>397</v>
      </c>
      <c r="B620" s="18">
        <v>45769</v>
      </c>
      <c r="C620" t="s">
        <v>2024</v>
      </c>
      <c r="D620" t="s">
        <v>2044</v>
      </c>
      <c r="E620" t="s">
        <v>2055</v>
      </c>
      <c r="F620" t="s">
        <v>2061</v>
      </c>
      <c r="G620">
        <v>1</v>
      </c>
      <c r="H620">
        <v>180</v>
      </c>
      <c r="I620">
        <v>243</v>
      </c>
      <c r="J620">
        <v>6.73</v>
      </c>
      <c r="K620">
        <v>226.64</v>
      </c>
      <c r="L620">
        <v>46.64</v>
      </c>
      <c r="M620">
        <v>1635.39</v>
      </c>
      <c r="N620">
        <v>180</v>
      </c>
      <c r="O620">
        <v>20.578891634309919</v>
      </c>
      <c r="P620" t="s">
        <v>2078</v>
      </c>
      <c r="Q620" t="s">
        <v>2092</v>
      </c>
    </row>
    <row r="621" spans="1:17" x14ac:dyDescent="0.25">
      <c r="A621" t="s">
        <v>621</v>
      </c>
      <c r="B621" s="18">
        <v>45769</v>
      </c>
      <c r="C621" t="s">
        <v>2015</v>
      </c>
      <c r="D621" t="s">
        <v>2035</v>
      </c>
      <c r="E621" t="s">
        <v>2054</v>
      </c>
      <c r="F621" t="s">
        <v>2062</v>
      </c>
      <c r="G621">
        <v>7</v>
      </c>
      <c r="H621">
        <v>900</v>
      </c>
      <c r="I621">
        <v>1170</v>
      </c>
      <c r="J621">
        <v>4.7699999999999996</v>
      </c>
      <c r="K621">
        <v>7799.13</v>
      </c>
      <c r="L621">
        <v>1499.13</v>
      </c>
      <c r="M621">
        <v>39066.299999999996</v>
      </c>
      <c r="N621">
        <v>6300</v>
      </c>
      <c r="O621">
        <v>19.221759350081356</v>
      </c>
      <c r="P621" t="s">
        <v>2078</v>
      </c>
      <c r="Q621" t="s">
        <v>2092</v>
      </c>
    </row>
    <row r="622" spans="1:17" x14ac:dyDescent="0.25">
      <c r="A622" t="s">
        <v>1418</v>
      </c>
      <c r="B622" s="18">
        <v>45769</v>
      </c>
      <c r="C622" t="s">
        <v>2031</v>
      </c>
      <c r="D622" t="s">
        <v>2051</v>
      </c>
      <c r="E622" t="s">
        <v>2058</v>
      </c>
      <c r="F622" t="s">
        <v>2059</v>
      </c>
      <c r="G622">
        <v>7</v>
      </c>
      <c r="H622">
        <v>3200</v>
      </c>
      <c r="I622">
        <v>3840</v>
      </c>
      <c r="J622">
        <v>23.84</v>
      </c>
      <c r="K622">
        <v>20472.830000000002</v>
      </c>
      <c r="L622">
        <v>-1927.17</v>
      </c>
      <c r="M622">
        <v>640819.19999999995</v>
      </c>
      <c r="N622">
        <v>22400</v>
      </c>
      <c r="O622">
        <v>-9.413305341762717</v>
      </c>
      <c r="P622" t="s">
        <v>2078</v>
      </c>
      <c r="Q622" t="s">
        <v>2093</v>
      </c>
    </row>
    <row r="623" spans="1:17" x14ac:dyDescent="0.25">
      <c r="A623" t="s">
        <v>1800</v>
      </c>
      <c r="B623" s="18">
        <v>45769</v>
      </c>
      <c r="C623" t="s">
        <v>2028</v>
      </c>
      <c r="D623" t="s">
        <v>2048</v>
      </c>
      <c r="E623" t="s">
        <v>2057</v>
      </c>
      <c r="F623" t="s">
        <v>2061</v>
      </c>
      <c r="G623">
        <v>2</v>
      </c>
      <c r="H623">
        <v>80</v>
      </c>
      <c r="I623">
        <v>116</v>
      </c>
      <c r="J623">
        <v>19.62</v>
      </c>
      <c r="K623">
        <v>186.48</v>
      </c>
      <c r="L623">
        <v>26.48</v>
      </c>
      <c r="M623">
        <v>4551.84</v>
      </c>
      <c r="N623">
        <v>160</v>
      </c>
      <c r="O623">
        <v>14.199914199914202</v>
      </c>
      <c r="P623" t="s">
        <v>2078</v>
      </c>
      <c r="Q623" t="s">
        <v>2092</v>
      </c>
    </row>
    <row r="624" spans="1:17" x14ac:dyDescent="0.25">
      <c r="A624" t="s">
        <v>1855</v>
      </c>
      <c r="B624" s="18">
        <v>45769</v>
      </c>
      <c r="C624" t="s">
        <v>2022</v>
      </c>
      <c r="D624" t="s">
        <v>2042</v>
      </c>
      <c r="E624" t="s">
        <v>2053</v>
      </c>
      <c r="F624" t="s">
        <v>2062</v>
      </c>
      <c r="G624">
        <v>3</v>
      </c>
      <c r="H624">
        <v>8500</v>
      </c>
      <c r="I624">
        <v>9520</v>
      </c>
      <c r="J624">
        <v>10.79</v>
      </c>
      <c r="K624">
        <v>25477.67</v>
      </c>
      <c r="L624">
        <v>-22.33</v>
      </c>
      <c r="M624">
        <v>308162.39999999997</v>
      </c>
      <c r="N624">
        <v>25500</v>
      </c>
      <c r="O624">
        <v>-8.7645377304910538E-2</v>
      </c>
      <c r="P624" t="s">
        <v>2078</v>
      </c>
      <c r="Q624" t="s">
        <v>2093</v>
      </c>
    </row>
    <row r="625" spans="1:17" x14ac:dyDescent="0.25">
      <c r="A625" t="s">
        <v>222</v>
      </c>
      <c r="B625" s="18">
        <v>45770</v>
      </c>
      <c r="C625" t="s">
        <v>2016</v>
      </c>
      <c r="D625" t="s">
        <v>2036</v>
      </c>
      <c r="E625" t="s">
        <v>2052</v>
      </c>
      <c r="F625" t="s">
        <v>2062</v>
      </c>
      <c r="G625">
        <v>3</v>
      </c>
      <c r="H625">
        <v>900</v>
      </c>
      <c r="I625">
        <v>1170</v>
      </c>
      <c r="J625">
        <v>19.399999999999999</v>
      </c>
      <c r="K625">
        <v>2828.9</v>
      </c>
      <c r="L625">
        <v>128.9</v>
      </c>
      <c r="M625">
        <v>68094</v>
      </c>
      <c r="N625">
        <v>2700</v>
      </c>
      <c r="O625">
        <v>4.5565414118561982</v>
      </c>
      <c r="P625" t="s">
        <v>2078</v>
      </c>
      <c r="Q625" t="s">
        <v>2091</v>
      </c>
    </row>
    <row r="626" spans="1:17" x14ac:dyDescent="0.25">
      <c r="A626" t="s">
        <v>324</v>
      </c>
      <c r="B626" s="18">
        <v>45770</v>
      </c>
      <c r="C626" t="s">
        <v>2028</v>
      </c>
      <c r="D626" t="s">
        <v>2048</v>
      </c>
      <c r="E626" t="s">
        <v>2057</v>
      </c>
      <c r="F626" t="s">
        <v>2059</v>
      </c>
      <c r="G626">
        <v>9</v>
      </c>
      <c r="H626">
        <v>80</v>
      </c>
      <c r="I626">
        <v>116</v>
      </c>
      <c r="J626">
        <v>15.36</v>
      </c>
      <c r="K626">
        <v>883.66</v>
      </c>
      <c r="L626">
        <v>163.66</v>
      </c>
      <c r="M626">
        <v>16035.84</v>
      </c>
      <c r="N626">
        <v>720</v>
      </c>
      <c r="O626">
        <v>18.520698006020414</v>
      </c>
      <c r="P626" t="s">
        <v>2078</v>
      </c>
      <c r="Q626" t="s">
        <v>2092</v>
      </c>
    </row>
    <row r="627" spans="1:17" x14ac:dyDescent="0.25">
      <c r="A627" t="s">
        <v>470</v>
      </c>
      <c r="B627" s="18">
        <v>45770</v>
      </c>
      <c r="C627" t="s">
        <v>2012</v>
      </c>
      <c r="D627" t="s">
        <v>2032</v>
      </c>
      <c r="E627" t="s">
        <v>2052</v>
      </c>
      <c r="F627" t="s">
        <v>2061</v>
      </c>
      <c r="G627">
        <v>1</v>
      </c>
      <c r="H627">
        <v>6500</v>
      </c>
      <c r="I627">
        <v>8125</v>
      </c>
      <c r="J627">
        <v>4</v>
      </c>
      <c r="K627">
        <v>7800</v>
      </c>
      <c r="L627">
        <v>1300</v>
      </c>
      <c r="M627">
        <v>32500</v>
      </c>
      <c r="N627">
        <v>6500</v>
      </c>
      <c r="O627">
        <v>16.666666666666664</v>
      </c>
      <c r="P627" t="s">
        <v>2078</v>
      </c>
      <c r="Q627" t="s">
        <v>2092</v>
      </c>
    </row>
    <row r="628" spans="1:17" x14ac:dyDescent="0.25">
      <c r="A628" t="s">
        <v>475</v>
      </c>
      <c r="B628" s="18">
        <v>45770</v>
      </c>
      <c r="C628" t="s">
        <v>2019</v>
      </c>
      <c r="D628" t="s">
        <v>2039</v>
      </c>
      <c r="E628" t="s">
        <v>2053</v>
      </c>
      <c r="F628" t="s">
        <v>2059</v>
      </c>
      <c r="G628">
        <v>3</v>
      </c>
      <c r="H628">
        <v>900</v>
      </c>
      <c r="I628">
        <v>1152</v>
      </c>
      <c r="J628">
        <v>9.3800000000000008</v>
      </c>
      <c r="K628">
        <v>3131.97</v>
      </c>
      <c r="L628">
        <v>431.97</v>
      </c>
      <c r="M628">
        <v>32417.280000000002</v>
      </c>
      <c r="N628">
        <v>2700</v>
      </c>
      <c r="O628">
        <v>13.792277703809425</v>
      </c>
      <c r="P628" t="s">
        <v>2078</v>
      </c>
      <c r="Q628" t="s">
        <v>2092</v>
      </c>
    </row>
    <row r="629" spans="1:17" x14ac:dyDescent="0.25">
      <c r="A629" t="s">
        <v>502</v>
      </c>
      <c r="B629" s="18">
        <v>45770</v>
      </c>
      <c r="C629" t="s">
        <v>2012</v>
      </c>
      <c r="D629" t="s">
        <v>2032</v>
      </c>
      <c r="E629" t="s">
        <v>2052</v>
      </c>
      <c r="F629" t="s">
        <v>2059</v>
      </c>
      <c r="G629">
        <v>6</v>
      </c>
      <c r="H629">
        <v>6500</v>
      </c>
      <c r="I629">
        <v>8125</v>
      </c>
      <c r="J629">
        <v>23.36</v>
      </c>
      <c r="K629">
        <v>37359.74</v>
      </c>
      <c r="L629">
        <v>-1640.26</v>
      </c>
      <c r="M629">
        <v>1138800</v>
      </c>
      <c r="N629">
        <v>39000</v>
      </c>
      <c r="O629">
        <v>-4.3904481133969355</v>
      </c>
      <c r="P629" t="s">
        <v>2078</v>
      </c>
      <c r="Q629" t="s">
        <v>2093</v>
      </c>
    </row>
    <row r="630" spans="1:17" x14ac:dyDescent="0.25">
      <c r="A630" t="s">
        <v>1016</v>
      </c>
      <c r="B630" s="18">
        <v>45770</v>
      </c>
      <c r="C630" t="s">
        <v>2015</v>
      </c>
      <c r="D630" t="s">
        <v>2035</v>
      </c>
      <c r="E630" t="s">
        <v>2054</v>
      </c>
      <c r="F630" t="s">
        <v>2060</v>
      </c>
      <c r="G630">
        <v>4</v>
      </c>
      <c r="H630">
        <v>900</v>
      </c>
      <c r="I630">
        <v>1170</v>
      </c>
      <c r="J630">
        <v>6.15</v>
      </c>
      <c r="K630">
        <v>4392.16</v>
      </c>
      <c r="L630">
        <v>792.16</v>
      </c>
      <c r="M630">
        <v>28782</v>
      </c>
      <c r="N630">
        <v>3600</v>
      </c>
      <c r="O630">
        <v>18.035772831590833</v>
      </c>
      <c r="P630" t="s">
        <v>2078</v>
      </c>
      <c r="Q630" t="s">
        <v>2092</v>
      </c>
    </row>
    <row r="631" spans="1:17" x14ac:dyDescent="0.25">
      <c r="A631" t="s">
        <v>1108</v>
      </c>
      <c r="B631" s="18">
        <v>45770</v>
      </c>
      <c r="C631" t="s">
        <v>2020</v>
      </c>
      <c r="D631" t="s">
        <v>2040</v>
      </c>
      <c r="E631" t="s">
        <v>2053</v>
      </c>
      <c r="F631" t="s">
        <v>2062</v>
      </c>
      <c r="G631">
        <v>9</v>
      </c>
      <c r="H631">
        <v>350</v>
      </c>
      <c r="I631">
        <v>455</v>
      </c>
      <c r="J631">
        <v>15.14</v>
      </c>
      <c r="K631">
        <v>3474.92</v>
      </c>
      <c r="L631">
        <v>324.92</v>
      </c>
      <c r="M631">
        <v>61998.3</v>
      </c>
      <c r="N631">
        <v>3150</v>
      </c>
      <c r="O631">
        <v>9.3504310890610434</v>
      </c>
      <c r="P631" t="s">
        <v>2078</v>
      </c>
      <c r="Q631" t="s">
        <v>2091</v>
      </c>
    </row>
    <row r="632" spans="1:17" x14ac:dyDescent="0.25">
      <c r="A632" t="s">
        <v>1280</v>
      </c>
      <c r="B632" s="18">
        <v>45770</v>
      </c>
      <c r="C632" t="s">
        <v>2019</v>
      </c>
      <c r="D632" t="s">
        <v>2039</v>
      </c>
      <c r="E632" t="s">
        <v>2053</v>
      </c>
      <c r="F632" t="s">
        <v>2062</v>
      </c>
      <c r="G632">
        <v>10</v>
      </c>
      <c r="H632">
        <v>900</v>
      </c>
      <c r="I632">
        <v>1152</v>
      </c>
      <c r="J632">
        <v>22.34</v>
      </c>
      <c r="K632">
        <v>8946.32</v>
      </c>
      <c r="L632">
        <v>-53.68</v>
      </c>
      <c r="M632">
        <v>257356.79999999999</v>
      </c>
      <c r="N632">
        <v>9000</v>
      </c>
      <c r="O632">
        <v>-0.60002324978315102</v>
      </c>
      <c r="P632" t="s">
        <v>2078</v>
      </c>
      <c r="Q632" t="s">
        <v>2093</v>
      </c>
    </row>
    <row r="633" spans="1:17" x14ac:dyDescent="0.25">
      <c r="A633" t="s">
        <v>1742</v>
      </c>
      <c r="B633" s="18">
        <v>45770</v>
      </c>
      <c r="C633" t="s">
        <v>2023</v>
      </c>
      <c r="D633" t="s">
        <v>2043</v>
      </c>
      <c r="E633" t="s">
        <v>2053</v>
      </c>
      <c r="F633" t="s">
        <v>2062</v>
      </c>
      <c r="G633">
        <v>2</v>
      </c>
      <c r="H633">
        <v>550</v>
      </c>
      <c r="I633">
        <v>742.5</v>
      </c>
      <c r="J633">
        <v>4.16</v>
      </c>
      <c r="K633">
        <v>1423.27</v>
      </c>
      <c r="L633">
        <v>323.27</v>
      </c>
      <c r="M633">
        <v>6177.6</v>
      </c>
      <c r="N633">
        <v>1100</v>
      </c>
      <c r="O633">
        <v>22.713188643054373</v>
      </c>
      <c r="P633" t="s">
        <v>2078</v>
      </c>
      <c r="Q633" t="s">
        <v>2092</v>
      </c>
    </row>
    <row r="634" spans="1:17" x14ac:dyDescent="0.25">
      <c r="A634" t="s">
        <v>1971</v>
      </c>
      <c r="B634" s="18">
        <v>45770</v>
      </c>
      <c r="C634" t="s">
        <v>2030</v>
      </c>
      <c r="D634" t="s">
        <v>2050</v>
      </c>
      <c r="E634" t="s">
        <v>2058</v>
      </c>
      <c r="F634" t="s">
        <v>2062</v>
      </c>
      <c r="G634">
        <v>7</v>
      </c>
      <c r="H634">
        <v>1800</v>
      </c>
      <c r="I634">
        <v>2124</v>
      </c>
      <c r="J634">
        <v>6.06</v>
      </c>
      <c r="K634">
        <v>13967.39</v>
      </c>
      <c r="L634">
        <v>1367.39</v>
      </c>
      <c r="M634">
        <v>90100.079999999987</v>
      </c>
      <c r="N634">
        <v>12600</v>
      </c>
      <c r="O634">
        <v>9.7898748441906474</v>
      </c>
      <c r="P634" t="s">
        <v>2078</v>
      </c>
      <c r="Q634" t="s">
        <v>2091</v>
      </c>
    </row>
    <row r="635" spans="1:17" x14ac:dyDescent="0.25">
      <c r="A635" t="s">
        <v>57</v>
      </c>
      <c r="B635" s="18">
        <v>45771</v>
      </c>
      <c r="C635" t="s">
        <v>2019</v>
      </c>
      <c r="D635" t="s">
        <v>2039</v>
      </c>
      <c r="E635" t="s">
        <v>2053</v>
      </c>
      <c r="F635" t="s">
        <v>2062</v>
      </c>
      <c r="G635">
        <v>6</v>
      </c>
      <c r="H635">
        <v>900</v>
      </c>
      <c r="I635">
        <v>1152</v>
      </c>
      <c r="J635">
        <v>11.47</v>
      </c>
      <c r="K635">
        <v>6119.49</v>
      </c>
      <c r="L635">
        <v>719.49</v>
      </c>
      <c r="M635">
        <v>79280.639999999999</v>
      </c>
      <c r="N635">
        <v>5400</v>
      </c>
      <c r="O635">
        <v>11.757352328380307</v>
      </c>
      <c r="P635" t="s">
        <v>2078</v>
      </c>
      <c r="Q635" t="s">
        <v>2092</v>
      </c>
    </row>
    <row r="636" spans="1:17" x14ac:dyDescent="0.25">
      <c r="A636" t="s">
        <v>318</v>
      </c>
      <c r="B636" s="18">
        <v>45771</v>
      </c>
      <c r="C636" t="s">
        <v>2020</v>
      </c>
      <c r="D636" t="s">
        <v>2040</v>
      </c>
      <c r="E636" t="s">
        <v>2053</v>
      </c>
      <c r="F636" t="s">
        <v>2061</v>
      </c>
      <c r="G636">
        <v>6</v>
      </c>
      <c r="H636">
        <v>350</v>
      </c>
      <c r="I636">
        <v>455</v>
      </c>
      <c r="J636">
        <v>13</v>
      </c>
      <c r="K636">
        <v>2375.0300000000002</v>
      </c>
      <c r="L636">
        <v>275.02999999999997</v>
      </c>
      <c r="M636">
        <v>35490</v>
      </c>
      <c r="N636">
        <v>2100</v>
      </c>
      <c r="O636">
        <v>11.580064251819975</v>
      </c>
      <c r="P636" t="s">
        <v>2078</v>
      </c>
      <c r="Q636" t="s">
        <v>2092</v>
      </c>
    </row>
    <row r="637" spans="1:17" x14ac:dyDescent="0.25">
      <c r="A637" t="s">
        <v>693</v>
      </c>
      <c r="B637" s="18">
        <v>45771</v>
      </c>
      <c r="C637" t="s">
        <v>2025</v>
      </c>
      <c r="D637" t="s">
        <v>2045</v>
      </c>
      <c r="E637" t="s">
        <v>2057</v>
      </c>
      <c r="F637" t="s">
        <v>2061</v>
      </c>
      <c r="G637">
        <v>8</v>
      </c>
      <c r="H637">
        <v>45</v>
      </c>
      <c r="I637">
        <v>63</v>
      </c>
      <c r="J637">
        <v>28.42</v>
      </c>
      <c r="K637">
        <v>360.76</v>
      </c>
      <c r="L637">
        <v>0.76</v>
      </c>
      <c r="M637">
        <v>14323.68</v>
      </c>
      <c r="N637">
        <v>360</v>
      </c>
      <c r="O637">
        <v>0.21066637099456703</v>
      </c>
      <c r="P637" t="s">
        <v>2078</v>
      </c>
      <c r="Q637" t="s">
        <v>2091</v>
      </c>
    </row>
    <row r="638" spans="1:17" x14ac:dyDescent="0.25">
      <c r="A638" t="s">
        <v>1255</v>
      </c>
      <c r="B638" s="18">
        <v>45771</v>
      </c>
      <c r="C638" t="s">
        <v>2025</v>
      </c>
      <c r="D638" t="s">
        <v>2045</v>
      </c>
      <c r="E638" t="s">
        <v>2057</v>
      </c>
      <c r="F638" t="s">
        <v>2061</v>
      </c>
      <c r="G638">
        <v>1</v>
      </c>
      <c r="H638">
        <v>45</v>
      </c>
      <c r="I638">
        <v>63</v>
      </c>
      <c r="J638">
        <v>19.12</v>
      </c>
      <c r="K638">
        <v>50.95</v>
      </c>
      <c r="L638">
        <v>5.95</v>
      </c>
      <c r="M638">
        <v>1204.5600000000002</v>
      </c>
      <c r="N638">
        <v>45</v>
      </c>
      <c r="O638">
        <v>11.678115799803729</v>
      </c>
      <c r="P638" t="s">
        <v>2078</v>
      </c>
      <c r="Q638" t="s">
        <v>2092</v>
      </c>
    </row>
    <row r="639" spans="1:17" x14ac:dyDescent="0.25">
      <c r="A639" t="s">
        <v>1756</v>
      </c>
      <c r="B639" s="18">
        <v>45771</v>
      </c>
      <c r="C639" t="s">
        <v>2020</v>
      </c>
      <c r="D639" t="s">
        <v>2040</v>
      </c>
      <c r="E639" t="s">
        <v>2053</v>
      </c>
      <c r="F639" t="s">
        <v>2061</v>
      </c>
      <c r="G639">
        <v>2</v>
      </c>
      <c r="H639">
        <v>350</v>
      </c>
      <c r="I639">
        <v>455</v>
      </c>
      <c r="J639">
        <v>9.57</v>
      </c>
      <c r="K639">
        <v>822.93</v>
      </c>
      <c r="L639">
        <v>122.93</v>
      </c>
      <c r="M639">
        <v>8708.7000000000007</v>
      </c>
      <c r="N639">
        <v>700</v>
      </c>
      <c r="O639">
        <v>14.93808707909543</v>
      </c>
      <c r="P639" t="s">
        <v>2078</v>
      </c>
      <c r="Q639" t="s">
        <v>2092</v>
      </c>
    </row>
    <row r="640" spans="1:17" x14ac:dyDescent="0.25">
      <c r="A640" t="s">
        <v>1964</v>
      </c>
      <c r="B640" s="18">
        <v>45771</v>
      </c>
      <c r="C640" t="s">
        <v>2019</v>
      </c>
      <c r="D640" t="s">
        <v>2039</v>
      </c>
      <c r="E640" t="s">
        <v>2053</v>
      </c>
      <c r="F640" t="s">
        <v>2060</v>
      </c>
      <c r="G640">
        <v>3</v>
      </c>
      <c r="H640">
        <v>900</v>
      </c>
      <c r="I640">
        <v>1152</v>
      </c>
      <c r="J640">
        <v>3.53</v>
      </c>
      <c r="K640">
        <v>3333.99</v>
      </c>
      <c r="L640">
        <v>633.99</v>
      </c>
      <c r="M640">
        <v>12199.679999999998</v>
      </c>
      <c r="N640">
        <v>2700</v>
      </c>
      <c r="O640">
        <v>19.015953857090153</v>
      </c>
      <c r="P640" t="s">
        <v>2078</v>
      </c>
      <c r="Q640" t="s">
        <v>2092</v>
      </c>
    </row>
    <row r="641" spans="1:17" x14ac:dyDescent="0.25">
      <c r="A641" t="s">
        <v>36</v>
      </c>
      <c r="B641" s="18">
        <v>45772</v>
      </c>
      <c r="C641" t="s">
        <v>2017</v>
      </c>
      <c r="D641" t="s">
        <v>2037</v>
      </c>
      <c r="E641" t="s">
        <v>2055</v>
      </c>
      <c r="F641" t="s">
        <v>2062</v>
      </c>
      <c r="G641">
        <v>6</v>
      </c>
      <c r="H641">
        <v>2500</v>
      </c>
      <c r="I641">
        <v>2875</v>
      </c>
      <c r="J641">
        <v>15.79</v>
      </c>
      <c r="K641">
        <v>14525.67</v>
      </c>
      <c r="L641">
        <v>-474.33</v>
      </c>
      <c r="M641">
        <v>272377.5</v>
      </c>
      <c r="N641">
        <v>15000</v>
      </c>
      <c r="O641">
        <v>-3.2654603884020492</v>
      </c>
      <c r="P641" t="s">
        <v>2078</v>
      </c>
      <c r="Q641" t="s">
        <v>2093</v>
      </c>
    </row>
    <row r="642" spans="1:17" x14ac:dyDescent="0.25">
      <c r="A642" t="s">
        <v>803</v>
      </c>
      <c r="B642" s="18">
        <v>45772</v>
      </c>
      <c r="C642" t="s">
        <v>2015</v>
      </c>
      <c r="D642" t="s">
        <v>2035</v>
      </c>
      <c r="E642" t="s">
        <v>2054</v>
      </c>
      <c r="F642" t="s">
        <v>2059</v>
      </c>
      <c r="G642">
        <v>1</v>
      </c>
      <c r="H642">
        <v>900</v>
      </c>
      <c r="I642">
        <v>1170</v>
      </c>
      <c r="J642">
        <v>17.170000000000002</v>
      </c>
      <c r="K642">
        <v>969.06</v>
      </c>
      <c r="L642">
        <v>69.06</v>
      </c>
      <c r="M642">
        <v>20088.900000000001</v>
      </c>
      <c r="N642">
        <v>900</v>
      </c>
      <c r="O642">
        <v>7.126493715559409</v>
      </c>
      <c r="P642" t="s">
        <v>2078</v>
      </c>
      <c r="Q642" t="s">
        <v>2091</v>
      </c>
    </row>
    <row r="643" spans="1:17" x14ac:dyDescent="0.25">
      <c r="A643" t="s">
        <v>13</v>
      </c>
      <c r="B643" s="18">
        <v>45773</v>
      </c>
      <c r="C643" t="s">
        <v>2013</v>
      </c>
      <c r="D643" t="s">
        <v>2033</v>
      </c>
      <c r="E643" t="s">
        <v>2053</v>
      </c>
      <c r="F643" t="s">
        <v>2060</v>
      </c>
      <c r="G643">
        <v>1</v>
      </c>
      <c r="H643">
        <v>6500</v>
      </c>
      <c r="I643">
        <v>7150</v>
      </c>
      <c r="J643">
        <v>5.18</v>
      </c>
      <c r="K643">
        <v>6779.35</v>
      </c>
      <c r="L643">
        <v>279.35000000000002</v>
      </c>
      <c r="M643">
        <v>37037</v>
      </c>
      <c r="N643">
        <v>6500</v>
      </c>
      <c r="O643">
        <v>4.120601532595308</v>
      </c>
      <c r="P643" t="s">
        <v>2078</v>
      </c>
      <c r="Q643" t="s">
        <v>2091</v>
      </c>
    </row>
    <row r="644" spans="1:17" x14ac:dyDescent="0.25">
      <c r="A644" t="s">
        <v>172</v>
      </c>
      <c r="B644" s="18">
        <v>45773</v>
      </c>
      <c r="C644" t="s">
        <v>2024</v>
      </c>
      <c r="D644" t="s">
        <v>2044</v>
      </c>
      <c r="E644" t="s">
        <v>2055</v>
      </c>
      <c r="F644" t="s">
        <v>2061</v>
      </c>
      <c r="G644">
        <v>6</v>
      </c>
      <c r="H644">
        <v>180</v>
      </c>
      <c r="I644">
        <v>243</v>
      </c>
      <c r="J644">
        <v>4.12</v>
      </c>
      <c r="K644">
        <v>1397.86</v>
      </c>
      <c r="L644">
        <v>317.86</v>
      </c>
      <c r="M644">
        <v>6006.96</v>
      </c>
      <c r="N644">
        <v>1080</v>
      </c>
      <c r="O644">
        <v>22.739043967207017</v>
      </c>
      <c r="P644" t="s">
        <v>2078</v>
      </c>
      <c r="Q644" t="s">
        <v>2092</v>
      </c>
    </row>
    <row r="645" spans="1:17" x14ac:dyDescent="0.25">
      <c r="A645" t="s">
        <v>474</v>
      </c>
      <c r="B645" s="18">
        <v>45773</v>
      </c>
      <c r="C645" t="s">
        <v>2031</v>
      </c>
      <c r="D645" t="s">
        <v>2051</v>
      </c>
      <c r="E645" t="s">
        <v>2058</v>
      </c>
      <c r="F645" t="s">
        <v>2060</v>
      </c>
      <c r="G645">
        <v>3</v>
      </c>
      <c r="H645">
        <v>3200</v>
      </c>
      <c r="I645">
        <v>3840</v>
      </c>
      <c r="J645">
        <v>18.850000000000001</v>
      </c>
      <c r="K645">
        <v>9348.0400000000009</v>
      </c>
      <c r="L645">
        <v>-251.96</v>
      </c>
      <c r="M645">
        <v>217152.00000000003</v>
      </c>
      <c r="N645">
        <v>9600</v>
      </c>
      <c r="O645">
        <v>-2.6953243674609864</v>
      </c>
      <c r="P645" t="s">
        <v>2078</v>
      </c>
      <c r="Q645" t="s">
        <v>2093</v>
      </c>
    </row>
    <row r="646" spans="1:17" x14ac:dyDescent="0.25">
      <c r="A646" t="s">
        <v>651</v>
      </c>
      <c r="B646" s="18">
        <v>45773</v>
      </c>
      <c r="C646" t="s">
        <v>2024</v>
      </c>
      <c r="D646" t="s">
        <v>2044</v>
      </c>
      <c r="E646" t="s">
        <v>2055</v>
      </c>
      <c r="F646" t="s">
        <v>2059</v>
      </c>
      <c r="G646">
        <v>7</v>
      </c>
      <c r="H646">
        <v>180</v>
      </c>
      <c r="I646">
        <v>243</v>
      </c>
      <c r="J646">
        <v>27.49</v>
      </c>
      <c r="K646">
        <v>1233.3599999999999</v>
      </c>
      <c r="L646">
        <v>-26.64</v>
      </c>
      <c r="M646">
        <v>46760.49</v>
      </c>
      <c r="N646">
        <v>1260</v>
      </c>
      <c r="O646">
        <v>-2.1599532983070642</v>
      </c>
      <c r="P646" t="s">
        <v>2078</v>
      </c>
      <c r="Q646" t="s">
        <v>2093</v>
      </c>
    </row>
    <row r="647" spans="1:17" x14ac:dyDescent="0.25">
      <c r="A647" t="s">
        <v>1104</v>
      </c>
      <c r="B647" s="18">
        <v>45773</v>
      </c>
      <c r="C647" t="s">
        <v>2027</v>
      </c>
      <c r="D647" t="s">
        <v>2047</v>
      </c>
      <c r="E647" t="s">
        <v>2053</v>
      </c>
      <c r="F647" t="s">
        <v>2061</v>
      </c>
      <c r="G647">
        <v>10</v>
      </c>
      <c r="H647">
        <v>1100</v>
      </c>
      <c r="I647">
        <v>1298</v>
      </c>
      <c r="J647">
        <v>5.89</v>
      </c>
      <c r="K647">
        <v>12215.37</v>
      </c>
      <c r="L647">
        <v>1215.3699999999999</v>
      </c>
      <c r="M647">
        <v>76452.2</v>
      </c>
      <c r="N647">
        <v>11000</v>
      </c>
      <c r="O647">
        <v>9.9495144232225456</v>
      </c>
      <c r="P647" t="s">
        <v>2078</v>
      </c>
      <c r="Q647" t="s">
        <v>2091</v>
      </c>
    </row>
    <row r="648" spans="1:17" x14ac:dyDescent="0.25">
      <c r="A648" t="s">
        <v>1240</v>
      </c>
      <c r="B648" s="18">
        <v>45773</v>
      </c>
      <c r="C648" t="s">
        <v>2024</v>
      </c>
      <c r="D648" t="s">
        <v>2044</v>
      </c>
      <c r="E648" t="s">
        <v>2055</v>
      </c>
      <c r="F648" t="s">
        <v>2059</v>
      </c>
      <c r="G648">
        <v>1</v>
      </c>
      <c r="H648">
        <v>180</v>
      </c>
      <c r="I648">
        <v>243</v>
      </c>
      <c r="J648">
        <v>8.16</v>
      </c>
      <c r="K648">
        <v>223.17</v>
      </c>
      <c r="L648">
        <v>43.17</v>
      </c>
      <c r="M648">
        <v>1982.88</v>
      </c>
      <c r="N648">
        <v>180</v>
      </c>
      <c r="O648">
        <v>19.343997849173277</v>
      </c>
      <c r="P648" t="s">
        <v>2078</v>
      </c>
      <c r="Q648" t="s">
        <v>2092</v>
      </c>
    </row>
    <row r="649" spans="1:17" x14ac:dyDescent="0.25">
      <c r="A649" t="s">
        <v>1750</v>
      </c>
      <c r="B649" s="18">
        <v>45773</v>
      </c>
      <c r="C649" t="s">
        <v>2030</v>
      </c>
      <c r="D649" t="s">
        <v>2050</v>
      </c>
      <c r="E649" t="s">
        <v>2058</v>
      </c>
      <c r="F649" t="s">
        <v>2061</v>
      </c>
      <c r="G649">
        <v>8</v>
      </c>
      <c r="H649">
        <v>1800</v>
      </c>
      <c r="I649">
        <v>2124</v>
      </c>
      <c r="J649">
        <v>4.67</v>
      </c>
      <c r="K649">
        <v>16198.1</v>
      </c>
      <c r="L649">
        <v>1798.1</v>
      </c>
      <c r="M649">
        <v>79352.639999999999</v>
      </c>
      <c r="N649">
        <v>14400</v>
      </c>
      <c r="O649">
        <v>11.100684648199479</v>
      </c>
      <c r="P649" t="s">
        <v>2078</v>
      </c>
      <c r="Q649" t="s">
        <v>2092</v>
      </c>
    </row>
    <row r="650" spans="1:17" x14ac:dyDescent="0.25">
      <c r="A650" t="s">
        <v>1761</v>
      </c>
      <c r="B650" s="18">
        <v>45773</v>
      </c>
      <c r="C650" t="s">
        <v>2029</v>
      </c>
      <c r="D650" t="s">
        <v>2049</v>
      </c>
      <c r="E650" t="s">
        <v>2055</v>
      </c>
      <c r="F650" t="s">
        <v>2060</v>
      </c>
      <c r="G650">
        <v>9</v>
      </c>
      <c r="H650">
        <v>1200</v>
      </c>
      <c r="I650">
        <v>1464</v>
      </c>
      <c r="J650">
        <v>9.4</v>
      </c>
      <c r="K650">
        <v>11938.01</v>
      </c>
      <c r="L650">
        <v>1138.01</v>
      </c>
      <c r="M650">
        <v>123854.40000000001</v>
      </c>
      <c r="N650">
        <v>10800</v>
      </c>
      <c r="O650">
        <v>9.5326608036012708</v>
      </c>
      <c r="P650" t="s">
        <v>2078</v>
      </c>
      <c r="Q650" t="s">
        <v>2091</v>
      </c>
    </row>
    <row r="651" spans="1:17" x14ac:dyDescent="0.25">
      <c r="A651" t="s">
        <v>1795</v>
      </c>
      <c r="B651" s="18">
        <v>45773</v>
      </c>
      <c r="C651" t="s">
        <v>2017</v>
      </c>
      <c r="D651" t="s">
        <v>2037</v>
      </c>
      <c r="E651" t="s">
        <v>2055</v>
      </c>
      <c r="F651" t="s">
        <v>2060</v>
      </c>
      <c r="G651">
        <v>3</v>
      </c>
      <c r="H651">
        <v>2500</v>
      </c>
      <c r="I651">
        <v>2875</v>
      </c>
      <c r="J651">
        <v>10.29</v>
      </c>
      <c r="K651">
        <v>7737.16</v>
      </c>
      <c r="L651">
        <v>237.16</v>
      </c>
      <c r="M651">
        <v>88751.249999999985</v>
      </c>
      <c r="N651">
        <v>7500</v>
      </c>
      <c r="O651">
        <v>3.0652073887576319</v>
      </c>
      <c r="P651" t="s">
        <v>2078</v>
      </c>
      <c r="Q651" t="s">
        <v>2091</v>
      </c>
    </row>
    <row r="652" spans="1:17" x14ac:dyDescent="0.25">
      <c r="A652" t="s">
        <v>1818</v>
      </c>
      <c r="B652" s="18">
        <v>45773</v>
      </c>
      <c r="C652" t="s">
        <v>2022</v>
      </c>
      <c r="D652" t="s">
        <v>2042</v>
      </c>
      <c r="E652" t="s">
        <v>2053</v>
      </c>
      <c r="F652" t="s">
        <v>2059</v>
      </c>
      <c r="G652">
        <v>2</v>
      </c>
      <c r="H652">
        <v>8500</v>
      </c>
      <c r="I652">
        <v>9520</v>
      </c>
      <c r="J652">
        <v>12.48</v>
      </c>
      <c r="K652">
        <v>16664.169999999998</v>
      </c>
      <c r="L652">
        <v>-335.83</v>
      </c>
      <c r="M652">
        <v>237619.20000000001</v>
      </c>
      <c r="N652">
        <v>17000</v>
      </c>
      <c r="O652">
        <v>-2.0152818892270061</v>
      </c>
      <c r="P652" t="s">
        <v>2078</v>
      </c>
      <c r="Q652" t="s">
        <v>2093</v>
      </c>
    </row>
    <row r="653" spans="1:17" x14ac:dyDescent="0.25">
      <c r="A653" t="s">
        <v>116</v>
      </c>
      <c r="B653" s="18">
        <v>45774</v>
      </c>
      <c r="C653" t="s">
        <v>2023</v>
      </c>
      <c r="D653" t="s">
        <v>2043</v>
      </c>
      <c r="E653" t="s">
        <v>2053</v>
      </c>
      <c r="F653" t="s">
        <v>2060</v>
      </c>
      <c r="G653">
        <v>4</v>
      </c>
      <c r="H653">
        <v>550</v>
      </c>
      <c r="I653">
        <v>742.5</v>
      </c>
      <c r="J653">
        <v>13.35</v>
      </c>
      <c r="K653">
        <v>2573.64</v>
      </c>
      <c r="L653">
        <v>373.64</v>
      </c>
      <c r="M653">
        <v>39649.5</v>
      </c>
      <c r="N653">
        <v>2200</v>
      </c>
      <c r="O653">
        <v>14.5179589997047</v>
      </c>
      <c r="P653" t="s">
        <v>2078</v>
      </c>
      <c r="Q653" t="s">
        <v>2092</v>
      </c>
    </row>
    <row r="654" spans="1:17" x14ac:dyDescent="0.25">
      <c r="A654" t="s">
        <v>207</v>
      </c>
      <c r="B654" s="18">
        <v>45774</v>
      </c>
      <c r="C654" t="s">
        <v>2026</v>
      </c>
      <c r="D654" t="s">
        <v>2046</v>
      </c>
      <c r="E654" t="s">
        <v>2052</v>
      </c>
      <c r="F654" t="s">
        <v>2059</v>
      </c>
      <c r="G654">
        <v>9</v>
      </c>
      <c r="H654">
        <v>3000</v>
      </c>
      <c r="I654">
        <v>3600</v>
      </c>
      <c r="J654">
        <v>17.239999999999998</v>
      </c>
      <c r="K654">
        <v>26815.13</v>
      </c>
      <c r="L654">
        <v>-184.87</v>
      </c>
      <c r="M654">
        <v>558576</v>
      </c>
      <c r="N654">
        <v>27000</v>
      </c>
      <c r="O654">
        <v>-0.68942421685071076</v>
      </c>
      <c r="P654" t="s">
        <v>2078</v>
      </c>
      <c r="Q654" t="s">
        <v>2093</v>
      </c>
    </row>
    <row r="655" spans="1:17" x14ac:dyDescent="0.25">
      <c r="A655" t="s">
        <v>462</v>
      </c>
      <c r="B655" s="18">
        <v>45774</v>
      </c>
      <c r="C655" t="s">
        <v>2028</v>
      </c>
      <c r="D655" t="s">
        <v>2048</v>
      </c>
      <c r="E655" t="s">
        <v>2057</v>
      </c>
      <c r="F655" t="s">
        <v>2059</v>
      </c>
      <c r="G655">
        <v>3</v>
      </c>
      <c r="H655">
        <v>80</v>
      </c>
      <c r="I655">
        <v>116</v>
      </c>
      <c r="J655">
        <v>0</v>
      </c>
      <c r="K655">
        <v>348</v>
      </c>
      <c r="L655">
        <v>108</v>
      </c>
      <c r="M655">
        <v>0</v>
      </c>
      <c r="N655">
        <v>240</v>
      </c>
      <c r="O655">
        <v>31.03448275862069</v>
      </c>
      <c r="P655" t="s">
        <v>2078</v>
      </c>
      <c r="Q655" t="s">
        <v>2092</v>
      </c>
    </row>
    <row r="656" spans="1:17" x14ac:dyDescent="0.25">
      <c r="A656" t="s">
        <v>596</v>
      </c>
      <c r="B656" s="18">
        <v>45774</v>
      </c>
      <c r="C656" t="s">
        <v>2018</v>
      </c>
      <c r="D656" t="s">
        <v>2038</v>
      </c>
      <c r="E656" t="s">
        <v>2053</v>
      </c>
      <c r="F656" t="s">
        <v>2061</v>
      </c>
      <c r="G656">
        <v>4</v>
      </c>
      <c r="H656">
        <v>500</v>
      </c>
      <c r="I656">
        <v>610</v>
      </c>
      <c r="J656">
        <v>6.61</v>
      </c>
      <c r="K656">
        <v>2278.71</v>
      </c>
      <c r="L656">
        <v>278.70999999999998</v>
      </c>
      <c r="M656">
        <v>16128.400000000001</v>
      </c>
      <c r="N656">
        <v>2000</v>
      </c>
      <c r="O656">
        <v>12.231043002400479</v>
      </c>
      <c r="P656" t="s">
        <v>2078</v>
      </c>
      <c r="Q656" t="s">
        <v>2092</v>
      </c>
    </row>
    <row r="657" spans="1:17" x14ac:dyDescent="0.25">
      <c r="A657" t="s">
        <v>794</v>
      </c>
      <c r="B657" s="18">
        <v>45774</v>
      </c>
      <c r="C657" t="s">
        <v>2020</v>
      </c>
      <c r="D657" t="s">
        <v>2040</v>
      </c>
      <c r="E657" t="s">
        <v>2053</v>
      </c>
      <c r="F657" t="s">
        <v>2062</v>
      </c>
      <c r="G657">
        <v>3</v>
      </c>
      <c r="H657">
        <v>350</v>
      </c>
      <c r="I657">
        <v>455</v>
      </c>
      <c r="J657">
        <v>0</v>
      </c>
      <c r="K657">
        <v>1365</v>
      </c>
      <c r="L657">
        <v>315</v>
      </c>
      <c r="M657">
        <v>0</v>
      </c>
      <c r="N657">
        <v>1050</v>
      </c>
      <c r="O657">
        <v>23.076923076923077</v>
      </c>
      <c r="P657" t="s">
        <v>2078</v>
      </c>
      <c r="Q657" t="s">
        <v>2092</v>
      </c>
    </row>
    <row r="658" spans="1:17" x14ac:dyDescent="0.25">
      <c r="A658" t="s">
        <v>1038</v>
      </c>
      <c r="B658" s="18">
        <v>45774</v>
      </c>
      <c r="C658" t="s">
        <v>2017</v>
      </c>
      <c r="D658" t="s">
        <v>2037</v>
      </c>
      <c r="E658" t="s">
        <v>2055</v>
      </c>
      <c r="F658" t="s">
        <v>2062</v>
      </c>
      <c r="G658">
        <v>9</v>
      </c>
      <c r="H658">
        <v>2500</v>
      </c>
      <c r="I658">
        <v>2875</v>
      </c>
      <c r="J658">
        <v>12.37</v>
      </c>
      <c r="K658">
        <v>22674.71</v>
      </c>
      <c r="L658">
        <v>174.71</v>
      </c>
      <c r="M658">
        <v>320073.75</v>
      </c>
      <c r="N658">
        <v>22500</v>
      </c>
      <c r="O658">
        <v>0.77050599544602782</v>
      </c>
      <c r="P658" t="s">
        <v>2078</v>
      </c>
      <c r="Q658" t="s">
        <v>2091</v>
      </c>
    </row>
    <row r="659" spans="1:17" x14ac:dyDescent="0.25">
      <c r="A659" t="s">
        <v>1193</v>
      </c>
      <c r="B659" s="18">
        <v>45774</v>
      </c>
      <c r="C659" t="s">
        <v>2028</v>
      </c>
      <c r="D659" t="s">
        <v>2048</v>
      </c>
      <c r="E659" t="s">
        <v>2057</v>
      </c>
      <c r="F659" t="s">
        <v>2061</v>
      </c>
      <c r="G659">
        <v>6</v>
      </c>
      <c r="H659">
        <v>80</v>
      </c>
      <c r="I659">
        <v>116</v>
      </c>
      <c r="J659">
        <v>7.38</v>
      </c>
      <c r="K659">
        <v>644.65</v>
      </c>
      <c r="L659">
        <v>164.65</v>
      </c>
      <c r="M659">
        <v>5136.4799999999996</v>
      </c>
      <c r="N659">
        <v>480</v>
      </c>
      <c r="O659">
        <v>25.540991235554177</v>
      </c>
      <c r="P659" t="s">
        <v>2078</v>
      </c>
      <c r="Q659" t="s">
        <v>2092</v>
      </c>
    </row>
    <row r="660" spans="1:17" x14ac:dyDescent="0.25">
      <c r="A660" t="s">
        <v>1738</v>
      </c>
      <c r="B660" s="18">
        <v>45774</v>
      </c>
      <c r="C660" t="s">
        <v>2020</v>
      </c>
      <c r="D660" t="s">
        <v>2040</v>
      </c>
      <c r="E660" t="s">
        <v>2053</v>
      </c>
      <c r="F660" t="s">
        <v>2061</v>
      </c>
      <c r="G660">
        <v>7</v>
      </c>
      <c r="H660">
        <v>350</v>
      </c>
      <c r="I660">
        <v>455</v>
      </c>
      <c r="J660">
        <v>5.07</v>
      </c>
      <c r="K660">
        <v>3023.48</v>
      </c>
      <c r="L660">
        <v>573.48</v>
      </c>
      <c r="M660">
        <v>16147.95</v>
      </c>
      <c r="N660">
        <v>2450</v>
      </c>
      <c r="O660">
        <v>18.967547329567257</v>
      </c>
      <c r="P660" t="s">
        <v>2078</v>
      </c>
      <c r="Q660" t="s">
        <v>2092</v>
      </c>
    </row>
    <row r="661" spans="1:17" x14ac:dyDescent="0.25">
      <c r="A661" t="s">
        <v>38</v>
      </c>
      <c r="B661" s="18">
        <v>45775</v>
      </c>
      <c r="C661" t="s">
        <v>2013</v>
      </c>
      <c r="D661" t="s">
        <v>2033</v>
      </c>
      <c r="E661" t="s">
        <v>2053</v>
      </c>
      <c r="F661" t="s">
        <v>2060</v>
      </c>
      <c r="G661">
        <v>7</v>
      </c>
      <c r="H661">
        <v>6500</v>
      </c>
      <c r="I661">
        <v>7150</v>
      </c>
      <c r="J661">
        <v>19.809999999999999</v>
      </c>
      <c r="K661">
        <v>40137.26</v>
      </c>
      <c r="L661">
        <v>-5362.74</v>
      </c>
      <c r="M661">
        <v>991490.49999999988</v>
      </c>
      <c r="N661">
        <v>45500</v>
      </c>
      <c r="O661">
        <v>-13.361001722588936</v>
      </c>
      <c r="P661" t="s">
        <v>2078</v>
      </c>
      <c r="Q661" t="s">
        <v>2093</v>
      </c>
    </row>
    <row r="662" spans="1:17" x14ac:dyDescent="0.25">
      <c r="A662" t="s">
        <v>368</v>
      </c>
      <c r="B662" s="18">
        <v>45775</v>
      </c>
      <c r="C662" t="s">
        <v>2026</v>
      </c>
      <c r="D662" t="s">
        <v>2046</v>
      </c>
      <c r="E662" t="s">
        <v>2052</v>
      </c>
      <c r="F662" t="s">
        <v>2059</v>
      </c>
      <c r="G662">
        <v>10</v>
      </c>
      <c r="H662">
        <v>3000</v>
      </c>
      <c r="I662">
        <v>3600</v>
      </c>
      <c r="J662">
        <v>22.4</v>
      </c>
      <c r="K662">
        <v>27936.9</v>
      </c>
      <c r="L662">
        <v>-2063.1</v>
      </c>
      <c r="M662">
        <v>806400</v>
      </c>
      <c r="N662">
        <v>30000</v>
      </c>
      <c r="O662">
        <v>-7.384856587524026</v>
      </c>
      <c r="P662" t="s">
        <v>2078</v>
      </c>
      <c r="Q662" t="s">
        <v>2093</v>
      </c>
    </row>
    <row r="663" spans="1:17" x14ac:dyDescent="0.25">
      <c r="A663" t="s">
        <v>480</v>
      </c>
      <c r="B663" s="18">
        <v>45775</v>
      </c>
      <c r="C663" t="s">
        <v>2026</v>
      </c>
      <c r="D663" t="s">
        <v>2046</v>
      </c>
      <c r="E663" t="s">
        <v>2052</v>
      </c>
      <c r="F663" t="s">
        <v>2060</v>
      </c>
      <c r="G663">
        <v>9</v>
      </c>
      <c r="H663">
        <v>3000</v>
      </c>
      <c r="I663">
        <v>3600</v>
      </c>
      <c r="J663">
        <v>7.34</v>
      </c>
      <c r="K663">
        <v>30020.560000000001</v>
      </c>
      <c r="L663">
        <v>3020.56</v>
      </c>
      <c r="M663">
        <v>237816</v>
      </c>
      <c r="N663">
        <v>27000</v>
      </c>
      <c r="O663">
        <v>10.06163775759013</v>
      </c>
      <c r="P663" t="s">
        <v>2078</v>
      </c>
      <c r="Q663" t="s">
        <v>2092</v>
      </c>
    </row>
    <row r="664" spans="1:17" x14ac:dyDescent="0.25">
      <c r="A664" t="s">
        <v>505</v>
      </c>
      <c r="B664" s="18">
        <v>45775</v>
      </c>
      <c r="C664" t="s">
        <v>2012</v>
      </c>
      <c r="D664" t="s">
        <v>2032</v>
      </c>
      <c r="E664" t="s">
        <v>2052</v>
      </c>
      <c r="F664" t="s">
        <v>2062</v>
      </c>
      <c r="G664">
        <v>7</v>
      </c>
      <c r="H664">
        <v>6500</v>
      </c>
      <c r="I664">
        <v>8125</v>
      </c>
      <c r="J664">
        <v>14.43</v>
      </c>
      <c r="K664">
        <v>48668.800000000003</v>
      </c>
      <c r="L664">
        <v>3168.8</v>
      </c>
      <c r="M664">
        <v>820706.25</v>
      </c>
      <c r="N664">
        <v>45500</v>
      </c>
      <c r="O664">
        <v>6.5109474653165886</v>
      </c>
      <c r="P664" t="s">
        <v>2078</v>
      </c>
      <c r="Q664" t="s">
        <v>2091</v>
      </c>
    </row>
    <row r="665" spans="1:17" x14ac:dyDescent="0.25">
      <c r="A665" t="s">
        <v>1031</v>
      </c>
      <c r="B665" s="18">
        <v>45775</v>
      </c>
      <c r="C665" t="s">
        <v>2024</v>
      </c>
      <c r="D665" t="s">
        <v>2044</v>
      </c>
      <c r="E665" t="s">
        <v>2055</v>
      </c>
      <c r="F665" t="s">
        <v>2059</v>
      </c>
      <c r="G665">
        <v>2</v>
      </c>
      <c r="H665">
        <v>180</v>
      </c>
      <c r="I665">
        <v>243</v>
      </c>
      <c r="J665">
        <v>6.12</v>
      </c>
      <c r="K665">
        <v>456.25</v>
      </c>
      <c r="L665">
        <v>96.25</v>
      </c>
      <c r="M665">
        <v>2974.32</v>
      </c>
      <c r="N665">
        <v>360</v>
      </c>
      <c r="O665">
        <v>21.095890410958905</v>
      </c>
      <c r="P665" t="s">
        <v>2078</v>
      </c>
      <c r="Q665" t="s">
        <v>2092</v>
      </c>
    </row>
    <row r="666" spans="1:17" x14ac:dyDescent="0.25">
      <c r="A666" t="s">
        <v>1083</v>
      </c>
      <c r="B666" s="18">
        <v>45775</v>
      </c>
      <c r="C666" t="s">
        <v>2030</v>
      </c>
      <c r="D666" t="s">
        <v>2050</v>
      </c>
      <c r="E666" t="s">
        <v>2058</v>
      </c>
      <c r="F666" t="s">
        <v>2062</v>
      </c>
      <c r="G666">
        <v>7</v>
      </c>
      <c r="H666">
        <v>1800</v>
      </c>
      <c r="I666">
        <v>2124</v>
      </c>
      <c r="J666">
        <v>21.74</v>
      </c>
      <c r="K666">
        <v>11635.78</v>
      </c>
      <c r="L666">
        <v>-964.22</v>
      </c>
      <c r="M666">
        <v>323230.31999999995</v>
      </c>
      <c r="N666">
        <v>12600</v>
      </c>
      <c r="O666">
        <v>-8.2866812538566386</v>
      </c>
      <c r="P666" t="s">
        <v>2078</v>
      </c>
      <c r="Q666" t="s">
        <v>2093</v>
      </c>
    </row>
    <row r="667" spans="1:17" x14ac:dyDescent="0.25">
      <c r="A667" t="s">
        <v>1339</v>
      </c>
      <c r="B667" s="18">
        <v>45775</v>
      </c>
      <c r="C667" t="s">
        <v>2019</v>
      </c>
      <c r="D667" t="s">
        <v>2039</v>
      </c>
      <c r="E667" t="s">
        <v>2053</v>
      </c>
      <c r="F667" t="s">
        <v>2062</v>
      </c>
      <c r="G667">
        <v>9</v>
      </c>
      <c r="H667">
        <v>900</v>
      </c>
      <c r="I667">
        <v>1152</v>
      </c>
      <c r="J667">
        <v>21.47</v>
      </c>
      <c r="K667">
        <v>8142.37</v>
      </c>
      <c r="L667">
        <v>42.37</v>
      </c>
      <c r="M667">
        <v>222600.95999999999</v>
      </c>
      <c r="N667">
        <v>8100</v>
      </c>
      <c r="O667">
        <v>0.52036446390915669</v>
      </c>
      <c r="P667" t="s">
        <v>2078</v>
      </c>
      <c r="Q667" t="s">
        <v>2091</v>
      </c>
    </row>
    <row r="668" spans="1:17" x14ac:dyDescent="0.25">
      <c r="A668" t="s">
        <v>1493</v>
      </c>
      <c r="B668" s="18">
        <v>45775</v>
      </c>
      <c r="C668" t="s">
        <v>2015</v>
      </c>
      <c r="D668" t="s">
        <v>2035</v>
      </c>
      <c r="E668" t="s">
        <v>2054</v>
      </c>
      <c r="F668" t="s">
        <v>2061</v>
      </c>
      <c r="G668">
        <v>1</v>
      </c>
      <c r="H668">
        <v>900</v>
      </c>
      <c r="I668">
        <v>1170</v>
      </c>
      <c r="J668">
        <v>21.61</v>
      </c>
      <c r="K668">
        <v>917.2</v>
      </c>
      <c r="L668">
        <v>17.2</v>
      </c>
      <c r="M668">
        <v>25283.7</v>
      </c>
      <c r="N668">
        <v>900</v>
      </c>
      <c r="O668">
        <v>1.8752725686873091</v>
      </c>
      <c r="P668" t="s">
        <v>2078</v>
      </c>
      <c r="Q668" t="s">
        <v>2091</v>
      </c>
    </row>
    <row r="669" spans="1:17" x14ac:dyDescent="0.25">
      <c r="A669" t="s">
        <v>1983</v>
      </c>
      <c r="B669" s="18">
        <v>45775</v>
      </c>
      <c r="C669" t="s">
        <v>2018</v>
      </c>
      <c r="D669" t="s">
        <v>2038</v>
      </c>
      <c r="E669" t="s">
        <v>2053</v>
      </c>
      <c r="F669" t="s">
        <v>2061</v>
      </c>
      <c r="G669">
        <v>5</v>
      </c>
      <c r="H669">
        <v>500</v>
      </c>
      <c r="I669">
        <v>610</v>
      </c>
      <c r="J669">
        <v>3.23</v>
      </c>
      <c r="K669">
        <v>2951.55</v>
      </c>
      <c r="L669">
        <v>451.55</v>
      </c>
      <c r="M669">
        <v>9851.5</v>
      </c>
      <c r="N669">
        <v>2500</v>
      </c>
      <c r="O669">
        <v>15.298741339296301</v>
      </c>
      <c r="P669" t="s">
        <v>2078</v>
      </c>
      <c r="Q669" t="s">
        <v>2092</v>
      </c>
    </row>
    <row r="670" spans="1:17" x14ac:dyDescent="0.25">
      <c r="A670" t="s">
        <v>293</v>
      </c>
      <c r="B670" s="18">
        <v>45776</v>
      </c>
      <c r="C670" t="s">
        <v>2017</v>
      </c>
      <c r="D670" t="s">
        <v>2037</v>
      </c>
      <c r="E670" t="s">
        <v>2055</v>
      </c>
      <c r="F670" t="s">
        <v>2059</v>
      </c>
      <c r="G670">
        <v>1</v>
      </c>
      <c r="H670">
        <v>2500</v>
      </c>
      <c r="I670">
        <v>2875</v>
      </c>
      <c r="J670">
        <v>13.8</v>
      </c>
      <c r="K670">
        <v>2478.13</v>
      </c>
      <c r="L670">
        <v>-21.87</v>
      </c>
      <c r="M670">
        <v>39675</v>
      </c>
      <c r="N670">
        <v>2500</v>
      </c>
      <c r="O670">
        <v>-0.88252028747482991</v>
      </c>
      <c r="P670" t="s">
        <v>2078</v>
      </c>
      <c r="Q670" t="s">
        <v>2093</v>
      </c>
    </row>
    <row r="671" spans="1:17" x14ac:dyDescent="0.25">
      <c r="A671" t="s">
        <v>328</v>
      </c>
      <c r="B671" s="18">
        <v>45776</v>
      </c>
      <c r="C671" t="s">
        <v>2025</v>
      </c>
      <c r="D671" t="s">
        <v>2045</v>
      </c>
      <c r="E671" t="s">
        <v>2057</v>
      </c>
      <c r="F671" t="s">
        <v>2061</v>
      </c>
      <c r="G671">
        <v>8</v>
      </c>
      <c r="H671">
        <v>45</v>
      </c>
      <c r="I671">
        <v>63</v>
      </c>
      <c r="J671">
        <v>10.97</v>
      </c>
      <c r="K671">
        <v>448.72</v>
      </c>
      <c r="L671">
        <v>88.72</v>
      </c>
      <c r="M671">
        <v>5528.88</v>
      </c>
      <c r="N671">
        <v>360</v>
      </c>
      <c r="O671">
        <v>19.771795328935639</v>
      </c>
      <c r="P671" t="s">
        <v>2078</v>
      </c>
      <c r="Q671" t="s">
        <v>2092</v>
      </c>
    </row>
    <row r="672" spans="1:17" x14ac:dyDescent="0.25">
      <c r="A672" t="s">
        <v>435</v>
      </c>
      <c r="B672" s="18">
        <v>45776</v>
      </c>
      <c r="C672" t="s">
        <v>2023</v>
      </c>
      <c r="D672" t="s">
        <v>2043</v>
      </c>
      <c r="E672" t="s">
        <v>2053</v>
      </c>
      <c r="F672" t="s">
        <v>2061</v>
      </c>
      <c r="G672">
        <v>5</v>
      </c>
      <c r="H672">
        <v>550</v>
      </c>
      <c r="I672">
        <v>742.5</v>
      </c>
      <c r="J672">
        <v>6.08</v>
      </c>
      <c r="K672">
        <v>3486.92</v>
      </c>
      <c r="L672">
        <v>736.92</v>
      </c>
      <c r="M672">
        <v>22572</v>
      </c>
      <c r="N672">
        <v>2750</v>
      </c>
      <c r="O672">
        <v>21.133837312011742</v>
      </c>
      <c r="P672" t="s">
        <v>2078</v>
      </c>
      <c r="Q672" t="s">
        <v>2092</v>
      </c>
    </row>
    <row r="673" spans="1:17" x14ac:dyDescent="0.25">
      <c r="A673" t="s">
        <v>1377</v>
      </c>
      <c r="B673" s="18">
        <v>45776</v>
      </c>
      <c r="C673" t="s">
        <v>2020</v>
      </c>
      <c r="D673" t="s">
        <v>2040</v>
      </c>
      <c r="E673" t="s">
        <v>2053</v>
      </c>
      <c r="F673" t="s">
        <v>2061</v>
      </c>
      <c r="G673">
        <v>1</v>
      </c>
      <c r="H673">
        <v>350</v>
      </c>
      <c r="I673">
        <v>455</v>
      </c>
      <c r="J673">
        <v>14.57</v>
      </c>
      <c r="K673">
        <v>388.71</v>
      </c>
      <c r="L673">
        <v>38.71</v>
      </c>
      <c r="M673">
        <v>6629.35</v>
      </c>
      <c r="N673">
        <v>350</v>
      </c>
      <c r="O673">
        <v>9.9585809472357294</v>
      </c>
      <c r="P673" t="s">
        <v>2078</v>
      </c>
      <c r="Q673" t="s">
        <v>2091</v>
      </c>
    </row>
    <row r="674" spans="1:17" x14ac:dyDescent="0.25">
      <c r="A674" t="s">
        <v>1525</v>
      </c>
      <c r="B674" s="18">
        <v>45776</v>
      </c>
      <c r="C674" t="s">
        <v>2019</v>
      </c>
      <c r="D674" t="s">
        <v>2039</v>
      </c>
      <c r="E674" t="s">
        <v>2053</v>
      </c>
      <c r="F674" t="s">
        <v>2059</v>
      </c>
      <c r="G674">
        <v>3</v>
      </c>
      <c r="H674">
        <v>900</v>
      </c>
      <c r="I674">
        <v>1152</v>
      </c>
      <c r="J674">
        <v>0</v>
      </c>
      <c r="K674">
        <v>3456</v>
      </c>
      <c r="L674">
        <v>756</v>
      </c>
      <c r="M674">
        <v>0</v>
      </c>
      <c r="N674">
        <v>2700</v>
      </c>
      <c r="O674">
        <v>21.875</v>
      </c>
      <c r="P674" t="s">
        <v>2078</v>
      </c>
      <c r="Q674" t="s">
        <v>2092</v>
      </c>
    </row>
    <row r="675" spans="1:17" x14ac:dyDescent="0.25">
      <c r="A675" t="s">
        <v>1578</v>
      </c>
      <c r="B675" s="18">
        <v>45776</v>
      </c>
      <c r="C675" t="s">
        <v>2013</v>
      </c>
      <c r="D675" t="s">
        <v>2033</v>
      </c>
      <c r="E675" t="s">
        <v>2053</v>
      </c>
      <c r="F675" t="s">
        <v>2062</v>
      </c>
      <c r="G675">
        <v>5</v>
      </c>
      <c r="H675">
        <v>6500</v>
      </c>
      <c r="I675">
        <v>7150</v>
      </c>
      <c r="J675">
        <v>9.49</v>
      </c>
      <c r="K675">
        <v>32358.66</v>
      </c>
      <c r="L675">
        <v>-141.34</v>
      </c>
      <c r="M675">
        <v>339267.5</v>
      </c>
      <c r="N675">
        <v>32500</v>
      </c>
      <c r="O675">
        <v>-0.4367918819876967</v>
      </c>
      <c r="P675" t="s">
        <v>2078</v>
      </c>
      <c r="Q675" t="s">
        <v>2093</v>
      </c>
    </row>
    <row r="676" spans="1:17" x14ac:dyDescent="0.25">
      <c r="A676" t="s">
        <v>226</v>
      </c>
      <c r="B676" s="18">
        <v>45777</v>
      </c>
      <c r="C676" t="s">
        <v>2025</v>
      </c>
      <c r="D676" t="s">
        <v>2045</v>
      </c>
      <c r="E676" t="s">
        <v>2057</v>
      </c>
      <c r="F676" t="s">
        <v>2060</v>
      </c>
      <c r="G676">
        <v>9</v>
      </c>
      <c r="H676">
        <v>45</v>
      </c>
      <c r="I676">
        <v>63</v>
      </c>
      <c r="J676">
        <v>24.72</v>
      </c>
      <c r="K676">
        <v>426.85</v>
      </c>
      <c r="L676">
        <v>21.85</v>
      </c>
      <c r="M676">
        <v>14016.24</v>
      </c>
      <c r="N676">
        <v>405</v>
      </c>
      <c r="O676">
        <v>5.1188942251376366</v>
      </c>
      <c r="P676" t="s">
        <v>2078</v>
      </c>
      <c r="Q676" t="s">
        <v>2091</v>
      </c>
    </row>
    <row r="677" spans="1:17" x14ac:dyDescent="0.25">
      <c r="A677" t="s">
        <v>551</v>
      </c>
      <c r="B677" s="18">
        <v>45777</v>
      </c>
      <c r="C677" t="s">
        <v>2029</v>
      </c>
      <c r="D677" t="s">
        <v>2049</v>
      </c>
      <c r="E677" t="s">
        <v>2055</v>
      </c>
      <c r="F677" t="s">
        <v>2062</v>
      </c>
      <c r="G677">
        <v>6</v>
      </c>
      <c r="H677">
        <v>1200</v>
      </c>
      <c r="I677">
        <v>1464</v>
      </c>
      <c r="J677">
        <v>12.45</v>
      </c>
      <c r="K677">
        <v>7690.67</v>
      </c>
      <c r="L677">
        <v>490.67</v>
      </c>
      <c r="M677">
        <v>109360.79999999999</v>
      </c>
      <c r="N677">
        <v>7200</v>
      </c>
      <c r="O677">
        <v>6.3800683165445928</v>
      </c>
      <c r="P677" t="s">
        <v>2078</v>
      </c>
      <c r="Q677" t="s">
        <v>2091</v>
      </c>
    </row>
    <row r="678" spans="1:17" x14ac:dyDescent="0.25">
      <c r="A678" t="s">
        <v>842</v>
      </c>
      <c r="B678" s="18">
        <v>45777</v>
      </c>
      <c r="C678" t="s">
        <v>2018</v>
      </c>
      <c r="D678" t="s">
        <v>2038</v>
      </c>
      <c r="E678" t="s">
        <v>2053</v>
      </c>
      <c r="F678" t="s">
        <v>2060</v>
      </c>
      <c r="G678">
        <v>8</v>
      </c>
      <c r="H678">
        <v>500</v>
      </c>
      <c r="I678">
        <v>610</v>
      </c>
      <c r="J678">
        <v>15.06</v>
      </c>
      <c r="K678">
        <v>4145.12</v>
      </c>
      <c r="L678">
        <v>145.12</v>
      </c>
      <c r="M678">
        <v>73492.800000000003</v>
      </c>
      <c r="N678">
        <v>4000</v>
      </c>
      <c r="O678">
        <v>3.5009842899602428</v>
      </c>
      <c r="P678" t="s">
        <v>2078</v>
      </c>
      <c r="Q678" t="s">
        <v>2091</v>
      </c>
    </row>
    <row r="679" spans="1:17" x14ac:dyDescent="0.25">
      <c r="A679" t="s">
        <v>866</v>
      </c>
      <c r="B679" s="18">
        <v>45777</v>
      </c>
      <c r="C679" t="s">
        <v>2019</v>
      </c>
      <c r="D679" t="s">
        <v>2039</v>
      </c>
      <c r="E679" t="s">
        <v>2053</v>
      </c>
      <c r="F679" t="s">
        <v>2060</v>
      </c>
      <c r="G679">
        <v>5</v>
      </c>
      <c r="H679">
        <v>900</v>
      </c>
      <c r="I679">
        <v>1152</v>
      </c>
      <c r="J679">
        <v>5.72</v>
      </c>
      <c r="K679">
        <v>5430.64</v>
      </c>
      <c r="L679">
        <v>930.64</v>
      </c>
      <c r="M679">
        <v>32947.199999999997</v>
      </c>
      <c r="N679">
        <v>4500</v>
      </c>
      <c r="O679">
        <v>17.136838383689582</v>
      </c>
      <c r="P679" t="s">
        <v>2078</v>
      </c>
      <c r="Q679" t="s">
        <v>2092</v>
      </c>
    </row>
    <row r="680" spans="1:17" x14ac:dyDescent="0.25">
      <c r="A680" t="s">
        <v>1336</v>
      </c>
      <c r="B680" s="18">
        <v>45777</v>
      </c>
      <c r="C680" t="s">
        <v>2020</v>
      </c>
      <c r="D680" t="s">
        <v>2040</v>
      </c>
      <c r="E680" t="s">
        <v>2053</v>
      </c>
      <c r="F680" t="s">
        <v>2061</v>
      </c>
      <c r="G680">
        <v>7</v>
      </c>
      <c r="H680">
        <v>350</v>
      </c>
      <c r="I680">
        <v>455</v>
      </c>
      <c r="J680">
        <v>12.04</v>
      </c>
      <c r="K680">
        <v>2801.61</v>
      </c>
      <c r="L680">
        <v>351.61</v>
      </c>
      <c r="M680">
        <v>38347.399999999994</v>
      </c>
      <c r="N680">
        <v>2450</v>
      </c>
      <c r="O680">
        <v>12.55028358693751</v>
      </c>
      <c r="P680" t="s">
        <v>2078</v>
      </c>
      <c r="Q680" t="s">
        <v>2092</v>
      </c>
    </row>
    <row r="681" spans="1:17" x14ac:dyDescent="0.25">
      <c r="A681" t="s">
        <v>1425</v>
      </c>
      <c r="B681" s="18">
        <v>45777</v>
      </c>
      <c r="C681" t="s">
        <v>2018</v>
      </c>
      <c r="D681" t="s">
        <v>2038</v>
      </c>
      <c r="E681" t="s">
        <v>2053</v>
      </c>
      <c r="F681" t="s">
        <v>2061</v>
      </c>
      <c r="G681">
        <v>3</v>
      </c>
      <c r="H681">
        <v>500</v>
      </c>
      <c r="I681">
        <v>610</v>
      </c>
      <c r="J681">
        <v>11.83</v>
      </c>
      <c r="K681">
        <v>1613.46</v>
      </c>
      <c r="L681">
        <v>113.46</v>
      </c>
      <c r="M681">
        <v>21648.9</v>
      </c>
      <c r="N681">
        <v>1500</v>
      </c>
      <c r="O681">
        <v>7.0320925216615215</v>
      </c>
      <c r="P681" t="s">
        <v>2078</v>
      </c>
      <c r="Q681" t="s">
        <v>2091</v>
      </c>
    </row>
    <row r="682" spans="1:17" x14ac:dyDescent="0.25">
      <c r="A682" t="s">
        <v>25</v>
      </c>
      <c r="B682" s="18">
        <v>45778</v>
      </c>
      <c r="C682" t="s">
        <v>2021</v>
      </c>
      <c r="D682" t="s">
        <v>2041</v>
      </c>
      <c r="E682" t="s">
        <v>2056</v>
      </c>
      <c r="F682" t="s">
        <v>2059</v>
      </c>
      <c r="G682">
        <v>1</v>
      </c>
      <c r="H682">
        <v>300</v>
      </c>
      <c r="I682">
        <v>405</v>
      </c>
      <c r="J682">
        <v>12.82</v>
      </c>
      <c r="K682">
        <v>353.07</v>
      </c>
      <c r="L682">
        <v>53.07</v>
      </c>
      <c r="M682">
        <v>5192.1000000000004</v>
      </c>
      <c r="N682">
        <v>300</v>
      </c>
      <c r="O682">
        <v>15.031013680006797</v>
      </c>
      <c r="P682" t="s">
        <v>2079</v>
      </c>
      <c r="Q682" t="s">
        <v>2092</v>
      </c>
    </row>
    <row r="683" spans="1:17" x14ac:dyDescent="0.25">
      <c r="A683" t="s">
        <v>44</v>
      </c>
      <c r="B683" s="18">
        <v>45778</v>
      </c>
      <c r="C683" t="s">
        <v>2012</v>
      </c>
      <c r="D683" t="s">
        <v>2032</v>
      </c>
      <c r="E683" t="s">
        <v>2052</v>
      </c>
      <c r="F683" t="s">
        <v>2060</v>
      </c>
      <c r="G683">
        <v>4</v>
      </c>
      <c r="H683">
        <v>6500</v>
      </c>
      <c r="I683">
        <v>8125</v>
      </c>
      <c r="J683">
        <v>6.55</v>
      </c>
      <c r="K683">
        <v>30372.55</v>
      </c>
      <c r="L683">
        <v>4372.55</v>
      </c>
      <c r="M683">
        <v>212875</v>
      </c>
      <c r="N683">
        <v>26000</v>
      </c>
      <c r="O683">
        <v>14.396387527553664</v>
      </c>
      <c r="P683" t="s">
        <v>2079</v>
      </c>
      <c r="Q683" t="s">
        <v>2092</v>
      </c>
    </row>
    <row r="684" spans="1:17" x14ac:dyDescent="0.25">
      <c r="A684" t="s">
        <v>407</v>
      </c>
      <c r="B684" s="18">
        <v>45778</v>
      </c>
      <c r="C684" t="s">
        <v>2027</v>
      </c>
      <c r="D684" t="s">
        <v>2047</v>
      </c>
      <c r="E684" t="s">
        <v>2053</v>
      </c>
      <c r="F684" t="s">
        <v>2062</v>
      </c>
      <c r="G684">
        <v>9</v>
      </c>
      <c r="H684">
        <v>1100</v>
      </c>
      <c r="I684">
        <v>1298</v>
      </c>
      <c r="J684">
        <v>10.97</v>
      </c>
      <c r="K684">
        <v>10400.42</v>
      </c>
      <c r="L684">
        <v>500.42</v>
      </c>
      <c r="M684">
        <v>128151.54000000001</v>
      </c>
      <c r="N684">
        <v>9900</v>
      </c>
      <c r="O684">
        <v>4.8115364571815373</v>
      </c>
      <c r="P684" t="s">
        <v>2079</v>
      </c>
      <c r="Q684" t="s">
        <v>2091</v>
      </c>
    </row>
    <row r="685" spans="1:17" x14ac:dyDescent="0.25">
      <c r="A685" t="s">
        <v>840</v>
      </c>
      <c r="B685" s="18">
        <v>45778</v>
      </c>
      <c r="C685" t="s">
        <v>2027</v>
      </c>
      <c r="D685" t="s">
        <v>2047</v>
      </c>
      <c r="E685" t="s">
        <v>2053</v>
      </c>
      <c r="F685" t="s">
        <v>2059</v>
      </c>
      <c r="G685">
        <v>6</v>
      </c>
      <c r="H685">
        <v>1100</v>
      </c>
      <c r="I685">
        <v>1298</v>
      </c>
      <c r="J685">
        <v>0.32</v>
      </c>
      <c r="K685">
        <v>7763.42</v>
      </c>
      <c r="L685">
        <v>1163.42</v>
      </c>
      <c r="M685">
        <v>2492.16</v>
      </c>
      <c r="N685">
        <v>6600</v>
      </c>
      <c r="O685">
        <v>14.985921153306148</v>
      </c>
      <c r="P685" t="s">
        <v>2079</v>
      </c>
      <c r="Q685" t="s">
        <v>2092</v>
      </c>
    </row>
    <row r="686" spans="1:17" x14ac:dyDescent="0.25">
      <c r="A686" t="s">
        <v>1405</v>
      </c>
      <c r="B686" s="18">
        <v>45778</v>
      </c>
      <c r="C686" t="s">
        <v>2016</v>
      </c>
      <c r="D686" t="s">
        <v>2036</v>
      </c>
      <c r="E686" t="s">
        <v>2052</v>
      </c>
      <c r="F686" t="s">
        <v>2059</v>
      </c>
      <c r="G686">
        <v>3</v>
      </c>
      <c r="H686">
        <v>900</v>
      </c>
      <c r="I686">
        <v>1170</v>
      </c>
      <c r="J686">
        <v>10.88</v>
      </c>
      <c r="K686">
        <v>3128.04</v>
      </c>
      <c r="L686">
        <v>428.04</v>
      </c>
      <c r="M686">
        <v>38188.800000000003</v>
      </c>
      <c r="N686">
        <v>2700</v>
      </c>
      <c r="O686">
        <v>13.683968235700311</v>
      </c>
      <c r="P686" t="s">
        <v>2079</v>
      </c>
      <c r="Q686" t="s">
        <v>2092</v>
      </c>
    </row>
    <row r="687" spans="1:17" x14ac:dyDescent="0.25">
      <c r="A687" t="s">
        <v>325</v>
      </c>
      <c r="B687" s="18">
        <v>45779</v>
      </c>
      <c r="C687" t="s">
        <v>2015</v>
      </c>
      <c r="D687" t="s">
        <v>2035</v>
      </c>
      <c r="E687" t="s">
        <v>2054</v>
      </c>
      <c r="F687" t="s">
        <v>2059</v>
      </c>
      <c r="G687">
        <v>3</v>
      </c>
      <c r="H687">
        <v>900</v>
      </c>
      <c r="I687">
        <v>1170</v>
      </c>
      <c r="J687">
        <v>13.58</v>
      </c>
      <c r="K687">
        <v>3033.39</v>
      </c>
      <c r="L687">
        <v>333.39</v>
      </c>
      <c r="M687">
        <v>47665.8</v>
      </c>
      <c r="N687">
        <v>2700</v>
      </c>
      <c r="O687">
        <v>10.99067380059933</v>
      </c>
      <c r="P687" t="s">
        <v>2079</v>
      </c>
      <c r="Q687" t="s">
        <v>2092</v>
      </c>
    </row>
    <row r="688" spans="1:17" x14ac:dyDescent="0.25">
      <c r="A688" t="s">
        <v>1065</v>
      </c>
      <c r="B688" s="18">
        <v>45779</v>
      </c>
      <c r="C688" t="s">
        <v>2020</v>
      </c>
      <c r="D688" t="s">
        <v>2040</v>
      </c>
      <c r="E688" t="s">
        <v>2053</v>
      </c>
      <c r="F688" t="s">
        <v>2060</v>
      </c>
      <c r="G688">
        <v>8</v>
      </c>
      <c r="H688">
        <v>350</v>
      </c>
      <c r="I688">
        <v>455</v>
      </c>
      <c r="J688">
        <v>4.37</v>
      </c>
      <c r="K688">
        <v>3481.06</v>
      </c>
      <c r="L688">
        <v>681.06</v>
      </c>
      <c r="M688">
        <v>15906.800000000001</v>
      </c>
      <c r="N688">
        <v>2800</v>
      </c>
      <c r="O688">
        <v>19.56473028330451</v>
      </c>
      <c r="P688" t="s">
        <v>2079</v>
      </c>
      <c r="Q688" t="s">
        <v>2092</v>
      </c>
    </row>
    <row r="689" spans="1:17" x14ac:dyDescent="0.25">
      <c r="A689" t="s">
        <v>1127</v>
      </c>
      <c r="B689" s="18">
        <v>45779</v>
      </c>
      <c r="C689" t="s">
        <v>2024</v>
      </c>
      <c r="D689" t="s">
        <v>2044</v>
      </c>
      <c r="E689" t="s">
        <v>2055</v>
      </c>
      <c r="F689" t="s">
        <v>2062</v>
      </c>
      <c r="G689">
        <v>3</v>
      </c>
      <c r="H689">
        <v>180</v>
      </c>
      <c r="I689">
        <v>243</v>
      </c>
      <c r="J689">
        <v>26.65</v>
      </c>
      <c r="K689">
        <v>534.70000000000005</v>
      </c>
      <c r="L689">
        <v>-5.3</v>
      </c>
      <c r="M689">
        <v>19427.849999999999</v>
      </c>
      <c r="N689">
        <v>540</v>
      </c>
      <c r="O689">
        <v>-0.99121002431269856</v>
      </c>
      <c r="P689" t="s">
        <v>2079</v>
      </c>
      <c r="Q689" t="s">
        <v>2093</v>
      </c>
    </row>
    <row r="690" spans="1:17" x14ac:dyDescent="0.25">
      <c r="A690" t="s">
        <v>1627</v>
      </c>
      <c r="B690" s="18">
        <v>45779</v>
      </c>
      <c r="C690" t="s">
        <v>2016</v>
      </c>
      <c r="D690" t="s">
        <v>2036</v>
      </c>
      <c r="E690" t="s">
        <v>2052</v>
      </c>
      <c r="F690" t="s">
        <v>2059</v>
      </c>
      <c r="G690">
        <v>3</v>
      </c>
      <c r="H690">
        <v>900</v>
      </c>
      <c r="I690">
        <v>1170</v>
      </c>
      <c r="J690">
        <v>11.1</v>
      </c>
      <c r="K690">
        <v>3120.45</v>
      </c>
      <c r="L690">
        <v>420.45</v>
      </c>
      <c r="M690">
        <v>38961</v>
      </c>
      <c r="N690">
        <v>2700</v>
      </c>
      <c r="O690">
        <v>13.474018170456183</v>
      </c>
      <c r="P690" t="s">
        <v>2079</v>
      </c>
      <c r="Q690" t="s">
        <v>2092</v>
      </c>
    </row>
    <row r="691" spans="1:17" x14ac:dyDescent="0.25">
      <c r="A691" t="s">
        <v>1319</v>
      </c>
      <c r="B691" s="18">
        <v>45780</v>
      </c>
      <c r="C691" t="s">
        <v>2015</v>
      </c>
      <c r="D691" t="s">
        <v>2035</v>
      </c>
      <c r="E691" t="s">
        <v>2054</v>
      </c>
      <c r="F691" t="s">
        <v>2060</v>
      </c>
      <c r="G691">
        <v>8</v>
      </c>
      <c r="H691">
        <v>900</v>
      </c>
      <c r="I691">
        <v>1170</v>
      </c>
      <c r="J691">
        <v>9.52</v>
      </c>
      <c r="K691">
        <v>8468.4699999999993</v>
      </c>
      <c r="L691">
        <v>1268.47</v>
      </c>
      <c r="M691">
        <v>89107.199999999997</v>
      </c>
      <c r="N691">
        <v>7200</v>
      </c>
      <c r="O691">
        <v>14.978738780440862</v>
      </c>
      <c r="P691" t="s">
        <v>2079</v>
      </c>
      <c r="Q691" t="s">
        <v>2092</v>
      </c>
    </row>
    <row r="692" spans="1:17" x14ac:dyDescent="0.25">
      <c r="A692" t="s">
        <v>1884</v>
      </c>
      <c r="B692" s="18">
        <v>45780</v>
      </c>
      <c r="C692" t="s">
        <v>2020</v>
      </c>
      <c r="D692" t="s">
        <v>2040</v>
      </c>
      <c r="E692" t="s">
        <v>2053</v>
      </c>
      <c r="F692" t="s">
        <v>2061</v>
      </c>
      <c r="G692">
        <v>4</v>
      </c>
      <c r="H692">
        <v>350</v>
      </c>
      <c r="I692">
        <v>455</v>
      </c>
      <c r="J692">
        <v>8.0500000000000007</v>
      </c>
      <c r="K692">
        <v>1673.55</v>
      </c>
      <c r="L692">
        <v>273.55</v>
      </c>
      <c r="M692">
        <v>14651.000000000002</v>
      </c>
      <c r="N692">
        <v>1400</v>
      </c>
      <c r="O692">
        <v>16.345493113441485</v>
      </c>
      <c r="P692" t="s">
        <v>2079</v>
      </c>
      <c r="Q692" t="s">
        <v>2092</v>
      </c>
    </row>
    <row r="693" spans="1:17" x14ac:dyDescent="0.25">
      <c r="A693" t="s">
        <v>168</v>
      </c>
      <c r="B693" s="18">
        <v>45781</v>
      </c>
      <c r="C693" t="s">
        <v>2021</v>
      </c>
      <c r="D693" t="s">
        <v>2041</v>
      </c>
      <c r="E693" t="s">
        <v>2056</v>
      </c>
      <c r="F693" t="s">
        <v>2059</v>
      </c>
      <c r="G693">
        <v>9</v>
      </c>
      <c r="H693">
        <v>300</v>
      </c>
      <c r="I693">
        <v>405</v>
      </c>
      <c r="J693">
        <v>4.95</v>
      </c>
      <c r="K693">
        <v>3464.57</v>
      </c>
      <c r="L693">
        <v>764.57</v>
      </c>
      <c r="M693">
        <v>18042.75</v>
      </c>
      <c r="N693">
        <v>2700</v>
      </c>
      <c r="O693">
        <v>22.068250894050344</v>
      </c>
      <c r="P693" t="s">
        <v>2079</v>
      </c>
      <c r="Q693" t="s">
        <v>2092</v>
      </c>
    </row>
    <row r="694" spans="1:17" x14ac:dyDescent="0.25">
      <c r="A694" t="s">
        <v>317</v>
      </c>
      <c r="B694" s="18">
        <v>45781</v>
      </c>
      <c r="C694" t="s">
        <v>2014</v>
      </c>
      <c r="D694" t="s">
        <v>2034</v>
      </c>
      <c r="E694" t="s">
        <v>2052</v>
      </c>
      <c r="F694" t="s">
        <v>2059</v>
      </c>
      <c r="G694">
        <v>3</v>
      </c>
      <c r="H694">
        <v>4500</v>
      </c>
      <c r="I694">
        <v>5220</v>
      </c>
      <c r="J694">
        <v>4</v>
      </c>
      <c r="K694">
        <v>15033.6</v>
      </c>
      <c r="L694">
        <v>1533.6</v>
      </c>
      <c r="M694">
        <v>62640</v>
      </c>
      <c r="N694">
        <v>13500</v>
      </c>
      <c r="O694">
        <v>10.201149425287355</v>
      </c>
      <c r="P694" t="s">
        <v>2079</v>
      </c>
      <c r="Q694" t="s">
        <v>2092</v>
      </c>
    </row>
    <row r="695" spans="1:17" x14ac:dyDescent="0.25">
      <c r="A695" t="s">
        <v>491</v>
      </c>
      <c r="B695" s="18">
        <v>45781</v>
      </c>
      <c r="C695" t="s">
        <v>2030</v>
      </c>
      <c r="D695" t="s">
        <v>2050</v>
      </c>
      <c r="E695" t="s">
        <v>2058</v>
      </c>
      <c r="F695" t="s">
        <v>2062</v>
      </c>
      <c r="G695">
        <v>7</v>
      </c>
      <c r="H695">
        <v>1800</v>
      </c>
      <c r="I695">
        <v>2124</v>
      </c>
      <c r="J695">
        <v>16.86</v>
      </c>
      <c r="K695">
        <v>12361.09</v>
      </c>
      <c r="L695">
        <v>-238.91</v>
      </c>
      <c r="M695">
        <v>250674.47999999998</v>
      </c>
      <c r="N695">
        <v>12600</v>
      </c>
      <c r="O695">
        <v>-1.9327583570704525</v>
      </c>
      <c r="P695" t="s">
        <v>2079</v>
      </c>
      <c r="Q695" t="s">
        <v>2093</v>
      </c>
    </row>
    <row r="696" spans="1:17" x14ac:dyDescent="0.25">
      <c r="A696" t="s">
        <v>779</v>
      </c>
      <c r="B696" s="18">
        <v>45781</v>
      </c>
      <c r="C696" t="s">
        <v>2014</v>
      </c>
      <c r="D696" t="s">
        <v>2034</v>
      </c>
      <c r="E696" t="s">
        <v>2052</v>
      </c>
      <c r="F696" t="s">
        <v>2060</v>
      </c>
      <c r="G696">
        <v>5</v>
      </c>
      <c r="H696">
        <v>4500</v>
      </c>
      <c r="I696">
        <v>5220</v>
      </c>
      <c r="J696">
        <v>12.47</v>
      </c>
      <c r="K696">
        <v>22844.29</v>
      </c>
      <c r="L696">
        <v>344.29</v>
      </c>
      <c r="M696">
        <v>325467</v>
      </c>
      <c r="N696">
        <v>22500</v>
      </c>
      <c r="O696">
        <v>1.5071162202896216</v>
      </c>
      <c r="P696" t="s">
        <v>2079</v>
      </c>
      <c r="Q696" t="s">
        <v>2091</v>
      </c>
    </row>
    <row r="697" spans="1:17" x14ac:dyDescent="0.25">
      <c r="A697" t="s">
        <v>839</v>
      </c>
      <c r="B697" s="18">
        <v>45781</v>
      </c>
      <c r="C697" t="s">
        <v>2022</v>
      </c>
      <c r="D697" t="s">
        <v>2042</v>
      </c>
      <c r="E697" t="s">
        <v>2053</v>
      </c>
      <c r="F697" t="s">
        <v>2060</v>
      </c>
      <c r="G697">
        <v>4</v>
      </c>
      <c r="H697">
        <v>8500</v>
      </c>
      <c r="I697">
        <v>9520</v>
      </c>
      <c r="J697">
        <v>14.23</v>
      </c>
      <c r="K697">
        <v>32660.53</v>
      </c>
      <c r="L697">
        <v>-1339.47</v>
      </c>
      <c r="M697">
        <v>541878.4</v>
      </c>
      <c r="N697">
        <v>34000</v>
      </c>
      <c r="O697">
        <v>-4.1011888049581566</v>
      </c>
      <c r="P697" t="s">
        <v>2079</v>
      </c>
      <c r="Q697" t="s">
        <v>2093</v>
      </c>
    </row>
    <row r="698" spans="1:17" x14ac:dyDescent="0.25">
      <c r="A698" t="s">
        <v>1131</v>
      </c>
      <c r="B698" s="18">
        <v>45781</v>
      </c>
      <c r="C698" t="s">
        <v>2020</v>
      </c>
      <c r="D698" t="s">
        <v>2040</v>
      </c>
      <c r="E698" t="s">
        <v>2053</v>
      </c>
      <c r="F698" t="s">
        <v>2062</v>
      </c>
      <c r="G698">
        <v>10</v>
      </c>
      <c r="H698">
        <v>350</v>
      </c>
      <c r="I698">
        <v>455</v>
      </c>
      <c r="J698">
        <v>6.83</v>
      </c>
      <c r="K698">
        <v>4239.12</v>
      </c>
      <c r="L698">
        <v>739.12</v>
      </c>
      <c r="M698">
        <v>31076.5</v>
      </c>
      <c r="N698">
        <v>3500</v>
      </c>
      <c r="O698">
        <v>17.435694200683159</v>
      </c>
      <c r="P698" t="s">
        <v>2079</v>
      </c>
      <c r="Q698" t="s">
        <v>2092</v>
      </c>
    </row>
    <row r="699" spans="1:17" x14ac:dyDescent="0.25">
      <c r="A699" t="s">
        <v>1573</v>
      </c>
      <c r="B699" s="18">
        <v>45781</v>
      </c>
      <c r="C699" t="s">
        <v>2023</v>
      </c>
      <c r="D699" t="s">
        <v>2043</v>
      </c>
      <c r="E699" t="s">
        <v>2053</v>
      </c>
      <c r="F699" t="s">
        <v>2062</v>
      </c>
      <c r="G699">
        <v>2</v>
      </c>
      <c r="H699">
        <v>550</v>
      </c>
      <c r="I699">
        <v>742.5</v>
      </c>
      <c r="J699">
        <v>8.36</v>
      </c>
      <c r="K699">
        <v>1360.89</v>
      </c>
      <c r="L699">
        <v>260.89</v>
      </c>
      <c r="M699">
        <v>12414.599999999999</v>
      </c>
      <c r="N699">
        <v>1100</v>
      </c>
      <c r="O699">
        <v>19.170542806545715</v>
      </c>
      <c r="P699" t="s">
        <v>2079</v>
      </c>
      <c r="Q699" t="s">
        <v>2092</v>
      </c>
    </row>
    <row r="700" spans="1:17" x14ac:dyDescent="0.25">
      <c r="A700" t="s">
        <v>1970</v>
      </c>
      <c r="B700" s="18">
        <v>45781</v>
      </c>
      <c r="C700" t="s">
        <v>2012</v>
      </c>
      <c r="D700" t="s">
        <v>2032</v>
      </c>
      <c r="E700" t="s">
        <v>2052</v>
      </c>
      <c r="F700" t="s">
        <v>2062</v>
      </c>
      <c r="G700">
        <v>6</v>
      </c>
      <c r="H700">
        <v>6500</v>
      </c>
      <c r="I700">
        <v>8125</v>
      </c>
      <c r="J700">
        <v>28.34</v>
      </c>
      <c r="K700">
        <v>34934.04</v>
      </c>
      <c r="L700">
        <v>-4065.96</v>
      </c>
      <c r="M700">
        <v>1381575</v>
      </c>
      <c r="N700">
        <v>39000</v>
      </c>
      <c r="O700">
        <v>-11.63896302861049</v>
      </c>
      <c r="P700" t="s">
        <v>2079</v>
      </c>
      <c r="Q700" t="s">
        <v>2093</v>
      </c>
    </row>
    <row r="701" spans="1:17" x14ac:dyDescent="0.25">
      <c r="A701" t="s">
        <v>627</v>
      </c>
      <c r="B701" s="18">
        <v>45782</v>
      </c>
      <c r="C701" t="s">
        <v>2019</v>
      </c>
      <c r="D701" t="s">
        <v>2039</v>
      </c>
      <c r="E701" t="s">
        <v>2053</v>
      </c>
      <c r="F701" t="s">
        <v>2061</v>
      </c>
      <c r="G701">
        <v>10</v>
      </c>
      <c r="H701">
        <v>900</v>
      </c>
      <c r="I701">
        <v>1152</v>
      </c>
      <c r="J701">
        <v>7.54</v>
      </c>
      <c r="K701">
        <v>10651.46</v>
      </c>
      <c r="L701">
        <v>1651.46</v>
      </c>
      <c r="M701">
        <v>86860.800000000003</v>
      </c>
      <c r="N701">
        <v>9000</v>
      </c>
      <c r="O701">
        <v>15.504541161493353</v>
      </c>
      <c r="P701" t="s">
        <v>2079</v>
      </c>
      <c r="Q701" t="s">
        <v>2092</v>
      </c>
    </row>
    <row r="702" spans="1:17" x14ac:dyDescent="0.25">
      <c r="A702" t="s">
        <v>863</v>
      </c>
      <c r="B702" s="18">
        <v>45782</v>
      </c>
      <c r="C702" t="s">
        <v>2015</v>
      </c>
      <c r="D702" t="s">
        <v>2035</v>
      </c>
      <c r="E702" t="s">
        <v>2054</v>
      </c>
      <c r="F702" t="s">
        <v>2062</v>
      </c>
      <c r="G702">
        <v>1</v>
      </c>
      <c r="H702">
        <v>900</v>
      </c>
      <c r="I702">
        <v>1170</v>
      </c>
      <c r="J702">
        <v>4.8600000000000003</v>
      </c>
      <c r="K702">
        <v>1113.17</v>
      </c>
      <c r="L702">
        <v>213.17</v>
      </c>
      <c r="M702">
        <v>5686.2000000000007</v>
      </c>
      <c r="N702">
        <v>900</v>
      </c>
      <c r="O702">
        <v>19.149815392078477</v>
      </c>
      <c r="P702" t="s">
        <v>2079</v>
      </c>
      <c r="Q702" t="s">
        <v>2092</v>
      </c>
    </row>
    <row r="703" spans="1:17" x14ac:dyDescent="0.25">
      <c r="A703" t="s">
        <v>1124</v>
      </c>
      <c r="B703" s="18">
        <v>45782</v>
      </c>
      <c r="C703" t="s">
        <v>2024</v>
      </c>
      <c r="D703" t="s">
        <v>2044</v>
      </c>
      <c r="E703" t="s">
        <v>2055</v>
      </c>
      <c r="F703" t="s">
        <v>2060</v>
      </c>
      <c r="G703">
        <v>2</v>
      </c>
      <c r="H703">
        <v>180</v>
      </c>
      <c r="I703">
        <v>243</v>
      </c>
      <c r="J703">
        <v>17.010000000000002</v>
      </c>
      <c r="K703">
        <v>403.34</v>
      </c>
      <c r="L703">
        <v>43.34</v>
      </c>
      <c r="M703">
        <v>8266.86</v>
      </c>
      <c r="N703">
        <v>360</v>
      </c>
      <c r="O703">
        <v>10.745276937571282</v>
      </c>
      <c r="P703" t="s">
        <v>2079</v>
      </c>
      <c r="Q703" t="s">
        <v>2092</v>
      </c>
    </row>
    <row r="704" spans="1:17" x14ac:dyDescent="0.25">
      <c r="A704" t="s">
        <v>1128</v>
      </c>
      <c r="B704" s="18">
        <v>45782</v>
      </c>
      <c r="C704" t="s">
        <v>2030</v>
      </c>
      <c r="D704" t="s">
        <v>2050</v>
      </c>
      <c r="E704" t="s">
        <v>2058</v>
      </c>
      <c r="F704" t="s">
        <v>2059</v>
      </c>
      <c r="G704">
        <v>2</v>
      </c>
      <c r="H704">
        <v>1800</v>
      </c>
      <c r="I704">
        <v>2124</v>
      </c>
      <c r="J704">
        <v>17.88</v>
      </c>
      <c r="K704">
        <v>3488.45</v>
      </c>
      <c r="L704">
        <v>-111.55</v>
      </c>
      <c r="M704">
        <v>75954.239999999991</v>
      </c>
      <c r="N704">
        <v>3600</v>
      </c>
      <c r="O704">
        <v>-3.1976952514727173</v>
      </c>
      <c r="P704" t="s">
        <v>2079</v>
      </c>
      <c r="Q704" t="s">
        <v>2093</v>
      </c>
    </row>
    <row r="705" spans="1:17" x14ac:dyDescent="0.25">
      <c r="A705" t="s">
        <v>1168</v>
      </c>
      <c r="B705" s="18">
        <v>45782</v>
      </c>
      <c r="C705" t="s">
        <v>2018</v>
      </c>
      <c r="D705" t="s">
        <v>2038</v>
      </c>
      <c r="E705" t="s">
        <v>2053</v>
      </c>
      <c r="F705" t="s">
        <v>2060</v>
      </c>
      <c r="G705">
        <v>4</v>
      </c>
      <c r="H705">
        <v>500</v>
      </c>
      <c r="I705">
        <v>610</v>
      </c>
      <c r="J705">
        <v>13.82</v>
      </c>
      <c r="K705">
        <v>2102.7199999999998</v>
      </c>
      <c r="L705">
        <v>102.72</v>
      </c>
      <c r="M705">
        <v>33720.800000000003</v>
      </c>
      <c r="N705">
        <v>2000</v>
      </c>
      <c r="O705">
        <v>4.8851012022523213</v>
      </c>
      <c r="P705" t="s">
        <v>2079</v>
      </c>
      <c r="Q705" t="s">
        <v>2091</v>
      </c>
    </row>
    <row r="706" spans="1:17" x14ac:dyDescent="0.25">
      <c r="A706" t="s">
        <v>1678</v>
      </c>
      <c r="B706" s="18">
        <v>45782</v>
      </c>
      <c r="C706" t="s">
        <v>2021</v>
      </c>
      <c r="D706" t="s">
        <v>2041</v>
      </c>
      <c r="E706" t="s">
        <v>2056</v>
      </c>
      <c r="F706" t="s">
        <v>2059</v>
      </c>
      <c r="G706">
        <v>8</v>
      </c>
      <c r="H706">
        <v>300</v>
      </c>
      <c r="I706">
        <v>405</v>
      </c>
      <c r="J706">
        <v>0</v>
      </c>
      <c r="K706">
        <v>3240</v>
      </c>
      <c r="L706">
        <v>840</v>
      </c>
      <c r="M706">
        <v>0</v>
      </c>
      <c r="N706">
        <v>2400</v>
      </c>
      <c r="O706">
        <v>25.925925925925924</v>
      </c>
      <c r="P706" t="s">
        <v>2079</v>
      </c>
      <c r="Q706" t="s">
        <v>2092</v>
      </c>
    </row>
    <row r="707" spans="1:17" x14ac:dyDescent="0.25">
      <c r="A707" t="s">
        <v>335</v>
      </c>
      <c r="B707" s="18">
        <v>45783</v>
      </c>
      <c r="C707" t="s">
        <v>2013</v>
      </c>
      <c r="D707" t="s">
        <v>2033</v>
      </c>
      <c r="E707" t="s">
        <v>2053</v>
      </c>
      <c r="F707" t="s">
        <v>2061</v>
      </c>
      <c r="G707">
        <v>9</v>
      </c>
      <c r="H707">
        <v>6500</v>
      </c>
      <c r="I707">
        <v>7150</v>
      </c>
      <c r="J707">
        <v>8.17</v>
      </c>
      <c r="K707">
        <v>59090.37</v>
      </c>
      <c r="L707">
        <v>590.37</v>
      </c>
      <c r="M707">
        <v>525739.5</v>
      </c>
      <c r="N707">
        <v>58500</v>
      </c>
      <c r="O707">
        <v>0.99909680714471738</v>
      </c>
      <c r="P707" t="s">
        <v>2079</v>
      </c>
      <c r="Q707" t="s">
        <v>2091</v>
      </c>
    </row>
    <row r="708" spans="1:17" x14ac:dyDescent="0.25">
      <c r="A708" t="s">
        <v>524</v>
      </c>
      <c r="B708" s="18">
        <v>45783</v>
      </c>
      <c r="C708" t="s">
        <v>2028</v>
      </c>
      <c r="D708" t="s">
        <v>2048</v>
      </c>
      <c r="E708" t="s">
        <v>2057</v>
      </c>
      <c r="F708" t="s">
        <v>2059</v>
      </c>
      <c r="G708">
        <v>8</v>
      </c>
      <c r="H708">
        <v>80</v>
      </c>
      <c r="I708">
        <v>116</v>
      </c>
      <c r="J708">
        <v>16.809999999999999</v>
      </c>
      <c r="K708">
        <v>772.01</v>
      </c>
      <c r="L708">
        <v>132.01</v>
      </c>
      <c r="M708">
        <v>15599.679999999998</v>
      </c>
      <c r="N708">
        <v>640</v>
      </c>
      <c r="O708">
        <v>17.099519436276729</v>
      </c>
      <c r="P708" t="s">
        <v>2079</v>
      </c>
      <c r="Q708" t="s">
        <v>2092</v>
      </c>
    </row>
    <row r="709" spans="1:17" x14ac:dyDescent="0.25">
      <c r="A709" t="s">
        <v>1098</v>
      </c>
      <c r="B709" s="18">
        <v>45783</v>
      </c>
      <c r="C709" t="s">
        <v>2017</v>
      </c>
      <c r="D709" t="s">
        <v>2037</v>
      </c>
      <c r="E709" t="s">
        <v>2055</v>
      </c>
      <c r="F709" t="s">
        <v>2061</v>
      </c>
      <c r="G709">
        <v>7</v>
      </c>
      <c r="H709">
        <v>2500</v>
      </c>
      <c r="I709">
        <v>2875</v>
      </c>
      <c r="J709">
        <v>14.44</v>
      </c>
      <c r="K709">
        <v>17218.080000000002</v>
      </c>
      <c r="L709">
        <v>-281.92</v>
      </c>
      <c r="M709">
        <v>290605</v>
      </c>
      <c r="N709">
        <v>17500</v>
      </c>
      <c r="O709">
        <v>-1.6373486474682424</v>
      </c>
      <c r="P709" t="s">
        <v>2079</v>
      </c>
      <c r="Q709" t="s">
        <v>2093</v>
      </c>
    </row>
    <row r="710" spans="1:17" x14ac:dyDescent="0.25">
      <c r="A710" t="s">
        <v>1142</v>
      </c>
      <c r="B710" s="18">
        <v>45783</v>
      </c>
      <c r="C710" t="s">
        <v>2022</v>
      </c>
      <c r="D710" t="s">
        <v>2042</v>
      </c>
      <c r="E710" t="s">
        <v>2053</v>
      </c>
      <c r="F710" t="s">
        <v>2061</v>
      </c>
      <c r="G710">
        <v>7</v>
      </c>
      <c r="H710">
        <v>8500</v>
      </c>
      <c r="I710">
        <v>9520</v>
      </c>
      <c r="J710">
        <v>4</v>
      </c>
      <c r="K710">
        <v>63974.400000000001</v>
      </c>
      <c r="L710">
        <v>4474.3999999999996</v>
      </c>
      <c r="M710">
        <v>266560</v>
      </c>
      <c r="N710">
        <v>59500</v>
      </c>
      <c r="O710">
        <v>6.9940476190476177</v>
      </c>
      <c r="P710" t="s">
        <v>2079</v>
      </c>
      <c r="Q710" t="s">
        <v>2091</v>
      </c>
    </row>
    <row r="711" spans="1:17" x14ac:dyDescent="0.25">
      <c r="A711" t="s">
        <v>1264</v>
      </c>
      <c r="B711" s="18">
        <v>45783</v>
      </c>
      <c r="C711" t="s">
        <v>2027</v>
      </c>
      <c r="D711" t="s">
        <v>2047</v>
      </c>
      <c r="E711" t="s">
        <v>2053</v>
      </c>
      <c r="F711" t="s">
        <v>2061</v>
      </c>
      <c r="G711">
        <v>10</v>
      </c>
      <c r="H711">
        <v>1100</v>
      </c>
      <c r="I711">
        <v>1298</v>
      </c>
      <c r="J711">
        <v>4.03</v>
      </c>
      <c r="K711">
        <v>12456.62</v>
      </c>
      <c r="L711">
        <v>1456.62</v>
      </c>
      <c r="M711">
        <v>52309.4</v>
      </c>
      <c r="N711">
        <v>11000</v>
      </c>
      <c r="O711">
        <v>11.693541265608165</v>
      </c>
      <c r="P711" t="s">
        <v>2079</v>
      </c>
      <c r="Q711" t="s">
        <v>2092</v>
      </c>
    </row>
    <row r="712" spans="1:17" x14ac:dyDescent="0.25">
      <c r="A712" t="s">
        <v>1548</v>
      </c>
      <c r="B712" s="18">
        <v>45783</v>
      </c>
      <c r="C712" t="s">
        <v>2030</v>
      </c>
      <c r="D712" t="s">
        <v>2050</v>
      </c>
      <c r="E712" t="s">
        <v>2058</v>
      </c>
      <c r="F712" t="s">
        <v>2060</v>
      </c>
      <c r="G712">
        <v>8</v>
      </c>
      <c r="H712">
        <v>1800</v>
      </c>
      <c r="I712">
        <v>2124</v>
      </c>
      <c r="J712">
        <v>23.06</v>
      </c>
      <c r="K712">
        <v>13073.76</v>
      </c>
      <c r="L712">
        <v>-1326.24</v>
      </c>
      <c r="M712">
        <v>391835.51999999996</v>
      </c>
      <c r="N712">
        <v>14400</v>
      </c>
      <c r="O712">
        <v>-10.144289018614385</v>
      </c>
      <c r="P712" t="s">
        <v>2079</v>
      </c>
      <c r="Q712" t="s">
        <v>2093</v>
      </c>
    </row>
    <row r="713" spans="1:17" x14ac:dyDescent="0.25">
      <c r="A713" t="s">
        <v>1902</v>
      </c>
      <c r="B713" s="18">
        <v>45783</v>
      </c>
      <c r="C713" t="s">
        <v>2012</v>
      </c>
      <c r="D713" t="s">
        <v>2032</v>
      </c>
      <c r="E713" t="s">
        <v>2052</v>
      </c>
      <c r="F713" t="s">
        <v>2061</v>
      </c>
      <c r="G713">
        <v>6</v>
      </c>
      <c r="H713">
        <v>6500</v>
      </c>
      <c r="I713">
        <v>8125</v>
      </c>
      <c r="J713">
        <v>18.510000000000002</v>
      </c>
      <c r="K713">
        <v>39726.660000000003</v>
      </c>
      <c r="L713">
        <v>726.66</v>
      </c>
      <c r="M713">
        <v>902362.50000000012</v>
      </c>
      <c r="N713">
        <v>39000</v>
      </c>
      <c r="O713">
        <v>1.8291494930608312</v>
      </c>
      <c r="P713" t="s">
        <v>2079</v>
      </c>
      <c r="Q713" t="s">
        <v>2091</v>
      </c>
    </row>
    <row r="714" spans="1:17" x14ac:dyDescent="0.25">
      <c r="A714" t="s">
        <v>1973</v>
      </c>
      <c r="B714" s="18">
        <v>45783</v>
      </c>
      <c r="C714" t="s">
        <v>2018</v>
      </c>
      <c r="D714" t="s">
        <v>2038</v>
      </c>
      <c r="E714" t="s">
        <v>2053</v>
      </c>
      <c r="F714" t="s">
        <v>2062</v>
      </c>
      <c r="G714">
        <v>9</v>
      </c>
      <c r="H714">
        <v>500</v>
      </c>
      <c r="I714">
        <v>610</v>
      </c>
      <c r="J714">
        <v>12.25</v>
      </c>
      <c r="K714">
        <v>4817.45</v>
      </c>
      <c r="L714">
        <v>317.45</v>
      </c>
      <c r="M714">
        <v>67252.5</v>
      </c>
      <c r="N714">
        <v>4500</v>
      </c>
      <c r="O714">
        <v>6.5895857767075947</v>
      </c>
      <c r="P714" t="s">
        <v>2079</v>
      </c>
      <c r="Q714" t="s">
        <v>2091</v>
      </c>
    </row>
    <row r="715" spans="1:17" x14ac:dyDescent="0.25">
      <c r="A715" t="s">
        <v>573</v>
      </c>
      <c r="B715" s="18">
        <v>45784</v>
      </c>
      <c r="C715" t="s">
        <v>2013</v>
      </c>
      <c r="D715" t="s">
        <v>2033</v>
      </c>
      <c r="E715" t="s">
        <v>2053</v>
      </c>
      <c r="F715" t="s">
        <v>2060</v>
      </c>
      <c r="G715">
        <v>9</v>
      </c>
      <c r="H715">
        <v>6500</v>
      </c>
      <c r="I715">
        <v>7150</v>
      </c>
      <c r="J715">
        <v>11.12</v>
      </c>
      <c r="K715">
        <v>57196.43</v>
      </c>
      <c r="L715">
        <v>-1303.57</v>
      </c>
      <c r="M715">
        <v>715572</v>
      </c>
      <c r="N715">
        <v>58500</v>
      </c>
      <c r="O715">
        <v>-2.279110776669103</v>
      </c>
      <c r="P715" t="s">
        <v>2079</v>
      </c>
      <c r="Q715" t="s">
        <v>2093</v>
      </c>
    </row>
    <row r="716" spans="1:17" x14ac:dyDescent="0.25">
      <c r="A716" t="s">
        <v>867</v>
      </c>
      <c r="B716" s="18">
        <v>45784</v>
      </c>
      <c r="C716" t="s">
        <v>2024</v>
      </c>
      <c r="D716" t="s">
        <v>2044</v>
      </c>
      <c r="E716" t="s">
        <v>2055</v>
      </c>
      <c r="F716" t="s">
        <v>2060</v>
      </c>
      <c r="G716">
        <v>10</v>
      </c>
      <c r="H716">
        <v>180</v>
      </c>
      <c r="I716">
        <v>243</v>
      </c>
      <c r="J716">
        <v>0</v>
      </c>
      <c r="K716">
        <v>2430</v>
      </c>
      <c r="L716">
        <v>630</v>
      </c>
      <c r="M716">
        <v>0</v>
      </c>
      <c r="N716">
        <v>1800</v>
      </c>
      <c r="O716">
        <v>25.925925925925924</v>
      </c>
      <c r="P716" t="s">
        <v>2079</v>
      </c>
      <c r="Q716" t="s">
        <v>2092</v>
      </c>
    </row>
    <row r="717" spans="1:17" x14ac:dyDescent="0.25">
      <c r="A717" t="s">
        <v>981</v>
      </c>
      <c r="B717" s="18">
        <v>45784</v>
      </c>
      <c r="C717" t="s">
        <v>2027</v>
      </c>
      <c r="D717" t="s">
        <v>2047</v>
      </c>
      <c r="E717" t="s">
        <v>2053</v>
      </c>
      <c r="F717" t="s">
        <v>2062</v>
      </c>
      <c r="G717">
        <v>6</v>
      </c>
      <c r="H717">
        <v>1100</v>
      </c>
      <c r="I717">
        <v>1298</v>
      </c>
      <c r="J717">
        <v>3.44</v>
      </c>
      <c r="K717">
        <v>7519.85</v>
      </c>
      <c r="L717">
        <v>919.85</v>
      </c>
      <c r="M717">
        <v>26790.720000000001</v>
      </c>
      <c r="N717">
        <v>6600</v>
      </c>
      <c r="O717">
        <v>12.232291867523953</v>
      </c>
      <c r="P717" t="s">
        <v>2079</v>
      </c>
      <c r="Q717" t="s">
        <v>2092</v>
      </c>
    </row>
    <row r="718" spans="1:17" x14ac:dyDescent="0.25">
      <c r="A718" t="s">
        <v>1011</v>
      </c>
      <c r="B718" s="18">
        <v>45784</v>
      </c>
      <c r="C718" t="s">
        <v>2020</v>
      </c>
      <c r="D718" t="s">
        <v>2040</v>
      </c>
      <c r="E718" t="s">
        <v>2053</v>
      </c>
      <c r="F718" t="s">
        <v>2061</v>
      </c>
      <c r="G718">
        <v>1</v>
      </c>
      <c r="H718">
        <v>350</v>
      </c>
      <c r="I718">
        <v>455</v>
      </c>
      <c r="J718">
        <v>2.0299999999999998</v>
      </c>
      <c r="K718">
        <v>445.76</v>
      </c>
      <c r="L718">
        <v>95.76</v>
      </c>
      <c r="M718">
        <v>923.64999999999986</v>
      </c>
      <c r="N718">
        <v>350</v>
      </c>
      <c r="O718">
        <v>21.48241206030151</v>
      </c>
      <c r="P718" t="s">
        <v>2079</v>
      </c>
      <c r="Q718" t="s">
        <v>2092</v>
      </c>
    </row>
    <row r="719" spans="1:17" x14ac:dyDescent="0.25">
      <c r="A719" t="s">
        <v>1055</v>
      </c>
      <c r="B719" s="18">
        <v>45784</v>
      </c>
      <c r="C719" t="s">
        <v>2017</v>
      </c>
      <c r="D719" t="s">
        <v>2037</v>
      </c>
      <c r="E719" t="s">
        <v>2055</v>
      </c>
      <c r="F719" t="s">
        <v>2059</v>
      </c>
      <c r="G719">
        <v>6</v>
      </c>
      <c r="H719">
        <v>2500</v>
      </c>
      <c r="I719">
        <v>2875</v>
      </c>
      <c r="J719">
        <v>4.17</v>
      </c>
      <c r="K719">
        <v>16531.45</v>
      </c>
      <c r="L719">
        <v>1531.45</v>
      </c>
      <c r="M719">
        <v>71932.5</v>
      </c>
      <c r="N719">
        <v>15000</v>
      </c>
      <c r="O719">
        <v>9.2638576773362296</v>
      </c>
      <c r="P719" t="s">
        <v>2079</v>
      </c>
      <c r="Q719" t="s">
        <v>2091</v>
      </c>
    </row>
    <row r="720" spans="1:17" x14ac:dyDescent="0.25">
      <c r="A720" t="s">
        <v>1297</v>
      </c>
      <c r="B720" s="18">
        <v>45784</v>
      </c>
      <c r="C720" t="s">
        <v>2013</v>
      </c>
      <c r="D720" t="s">
        <v>2033</v>
      </c>
      <c r="E720" t="s">
        <v>2053</v>
      </c>
      <c r="F720" t="s">
        <v>2062</v>
      </c>
      <c r="G720">
        <v>6</v>
      </c>
      <c r="H720">
        <v>6500</v>
      </c>
      <c r="I720">
        <v>7150</v>
      </c>
      <c r="J720">
        <v>16.68</v>
      </c>
      <c r="K720">
        <v>35742.54</v>
      </c>
      <c r="L720">
        <v>-3257.46</v>
      </c>
      <c r="M720">
        <v>715572</v>
      </c>
      <c r="N720">
        <v>39000</v>
      </c>
      <c r="O720">
        <v>-9.1136779870708686</v>
      </c>
      <c r="P720" t="s">
        <v>2079</v>
      </c>
      <c r="Q720" t="s">
        <v>2093</v>
      </c>
    </row>
    <row r="721" spans="1:17" x14ac:dyDescent="0.25">
      <c r="A721" t="s">
        <v>1382</v>
      </c>
      <c r="B721" s="18">
        <v>45784</v>
      </c>
      <c r="C721" t="s">
        <v>2026</v>
      </c>
      <c r="D721" t="s">
        <v>2046</v>
      </c>
      <c r="E721" t="s">
        <v>2052</v>
      </c>
      <c r="F721" t="s">
        <v>2060</v>
      </c>
      <c r="G721">
        <v>2</v>
      </c>
      <c r="H721">
        <v>3000</v>
      </c>
      <c r="I721">
        <v>3600</v>
      </c>
      <c r="J721">
        <v>7.78</v>
      </c>
      <c r="K721">
        <v>6640.18</v>
      </c>
      <c r="L721">
        <v>640.17999999999995</v>
      </c>
      <c r="M721">
        <v>56016</v>
      </c>
      <c r="N721">
        <v>6000</v>
      </c>
      <c r="O721">
        <v>9.6410037077308139</v>
      </c>
      <c r="P721" t="s">
        <v>2079</v>
      </c>
      <c r="Q721" t="s">
        <v>2091</v>
      </c>
    </row>
    <row r="722" spans="1:17" x14ac:dyDescent="0.25">
      <c r="A722" t="s">
        <v>123</v>
      </c>
      <c r="B722" s="18">
        <v>45785</v>
      </c>
      <c r="C722" t="s">
        <v>2027</v>
      </c>
      <c r="D722" t="s">
        <v>2047</v>
      </c>
      <c r="E722" t="s">
        <v>2053</v>
      </c>
      <c r="F722" t="s">
        <v>2062</v>
      </c>
      <c r="G722">
        <v>3</v>
      </c>
      <c r="H722">
        <v>1100</v>
      </c>
      <c r="I722">
        <v>1298</v>
      </c>
      <c r="J722">
        <v>14.65</v>
      </c>
      <c r="K722">
        <v>3323.5</v>
      </c>
      <c r="L722">
        <v>23.5</v>
      </c>
      <c r="M722">
        <v>57047.1</v>
      </c>
      <c r="N722">
        <v>3300</v>
      </c>
      <c r="O722">
        <v>0.70708590341507449</v>
      </c>
      <c r="P722" t="s">
        <v>2079</v>
      </c>
      <c r="Q722" t="s">
        <v>2091</v>
      </c>
    </row>
    <row r="723" spans="1:17" x14ac:dyDescent="0.25">
      <c r="A723" t="s">
        <v>375</v>
      </c>
      <c r="B723" s="18">
        <v>45785</v>
      </c>
      <c r="C723" t="s">
        <v>2027</v>
      </c>
      <c r="D723" t="s">
        <v>2047</v>
      </c>
      <c r="E723" t="s">
        <v>2053</v>
      </c>
      <c r="F723" t="s">
        <v>2059</v>
      </c>
      <c r="G723">
        <v>9</v>
      </c>
      <c r="H723">
        <v>1100</v>
      </c>
      <c r="I723">
        <v>1298</v>
      </c>
      <c r="J723">
        <v>8.61</v>
      </c>
      <c r="K723">
        <v>10676.27</v>
      </c>
      <c r="L723">
        <v>776.27</v>
      </c>
      <c r="M723">
        <v>100582.01999999999</v>
      </c>
      <c r="N723">
        <v>9900</v>
      </c>
      <c r="O723">
        <v>7.2709850912350467</v>
      </c>
      <c r="P723" t="s">
        <v>2079</v>
      </c>
      <c r="Q723" t="s">
        <v>2091</v>
      </c>
    </row>
    <row r="724" spans="1:17" x14ac:dyDescent="0.25">
      <c r="A724" t="s">
        <v>723</v>
      </c>
      <c r="B724" s="18">
        <v>45785</v>
      </c>
      <c r="C724" t="s">
        <v>2023</v>
      </c>
      <c r="D724" t="s">
        <v>2043</v>
      </c>
      <c r="E724" t="s">
        <v>2053</v>
      </c>
      <c r="F724" t="s">
        <v>2061</v>
      </c>
      <c r="G724">
        <v>8</v>
      </c>
      <c r="H724">
        <v>550</v>
      </c>
      <c r="I724">
        <v>742.5</v>
      </c>
      <c r="J724">
        <v>17.34</v>
      </c>
      <c r="K724">
        <v>4909.8100000000004</v>
      </c>
      <c r="L724">
        <v>509.81</v>
      </c>
      <c r="M724">
        <v>102999.6</v>
      </c>
      <c r="N724">
        <v>4400</v>
      </c>
      <c r="O724">
        <v>10.383497528417596</v>
      </c>
      <c r="P724" t="s">
        <v>2079</v>
      </c>
      <c r="Q724" t="s">
        <v>2092</v>
      </c>
    </row>
    <row r="725" spans="1:17" x14ac:dyDescent="0.25">
      <c r="A725" t="s">
        <v>783</v>
      </c>
      <c r="B725" s="18">
        <v>45785</v>
      </c>
      <c r="C725" t="s">
        <v>2014</v>
      </c>
      <c r="D725" t="s">
        <v>2034</v>
      </c>
      <c r="E725" t="s">
        <v>2052</v>
      </c>
      <c r="F725" t="s">
        <v>2060</v>
      </c>
      <c r="G725">
        <v>6</v>
      </c>
      <c r="H725">
        <v>4500</v>
      </c>
      <c r="I725">
        <v>5220</v>
      </c>
      <c r="J725">
        <v>10.5</v>
      </c>
      <c r="K725">
        <v>28031.51</v>
      </c>
      <c r="L725">
        <v>1031.51</v>
      </c>
      <c r="M725">
        <v>328860</v>
      </c>
      <c r="N725">
        <v>27000</v>
      </c>
      <c r="O725">
        <v>3.6798231704249971</v>
      </c>
      <c r="P725" t="s">
        <v>2079</v>
      </c>
      <c r="Q725" t="s">
        <v>2091</v>
      </c>
    </row>
    <row r="726" spans="1:17" x14ac:dyDescent="0.25">
      <c r="A726" t="s">
        <v>1295</v>
      </c>
      <c r="B726" s="18">
        <v>45785</v>
      </c>
      <c r="C726" t="s">
        <v>2025</v>
      </c>
      <c r="D726" t="s">
        <v>2045</v>
      </c>
      <c r="E726" t="s">
        <v>2057</v>
      </c>
      <c r="F726" t="s">
        <v>2060</v>
      </c>
      <c r="G726">
        <v>4</v>
      </c>
      <c r="H726">
        <v>45</v>
      </c>
      <c r="I726">
        <v>63</v>
      </c>
      <c r="J726">
        <v>17.86</v>
      </c>
      <c r="K726">
        <v>206.99</v>
      </c>
      <c r="L726">
        <v>26.99</v>
      </c>
      <c r="M726">
        <v>4500.72</v>
      </c>
      <c r="N726">
        <v>180</v>
      </c>
      <c r="O726">
        <v>13.039277259771001</v>
      </c>
      <c r="P726" t="s">
        <v>2079</v>
      </c>
      <c r="Q726" t="s">
        <v>2092</v>
      </c>
    </row>
    <row r="727" spans="1:17" x14ac:dyDescent="0.25">
      <c r="A727" t="s">
        <v>1929</v>
      </c>
      <c r="B727" s="18">
        <v>45785</v>
      </c>
      <c r="C727" t="s">
        <v>2027</v>
      </c>
      <c r="D727" t="s">
        <v>2047</v>
      </c>
      <c r="E727" t="s">
        <v>2053</v>
      </c>
      <c r="F727" t="s">
        <v>2059</v>
      </c>
      <c r="G727">
        <v>10</v>
      </c>
      <c r="H727">
        <v>1100</v>
      </c>
      <c r="I727">
        <v>1298</v>
      </c>
      <c r="J727">
        <v>5.38</v>
      </c>
      <c r="K727">
        <v>12281.11</v>
      </c>
      <c r="L727">
        <v>1281.1099999999999</v>
      </c>
      <c r="M727">
        <v>69832.399999999994</v>
      </c>
      <c r="N727">
        <v>11000</v>
      </c>
      <c r="O727">
        <v>10.431548939794528</v>
      </c>
      <c r="P727" t="s">
        <v>2079</v>
      </c>
      <c r="Q727" t="s">
        <v>2092</v>
      </c>
    </row>
    <row r="728" spans="1:17" x14ac:dyDescent="0.25">
      <c r="A728" t="s">
        <v>2001</v>
      </c>
      <c r="B728" s="18">
        <v>45785</v>
      </c>
      <c r="C728" t="s">
        <v>2019</v>
      </c>
      <c r="D728" t="s">
        <v>2039</v>
      </c>
      <c r="E728" t="s">
        <v>2053</v>
      </c>
      <c r="F728" t="s">
        <v>2060</v>
      </c>
      <c r="G728">
        <v>3</v>
      </c>
      <c r="H728">
        <v>900</v>
      </c>
      <c r="I728">
        <v>1152</v>
      </c>
      <c r="J728">
        <v>19.48</v>
      </c>
      <c r="K728">
        <v>2782.76</v>
      </c>
      <c r="L728">
        <v>82.76</v>
      </c>
      <c r="M728">
        <v>67322.880000000005</v>
      </c>
      <c r="N728">
        <v>2700</v>
      </c>
      <c r="O728">
        <v>2.9740257873478129</v>
      </c>
      <c r="P728" t="s">
        <v>2079</v>
      </c>
      <c r="Q728" t="s">
        <v>2091</v>
      </c>
    </row>
    <row r="729" spans="1:17" x14ac:dyDescent="0.25">
      <c r="A729" t="s">
        <v>227</v>
      </c>
      <c r="B729" s="18">
        <v>45786</v>
      </c>
      <c r="C729" t="s">
        <v>2019</v>
      </c>
      <c r="D729" t="s">
        <v>2039</v>
      </c>
      <c r="E729" t="s">
        <v>2053</v>
      </c>
      <c r="F729" t="s">
        <v>2061</v>
      </c>
      <c r="G729">
        <v>6</v>
      </c>
      <c r="H729">
        <v>900</v>
      </c>
      <c r="I729">
        <v>1152</v>
      </c>
      <c r="J729">
        <v>8.2100000000000009</v>
      </c>
      <c r="K729">
        <v>6344.76</v>
      </c>
      <c r="L729">
        <v>944.76</v>
      </c>
      <c r="M729">
        <v>56747.520000000004</v>
      </c>
      <c r="N729">
        <v>5400</v>
      </c>
      <c r="O729">
        <v>14.8903977455412</v>
      </c>
      <c r="P729" t="s">
        <v>2079</v>
      </c>
      <c r="Q729" t="s">
        <v>2092</v>
      </c>
    </row>
    <row r="730" spans="1:17" x14ac:dyDescent="0.25">
      <c r="A730" t="s">
        <v>383</v>
      </c>
      <c r="B730" s="18">
        <v>45786</v>
      </c>
      <c r="C730" t="s">
        <v>2016</v>
      </c>
      <c r="D730" t="s">
        <v>2036</v>
      </c>
      <c r="E730" t="s">
        <v>2052</v>
      </c>
      <c r="F730" t="s">
        <v>2061</v>
      </c>
      <c r="G730">
        <v>4</v>
      </c>
      <c r="H730">
        <v>900</v>
      </c>
      <c r="I730">
        <v>1170</v>
      </c>
      <c r="J730">
        <v>11.57</v>
      </c>
      <c r="K730">
        <v>4138.66</v>
      </c>
      <c r="L730">
        <v>538.66</v>
      </c>
      <c r="M730">
        <v>54147.6</v>
      </c>
      <c r="N730">
        <v>3600</v>
      </c>
      <c r="O730">
        <v>13.015323800457152</v>
      </c>
      <c r="P730" t="s">
        <v>2079</v>
      </c>
      <c r="Q730" t="s">
        <v>2092</v>
      </c>
    </row>
    <row r="731" spans="1:17" x14ac:dyDescent="0.25">
      <c r="A731" t="s">
        <v>527</v>
      </c>
      <c r="B731" s="18">
        <v>45786</v>
      </c>
      <c r="C731" t="s">
        <v>2027</v>
      </c>
      <c r="D731" t="s">
        <v>2047</v>
      </c>
      <c r="E731" t="s">
        <v>2053</v>
      </c>
      <c r="F731" t="s">
        <v>2060</v>
      </c>
      <c r="G731">
        <v>2</v>
      </c>
      <c r="H731">
        <v>1100</v>
      </c>
      <c r="I731">
        <v>1298</v>
      </c>
      <c r="J731">
        <v>0</v>
      </c>
      <c r="K731">
        <v>2596</v>
      </c>
      <c r="L731">
        <v>396</v>
      </c>
      <c r="M731">
        <v>0</v>
      </c>
      <c r="N731">
        <v>2200</v>
      </c>
      <c r="O731">
        <v>15.254237288135593</v>
      </c>
      <c r="P731" t="s">
        <v>2079</v>
      </c>
      <c r="Q731" t="s">
        <v>2092</v>
      </c>
    </row>
    <row r="732" spans="1:17" x14ac:dyDescent="0.25">
      <c r="A732" t="s">
        <v>697</v>
      </c>
      <c r="B732" s="18">
        <v>45786</v>
      </c>
      <c r="C732" t="s">
        <v>2020</v>
      </c>
      <c r="D732" t="s">
        <v>2040</v>
      </c>
      <c r="E732" t="s">
        <v>2053</v>
      </c>
      <c r="F732" t="s">
        <v>2059</v>
      </c>
      <c r="G732">
        <v>6</v>
      </c>
      <c r="H732">
        <v>350</v>
      </c>
      <c r="I732">
        <v>455</v>
      </c>
      <c r="J732">
        <v>8.34</v>
      </c>
      <c r="K732">
        <v>2502.1799999999998</v>
      </c>
      <c r="L732">
        <v>402.18</v>
      </c>
      <c r="M732">
        <v>22768.2</v>
      </c>
      <c r="N732">
        <v>2100</v>
      </c>
      <c r="O732">
        <v>16.073184183392083</v>
      </c>
      <c r="P732" t="s">
        <v>2079</v>
      </c>
      <c r="Q732" t="s">
        <v>2092</v>
      </c>
    </row>
    <row r="733" spans="1:17" x14ac:dyDescent="0.25">
      <c r="A733" t="s">
        <v>711</v>
      </c>
      <c r="B733" s="18">
        <v>45786</v>
      </c>
      <c r="C733" t="s">
        <v>2018</v>
      </c>
      <c r="D733" t="s">
        <v>2038</v>
      </c>
      <c r="E733" t="s">
        <v>2053</v>
      </c>
      <c r="F733" t="s">
        <v>2059</v>
      </c>
      <c r="G733">
        <v>4</v>
      </c>
      <c r="H733">
        <v>500</v>
      </c>
      <c r="I733">
        <v>610</v>
      </c>
      <c r="J733">
        <v>11.88</v>
      </c>
      <c r="K733">
        <v>2150.1799999999998</v>
      </c>
      <c r="L733">
        <v>150.18</v>
      </c>
      <c r="M733">
        <v>28987.200000000001</v>
      </c>
      <c r="N733">
        <v>2000</v>
      </c>
      <c r="O733">
        <v>6.9845315275930391</v>
      </c>
      <c r="P733" t="s">
        <v>2079</v>
      </c>
      <c r="Q733" t="s">
        <v>2091</v>
      </c>
    </row>
    <row r="734" spans="1:17" x14ac:dyDescent="0.25">
      <c r="A734" t="s">
        <v>1731</v>
      </c>
      <c r="B734" s="18">
        <v>45786</v>
      </c>
      <c r="C734" t="s">
        <v>2014</v>
      </c>
      <c r="D734" t="s">
        <v>2034</v>
      </c>
      <c r="E734" t="s">
        <v>2052</v>
      </c>
      <c r="F734" t="s">
        <v>2061</v>
      </c>
      <c r="G734">
        <v>10</v>
      </c>
      <c r="H734">
        <v>4500</v>
      </c>
      <c r="I734">
        <v>5220</v>
      </c>
      <c r="J734">
        <v>15.61</v>
      </c>
      <c r="K734">
        <v>44049.77</v>
      </c>
      <c r="L734">
        <v>-950.23</v>
      </c>
      <c r="M734">
        <v>814842</v>
      </c>
      <c r="N734">
        <v>45000</v>
      </c>
      <c r="O734">
        <v>-2.157173578885883</v>
      </c>
      <c r="P734" t="s">
        <v>2079</v>
      </c>
      <c r="Q734" t="s">
        <v>2093</v>
      </c>
    </row>
    <row r="735" spans="1:17" x14ac:dyDescent="0.25">
      <c r="A735" t="s">
        <v>96</v>
      </c>
      <c r="B735" s="18">
        <v>45787</v>
      </c>
      <c r="C735" t="s">
        <v>2016</v>
      </c>
      <c r="D735" t="s">
        <v>2036</v>
      </c>
      <c r="E735" t="s">
        <v>2052</v>
      </c>
      <c r="F735" t="s">
        <v>2059</v>
      </c>
      <c r="G735">
        <v>3</v>
      </c>
      <c r="H735">
        <v>900</v>
      </c>
      <c r="I735">
        <v>1170</v>
      </c>
      <c r="J735">
        <v>11.63</v>
      </c>
      <c r="K735">
        <v>3101.73</v>
      </c>
      <c r="L735">
        <v>401.73</v>
      </c>
      <c r="M735">
        <v>40821.300000000003</v>
      </c>
      <c r="N735">
        <v>2700</v>
      </c>
      <c r="O735">
        <v>12.951804315656101</v>
      </c>
      <c r="P735" t="s">
        <v>2079</v>
      </c>
      <c r="Q735" t="s">
        <v>2092</v>
      </c>
    </row>
    <row r="736" spans="1:17" x14ac:dyDescent="0.25">
      <c r="A736" t="s">
        <v>136</v>
      </c>
      <c r="B736" s="18">
        <v>45787</v>
      </c>
      <c r="C736" t="s">
        <v>2027</v>
      </c>
      <c r="D736" t="s">
        <v>2047</v>
      </c>
      <c r="E736" t="s">
        <v>2053</v>
      </c>
      <c r="F736" t="s">
        <v>2062</v>
      </c>
      <c r="G736">
        <v>6</v>
      </c>
      <c r="H736">
        <v>1100</v>
      </c>
      <c r="I736">
        <v>1298</v>
      </c>
      <c r="J736">
        <v>14.37</v>
      </c>
      <c r="K736">
        <v>6669.05</v>
      </c>
      <c r="L736">
        <v>69.05</v>
      </c>
      <c r="M736">
        <v>111913.56</v>
      </c>
      <c r="N736">
        <v>6600</v>
      </c>
      <c r="O736">
        <v>1.0353798517030162</v>
      </c>
      <c r="P736" t="s">
        <v>2079</v>
      </c>
      <c r="Q736" t="s">
        <v>2091</v>
      </c>
    </row>
    <row r="737" spans="1:17" x14ac:dyDescent="0.25">
      <c r="A737" t="s">
        <v>143</v>
      </c>
      <c r="B737" s="18">
        <v>45787</v>
      </c>
      <c r="C737" t="s">
        <v>2012</v>
      </c>
      <c r="D737" t="s">
        <v>2032</v>
      </c>
      <c r="E737" t="s">
        <v>2052</v>
      </c>
      <c r="F737" t="s">
        <v>2062</v>
      </c>
      <c r="G737">
        <v>1</v>
      </c>
      <c r="H737">
        <v>6500</v>
      </c>
      <c r="I737">
        <v>8125</v>
      </c>
      <c r="J737">
        <v>20.260000000000002</v>
      </c>
      <c r="K737">
        <v>6478.74</v>
      </c>
      <c r="L737">
        <v>-21.26</v>
      </c>
      <c r="M737">
        <v>164612.5</v>
      </c>
      <c r="N737">
        <v>6500</v>
      </c>
      <c r="O737">
        <v>-0.32815022674161953</v>
      </c>
      <c r="P737" t="s">
        <v>2079</v>
      </c>
      <c r="Q737" t="s">
        <v>2093</v>
      </c>
    </row>
    <row r="738" spans="1:17" x14ac:dyDescent="0.25">
      <c r="A738" t="s">
        <v>228</v>
      </c>
      <c r="B738" s="18">
        <v>45787</v>
      </c>
      <c r="C738" t="s">
        <v>2012</v>
      </c>
      <c r="D738" t="s">
        <v>2032</v>
      </c>
      <c r="E738" t="s">
        <v>2052</v>
      </c>
      <c r="F738" t="s">
        <v>2062</v>
      </c>
      <c r="G738">
        <v>5</v>
      </c>
      <c r="H738">
        <v>6500</v>
      </c>
      <c r="I738">
        <v>8125</v>
      </c>
      <c r="J738">
        <v>11.61</v>
      </c>
      <c r="K738">
        <v>35906.980000000003</v>
      </c>
      <c r="L738">
        <v>3406.98</v>
      </c>
      <c r="M738">
        <v>471656.25</v>
      </c>
      <c r="N738">
        <v>32500</v>
      </c>
      <c r="O738">
        <v>9.4883501759267972</v>
      </c>
      <c r="P738" t="s">
        <v>2079</v>
      </c>
      <c r="Q738" t="s">
        <v>2091</v>
      </c>
    </row>
    <row r="739" spans="1:17" x14ac:dyDescent="0.25">
      <c r="A739" t="s">
        <v>588</v>
      </c>
      <c r="B739" s="18">
        <v>45788</v>
      </c>
      <c r="C739" t="s">
        <v>2022</v>
      </c>
      <c r="D739" t="s">
        <v>2042</v>
      </c>
      <c r="E739" t="s">
        <v>2053</v>
      </c>
      <c r="F739" t="s">
        <v>2060</v>
      </c>
      <c r="G739">
        <v>2</v>
      </c>
      <c r="H739">
        <v>8500</v>
      </c>
      <c r="I739">
        <v>9520</v>
      </c>
      <c r="J739">
        <v>17.760000000000002</v>
      </c>
      <c r="K739">
        <v>15658.47</v>
      </c>
      <c r="L739">
        <v>-1341.53</v>
      </c>
      <c r="M739">
        <v>338150.40000000002</v>
      </c>
      <c r="N739">
        <v>17000</v>
      </c>
      <c r="O739">
        <v>-8.5674398584280578</v>
      </c>
      <c r="P739" t="s">
        <v>2079</v>
      </c>
      <c r="Q739" t="s">
        <v>2093</v>
      </c>
    </row>
    <row r="740" spans="1:17" x14ac:dyDescent="0.25">
      <c r="A740" t="s">
        <v>727</v>
      </c>
      <c r="B740" s="18">
        <v>45788</v>
      </c>
      <c r="C740" t="s">
        <v>2030</v>
      </c>
      <c r="D740" t="s">
        <v>2050</v>
      </c>
      <c r="E740" t="s">
        <v>2058</v>
      </c>
      <c r="F740" t="s">
        <v>2059</v>
      </c>
      <c r="G740">
        <v>7</v>
      </c>
      <c r="H740">
        <v>1800</v>
      </c>
      <c r="I740">
        <v>2124</v>
      </c>
      <c r="J740">
        <v>19.66</v>
      </c>
      <c r="K740">
        <v>11945.43</v>
      </c>
      <c r="L740">
        <v>-654.57000000000005</v>
      </c>
      <c r="M740">
        <v>292304.88</v>
      </c>
      <c r="N740">
        <v>12600</v>
      </c>
      <c r="O740">
        <v>-5.4796687938399877</v>
      </c>
      <c r="P740" t="s">
        <v>2079</v>
      </c>
      <c r="Q740" t="s">
        <v>2093</v>
      </c>
    </row>
    <row r="741" spans="1:17" x14ac:dyDescent="0.25">
      <c r="A741" t="s">
        <v>744</v>
      </c>
      <c r="B741" s="18">
        <v>45788</v>
      </c>
      <c r="C741" t="s">
        <v>2014</v>
      </c>
      <c r="D741" t="s">
        <v>2034</v>
      </c>
      <c r="E741" t="s">
        <v>2052</v>
      </c>
      <c r="F741" t="s">
        <v>2061</v>
      </c>
      <c r="G741">
        <v>5</v>
      </c>
      <c r="H741">
        <v>4500</v>
      </c>
      <c r="I741">
        <v>5220</v>
      </c>
      <c r="J741">
        <v>23.01</v>
      </c>
      <c r="K741">
        <v>20094.34</v>
      </c>
      <c r="L741">
        <v>-2405.66</v>
      </c>
      <c r="M741">
        <v>600561</v>
      </c>
      <c r="N741">
        <v>22500</v>
      </c>
      <c r="O741">
        <v>-11.971828883158143</v>
      </c>
      <c r="P741" t="s">
        <v>2079</v>
      </c>
      <c r="Q741" t="s">
        <v>2093</v>
      </c>
    </row>
    <row r="742" spans="1:17" x14ac:dyDescent="0.25">
      <c r="A742" t="s">
        <v>417</v>
      </c>
      <c r="B742" s="18">
        <v>45789</v>
      </c>
      <c r="C742" t="s">
        <v>2031</v>
      </c>
      <c r="D742" t="s">
        <v>2051</v>
      </c>
      <c r="E742" t="s">
        <v>2058</v>
      </c>
      <c r="F742" t="s">
        <v>2062</v>
      </c>
      <c r="G742">
        <v>10</v>
      </c>
      <c r="H742">
        <v>3200</v>
      </c>
      <c r="I742">
        <v>3840</v>
      </c>
      <c r="J742">
        <v>20.96</v>
      </c>
      <c r="K742">
        <v>30351.22</v>
      </c>
      <c r="L742">
        <v>-1648.78</v>
      </c>
      <c r="M742">
        <v>804864</v>
      </c>
      <c r="N742">
        <v>32000</v>
      </c>
      <c r="O742">
        <v>-5.4323351746651367</v>
      </c>
      <c r="P742" t="s">
        <v>2079</v>
      </c>
      <c r="Q742" t="s">
        <v>2093</v>
      </c>
    </row>
    <row r="743" spans="1:17" x14ac:dyDescent="0.25">
      <c r="A743" t="s">
        <v>419</v>
      </c>
      <c r="B743" s="18">
        <v>45789</v>
      </c>
      <c r="C743" t="s">
        <v>2026</v>
      </c>
      <c r="D743" t="s">
        <v>2046</v>
      </c>
      <c r="E743" t="s">
        <v>2052</v>
      </c>
      <c r="F743" t="s">
        <v>2062</v>
      </c>
      <c r="G743">
        <v>5</v>
      </c>
      <c r="H743">
        <v>3000</v>
      </c>
      <c r="I743">
        <v>3600</v>
      </c>
      <c r="J743">
        <v>14.99</v>
      </c>
      <c r="K743">
        <v>15301.78</v>
      </c>
      <c r="L743">
        <v>301.77999999999997</v>
      </c>
      <c r="M743">
        <v>269820</v>
      </c>
      <c r="N743">
        <v>15000</v>
      </c>
      <c r="O743">
        <v>1.9721888564598364</v>
      </c>
      <c r="P743" t="s">
        <v>2079</v>
      </c>
      <c r="Q743" t="s">
        <v>2091</v>
      </c>
    </row>
    <row r="744" spans="1:17" x14ac:dyDescent="0.25">
      <c r="A744" t="s">
        <v>910</v>
      </c>
      <c r="B744" s="18">
        <v>45789</v>
      </c>
      <c r="C744" t="s">
        <v>2016</v>
      </c>
      <c r="D744" t="s">
        <v>2036</v>
      </c>
      <c r="E744" t="s">
        <v>2052</v>
      </c>
      <c r="F744" t="s">
        <v>2061</v>
      </c>
      <c r="G744">
        <v>7</v>
      </c>
      <c r="H744">
        <v>900</v>
      </c>
      <c r="I744">
        <v>1170</v>
      </c>
      <c r="J744">
        <v>8.82</v>
      </c>
      <c r="K744">
        <v>7467.35</v>
      </c>
      <c r="L744">
        <v>1167.3499999999999</v>
      </c>
      <c r="M744">
        <v>72235.8</v>
      </c>
      <c r="N744">
        <v>6300</v>
      </c>
      <c r="O744">
        <v>15.63272111257675</v>
      </c>
      <c r="P744" t="s">
        <v>2079</v>
      </c>
      <c r="Q744" t="s">
        <v>2092</v>
      </c>
    </row>
    <row r="745" spans="1:17" x14ac:dyDescent="0.25">
      <c r="A745" t="s">
        <v>1565</v>
      </c>
      <c r="B745" s="18">
        <v>45789</v>
      </c>
      <c r="C745" t="s">
        <v>2013</v>
      </c>
      <c r="D745" t="s">
        <v>2033</v>
      </c>
      <c r="E745" t="s">
        <v>2053</v>
      </c>
      <c r="F745" t="s">
        <v>2060</v>
      </c>
      <c r="G745">
        <v>7</v>
      </c>
      <c r="H745">
        <v>6500</v>
      </c>
      <c r="I745">
        <v>7150</v>
      </c>
      <c r="J745">
        <v>11.84</v>
      </c>
      <c r="K745">
        <v>44123.72</v>
      </c>
      <c r="L745">
        <v>-1376.28</v>
      </c>
      <c r="M745">
        <v>592592</v>
      </c>
      <c r="N745">
        <v>45500</v>
      </c>
      <c r="O745">
        <v>-3.119138640169052</v>
      </c>
      <c r="P745" t="s">
        <v>2079</v>
      </c>
      <c r="Q745" t="s">
        <v>2093</v>
      </c>
    </row>
    <row r="746" spans="1:17" x14ac:dyDescent="0.25">
      <c r="A746" t="s">
        <v>1790</v>
      </c>
      <c r="B746" s="18">
        <v>45789</v>
      </c>
      <c r="C746" t="s">
        <v>2016</v>
      </c>
      <c r="D746" t="s">
        <v>2036</v>
      </c>
      <c r="E746" t="s">
        <v>2052</v>
      </c>
      <c r="F746" t="s">
        <v>2062</v>
      </c>
      <c r="G746">
        <v>3</v>
      </c>
      <c r="H746">
        <v>900</v>
      </c>
      <c r="I746">
        <v>1170</v>
      </c>
      <c r="J746">
        <v>16.87</v>
      </c>
      <c r="K746">
        <v>2917.75</v>
      </c>
      <c r="L746">
        <v>217.75</v>
      </c>
      <c r="M746">
        <v>59213.700000000004</v>
      </c>
      <c r="N746">
        <v>2700</v>
      </c>
      <c r="O746">
        <v>7.4629423357038815</v>
      </c>
      <c r="P746" t="s">
        <v>2079</v>
      </c>
      <c r="Q746" t="s">
        <v>2091</v>
      </c>
    </row>
    <row r="747" spans="1:17" x14ac:dyDescent="0.25">
      <c r="A747" t="s">
        <v>182</v>
      </c>
      <c r="B747" s="18">
        <v>45790</v>
      </c>
      <c r="C747" t="s">
        <v>2024</v>
      </c>
      <c r="D747" t="s">
        <v>2044</v>
      </c>
      <c r="E747" t="s">
        <v>2055</v>
      </c>
      <c r="F747" t="s">
        <v>2062</v>
      </c>
      <c r="G747">
        <v>6</v>
      </c>
      <c r="H747">
        <v>180</v>
      </c>
      <c r="I747">
        <v>243</v>
      </c>
      <c r="J747">
        <v>4.55</v>
      </c>
      <c r="K747">
        <v>1391.7</v>
      </c>
      <c r="L747">
        <v>311.7</v>
      </c>
      <c r="M747">
        <v>6633.9</v>
      </c>
      <c r="N747">
        <v>1080</v>
      </c>
      <c r="O747">
        <v>22.397068333692605</v>
      </c>
      <c r="P747" t="s">
        <v>2079</v>
      </c>
      <c r="Q747" t="s">
        <v>2092</v>
      </c>
    </row>
    <row r="748" spans="1:17" x14ac:dyDescent="0.25">
      <c r="A748" t="s">
        <v>260</v>
      </c>
      <c r="B748" s="18">
        <v>45790</v>
      </c>
      <c r="C748" t="s">
        <v>2030</v>
      </c>
      <c r="D748" t="s">
        <v>2050</v>
      </c>
      <c r="E748" t="s">
        <v>2058</v>
      </c>
      <c r="F748" t="s">
        <v>2059</v>
      </c>
      <c r="G748">
        <v>9</v>
      </c>
      <c r="H748">
        <v>1800</v>
      </c>
      <c r="I748">
        <v>2124</v>
      </c>
      <c r="J748">
        <v>9.51</v>
      </c>
      <c r="K748">
        <v>17297.14</v>
      </c>
      <c r="L748">
        <v>1097.1400000000001</v>
      </c>
      <c r="M748">
        <v>181793.16</v>
      </c>
      <c r="N748">
        <v>16200</v>
      </c>
      <c r="O748">
        <v>6.3428983057314685</v>
      </c>
      <c r="P748" t="s">
        <v>2079</v>
      </c>
      <c r="Q748" t="s">
        <v>2091</v>
      </c>
    </row>
    <row r="749" spans="1:17" x14ac:dyDescent="0.25">
      <c r="A749" t="s">
        <v>732</v>
      </c>
      <c r="B749" s="18">
        <v>45790</v>
      </c>
      <c r="C749" t="s">
        <v>2028</v>
      </c>
      <c r="D749" t="s">
        <v>2048</v>
      </c>
      <c r="E749" t="s">
        <v>2057</v>
      </c>
      <c r="F749" t="s">
        <v>2060</v>
      </c>
      <c r="G749">
        <v>5</v>
      </c>
      <c r="H749">
        <v>80</v>
      </c>
      <c r="I749">
        <v>116</v>
      </c>
      <c r="J749">
        <v>9.19</v>
      </c>
      <c r="K749">
        <v>526.70000000000005</v>
      </c>
      <c r="L749">
        <v>126.7</v>
      </c>
      <c r="M749">
        <v>5330.2</v>
      </c>
      <c r="N749">
        <v>400</v>
      </c>
      <c r="O749">
        <v>24.055439529143722</v>
      </c>
      <c r="P749" t="s">
        <v>2079</v>
      </c>
      <c r="Q749" t="s">
        <v>2092</v>
      </c>
    </row>
    <row r="750" spans="1:17" x14ac:dyDescent="0.25">
      <c r="A750" t="s">
        <v>1579</v>
      </c>
      <c r="B750" s="18">
        <v>45790</v>
      </c>
      <c r="C750" t="s">
        <v>2012</v>
      </c>
      <c r="D750" t="s">
        <v>2032</v>
      </c>
      <c r="E750" t="s">
        <v>2052</v>
      </c>
      <c r="F750" t="s">
        <v>2062</v>
      </c>
      <c r="G750">
        <v>10</v>
      </c>
      <c r="H750">
        <v>6500</v>
      </c>
      <c r="I750">
        <v>8125</v>
      </c>
      <c r="J750">
        <v>20.88</v>
      </c>
      <c r="K750">
        <v>64287.06</v>
      </c>
      <c r="L750">
        <v>-712.94</v>
      </c>
      <c r="M750">
        <v>1696500</v>
      </c>
      <c r="N750">
        <v>65000</v>
      </c>
      <c r="O750">
        <v>-1.1089945628249296</v>
      </c>
      <c r="P750" t="s">
        <v>2079</v>
      </c>
      <c r="Q750" t="s">
        <v>2093</v>
      </c>
    </row>
    <row r="751" spans="1:17" x14ac:dyDescent="0.25">
      <c r="A751" t="s">
        <v>1789</v>
      </c>
      <c r="B751" s="18">
        <v>45790</v>
      </c>
      <c r="C751" t="s">
        <v>2021</v>
      </c>
      <c r="D751" t="s">
        <v>2041</v>
      </c>
      <c r="E751" t="s">
        <v>2056</v>
      </c>
      <c r="F751" t="s">
        <v>2060</v>
      </c>
      <c r="G751">
        <v>8</v>
      </c>
      <c r="H751">
        <v>300</v>
      </c>
      <c r="I751">
        <v>405</v>
      </c>
      <c r="J751">
        <v>20.83</v>
      </c>
      <c r="K751">
        <v>2565.13</v>
      </c>
      <c r="L751">
        <v>165.13</v>
      </c>
      <c r="M751">
        <v>67489.2</v>
      </c>
      <c r="N751">
        <v>2400</v>
      </c>
      <c r="O751">
        <v>6.4374904975576284</v>
      </c>
      <c r="P751" t="s">
        <v>2079</v>
      </c>
      <c r="Q751" t="s">
        <v>2091</v>
      </c>
    </row>
    <row r="752" spans="1:17" x14ac:dyDescent="0.25">
      <c r="A752" t="s">
        <v>87</v>
      </c>
      <c r="B752" s="18">
        <v>45791</v>
      </c>
      <c r="C752" t="s">
        <v>2023</v>
      </c>
      <c r="D752" t="s">
        <v>2043</v>
      </c>
      <c r="E752" t="s">
        <v>2053</v>
      </c>
      <c r="F752" t="s">
        <v>2060</v>
      </c>
      <c r="G752">
        <v>9</v>
      </c>
      <c r="H752">
        <v>550</v>
      </c>
      <c r="I752">
        <v>742.5</v>
      </c>
      <c r="J752">
        <v>9.65</v>
      </c>
      <c r="K752">
        <v>6037.45</v>
      </c>
      <c r="L752">
        <v>1087.45</v>
      </c>
      <c r="M752">
        <v>64486.125</v>
      </c>
      <c r="N752">
        <v>4950</v>
      </c>
      <c r="O752">
        <v>18.011743368475102</v>
      </c>
      <c r="P752" t="s">
        <v>2079</v>
      </c>
      <c r="Q752" t="s">
        <v>2092</v>
      </c>
    </row>
    <row r="753" spans="1:17" x14ac:dyDescent="0.25">
      <c r="A753" t="s">
        <v>736</v>
      </c>
      <c r="B753" s="18">
        <v>45791</v>
      </c>
      <c r="C753" t="s">
        <v>2026</v>
      </c>
      <c r="D753" t="s">
        <v>2046</v>
      </c>
      <c r="E753" t="s">
        <v>2052</v>
      </c>
      <c r="F753" t="s">
        <v>2061</v>
      </c>
      <c r="G753">
        <v>2</v>
      </c>
      <c r="H753">
        <v>3000</v>
      </c>
      <c r="I753">
        <v>3600</v>
      </c>
      <c r="J753">
        <v>12.6</v>
      </c>
      <c r="K753">
        <v>6293.1</v>
      </c>
      <c r="L753">
        <v>293.10000000000002</v>
      </c>
      <c r="M753">
        <v>90720</v>
      </c>
      <c r="N753">
        <v>6000</v>
      </c>
      <c r="O753">
        <v>4.6574820040997285</v>
      </c>
      <c r="P753" t="s">
        <v>2079</v>
      </c>
      <c r="Q753" t="s">
        <v>2091</v>
      </c>
    </row>
    <row r="754" spans="1:17" x14ac:dyDescent="0.25">
      <c r="A754" t="s">
        <v>805</v>
      </c>
      <c r="B754" s="18">
        <v>45791</v>
      </c>
      <c r="C754" t="s">
        <v>2019</v>
      </c>
      <c r="D754" t="s">
        <v>2039</v>
      </c>
      <c r="E754" t="s">
        <v>2053</v>
      </c>
      <c r="F754" t="s">
        <v>2059</v>
      </c>
      <c r="G754">
        <v>3</v>
      </c>
      <c r="H754">
        <v>900</v>
      </c>
      <c r="I754">
        <v>1152</v>
      </c>
      <c r="J754">
        <v>9.9700000000000006</v>
      </c>
      <c r="K754">
        <v>3111.36</v>
      </c>
      <c r="L754">
        <v>411.36</v>
      </c>
      <c r="M754">
        <v>34456.32</v>
      </c>
      <c r="N754">
        <v>2700</v>
      </c>
      <c r="O754">
        <v>13.221228016044432</v>
      </c>
      <c r="P754" t="s">
        <v>2079</v>
      </c>
      <c r="Q754" t="s">
        <v>2092</v>
      </c>
    </row>
    <row r="755" spans="1:17" x14ac:dyDescent="0.25">
      <c r="A755" t="s">
        <v>1135</v>
      </c>
      <c r="B755" s="18">
        <v>45791</v>
      </c>
      <c r="C755" t="s">
        <v>2015</v>
      </c>
      <c r="D755" t="s">
        <v>2035</v>
      </c>
      <c r="E755" t="s">
        <v>2054</v>
      </c>
      <c r="F755" t="s">
        <v>2061</v>
      </c>
      <c r="G755">
        <v>4</v>
      </c>
      <c r="H755">
        <v>900</v>
      </c>
      <c r="I755">
        <v>1170</v>
      </c>
      <c r="J755">
        <v>3.57</v>
      </c>
      <c r="K755">
        <v>4512.7700000000004</v>
      </c>
      <c r="L755">
        <v>912.77</v>
      </c>
      <c r="M755">
        <v>16707.599999999999</v>
      </c>
      <c r="N755">
        <v>3600</v>
      </c>
      <c r="O755">
        <v>20.226379806637606</v>
      </c>
      <c r="P755" t="s">
        <v>2079</v>
      </c>
      <c r="Q755" t="s">
        <v>2092</v>
      </c>
    </row>
    <row r="756" spans="1:17" x14ac:dyDescent="0.25">
      <c r="A756" t="s">
        <v>1540</v>
      </c>
      <c r="B756" s="18">
        <v>45791</v>
      </c>
      <c r="C756" t="s">
        <v>2020</v>
      </c>
      <c r="D756" t="s">
        <v>2040</v>
      </c>
      <c r="E756" t="s">
        <v>2053</v>
      </c>
      <c r="F756" t="s">
        <v>2060</v>
      </c>
      <c r="G756">
        <v>7</v>
      </c>
      <c r="H756">
        <v>350</v>
      </c>
      <c r="I756">
        <v>455</v>
      </c>
      <c r="J756">
        <v>11.7</v>
      </c>
      <c r="K756">
        <v>2812.49</v>
      </c>
      <c r="L756">
        <v>362.49</v>
      </c>
      <c r="M756">
        <v>37264.5</v>
      </c>
      <c r="N756">
        <v>2450</v>
      </c>
      <c r="O756">
        <v>12.888579159392568</v>
      </c>
      <c r="P756" t="s">
        <v>2079</v>
      </c>
      <c r="Q756" t="s">
        <v>2092</v>
      </c>
    </row>
    <row r="757" spans="1:17" x14ac:dyDescent="0.25">
      <c r="A757" t="s">
        <v>339</v>
      </c>
      <c r="B757" s="18">
        <v>45792</v>
      </c>
      <c r="C757" t="s">
        <v>2026</v>
      </c>
      <c r="D757" t="s">
        <v>2046</v>
      </c>
      <c r="E757" t="s">
        <v>2052</v>
      </c>
      <c r="F757" t="s">
        <v>2060</v>
      </c>
      <c r="G757">
        <v>9</v>
      </c>
      <c r="H757">
        <v>3000</v>
      </c>
      <c r="I757">
        <v>3600</v>
      </c>
      <c r="J757">
        <v>19.559999999999999</v>
      </c>
      <c r="K757">
        <v>26064.1</v>
      </c>
      <c r="L757">
        <v>-935.9</v>
      </c>
      <c r="M757">
        <v>633744</v>
      </c>
      <c r="N757">
        <v>27000</v>
      </c>
      <c r="O757">
        <v>-3.5907627733165541</v>
      </c>
      <c r="P757" t="s">
        <v>2079</v>
      </c>
      <c r="Q757" t="s">
        <v>2093</v>
      </c>
    </row>
    <row r="758" spans="1:17" x14ac:dyDescent="0.25">
      <c r="A758" t="s">
        <v>1283</v>
      </c>
      <c r="B758" s="18">
        <v>45792</v>
      </c>
      <c r="C758" t="s">
        <v>2031</v>
      </c>
      <c r="D758" t="s">
        <v>2051</v>
      </c>
      <c r="E758" t="s">
        <v>2058</v>
      </c>
      <c r="F758" t="s">
        <v>2061</v>
      </c>
      <c r="G758">
        <v>8</v>
      </c>
      <c r="H758">
        <v>3200</v>
      </c>
      <c r="I758">
        <v>3840</v>
      </c>
      <c r="J758">
        <v>4.96</v>
      </c>
      <c r="K758">
        <v>29196.73</v>
      </c>
      <c r="L758">
        <v>3596.73</v>
      </c>
      <c r="M758">
        <v>152371.20000000001</v>
      </c>
      <c r="N758">
        <v>25600</v>
      </c>
      <c r="O758">
        <v>12.318948046579189</v>
      </c>
      <c r="P758" t="s">
        <v>2079</v>
      </c>
      <c r="Q758" t="s">
        <v>2092</v>
      </c>
    </row>
    <row r="759" spans="1:17" x14ac:dyDescent="0.25">
      <c r="A759" t="s">
        <v>1553</v>
      </c>
      <c r="B759" s="18">
        <v>45792</v>
      </c>
      <c r="C759" t="s">
        <v>2023</v>
      </c>
      <c r="D759" t="s">
        <v>2043</v>
      </c>
      <c r="E759" t="s">
        <v>2053</v>
      </c>
      <c r="F759" t="s">
        <v>2059</v>
      </c>
      <c r="G759">
        <v>2</v>
      </c>
      <c r="H759">
        <v>550</v>
      </c>
      <c r="I759">
        <v>742.5</v>
      </c>
      <c r="J759">
        <v>3.79</v>
      </c>
      <c r="K759">
        <v>1428.74</v>
      </c>
      <c r="L759">
        <v>328.74</v>
      </c>
      <c r="M759">
        <v>5628.15</v>
      </c>
      <c r="N759">
        <v>1100</v>
      </c>
      <c r="O759">
        <v>23.009084927978499</v>
      </c>
      <c r="P759" t="s">
        <v>2079</v>
      </c>
      <c r="Q759" t="s">
        <v>2092</v>
      </c>
    </row>
    <row r="760" spans="1:17" x14ac:dyDescent="0.25">
      <c r="A760" t="s">
        <v>29</v>
      </c>
      <c r="B760" s="18">
        <v>45793</v>
      </c>
      <c r="C760" t="s">
        <v>2021</v>
      </c>
      <c r="D760" t="s">
        <v>2041</v>
      </c>
      <c r="E760" t="s">
        <v>2056</v>
      </c>
      <c r="F760" t="s">
        <v>2061</v>
      </c>
      <c r="G760">
        <v>2</v>
      </c>
      <c r="H760">
        <v>300</v>
      </c>
      <c r="I760">
        <v>405</v>
      </c>
      <c r="J760">
        <v>17.68</v>
      </c>
      <c r="K760">
        <v>666.76</v>
      </c>
      <c r="L760">
        <v>66.760000000000005</v>
      </c>
      <c r="M760">
        <v>14320.8</v>
      </c>
      <c r="N760">
        <v>600</v>
      </c>
      <c r="O760">
        <v>10.012598236246927</v>
      </c>
      <c r="P760" t="s">
        <v>2079</v>
      </c>
      <c r="Q760" t="s">
        <v>2092</v>
      </c>
    </row>
    <row r="761" spans="1:17" x14ac:dyDescent="0.25">
      <c r="A761" t="s">
        <v>282</v>
      </c>
      <c r="B761" s="18">
        <v>45793</v>
      </c>
      <c r="C761" t="s">
        <v>2022</v>
      </c>
      <c r="D761" t="s">
        <v>2042</v>
      </c>
      <c r="E761" t="s">
        <v>2053</v>
      </c>
      <c r="F761" t="s">
        <v>2060</v>
      </c>
      <c r="G761">
        <v>1</v>
      </c>
      <c r="H761">
        <v>8500</v>
      </c>
      <c r="I761">
        <v>9520</v>
      </c>
      <c r="J761">
        <v>17.55</v>
      </c>
      <c r="K761">
        <v>7849.03</v>
      </c>
      <c r="L761">
        <v>-650.97</v>
      </c>
      <c r="M761">
        <v>167076</v>
      </c>
      <c r="N761">
        <v>8500</v>
      </c>
      <c r="O761">
        <v>-8.2936362837191364</v>
      </c>
      <c r="P761" t="s">
        <v>2079</v>
      </c>
      <c r="Q761" t="s">
        <v>2093</v>
      </c>
    </row>
    <row r="762" spans="1:17" x14ac:dyDescent="0.25">
      <c r="A762" t="s">
        <v>378</v>
      </c>
      <c r="B762" s="18">
        <v>45793</v>
      </c>
      <c r="C762" t="s">
        <v>2023</v>
      </c>
      <c r="D762" t="s">
        <v>2043</v>
      </c>
      <c r="E762" t="s">
        <v>2053</v>
      </c>
      <c r="F762" t="s">
        <v>2061</v>
      </c>
      <c r="G762">
        <v>1</v>
      </c>
      <c r="H762">
        <v>550</v>
      </c>
      <c r="I762">
        <v>742.5</v>
      </c>
      <c r="J762">
        <v>2.5499999999999998</v>
      </c>
      <c r="K762">
        <v>723.53</v>
      </c>
      <c r="L762">
        <v>173.53</v>
      </c>
      <c r="M762">
        <v>1893.3749999999998</v>
      </c>
      <c r="N762">
        <v>550</v>
      </c>
      <c r="O762">
        <v>23.983801639185661</v>
      </c>
      <c r="P762" t="s">
        <v>2079</v>
      </c>
      <c r="Q762" t="s">
        <v>2092</v>
      </c>
    </row>
    <row r="763" spans="1:17" x14ac:dyDescent="0.25">
      <c r="A763" t="s">
        <v>934</v>
      </c>
      <c r="B763" s="18">
        <v>45793</v>
      </c>
      <c r="C763" t="s">
        <v>2025</v>
      </c>
      <c r="D763" t="s">
        <v>2045</v>
      </c>
      <c r="E763" t="s">
        <v>2057</v>
      </c>
      <c r="F763" t="s">
        <v>2060</v>
      </c>
      <c r="G763">
        <v>10</v>
      </c>
      <c r="H763">
        <v>45</v>
      </c>
      <c r="I763">
        <v>63</v>
      </c>
      <c r="J763">
        <v>1.42</v>
      </c>
      <c r="K763">
        <v>621.07000000000005</v>
      </c>
      <c r="L763">
        <v>171.07</v>
      </c>
      <c r="M763">
        <v>894.59999999999991</v>
      </c>
      <c r="N763">
        <v>450</v>
      </c>
      <c r="O763">
        <v>27.544399182056772</v>
      </c>
      <c r="P763" t="s">
        <v>2079</v>
      </c>
      <c r="Q763" t="s">
        <v>2092</v>
      </c>
    </row>
    <row r="764" spans="1:17" x14ac:dyDescent="0.25">
      <c r="A764" t="s">
        <v>951</v>
      </c>
      <c r="B764" s="18">
        <v>45793</v>
      </c>
      <c r="C764" t="s">
        <v>2020</v>
      </c>
      <c r="D764" t="s">
        <v>2040</v>
      </c>
      <c r="E764" t="s">
        <v>2053</v>
      </c>
      <c r="F764" t="s">
        <v>2059</v>
      </c>
      <c r="G764">
        <v>5</v>
      </c>
      <c r="H764">
        <v>350</v>
      </c>
      <c r="I764">
        <v>455</v>
      </c>
      <c r="J764">
        <v>9.2799999999999994</v>
      </c>
      <c r="K764">
        <v>2063.87</v>
      </c>
      <c r="L764">
        <v>313.87</v>
      </c>
      <c r="M764">
        <v>21112</v>
      </c>
      <c r="N764">
        <v>1750</v>
      </c>
      <c r="O764">
        <v>15.207837702956098</v>
      </c>
      <c r="P764" t="s">
        <v>2079</v>
      </c>
      <c r="Q764" t="s">
        <v>2092</v>
      </c>
    </row>
    <row r="765" spans="1:17" x14ac:dyDescent="0.25">
      <c r="A765" t="s">
        <v>1293</v>
      </c>
      <c r="B765" s="18">
        <v>45793</v>
      </c>
      <c r="C765" t="s">
        <v>2021</v>
      </c>
      <c r="D765" t="s">
        <v>2041</v>
      </c>
      <c r="E765" t="s">
        <v>2056</v>
      </c>
      <c r="F765" t="s">
        <v>2061</v>
      </c>
      <c r="G765">
        <v>1</v>
      </c>
      <c r="H765">
        <v>300</v>
      </c>
      <c r="I765">
        <v>405</v>
      </c>
      <c r="J765">
        <v>0</v>
      </c>
      <c r="K765">
        <v>405</v>
      </c>
      <c r="L765">
        <v>105</v>
      </c>
      <c r="M765">
        <v>0</v>
      </c>
      <c r="N765">
        <v>300</v>
      </c>
      <c r="O765">
        <v>25.925925925925924</v>
      </c>
      <c r="P765" t="s">
        <v>2079</v>
      </c>
      <c r="Q765" t="s">
        <v>2092</v>
      </c>
    </row>
    <row r="766" spans="1:17" x14ac:dyDescent="0.25">
      <c r="A766" t="s">
        <v>494</v>
      </c>
      <c r="B766" s="18">
        <v>45794</v>
      </c>
      <c r="C766" t="s">
        <v>2014</v>
      </c>
      <c r="D766" t="s">
        <v>2034</v>
      </c>
      <c r="E766" t="s">
        <v>2052</v>
      </c>
      <c r="F766" t="s">
        <v>2060</v>
      </c>
      <c r="G766">
        <v>3</v>
      </c>
      <c r="H766">
        <v>4500</v>
      </c>
      <c r="I766">
        <v>5220</v>
      </c>
      <c r="J766">
        <v>21.99</v>
      </c>
      <c r="K766">
        <v>12216.15</v>
      </c>
      <c r="L766">
        <v>-1283.8499999999999</v>
      </c>
      <c r="M766">
        <v>344363.39999999997</v>
      </c>
      <c r="N766">
        <v>13500</v>
      </c>
      <c r="O766">
        <v>-10.509448557851696</v>
      </c>
      <c r="P766" t="s">
        <v>2079</v>
      </c>
      <c r="Q766" t="s">
        <v>2093</v>
      </c>
    </row>
    <row r="767" spans="1:17" x14ac:dyDescent="0.25">
      <c r="A767" t="s">
        <v>707</v>
      </c>
      <c r="B767" s="18">
        <v>45794</v>
      </c>
      <c r="C767" t="s">
        <v>2026</v>
      </c>
      <c r="D767" t="s">
        <v>2046</v>
      </c>
      <c r="E767" t="s">
        <v>2052</v>
      </c>
      <c r="F767" t="s">
        <v>2059</v>
      </c>
      <c r="G767">
        <v>10</v>
      </c>
      <c r="H767">
        <v>3000</v>
      </c>
      <c r="I767">
        <v>3600</v>
      </c>
      <c r="J767">
        <v>11.11</v>
      </c>
      <c r="K767">
        <v>31999.21</v>
      </c>
      <c r="L767">
        <v>1999.21</v>
      </c>
      <c r="M767">
        <v>399960</v>
      </c>
      <c r="N767">
        <v>30000</v>
      </c>
      <c r="O767">
        <v>6.2476854897355283</v>
      </c>
      <c r="P767" t="s">
        <v>2079</v>
      </c>
      <c r="Q767" t="s">
        <v>2091</v>
      </c>
    </row>
    <row r="768" spans="1:17" x14ac:dyDescent="0.25">
      <c r="A768" t="s">
        <v>1409</v>
      </c>
      <c r="B768" s="18">
        <v>45794</v>
      </c>
      <c r="C768" t="s">
        <v>2031</v>
      </c>
      <c r="D768" t="s">
        <v>2051</v>
      </c>
      <c r="E768" t="s">
        <v>2058</v>
      </c>
      <c r="F768" t="s">
        <v>2060</v>
      </c>
      <c r="G768">
        <v>10</v>
      </c>
      <c r="H768">
        <v>3200</v>
      </c>
      <c r="I768">
        <v>3840</v>
      </c>
      <c r="J768">
        <v>12.25</v>
      </c>
      <c r="K768">
        <v>33696.57</v>
      </c>
      <c r="L768">
        <v>1696.57</v>
      </c>
      <c r="M768">
        <v>470400</v>
      </c>
      <c r="N768">
        <v>32000</v>
      </c>
      <c r="O768">
        <v>5.0348447928082889</v>
      </c>
      <c r="P768" t="s">
        <v>2079</v>
      </c>
      <c r="Q768" t="s">
        <v>2091</v>
      </c>
    </row>
    <row r="769" spans="1:17" x14ac:dyDescent="0.25">
      <c r="A769" t="s">
        <v>1463</v>
      </c>
      <c r="B769" s="18">
        <v>45794</v>
      </c>
      <c r="C769" t="s">
        <v>2014</v>
      </c>
      <c r="D769" t="s">
        <v>2034</v>
      </c>
      <c r="E769" t="s">
        <v>2052</v>
      </c>
      <c r="F769" t="s">
        <v>2060</v>
      </c>
      <c r="G769">
        <v>7</v>
      </c>
      <c r="H769">
        <v>4500</v>
      </c>
      <c r="I769">
        <v>5220</v>
      </c>
      <c r="J769">
        <v>20.329999999999998</v>
      </c>
      <c r="K769">
        <v>29112.95</v>
      </c>
      <c r="L769">
        <v>-2387.0500000000002</v>
      </c>
      <c r="M769">
        <v>742858.2</v>
      </c>
      <c r="N769">
        <v>31500</v>
      </c>
      <c r="O769">
        <v>-8.1992721452137278</v>
      </c>
      <c r="P769" t="s">
        <v>2079</v>
      </c>
      <c r="Q769" t="s">
        <v>2093</v>
      </c>
    </row>
    <row r="770" spans="1:17" x14ac:dyDescent="0.25">
      <c r="A770" t="s">
        <v>1703</v>
      </c>
      <c r="B770" s="18">
        <v>45794</v>
      </c>
      <c r="C770" t="s">
        <v>2031</v>
      </c>
      <c r="D770" t="s">
        <v>2051</v>
      </c>
      <c r="E770" t="s">
        <v>2058</v>
      </c>
      <c r="F770" t="s">
        <v>2061</v>
      </c>
      <c r="G770">
        <v>7</v>
      </c>
      <c r="H770">
        <v>3200</v>
      </c>
      <c r="I770">
        <v>3840</v>
      </c>
      <c r="J770">
        <v>19.39</v>
      </c>
      <c r="K770">
        <v>21667.77</v>
      </c>
      <c r="L770">
        <v>-732.23</v>
      </c>
      <c r="M770">
        <v>521203.20000000001</v>
      </c>
      <c r="N770">
        <v>22400</v>
      </c>
      <c r="O770">
        <v>-3.3793509899726648</v>
      </c>
      <c r="P770" t="s">
        <v>2079</v>
      </c>
      <c r="Q770" t="s">
        <v>2093</v>
      </c>
    </row>
    <row r="771" spans="1:17" x14ac:dyDescent="0.25">
      <c r="A771" t="s">
        <v>190</v>
      </c>
      <c r="B771" s="18">
        <v>45795</v>
      </c>
      <c r="C771" t="s">
        <v>2020</v>
      </c>
      <c r="D771" t="s">
        <v>2040</v>
      </c>
      <c r="E771" t="s">
        <v>2053</v>
      </c>
      <c r="F771" t="s">
        <v>2059</v>
      </c>
      <c r="G771">
        <v>7</v>
      </c>
      <c r="H771">
        <v>350</v>
      </c>
      <c r="I771">
        <v>455</v>
      </c>
      <c r="J771">
        <v>3.51</v>
      </c>
      <c r="K771">
        <v>3073.3</v>
      </c>
      <c r="L771">
        <v>623.29999999999995</v>
      </c>
      <c r="M771">
        <v>11179.349999999999</v>
      </c>
      <c r="N771">
        <v>2450</v>
      </c>
      <c r="O771">
        <v>20.281131031789933</v>
      </c>
      <c r="P771" t="s">
        <v>2079</v>
      </c>
      <c r="Q771" t="s">
        <v>2092</v>
      </c>
    </row>
    <row r="772" spans="1:17" x14ac:dyDescent="0.25">
      <c r="A772" t="s">
        <v>276</v>
      </c>
      <c r="B772" s="18">
        <v>45795</v>
      </c>
      <c r="C772" t="s">
        <v>2024</v>
      </c>
      <c r="D772" t="s">
        <v>2044</v>
      </c>
      <c r="E772" t="s">
        <v>2055</v>
      </c>
      <c r="F772" t="s">
        <v>2061</v>
      </c>
      <c r="G772">
        <v>10</v>
      </c>
      <c r="H772">
        <v>180</v>
      </c>
      <c r="I772">
        <v>243</v>
      </c>
      <c r="J772">
        <v>7.64</v>
      </c>
      <c r="K772">
        <v>2244.31</v>
      </c>
      <c r="L772">
        <v>444.31</v>
      </c>
      <c r="M772">
        <v>18565.2</v>
      </c>
      <c r="N772">
        <v>1800</v>
      </c>
      <c r="O772">
        <v>19.797175969451636</v>
      </c>
      <c r="P772" t="s">
        <v>2079</v>
      </c>
      <c r="Q772" t="s">
        <v>2092</v>
      </c>
    </row>
    <row r="773" spans="1:17" x14ac:dyDescent="0.25">
      <c r="A773" t="s">
        <v>498</v>
      </c>
      <c r="B773" s="18">
        <v>45795</v>
      </c>
      <c r="C773" t="s">
        <v>2021</v>
      </c>
      <c r="D773" t="s">
        <v>2041</v>
      </c>
      <c r="E773" t="s">
        <v>2056</v>
      </c>
      <c r="F773" t="s">
        <v>2059</v>
      </c>
      <c r="G773">
        <v>6</v>
      </c>
      <c r="H773">
        <v>300</v>
      </c>
      <c r="I773">
        <v>405</v>
      </c>
      <c r="J773">
        <v>7.29</v>
      </c>
      <c r="K773">
        <v>2252.85</v>
      </c>
      <c r="L773">
        <v>452.85</v>
      </c>
      <c r="M773">
        <v>17714.7</v>
      </c>
      <c r="N773">
        <v>1800</v>
      </c>
      <c r="O773">
        <v>20.101205140155802</v>
      </c>
      <c r="P773" t="s">
        <v>2079</v>
      </c>
      <c r="Q773" t="s">
        <v>2092</v>
      </c>
    </row>
    <row r="774" spans="1:17" x14ac:dyDescent="0.25">
      <c r="A774" t="s">
        <v>634</v>
      </c>
      <c r="B774" s="18">
        <v>45795</v>
      </c>
      <c r="C774" t="s">
        <v>2022</v>
      </c>
      <c r="D774" t="s">
        <v>2042</v>
      </c>
      <c r="E774" t="s">
        <v>2053</v>
      </c>
      <c r="F774" t="s">
        <v>2060</v>
      </c>
      <c r="G774">
        <v>7</v>
      </c>
      <c r="H774">
        <v>8500</v>
      </c>
      <c r="I774">
        <v>9520</v>
      </c>
      <c r="J774">
        <v>4</v>
      </c>
      <c r="K774">
        <v>63974.400000000001</v>
      </c>
      <c r="L774">
        <v>4474.3999999999996</v>
      </c>
      <c r="M774">
        <v>266560</v>
      </c>
      <c r="N774">
        <v>59500</v>
      </c>
      <c r="O774">
        <v>6.9940476190476177</v>
      </c>
      <c r="P774" t="s">
        <v>2079</v>
      </c>
      <c r="Q774" t="s">
        <v>2091</v>
      </c>
    </row>
    <row r="775" spans="1:17" x14ac:dyDescent="0.25">
      <c r="A775" t="s">
        <v>1495</v>
      </c>
      <c r="B775" s="18">
        <v>45795</v>
      </c>
      <c r="C775" t="s">
        <v>2024</v>
      </c>
      <c r="D775" t="s">
        <v>2044</v>
      </c>
      <c r="E775" t="s">
        <v>2055</v>
      </c>
      <c r="F775" t="s">
        <v>2060</v>
      </c>
      <c r="G775">
        <v>10</v>
      </c>
      <c r="H775">
        <v>180</v>
      </c>
      <c r="I775">
        <v>243</v>
      </c>
      <c r="J775">
        <v>14.02</v>
      </c>
      <c r="K775">
        <v>2089.2399999999998</v>
      </c>
      <c r="L775">
        <v>289.24</v>
      </c>
      <c r="M775">
        <v>34068.6</v>
      </c>
      <c r="N775">
        <v>1800</v>
      </c>
      <c r="O775">
        <v>13.844268729298696</v>
      </c>
      <c r="P775" t="s">
        <v>2079</v>
      </c>
      <c r="Q775" t="s">
        <v>2092</v>
      </c>
    </row>
    <row r="776" spans="1:17" x14ac:dyDescent="0.25">
      <c r="A776" t="s">
        <v>1509</v>
      </c>
      <c r="B776" s="18">
        <v>45795</v>
      </c>
      <c r="C776" t="s">
        <v>2019</v>
      </c>
      <c r="D776" t="s">
        <v>2039</v>
      </c>
      <c r="E776" t="s">
        <v>2053</v>
      </c>
      <c r="F776" t="s">
        <v>2061</v>
      </c>
      <c r="G776">
        <v>6</v>
      </c>
      <c r="H776">
        <v>900</v>
      </c>
      <c r="I776">
        <v>1152</v>
      </c>
      <c r="J776">
        <v>10.28</v>
      </c>
      <c r="K776">
        <v>6201.52</v>
      </c>
      <c r="L776">
        <v>801.52</v>
      </c>
      <c r="M776">
        <v>71055.360000000001</v>
      </c>
      <c r="N776">
        <v>5400</v>
      </c>
      <c r="O776">
        <v>12.924573330409316</v>
      </c>
      <c r="P776" t="s">
        <v>2079</v>
      </c>
      <c r="Q776" t="s">
        <v>2092</v>
      </c>
    </row>
    <row r="777" spans="1:17" x14ac:dyDescent="0.25">
      <c r="A777" t="s">
        <v>1834</v>
      </c>
      <c r="B777" s="18">
        <v>45795</v>
      </c>
      <c r="C777" t="s">
        <v>2014</v>
      </c>
      <c r="D777" t="s">
        <v>2034</v>
      </c>
      <c r="E777" t="s">
        <v>2052</v>
      </c>
      <c r="F777" t="s">
        <v>2059</v>
      </c>
      <c r="G777">
        <v>4</v>
      </c>
      <c r="H777">
        <v>4500</v>
      </c>
      <c r="I777">
        <v>5220</v>
      </c>
      <c r="J777">
        <v>7.83</v>
      </c>
      <c r="K777">
        <v>19245.48</v>
      </c>
      <c r="L777">
        <v>1245.48</v>
      </c>
      <c r="M777">
        <v>163490.4</v>
      </c>
      <c r="N777">
        <v>18000</v>
      </c>
      <c r="O777">
        <v>6.4715455265340225</v>
      </c>
      <c r="P777" t="s">
        <v>2079</v>
      </c>
      <c r="Q777" t="s">
        <v>2091</v>
      </c>
    </row>
    <row r="778" spans="1:17" x14ac:dyDescent="0.25">
      <c r="A778" t="s">
        <v>266</v>
      </c>
      <c r="B778" s="18">
        <v>45796</v>
      </c>
      <c r="C778" t="s">
        <v>2018</v>
      </c>
      <c r="D778" t="s">
        <v>2038</v>
      </c>
      <c r="E778" t="s">
        <v>2053</v>
      </c>
      <c r="F778" t="s">
        <v>2061</v>
      </c>
      <c r="G778">
        <v>6</v>
      </c>
      <c r="H778">
        <v>500</v>
      </c>
      <c r="I778">
        <v>610</v>
      </c>
      <c r="J778">
        <v>24.79</v>
      </c>
      <c r="K778">
        <v>2752.82</v>
      </c>
      <c r="L778">
        <v>-247.18</v>
      </c>
      <c r="M778">
        <v>90731.4</v>
      </c>
      <c r="N778">
        <v>3000</v>
      </c>
      <c r="O778">
        <v>-8.9791559201110136</v>
      </c>
      <c r="P778" t="s">
        <v>2079</v>
      </c>
      <c r="Q778" t="s">
        <v>2093</v>
      </c>
    </row>
    <row r="779" spans="1:17" x14ac:dyDescent="0.25">
      <c r="A779" t="s">
        <v>766</v>
      </c>
      <c r="B779" s="18">
        <v>45796</v>
      </c>
      <c r="C779" t="s">
        <v>2012</v>
      </c>
      <c r="D779" t="s">
        <v>2032</v>
      </c>
      <c r="E779" t="s">
        <v>2052</v>
      </c>
      <c r="F779" t="s">
        <v>2059</v>
      </c>
      <c r="G779">
        <v>9</v>
      </c>
      <c r="H779">
        <v>6500</v>
      </c>
      <c r="I779">
        <v>8125</v>
      </c>
      <c r="J779">
        <v>31.6</v>
      </c>
      <c r="K779">
        <v>50016.72</v>
      </c>
      <c r="L779">
        <v>-8483.2800000000007</v>
      </c>
      <c r="M779">
        <v>2310750</v>
      </c>
      <c r="N779">
        <v>58500</v>
      </c>
      <c r="O779">
        <v>-16.960888278959516</v>
      </c>
      <c r="P779" t="s">
        <v>2079</v>
      </c>
      <c r="Q779" t="s">
        <v>2093</v>
      </c>
    </row>
    <row r="780" spans="1:17" x14ac:dyDescent="0.25">
      <c r="A780" t="s">
        <v>1163</v>
      </c>
      <c r="B780" s="18">
        <v>45796</v>
      </c>
      <c r="C780" t="s">
        <v>2030</v>
      </c>
      <c r="D780" t="s">
        <v>2050</v>
      </c>
      <c r="E780" t="s">
        <v>2058</v>
      </c>
      <c r="F780" t="s">
        <v>2060</v>
      </c>
      <c r="G780">
        <v>3</v>
      </c>
      <c r="H780">
        <v>1800</v>
      </c>
      <c r="I780">
        <v>2124</v>
      </c>
      <c r="J780">
        <v>30.47</v>
      </c>
      <c r="K780">
        <v>4430.3500000000004</v>
      </c>
      <c r="L780">
        <v>-969.65</v>
      </c>
      <c r="M780">
        <v>194154.84</v>
      </c>
      <c r="N780">
        <v>5400</v>
      </c>
      <c r="O780">
        <v>-21.886532666719333</v>
      </c>
      <c r="P780" t="s">
        <v>2079</v>
      </c>
      <c r="Q780" t="s">
        <v>2093</v>
      </c>
    </row>
    <row r="781" spans="1:17" x14ac:dyDescent="0.25">
      <c r="A781" t="s">
        <v>1171</v>
      </c>
      <c r="B781" s="18">
        <v>45796</v>
      </c>
      <c r="C781" t="s">
        <v>2016</v>
      </c>
      <c r="D781" t="s">
        <v>2036</v>
      </c>
      <c r="E781" t="s">
        <v>2052</v>
      </c>
      <c r="F781" t="s">
        <v>2059</v>
      </c>
      <c r="G781">
        <v>6</v>
      </c>
      <c r="H781">
        <v>900</v>
      </c>
      <c r="I781">
        <v>1170</v>
      </c>
      <c r="J781">
        <v>10.42</v>
      </c>
      <c r="K781">
        <v>6288.47</v>
      </c>
      <c r="L781">
        <v>888.47</v>
      </c>
      <c r="M781">
        <v>73148.399999999994</v>
      </c>
      <c r="N781">
        <v>5400</v>
      </c>
      <c r="O781">
        <v>14.12855591264648</v>
      </c>
      <c r="P781" t="s">
        <v>2079</v>
      </c>
      <c r="Q781" t="s">
        <v>2092</v>
      </c>
    </row>
    <row r="782" spans="1:17" x14ac:dyDescent="0.25">
      <c r="A782" t="s">
        <v>1404</v>
      </c>
      <c r="B782" s="18">
        <v>45796</v>
      </c>
      <c r="C782" t="s">
        <v>2026</v>
      </c>
      <c r="D782" t="s">
        <v>2046</v>
      </c>
      <c r="E782" t="s">
        <v>2052</v>
      </c>
      <c r="F782" t="s">
        <v>2061</v>
      </c>
      <c r="G782">
        <v>6</v>
      </c>
      <c r="H782">
        <v>3000</v>
      </c>
      <c r="I782">
        <v>3600</v>
      </c>
      <c r="J782">
        <v>10.18</v>
      </c>
      <c r="K782">
        <v>19401.7</v>
      </c>
      <c r="L782">
        <v>1401.7</v>
      </c>
      <c r="M782">
        <v>219888</v>
      </c>
      <c r="N782">
        <v>18000</v>
      </c>
      <c r="O782">
        <v>7.224624646293881</v>
      </c>
      <c r="P782" t="s">
        <v>2079</v>
      </c>
      <c r="Q782" t="s">
        <v>2091</v>
      </c>
    </row>
    <row r="783" spans="1:17" x14ac:dyDescent="0.25">
      <c r="A783" t="s">
        <v>1666</v>
      </c>
      <c r="B783" s="18">
        <v>45796</v>
      </c>
      <c r="C783" t="s">
        <v>2021</v>
      </c>
      <c r="D783" t="s">
        <v>2041</v>
      </c>
      <c r="E783" t="s">
        <v>2056</v>
      </c>
      <c r="F783" t="s">
        <v>2062</v>
      </c>
      <c r="G783">
        <v>8</v>
      </c>
      <c r="H783">
        <v>300</v>
      </c>
      <c r="I783">
        <v>405</v>
      </c>
      <c r="J783">
        <v>18.75</v>
      </c>
      <c r="K783">
        <v>2632.61</v>
      </c>
      <c r="L783">
        <v>232.61</v>
      </c>
      <c r="M783">
        <v>60750</v>
      </c>
      <c r="N783">
        <v>2400</v>
      </c>
      <c r="O783">
        <v>8.8357181656227102</v>
      </c>
      <c r="P783" t="s">
        <v>2079</v>
      </c>
      <c r="Q783" t="s">
        <v>2091</v>
      </c>
    </row>
    <row r="784" spans="1:17" x14ac:dyDescent="0.25">
      <c r="A784" t="s">
        <v>1776</v>
      </c>
      <c r="B784" s="18">
        <v>45796</v>
      </c>
      <c r="C784" t="s">
        <v>2014</v>
      </c>
      <c r="D784" t="s">
        <v>2034</v>
      </c>
      <c r="E784" t="s">
        <v>2052</v>
      </c>
      <c r="F784" t="s">
        <v>2060</v>
      </c>
      <c r="G784">
        <v>2</v>
      </c>
      <c r="H784">
        <v>4500</v>
      </c>
      <c r="I784">
        <v>5220</v>
      </c>
      <c r="J784">
        <v>5.35</v>
      </c>
      <c r="K784">
        <v>9881.2099999999991</v>
      </c>
      <c r="L784">
        <v>881.21</v>
      </c>
      <c r="M784">
        <v>55853.999999999993</v>
      </c>
      <c r="N784">
        <v>9000</v>
      </c>
      <c r="O784">
        <v>8.9180373658691607</v>
      </c>
      <c r="P784" t="s">
        <v>2079</v>
      </c>
      <c r="Q784" t="s">
        <v>2091</v>
      </c>
    </row>
    <row r="785" spans="1:17" x14ac:dyDescent="0.25">
      <c r="A785" t="s">
        <v>1876</v>
      </c>
      <c r="B785" s="18">
        <v>45796</v>
      </c>
      <c r="C785" t="s">
        <v>2014</v>
      </c>
      <c r="D785" t="s">
        <v>2034</v>
      </c>
      <c r="E785" t="s">
        <v>2052</v>
      </c>
      <c r="F785" t="s">
        <v>2060</v>
      </c>
      <c r="G785">
        <v>5</v>
      </c>
      <c r="H785">
        <v>4500</v>
      </c>
      <c r="I785">
        <v>5220</v>
      </c>
      <c r="J785">
        <v>21.21</v>
      </c>
      <c r="K785">
        <v>20563.64</v>
      </c>
      <c r="L785">
        <v>-1936.36</v>
      </c>
      <c r="M785">
        <v>553581</v>
      </c>
      <c r="N785">
        <v>22500</v>
      </c>
      <c r="O785">
        <v>-9.4164262747256817</v>
      </c>
      <c r="P785" t="s">
        <v>2079</v>
      </c>
      <c r="Q785" t="s">
        <v>2093</v>
      </c>
    </row>
    <row r="786" spans="1:17" x14ac:dyDescent="0.25">
      <c r="A786" t="s">
        <v>299</v>
      </c>
      <c r="B786" s="18">
        <v>45797</v>
      </c>
      <c r="C786" t="s">
        <v>2030</v>
      </c>
      <c r="D786" t="s">
        <v>2050</v>
      </c>
      <c r="E786" t="s">
        <v>2058</v>
      </c>
      <c r="F786" t="s">
        <v>2060</v>
      </c>
      <c r="G786">
        <v>5</v>
      </c>
      <c r="H786">
        <v>1800</v>
      </c>
      <c r="I786">
        <v>2124</v>
      </c>
      <c r="J786">
        <v>16.11</v>
      </c>
      <c r="K786">
        <v>8909.42</v>
      </c>
      <c r="L786">
        <v>-90.58</v>
      </c>
      <c r="M786">
        <v>171088.19999999998</v>
      </c>
      <c r="N786">
        <v>9000</v>
      </c>
      <c r="O786">
        <v>-1.0166767309207558</v>
      </c>
      <c r="P786" t="s">
        <v>2079</v>
      </c>
      <c r="Q786" t="s">
        <v>2093</v>
      </c>
    </row>
    <row r="787" spans="1:17" x14ac:dyDescent="0.25">
      <c r="A787" t="s">
        <v>1199</v>
      </c>
      <c r="B787" s="18">
        <v>45797</v>
      </c>
      <c r="C787" t="s">
        <v>2023</v>
      </c>
      <c r="D787" t="s">
        <v>2043</v>
      </c>
      <c r="E787" t="s">
        <v>2053</v>
      </c>
      <c r="F787" t="s">
        <v>2062</v>
      </c>
      <c r="G787">
        <v>2</v>
      </c>
      <c r="H787">
        <v>550</v>
      </c>
      <c r="I787">
        <v>742.5</v>
      </c>
      <c r="J787">
        <v>15.56</v>
      </c>
      <c r="K787">
        <v>1253.95</v>
      </c>
      <c r="L787">
        <v>153.94999999999999</v>
      </c>
      <c r="M787">
        <v>23106.600000000002</v>
      </c>
      <c r="N787">
        <v>1100</v>
      </c>
      <c r="O787">
        <v>12.277204035248614</v>
      </c>
      <c r="P787" t="s">
        <v>2079</v>
      </c>
      <c r="Q787" t="s">
        <v>2092</v>
      </c>
    </row>
    <row r="788" spans="1:17" x14ac:dyDescent="0.25">
      <c r="A788" t="s">
        <v>1442</v>
      </c>
      <c r="B788" s="18">
        <v>45797</v>
      </c>
      <c r="C788" t="s">
        <v>2022</v>
      </c>
      <c r="D788" t="s">
        <v>2042</v>
      </c>
      <c r="E788" t="s">
        <v>2053</v>
      </c>
      <c r="F788" t="s">
        <v>2061</v>
      </c>
      <c r="G788">
        <v>10</v>
      </c>
      <c r="H788">
        <v>8500</v>
      </c>
      <c r="I788">
        <v>9520</v>
      </c>
      <c r="J788">
        <v>14.56</v>
      </c>
      <c r="K788">
        <v>81340.009999999995</v>
      </c>
      <c r="L788">
        <v>-3659.99</v>
      </c>
      <c r="M788">
        <v>1386112</v>
      </c>
      <c r="N788">
        <v>85000</v>
      </c>
      <c r="O788">
        <v>-4.4996183305116384</v>
      </c>
      <c r="P788" t="s">
        <v>2079</v>
      </c>
      <c r="Q788" t="s">
        <v>2093</v>
      </c>
    </row>
    <row r="789" spans="1:17" x14ac:dyDescent="0.25">
      <c r="A789" t="s">
        <v>1977</v>
      </c>
      <c r="B789" s="18">
        <v>45797</v>
      </c>
      <c r="C789" t="s">
        <v>2031</v>
      </c>
      <c r="D789" t="s">
        <v>2051</v>
      </c>
      <c r="E789" t="s">
        <v>2058</v>
      </c>
      <c r="F789" t="s">
        <v>2062</v>
      </c>
      <c r="G789">
        <v>2</v>
      </c>
      <c r="H789">
        <v>3200</v>
      </c>
      <c r="I789">
        <v>3840</v>
      </c>
      <c r="J789">
        <v>10.17</v>
      </c>
      <c r="K789">
        <v>6898.64</v>
      </c>
      <c r="L789">
        <v>498.64</v>
      </c>
      <c r="M789">
        <v>78105.600000000006</v>
      </c>
      <c r="N789">
        <v>6400</v>
      </c>
      <c r="O789">
        <v>7.2280913339440813</v>
      </c>
      <c r="P789" t="s">
        <v>2079</v>
      </c>
      <c r="Q789" t="s">
        <v>2091</v>
      </c>
    </row>
    <row r="790" spans="1:17" x14ac:dyDescent="0.25">
      <c r="A790" t="s">
        <v>115</v>
      </c>
      <c r="B790" s="18">
        <v>45798</v>
      </c>
      <c r="C790" t="s">
        <v>2019</v>
      </c>
      <c r="D790" t="s">
        <v>2039</v>
      </c>
      <c r="E790" t="s">
        <v>2053</v>
      </c>
      <c r="F790" t="s">
        <v>2061</v>
      </c>
      <c r="G790">
        <v>7</v>
      </c>
      <c r="H790">
        <v>900</v>
      </c>
      <c r="I790">
        <v>1152</v>
      </c>
      <c r="J790">
        <v>0.47</v>
      </c>
      <c r="K790">
        <v>8026.12</v>
      </c>
      <c r="L790">
        <v>1726.12</v>
      </c>
      <c r="M790">
        <v>3790.08</v>
      </c>
      <c r="N790">
        <v>6300</v>
      </c>
      <c r="O790">
        <v>21.506281989304917</v>
      </c>
      <c r="P790" t="s">
        <v>2079</v>
      </c>
      <c r="Q790" t="s">
        <v>2092</v>
      </c>
    </row>
    <row r="791" spans="1:17" x14ac:dyDescent="0.25">
      <c r="A791" t="s">
        <v>126</v>
      </c>
      <c r="B791" s="18">
        <v>45798</v>
      </c>
      <c r="C791" t="s">
        <v>2028</v>
      </c>
      <c r="D791" t="s">
        <v>2048</v>
      </c>
      <c r="E791" t="s">
        <v>2057</v>
      </c>
      <c r="F791" t="s">
        <v>2061</v>
      </c>
      <c r="G791">
        <v>2</v>
      </c>
      <c r="H791">
        <v>80</v>
      </c>
      <c r="I791">
        <v>116</v>
      </c>
      <c r="J791">
        <v>15.58</v>
      </c>
      <c r="K791">
        <v>195.86</v>
      </c>
      <c r="L791">
        <v>35.86</v>
      </c>
      <c r="M791">
        <v>3614.56</v>
      </c>
      <c r="N791">
        <v>160</v>
      </c>
      <c r="O791">
        <v>18.308996221791073</v>
      </c>
      <c r="P791" t="s">
        <v>2079</v>
      </c>
      <c r="Q791" t="s">
        <v>2092</v>
      </c>
    </row>
    <row r="792" spans="1:17" x14ac:dyDescent="0.25">
      <c r="A792" t="s">
        <v>946</v>
      </c>
      <c r="B792" s="18">
        <v>45798</v>
      </c>
      <c r="C792" t="s">
        <v>2027</v>
      </c>
      <c r="D792" t="s">
        <v>2047</v>
      </c>
      <c r="E792" t="s">
        <v>2053</v>
      </c>
      <c r="F792" t="s">
        <v>2059</v>
      </c>
      <c r="G792">
        <v>9</v>
      </c>
      <c r="H792">
        <v>1100</v>
      </c>
      <c r="I792">
        <v>1298</v>
      </c>
      <c r="J792">
        <v>9.7100000000000009</v>
      </c>
      <c r="K792">
        <v>10547.2</v>
      </c>
      <c r="L792">
        <v>647.20000000000005</v>
      </c>
      <c r="M792">
        <v>113432.22000000002</v>
      </c>
      <c r="N792">
        <v>9900</v>
      </c>
      <c r="O792">
        <v>6.1362257281553392</v>
      </c>
      <c r="P792" t="s">
        <v>2079</v>
      </c>
      <c r="Q792" t="s">
        <v>2091</v>
      </c>
    </row>
    <row r="793" spans="1:17" x14ac:dyDescent="0.25">
      <c r="A793" t="s">
        <v>1291</v>
      </c>
      <c r="B793" s="18">
        <v>45798</v>
      </c>
      <c r="C793" t="s">
        <v>2021</v>
      </c>
      <c r="D793" t="s">
        <v>2041</v>
      </c>
      <c r="E793" t="s">
        <v>2056</v>
      </c>
      <c r="F793" t="s">
        <v>2060</v>
      </c>
      <c r="G793">
        <v>7</v>
      </c>
      <c r="H793">
        <v>300</v>
      </c>
      <c r="I793">
        <v>405</v>
      </c>
      <c r="J793">
        <v>8.51</v>
      </c>
      <c r="K793">
        <v>2593.71</v>
      </c>
      <c r="L793">
        <v>493.71</v>
      </c>
      <c r="M793">
        <v>24125.85</v>
      </c>
      <c r="N793">
        <v>2100</v>
      </c>
      <c r="O793">
        <v>19.034895959841307</v>
      </c>
      <c r="P793" t="s">
        <v>2079</v>
      </c>
      <c r="Q793" t="s">
        <v>2092</v>
      </c>
    </row>
    <row r="794" spans="1:17" x14ac:dyDescent="0.25">
      <c r="A794" t="s">
        <v>1414</v>
      </c>
      <c r="B794" s="18">
        <v>45798</v>
      </c>
      <c r="C794" t="s">
        <v>2022</v>
      </c>
      <c r="D794" t="s">
        <v>2042</v>
      </c>
      <c r="E794" t="s">
        <v>2053</v>
      </c>
      <c r="F794" t="s">
        <v>2060</v>
      </c>
      <c r="G794">
        <v>9</v>
      </c>
      <c r="H794">
        <v>8500</v>
      </c>
      <c r="I794">
        <v>9520</v>
      </c>
      <c r="J794">
        <v>11.23</v>
      </c>
      <c r="K794">
        <v>76054.990000000005</v>
      </c>
      <c r="L794">
        <v>-445.01</v>
      </c>
      <c r="M794">
        <v>962186.4</v>
      </c>
      <c r="N794">
        <v>76500</v>
      </c>
      <c r="O794">
        <v>-0.58511611138204078</v>
      </c>
      <c r="P794" t="s">
        <v>2079</v>
      </c>
      <c r="Q794" t="s">
        <v>2093</v>
      </c>
    </row>
    <row r="795" spans="1:17" x14ac:dyDescent="0.25">
      <c r="A795" t="s">
        <v>1687</v>
      </c>
      <c r="B795" s="18">
        <v>45798</v>
      </c>
      <c r="C795" t="s">
        <v>2014</v>
      </c>
      <c r="D795" t="s">
        <v>2034</v>
      </c>
      <c r="E795" t="s">
        <v>2052</v>
      </c>
      <c r="F795" t="s">
        <v>2062</v>
      </c>
      <c r="G795">
        <v>10</v>
      </c>
      <c r="H795">
        <v>4500</v>
      </c>
      <c r="I795">
        <v>5220</v>
      </c>
      <c r="J795">
        <v>23.59</v>
      </c>
      <c r="K795">
        <v>39887.17</v>
      </c>
      <c r="L795">
        <v>-5112.83</v>
      </c>
      <c r="M795">
        <v>1231398</v>
      </c>
      <c r="N795">
        <v>45000</v>
      </c>
      <c r="O795">
        <v>-12.818232027992963</v>
      </c>
      <c r="P795" t="s">
        <v>2079</v>
      </c>
      <c r="Q795" t="s">
        <v>2093</v>
      </c>
    </row>
    <row r="796" spans="1:17" x14ac:dyDescent="0.25">
      <c r="A796" t="s">
        <v>1722</v>
      </c>
      <c r="B796" s="18">
        <v>45798</v>
      </c>
      <c r="C796" t="s">
        <v>2015</v>
      </c>
      <c r="D796" t="s">
        <v>2035</v>
      </c>
      <c r="E796" t="s">
        <v>2054</v>
      </c>
      <c r="F796" t="s">
        <v>2060</v>
      </c>
      <c r="G796">
        <v>7</v>
      </c>
      <c r="H796">
        <v>900</v>
      </c>
      <c r="I796">
        <v>1170</v>
      </c>
      <c r="J796">
        <v>6.53</v>
      </c>
      <c r="K796">
        <v>7655.41</v>
      </c>
      <c r="L796">
        <v>1355.41</v>
      </c>
      <c r="M796">
        <v>53480.700000000004</v>
      </c>
      <c r="N796">
        <v>6300</v>
      </c>
      <c r="O796">
        <v>17.705256805318072</v>
      </c>
      <c r="P796" t="s">
        <v>2079</v>
      </c>
      <c r="Q796" t="s">
        <v>2092</v>
      </c>
    </row>
    <row r="797" spans="1:17" x14ac:dyDescent="0.25">
      <c r="A797" t="s">
        <v>1908</v>
      </c>
      <c r="B797" s="18">
        <v>45798</v>
      </c>
      <c r="C797" t="s">
        <v>2024</v>
      </c>
      <c r="D797" t="s">
        <v>2044</v>
      </c>
      <c r="E797" t="s">
        <v>2055</v>
      </c>
      <c r="F797" t="s">
        <v>2060</v>
      </c>
      <c r="G797">
        <v>7</v>
      </c>
      <c r="H797">
        <v>180</v>
      </c>
      <c r="I797">
        <v>243</v>
      </c>
      <c r="J797">
        <v>14.7</v>
      </c>
      <c r="K797">
        <v>1451.03</v>
      </c>
      <c r="L797">
        <v>191.03</v>
      </c>
      <c r="M797">
        <v>25004.699999999997</v>
      </c>
      <c r="N797">
        <v>1260</v>
      </c>
      <c r="O797">
        <v>13.165130975927445</v>
      </c>
      <c r="P797" t="s">
        <v>2079</v>
      </c>
      <c r="Q797" t="s">
        <v>2092</v>
      </c>
    </row>
    <row r="798" spans="1:17" x14ac:dyDescent="0.25">
      <c r="A798" t="s">
        <v>1994</v>
      </c>
      <c r="B798" s="18">
        <v>45798</v>
      </c>
      <c r="C798" t="s">
        <v>2020</v>
      </c>
      <c r="D798" t="s">
        <v>2040</v>
      </c>
      <c r="E798" t="s">
        <v>2053</v>
      </c>
      <c r="F798" t="s">
        <v>2060</v>
      </c>
      <c r="G798">
        <v>6</v>
      </c>
      <c r="H798">
        <v>350</v>
      </c>
      <c r="I798">
        <v>455</v>
      </c>
      <c r="J798">
        <v>11.05</v>
      </c>
      <c r="K798">
        <v>2428.35</v>
      </c>
      <c r="L798">
        <v>328.35</v>
      </c>
      <c r="M798">
        <v>30166.500000000004</v>
      </c>
      <c r="N798">
        <v>2100</v>
      </c>
      <c r="O798">
        <v>13.521526962752487</v>
      </c>
      <c r="P798" t="s">
        <v>2079</v>
      </c>
      <c r="Q798" t="s">
        <v>2092</v>
      </c>
    </row>
    <row r="799" spans="1:17" x14ac:dyDescent="0.25">
      <c r="A799" t="s">
        <v>54</v>
      </c>
      <c r="B799" s="18">
        <v>45799</v>
      </c>
      <c r="C799" t="s">
        <v>2021</v>
      </c>
      <c r="D799" t="s">
        <v>2041</v>
      </c>
      <c r="E799" t="s">
        <v>2056</v>
      </c>
      <c r="F799" t="s">
        <v>2059</v>
      </c>
      <c r="G799">
        <v>10</v>
      </c>
      <c r="H799">
        <v>300</v>
      </c>
      <c r="I799">
        <v>405</v>
      </c>
      <c r="J799">
        <v>4.1100000000000003</v>
      </c>
      <c r="K799">
        <v>3883.52</v>
      </c>
      <c r="L799">
        <v>883.52</v>
      </c>
      <c r="M799">
        <v>16645.5</v>
      </c>
      <c r="N799">
        <v>3000</v>
      </c>
      <c r="O799">
        <v>22.750494396835862</v>
      </c>
      <c r="P799" t="s">
        <v>2079</v>
      </c>
      <c r="Q799" t="s">
        <v>2092</v>
      </c>
    </row>
    <row r="800" spans="1:17" x14ac:dyDescent="0.25">
      <c r="A800" t="s">
        <v>581</v>
      </c>
      <c r="B800" s="18">
        <v>45799</v>
      </c>
      <c r="C800" t="s">
        <v>2019</v>
      </c>
      <c r="D800" t="s">
        <v>2039</v>
      </c>
      <c r="E800" t="s">
        <v>2053</v>
      </c>
      <c r="F800" t="s">
        <v>2059</v>
      </c>
      <c r="G800">
        <v>1</v>
      </c>
      <c r="H800">
        <v>900</v>
      </c>
      <c r="I800">
        <v>1152</v>
      </c>
      <c r="J800">
        <v>12.49</v>
      </c>
      <c r="K800">
        <v>1008.17</v>
      </c>
      <c r="L800">
        <v>108.17</v>
      </c>
      <c r="M800">
        <v>14388.48</v>
      </c>
      <c r="N800">
        <v>900</v>
      </c>
      <c r="O800">
        <v>10.72934128172828</v>
      </c>
      <c r="P800" t="s">
        <v>2079</v>
      </c>
      <c r="Q800" t="s">
        <v>2092</v>
      </c>
    </row>
    <row r="801" spans="1:17" x14ac:dyDescent="0.25">
      <c r="A801" t="s">
        <v>796</v>
      </c>
      <c r="B801" s="18">
        <v>45799</v>
      </c>
      <c r="C801" t="s">
        <v>2022</v>
      </c>
      <c r="D801" t="s">
        <v>2042</v>
      </c>
      <c r="E801" t="s">
        <v>2053</v>
      </c>
      <c r="F801" t="s">
        <v>2062</v>
      </c>
      <c r="G801">
        <v>1</v>
      </c>
      <c r="H801">
        <v>8500</v>
      </c>
      <c r="I801">
        <v>9520</v>
      </c>
      <c r="J801">
        <v>20.87</v>
      </c>
      <c r="K801">
        <v>7532.94</v>
      </c>
      <c r="L801">
        <v>-967.06</v>
      </c>
      <c r="M801">
        <v>198682.40000000002</v>
      </c>
      <c r="N801">
        <v>8500</v>
      </c>
      <c r="O801">
        <v>-12.837749935616108</v>
      </c>
      <c r="P801" t="s">
        <v>2079</v>
      </c>
      <c r="Q801" t="s">
        <v>2093</v>
      </c>
    </row>
    <row r="802" spans="1:17" x14ac:dyDescent="0.25">
      <c r="A802" t="s">
        <v>812</v>
      </c>
      <c r="B802" s="18">
        <v>45799</v>
      </c>
      <c r="C802" t="s">
        <v>2013</v>
      </c>
      <c r="D802" t="s">
        <v>2033</v>
      </c>
      <c r="E802" t="s">
        <v>2053</v>
      </c>
      <c r="F802" t="s">
        <v>2059</v>
      </c>
      <c r="G802">
        <v>3</v>
      </c>
      <c r="H802">
        <v>6500</v>
      </c>
      <c r="I802">
        <v>7150</v>
      </c>
      <c r="J802">
        <v>13.84</v>
      </c>
      <c r="K802">
        <v>18481.57</v>
      </c>
      <c r="L802">
        <v>-1018.43</v>
      </c>
      <c r="M802">
        <v>296868</v>
      </c>
      <c r="N802">
        <v>19500</v>
      </c>
      <c r="O802">
        <v>-5.5105166931164389</v>
      </c>
      <c r="P802" t="s">
        <v>2079</v>
      </c>
      <c r="Q802" t="s">
        <v>2093</v>
      </c>
    </row>
    <row r="803" spans="1:17" x14ac:dyDescent="0.25">
      <c r="A803" t="s">
        <v>851</v>
      </c>
      <c r="B803" s="18">
        <v>45799</v>
      </c>
      <c r="C803" t="s">
        <v>2025</v>
      </c>
      <c r="D803" t="s">
        <v>2045</v>
      </c>
      <c r="E803" t="s">
        <v>2057</v>
      </c>
      <c r="F803" t="s">
        <v>2062</v>
      </c>
      <c r="G803">
        <v>10</v>
      </c>
      <c r="H803">
        <v>45</v>
      </c>
      <c r="I803">
        <v>63</v>
      </c>
      <c r="J803">
        <v>5.18</v>
      </c>
      <c r="K803">
        <v>597.36</v>
      </c>
      <c r="L803">
        <v>147.36000000000001</v>
      </c>
      <c r="M803">
        <v>3263.3999999999996</v>
      </c>
      <c r="N803">
        <v>450</v>
      </c>
      <c r="O803">
        <v>24.668541582965048</v>
      </c>
      <c r="P803" t="s">
        <v>2079</v>
      </c>
      <c r="Q803" t="s">
        <v>2092</v>
      </c>
    </row>
    <row r="804" spans="1:17" x14ac:dyDescent="0.25">
      <c r="A804" t="s">
        <v>940</v>
      </c>
      <c r="B804" s="18">
        <v>45799</v>
      </c>
      <c r="C804" t="s">
        <v>2014</v>
      </c>
      <c r="D804" t="s">
        <v>2034</v>
      </c>
      <c r="E804" t="s">
        <v>2052</v>
      </c>
      <c r="F804" t="s">
        <v>2062</v>
      </c>
      <c r="G804">
        <v>10</v>
      </c>
      <c r="H804">
        <v>4500</v>
      </c>
      <c r="I804">
        <v>5220</v>
      </c>
      <c r="J804">
        <v>18.440000000000001</v>
      </c>
      <c r="K804">
        <v>42572.5</v>
      </c>
      <c r="L804">
        <v>-2427.5</v>
      </c>
      <c r="M804">
        <v>962568.00000000012</v>
      </c>
      <c r="N804">
        <v>45000</v>
      </c>
      <c r="O804">
        <v>-5.702037700393447</v>
      </c>
      <c r="P804" t="s">
        <v>2079</v>
      </c>
      <c r="Q804" t="s">
        <v>2093</v>
      </c>
    </row>
    <row r="805" spans="1:17" x14ac:dyDescent="0.25">
      <c r="A805" t="s">
        <v>72</v>
      </c>
      <c r="B805" s="18">
        <v>45800</v>
      </c>
      <c r="C805" t="s">
        <v>2018</v>
      </c>
      <c r="D805" t="s">
        <v>2038</v>
      </c>
      <c r="E805" t="s">
        <v>2053</v>
      </c>
      <c r="F805" t="s">
        <v>2062</v>
      </c>
      <c r="G805">
        <v>6</v>
      </c>
      <c r="H805">
        <v>500</v>
      </c>
      <c r="I805">
        <v>610</v>
      </c>
      <c r="J805">
        <v>12.36</v>
      </c>
      <c r="K805">
        <v>3207.77</v>
      </c>
      <c r="L805">
        <v>207.77</v>
      </c>
      <c r="M805">
        <v>45237.599999999999</v>
      </c>
      <c r="N805">
        <v>3000</v>
      </c>
      <c r="O805">
        <v>6.4770853271899176</v>
      </c>
      <c r="P805" t="s">
        <v>2079</v>
      </c>
      <c r="Q805" t="s">
        <v>2091</v>
      </c>
    </row>
    <row r="806" spans="1:17" x14ac:dyDescent="0.25">
      <c r="A806" t="s">
        <v>578</v>
      </c>
      <c r="B806" s="18">
        <v>45800</v>
      </c>
      <c r="C806" t="s">
        <v>2030</v>
      </c>
      <c r="D806" t="s">
        <v>2050</v>
      </c>
      <c r="E806" t="s">
        <v>2058</v>
      </c>
      <c r="F806" t="s">
        <v>2060</v>
      </c>
      <c r="G806">
        <v>5</v>
      </c>
      <c r="H806">
        <v>1800</v>
      </c>
      <c r="I806">
        <v>2124</v>
      </c>
      <c r="J806">
        <v>15.58</v>
      </c>
      <c r="K806">
        <v>8965.89</v>
      </c>
      <c r="L806">
        <v>-34.11</v>
      </c>
      <c r="M806">
        <v>165459.6</v>
      </c>
      <c r="N806">
        <v>9000</v>
      </c>
      <c r="O806">
        <v>-0.38044187470513247</v>
      </c>
      <c r="P806" t="s">
        <v>2079</v>
      </c>
      <c r="Q806" t="s">
        <v>2093</v>
      </c>
    </row>
    <row r="807" spans="1:17" x14ac:dyDescent="0.25">
      <c r="A807" t="s">
        <v>646</v>
      </c>
      <c r="B807" s="18">
        <v>45800</v>
      </c>
      <c r="C807" t="s">
        <v>2017</v>
      </c>
      <c r="D807" t="s">
        <v>2037</v>
      </c>
      <c r="E807" t="s">
        <v>2055</v>
      </c>
      <c r="F807" t="s">
        <v>2060</v>
      </c>
      <c r="G807">
        <v>3</v>
      </c>
      <c r="H807">
        <v>2500</v>
      </c>
      <c r="I807">
        <v>2875</v>
      </c>
      <c r="J807">
        <v>5.67</v>
      </c>
      <c r="K807">
        <v>8135.68</v>
      </c>
      <c r="L807">
        <v>635.67999999999995</v>
      </c>
      <c r="M807">
        <v>48903.75</v>
      </c>
      <c r="N807">
        <v>7500</v>
      </c>
      <c r="O807">
        <v>7.8134833228445553</v>
      </c>
      <c r="P807" t="s">
        <v>2079</v>
      </c>
      <c r="Q807" t="s">
        <v>2091</v>
      </c>
    </row>
    <row r="808" spans="1:17" x14ac:dyDescent="0.25">
      <c r="A808" t="s">
        <v>789</v>
      </c>
      <c r="B808" s="18">
        <v>45800</v>
      </c>
      <c r="C808" t="s">
        <v>2025</v>
      </c>
      <c r="D808" t="s">
        <v>2045</v>
      </c>
      <c r="E808" t="s">
        <v>2057</v>
      </c>
      <c r="F808" t="s">
        <v>2060</v>
      </c>
      <c r="G808">
        <v>6</v>
      </c>
      <c r="H808">
        <v>45</v>
      </c>
      <c r="I808">
        <v>63</v>
      </c>
      <c r="J808">
        <v>2.3199999999999998</v>
      </c>
      <c r="K808">
        <v>369.24</v>
      </c>
      <c r="L808">
        <v>99.24</v>
      </c>
      <c r="M808">
        <v>876.95999999999992</v>
      </c>
      <c r="N808">
        <v>270</v>
      </c>
      <c r="O808">
        <v>26.876828079298015</v>
      </c>
      <c r="P808" t="s">
        <v>2079</v>
      </c>
      <c r="Q808" t="s">
        <v>2092</v>
      </c>
    </row>
    <row r="809" spans="1:17" x14ac:dyDescent="0.25">
      <c r="A809" t="s">
        <v>1020</v>
      </c>
      <c r="B809" s="18">
        <v>45800</v>
      </c>
      <c r="C809" t="s">
        <v>2013</v>
      </c>
      <c r="D809" t="s">
        <v>2033</v>
      </c>
      <c r="E809" t="s">
        <v>2053</v>
      </c>
      <c r="F809" t="s">
        <v>2062</v>
      </c>
      <c r="G809">
        <v>4</v>
      </c>
      <c r="H809">
        <v>6500</v>
      </c>
      <c r="I809">
        <v>7150</v>
      </c>
      <c r="J809">
        <v>15.92</v>
      </c>
      <c r="K809">
        <v>24047.74</v>
      </c>
      <c r="L809">
        <v>-1952.26</v>
      </c>
      <c r="M809">
        <v>455312</v>
      </c>
      <c r="N809">
        <v>26000</v>
      </c>
      <c r="O809">
        <v>-8.1182680784140206</v>
      </c>
      <c r="P809" t="s">
        <v>2079</v>
      </c>
      <c r="Q809" t="s">
        <v>2093</v>
      </c>
    </row>
    <row r="810" spans="1:17" x14ac:dyDescent="0.25">
      <c r="A810" t="s">
        <v>1583</v>
      </c>
      <c r="B810" s="18">
        <v>45800</v>
      </c>
      <c r="C810" t="s">
        <v>2030</v>
      </c>
      <c r="D810" t="s">
        <v>2050</v>
      </c>
      <c r="E810" t="s">
        <v>2058</v>
      </c>
      <c r="F810" t="s">
        <v>2060</v>
      </c>
      <c r="G810">
        <v>2</v>
      </c>
      <c r="H810">
        <v>1800</v>
      </c>
      <c r="I810">
        <v>2124</v>
      </c>
      <c r="J810">
        <v>4.7</v>
      </c>
      <c r="K810">
        <v>4048.34</v>
      </c>
      <c r="L810">
        <v>448.34</v>
      </c>
      <c r="M810">
        <v>19965.600000000002</v>
      </c>
      <c r="N810">
        <v>3600</v>
      </c>
      <c r="O810">
        <v>11.074662701255328</v>
      </c>
      <c r="P810" t="s">
        <v>2079</v>
      </c>
      <c r="Q810" t="s">
        <v>2092</v>
      </c>
    </row>
    <row r="811" spans="1:17" x14ac:dyDescent="0.25">
      <c r="A811" t="s">
        <v>31</v>
      </c>
      <c r="B811" s="18">
        <v>45801</v>
      </c>
      <c r="C811" t="s">
        <v>2024</v>
      </c>
      <c r="D811" t="s">
        <v>2044</v>
      </c>
      <c r="E811" t="s">
        <v>2055</v>
      </c>
      <c r="F811" t="s">
        <v>2061</v>
      </c>
      <c r="G811">
        <v>3</v>
      </c>
      <c r="H811">
        <v>180</v>
      </c>
      <c r="I811">
        <v>243</v>
      </c>
      <c r="J811">
        <v>14.77</v>
      </c>
      <c r="K811">
        <v>621.36</v>
      </c>
      <c r="L811">
        <v>81.36</v>
      </c>
      <c r="M811">
        <v>10767.33</v>
      </c>
      <c r="N811">
        <v>540</v>
      </c>
      <c r="O811">
        <v>13.093858632676708</v>
      </c>
      <c r="P811" t="s">
        <v>2079</v>
      </c>
      <c r="Q811" t="s">
        <v>2092</v>
      </c>
    </row>
    <row r="812" spans="1:17" x14ac:dyDescent="0.25">
      <c r="A812" t="s">
        <v>381</v>
      </c>
      <c r="B812" s="18">
        <v>45801</v>
      </c>
      <c r="C812" t="s">
        <v>2020</v>
      </c>
      <c r="D812" t="s">
        <v>2040</v>
      </c>
      <c r="E812" t="s">
        <v>2053</v>
      </c>
      <c r="F812" t="s">
        <v>2061</v>
      </c>
      <c r="G812">
        <v>5</v>
      </c>
      <c r="H812">
        <v>350</v>
      </c>
      <c r="I812">
        <v>455</v>
      </c>
      <c r="J812">
        <v>10.26</v>
      </c>
      <c r="K812">
        <v>2041.65</v>
      </c>
      <c r="L812">
        <v>291.64999999999998</v>
      </c>
      <c r="M812">
        <v>23341.5</v>
      </c>
      <c r="N812">
        <v>1750</v>
      </c>
      <c r="O812">
        <v>14.285014571547523</v>
      </c>
      <c r="P812" t="s">
        <v>2079</v>
      </c>
      <c r="Q812" t="s">
        <v>2092</v>
      </c>
    </row>
    <row r="813" spans="1:17" x14ac:dyDescent="0.25">
      <c r="A813" t="s">
        <v>626</v>
      </c>
      <c r="B813" s="18">
        <v>45801</v>
      </c>
      <c r="C813" t="s">
        <v>2028</v>
      </c>
      <c r="D813" t="s">
        <v>2048</v>
      </c>
      <c r="E813" t="s">
        <v>2057</v>
      </c>
      <c r="F813" t="s">
        <v>2062</v>
      </c>
      <c r="G813">
        <v>6</v>
      </c>
      <c r="H813">
        <v>80</v>
      </c>
      <c r="I813">
        <v>116</v>
      </c>
      <c r="J813">
        <v>13.78</v>
      </c>
      <c r="K813">
        <v>600.11</v>
      </c>
      <c r="L813">
        <v>120.11</v>
      </c>
      <c r="M813">
        <v>9590.8799999999992</v>
      </c>
      <c r="N813">
        <v>480</v>
      </c>
      <c r="O813">
        <v>20.014663978270651</v>
      </c>
      <c r="P813" t="s">
        <v>2079</v>
      </c>
      <c r="Q813" t="s">
        <v>2092</v>
      </c>
    </row>
    <row r="814" spans="1:17" x14ac:dyDescent="0.25">
      <c r="A814" t="s">
        <v>1326</v>
      </c>
      <c r="B814" s="18">
        <v>45801</v>
      </c>
      <c r="C814" t="s">
        <v>2012</v>
      </c>
      <c r="D814" t="s">
        <v>2032</v>
      </c>
      <c r="E814" t="s">
        <v>2052</v>
      </c>
      <c r="F814" t="s">
        <v>2062</v>
      </c>
      <c r="G814">
        <v>3</v>
      </c>
      <c r="H814">
        <v>6500</v>
      </c>
      <c r="I814">
        <v>8125</v>
      </c>
      <c r="J814">
        <v>4.46</v>
      </c>
      <c r="K814">
        <v>23288.73</v>
      </c>
      <c r="L814">
        <v>3788.73</v>
      </c>
      <c r="M814">
        <v>108712.5</v>
      </c>
      <c r="N814">
        <v>19500</v>
      </c>
      <c r="O814">
        <v>16.268512709795683</v>
      </c>
      <c r="P814" t="s">
        <v>2079</v>
      </c>
      <c r="Q814" t="s">
        <v>2092</v>
      </c>
    </row>
    <row r="815" spans="1:17" x14ac:dyDescent="0.25">
      <c r="A815" t="s">
        <v>28</v>
      </c>
      <c r="B815" s="18">
        <v>45802</v>
      </c>
      <c r="C815" t="s">
        <v>2023</v>
      </c>
      <c r="D815" t="s">
        <v>2043</v>
      </c>
      <c r="E815" t="s">
        <v>2053</v>
      </c>
      <c r="F815" t="s">
        <v>2062</v>
      </c>
      <c r="G815">
        <v>10</v>
      </c>
      <c r="H815">
        <v>550</v>
      </c>
      <c r="I815">
        <v>742.5</v>
      </c>
      <c r="J815">
        <v>4.12</v>
      </c>
      <c r="K815">
        <v>7118.89</v>
      </c>
      <c r="L815">
        <v>1618.89</v>
      </c>
      <c r="M815">
        <v>30591</v>
      </c>
      <c r="N815">
        <v>5500</v>
      </c>
      <c r="O815">
        <v>22.740764360736012</v>
      </c>
      <c r="P815" t="s">
        <v>2079</v>
      </c>
      <c r="Q815" t="s">
        <v>2092</v>
      </c>
    </row>
    <row r="816" spans="1:17" x14ac:dyDescent="0.25">
      <c r="A816" t="s">
        <v>1187</v>
      </c>
      <c r="B816" s="18">
        <v>45802</v>
      </c>
      <c r="C816" t="s">
        <v>2013</v>
      </c>
      <c r="D816" t="s">
        <v>2033</v>
      </c>
      <c r="E816" t="s">
        <v>2053</v>
      </c>
      <c r="F816" t="s">
        <v>2059</v>
      </c>
      <c r="G816">
        <v>4</v>
      </c>
      <c r="H816">
        <v>6500</v>
      </c>
      <c r="I816">
        <v>7150</v>
      </c>
      <c r="J816">
        <v>26.57</v>
      </c>
      <c r="K816">
        <v>21002.19</v>
      </c>
      <c r="L816">
        <v>-4997.8100000000004</v>
      </c>
      <c r="M816">
        <v>759902</v>
      </c>
      <c r="N816">
        <v>26000</v>
      </c>
      <c r="O816">
        <v>-23.796613591249297</v>
      </c>
      <c r="P816" t="s">
        <v>2079</v>
      </c>
      <c r="Q816" t="s">
        <v>2093</v>
      </c>
    </row>
    <row r="817" spans="1:17" x14ac:dyDescent="0.25">
      <c r="A817" t="s">
        <v>1323</v>
      </c>
      <c r="B817" s="18">
        <v>45802</v>
      </c>
      <c r="C817" t="s">
        <v>2015</v>
      </c>
      <c r="D817" t="s">
        <v>2035</v>
      </c>
      <c r="E817" t="s">
        <v>2054</v>
      </c>
      <c r="F817" t="s">
        <v>2059</v>
      </c>
      <c r="G817">
        <v>4</v>
      </c>
      <c r="H817">
        <v>900</v>
      </c>
      <c r="I817">
        <v>1170</v>
      </c>
      <c r="J817">
        <v>7.21</v>
      </c>
      <c r="K817">
        <v>4342.5</v>
      </c>
      <c r="L817">
        <v>742.5</v>
      </c>
      <c r="M817">
        <v>33742.800000000003</v>
      </c>
      <c r="N817">
        <v>3600</v>
      </c>
      <c r="O817">
        <v>17.098445595854923</v>
      </c>
      <c r="P817" t="s">
        <v>2079</v>
      </c>
      <c r="Q817" t="s">
        <v>2092</v>
      </c>
    </row>
    <row r="818" spans="1:17" x14ac:dyDescent="0.25">
      <c r="A818" t="s">
        <v>130</v>
      </c>
      <c r="B818" s="18">
        <v>45803</v>
      </c>
      <c r="C818" t="s">
        <v>2031</v>
      </c>
      <c r="D818" t="s">
        <v>2051</v>
      </c>
      <c r="E818" t="s">
        <v>2058</v>
      </c>
      <c r="F818" t="s">
        <v>2062</v>
      </c>
      <c r="G818">
        <v>6</v>
      </c>
      <c r="H818">
        <v>3200</v>
      </c>
      <c r="I818">
        <v>3840</v>
      </c>
      <c r="J818">
        <v>23.05</v>
      </c>
      <c r="K818">
        <v>17729.009999999998</v>
      </c>
      <c r="L818">
        <v>-1470.99</v>
      </c>
      <c r="M818">
        <v>531072</v>
      </c>
      <c r="N818">
        <v>19200</v>
      </c>
      <c r="O818">
        <v>-8.2970791939313031</v>
      </c>
      <c r="P818" t="s">
        <v>2079</v>
      </c>
      <c r="Q818" t="s">
        <v>2093</v>
      </c>
    </row>
    <row r="819" spans="1:17" x14ac:dyDescent="0.25">
      <c r="A819" t="s">
        <v>472</v>
      </c>
      <c r="B819" s="18">
        <v>45803</v>
      </c>
      <c r="C819" t="s">
        <v>2021</v>
      </c>
      <c r="D819" t="s">
        <v>2041</v>
      </c>
      <c r="E819" t="s">
        <v>2056</v>
      </c>
      <c r="F819" t="s">
        <v>2060</v>
      </c>
      <c r="G819">
        <v>7</v>
      </c>
      <c r="H819">
        <v>300</v>
      </c>
      <c r="I819">
        <v>405</v>
      </c>
      <c r="J819">
        <v>22.5</v>
      </c>
      <c r="K819">
        <v>2197.09</v>
      </c>
      <c r="L819">
        <v>97.09</v>
      </c>
      <c r="M819">
        <v>63787.5</v>
      </c>
      <c r="N819">
        <v>2100</v>
      </c>
      <c r="O819">
        <v>4.419026985694714</v>
      </c>
      <c r="P819" t="s">
        <v>2079</v>
      </c>
      <c r="Q819" t="s">
        <v>2091</v>
      </c>
    </row>
    <row r="820" spans="1:17" x14ac:dyDescent="0.25">
      <c r="A820" t="s">
        <v>1008</v>
      </c>
      <c r="B820" s="18">
        <v>45803</v>
      </c>
      <c r="C820" t="s">
        <v>2013</v>
      </c>
      <c r="D820" t="s">
        <v>2033</v>
      </c>
      <c r="E820" t="s">
        <v>2053</v>
      </c>
      <c r="F820" t="s">
        <v>2061</v>
      </c>
      <c r="G820">
        <v>10</v>
      </c>
      <c r="H820">
        <v>6500</v>
      </c>
      <c r="I820">
        <v>7150</v>
      </c>
      <c r="J820">
        <v>7.26</v>
      </c>
      <c r="K820">
        <v>66305.81</v>
      </c>
      <c r="L820">
        <v>1305.81</v>
      </c>
      <c r="M820">
        <v>519090</v>
      </c>
      <c r="N820">
        <v>65000</v>
      </c>
      <c r="O820">
        <v>1.9693749310957818</v>
      </c>
      <c r="P820" t="s">
        <v>2079</v>
      </c>
      <c r="Q820" t="s">
        <v>2091</v>
      </c>
    </row>
    <row r="821" spans="1:17" x14ac:dyDescent="0.25">
      <c r="A821" t="s">
        <v>1062</v>
      </c>
      <c r="B821" s="18">
        <v>45803</v>
      </c>
      <c r="C821" t="s">
        <v>2025</v>
      </c>
      <c r="D821" t="s">
        <v>2045</v>
      </c>
      <c r="E821" t="s">
        <v>2057</v>
      </c>
      <c r="F821" t="s">
        <v>2059</v>
      </c>
      <c r="G821">
        <v>10</v>
      </c>
      <c r="H821">
        <v>45</v>
      </c>
      <c r="I821">
        <v>63</v>
      </c>
      <c r="J821">
        <v>10.8</v>
      </c>
      <c r="K821">
        <v>561.95000000000005</v>
      </c>
      <c r="L821">
        <v>111.95</v>
      </c>
      <c r="M821">
        <v>6804</v>
      </c>
      <c r="N821">
        <v>450</v>
      </c>
      <c r="O821">
        <v>19.921701218969659</v>
      </c>
      <c r="P821" t="s">
        <v>2079</v>
      </c>
      <c r="Q821" t="s">
        <v>2092</v>
      </c>
    </row>
    <row r="822" spans="1:17" x14ac:dyDescent="0.25">
      <c r="A822" t="s">
        <v>1452</v>
      </c>
      <c r="B822" s="18">
        <v>45803</v>
      </c>
      <c r="C822" t="s">
        <v>2018</v>
      </c>
      <c r="D822" t="s">
        <v>2038</v>
      </c>
      <c r="E822" t="s">
        <v>2053</v>
      </c>
      <c r="F822" t="s">
        <v>2062</v>
      </c>
      <c r="G822">
        <v>6</v>
      </c>
      <c r="H822">
        <v>500</v>
      </c>
      <c r="I822">
        <v>610</v>
      </c>
      <c r="J822">
        <v>19.440000000000001</v>
      </c>
      <c r="K822">
        <v>2948.54</v>
      </c>
      <c r="L822">
        <v>-51.46</v>
      </c>
      <c r="M822">
        <v>71150.400000000009</v>
      </c>
      <c r="N822">
        <v>3000</v>
      </c>
      <c r="O822">
        <v>-1.7452705406743676</v>
      </c>
      <c r="P822" t="s">
        <v>2079</v>
      </c>
      <c r="Q822" t="s">
        <v>2093</v>
      </c>
    </row>
    <row r="823" spans="1:17" x14ac:dyDescent="0.25">
      <c r="A823" t="s">
        <v>817</v>
      </c>
      <c r="B823" s="18">
        <v>45804</v>
      </c>
      <c r="C823" t="s">
        <v>2024</v>
      </c>
      <c r="D823" t="s">
        <v>2044</v>
      </c>
      <c r="E823" t="s">
        <v>2055</v>
      </c>
      <c r="F823" t="s">
        <v>2062</v>
      </c>
      <c r="G823">
        <v>1</v>
      </c>
      <c r="H823">
        <v>180</v>
      </c>
      <c r="I823">
        <v>243</v>
      </c>
      <c r="J823">
        <v>8.02</v>
      </c>
      <c r="K823">
        <v>223.5</v>
      </c>
      <c r="L823">
        <v>43.5</v>
      </c>
      <c r="M823">
        <v>1948.86</v>
      </c>
      <c r="N823">
        <v>180</v>
      </c>
      <c r="O823">
        <v>19.463087248322147</v>
      </c>
      <c r="P823" t="s">
        <v>2079</v>
      </c>
      <c r="Q823" t="s">
        <v>2092</v>
      </c>
    </row>
    <row r="824" spans="1:17" x14ac:dyDescent="0.25">
      <c r="A824" t="s">
        <v>899</v>
      </c>
      <c r="B824" s="18">
        <v>45804</v>
      </c>
      <c r="C824" t="s">
        <v>2017</v>
      </c>
      <c r="D824" t="s">
        <v>2037</v>
      </c>
      <c r="E824" t="s">
        <v>2055</v>
      </c>
      <c r="F824" t="s">
        <v>2060</v>
      </c>
      <c r="G824">
        <v>10</v>
      </c>
      <c r="H824">
        <v>2500</v>
      </c>
      <c r="I824">
        <v>2875</v>
      </c>
      <c r="J824">
        <v>4.32</v>
      </c>
      <c r="K824">
        <v>27508.51</v>
      </c>
      <c r="L824">
        <v>2508.5100000000002</v>
      </c>
      <c r="M824">
        <v>124200.00000000001</v>
      </c>
      <c r="N824">
        <v>25000</v>
      </c>
      <c r="O824">
        <v>9.1190326193603379</v>
      </c>
      <c r="P824" t="s">
        <v>2079</v>
      </c>
      <c r="Q824" t="s">
        <v>2091</v>
      </c>
    </row>
    <row r="825" spans="1:17" x14ac:dyDescent="0.25">
      <c r="A825" t="s">
        <v>979</v>
      </c>
      <c r="B825" s="18">
        <v>45804</v>
      </c>
      <c r="C825" t="s">
        <v>2026</v>
      </c>
      <c r="D825" t="s">
        <v>2046</v>
      </c>
      <c r="E825" t="s">
        <v>2052</v>
      </c>
      <c r="F825" t="s">
        <v>2059</v>
      </c>
      <c r="G825">
        <v>6</v>
      </c>
      <c r="H825">
        <v>3000</v>
      </c>
      <c r="I825">
        <v>3600</v>
      </c>
      <c r="J825">
        <v>13.27</v>
      </c>
      <c r="K825">
        <v>18734.52</v>
      </c>
      <c r="L825">
        <v>734.52</v>
      </c>
      <c r="M825">
        <v>286632</v>
      </c>
      <c r="N825">
        <v>18000</v>
      </c>
      <c r="O825">
        <v>3.9206769108576038</v>
      </c>
      <c r="P825" t="s">
        <v>2079</v>
      </c>
      <c r="Q825" t="s">
        <v>2091</v>
      </c>
    </row>
    <row r="826" spans="1:17" x14ac:dyDescent="0.25">
      <c r="A826" t="s">
        <v>1013</v>
      </c>
      <c r="B826" s="18">
        <v>45804</v>
      </c>
      <c r="C826" t="s">
        <v>2029</v>
      </c>
      <c r="D826" t="s">
        <v>2049</v>
      </c>
      <c r="E826" t="s">
        <v>2055</v>
      </c>
      <c r="F826" t="s">
        <v>2062</v>
      </c>
      <c r="G826">
        <v>2</v>
      </c>
      <c r="H826">
        <v>1200</v>
      </c>
      <c r="I826">
        <v>1464</v>
      </c>
      <c r="J826">
        <v>17.72</v>
      </c>
      <c r="K826">
        <v>2409.27</v>
      </c>
      <c r="L826">
        <v>9.27</v>
      </c>
      <c r="M826">
        <v>51884.159999999996</v>
      </c>
      <c r="N826">
        <v>2400</v>
      </c>
      <c r="O826">
        <v>0.38476384963080101</v>
      </c>
      <c r="P826" t="s">
        <v>2079</v>
      </c>
      <c r="Q826" t="s">
        <v>2091</v>
      </c>
    </row>
    <row r="827" spans="1:17" x14ac:dyDescent="0.25">
      <c r="A827" t="s">
        <v>1190</v>
      </c>
      <c r="B827" s="18">
        <v>45804</v>
      </c>
      <c r="C827" t="s">
        <v>2031</v>
      </c>
      <c r="D827" t="s">
        <v>2051</v>
      </c>
      <c r="E827" t="s">
        <v>2058</v>
      </c>
      <c r="F827" t="s">
        <v>2059</v>
      </c>
      <c r="G827">
        <v>3</v>
      </c>
      <c r="H827">
        <v>3200</v>
      </c>
      <c r="I827">
        <v>3840</v>
      </c>
      <c r="J827">
        <v>4.24</v>
      </c>
      <c r="K827">
        <v>11031.46</v>
      </c>
      <c r="L827">
        <v>1431.46</v>
      </c>
      <c r="M827">
        <v>48844.800000000003</v>
      </c>
      <c r="N827">
        <v>9600</v>
      </c>
      <c r="O827">
        <v>12.976160907078485</v>
      </c>
      <c r="P827" t="s">
        <v>2079</v>
      </c>
      <c r="Q827" t="s">
        <v>2092</v>
      </c>
    </row>
    <row r="828" spans="1:17" x14ac:dyDescent="0.25">
      <c r="A828" t="s">
        <v>1210</v>
      </c>
      <c r="B828" s="18">
        <v>45804</v>
      </c>
      <c r="C828" t="s">
        <v>2017</v>
      </c>
      <c r="D828" t="s">
        <v>2037</v>
      </c>
      <c r="E828" t="s">
        <v>2055</v>
      </c>
      <c r="F828" t="s">
        <v>2059</v>
      </c>
      <c r="G828">
        <v>9</v>
      </c>
      <c r="H828">
        <v>2500</v>
      </c>
      <c r="I828">
        <v>2875</v>
      </c>
      <c r="J828">
        <v>5.76</v>
      </c>
      <c r="K828">
        <v>24384.799999999999</v>
      </c>
      <c r="L828">
        <v>1884.8</v>
      </c>
      <c r="M828">
        <v>149040</v>
      </c>
      <c r="N828">
        <v>22500</v>
      </c>
      <c r="O828">
        <v>7.7294052032413632</v>
      </c>
      <c r="P828" t="s">
        <v>2079</v>
      </c>
      <c r="Q828" t="s">
        <v>2091</v>
      </c>
    </row>
    <row r="829" spans="1:17" x14ac:dyDescent="0.25">
      <c r="A829" t="s">
        <v>1246</v>
      </c>
      <c r="B829" s="18">
        <v>45804</v>
      </c>
      <c r="C829" t="s">
        <v>2017</v>
      </c>
      <c r="D829" t="s">
        <v>2037</v>
      </c>
      <c r="E829" t="s">
        <v>2055</v>
      </c>
      <c r="F829" t="s">
        <v>2060</v>
      </c>
      <c r="G829">
        <v>8</v>
      </c>
      <c r="H829">
        <v>2500</v>
      </c>
      <c r="I829">
        <v>2875</v>
      </c>
      <c r="J829">
        <v>16.41</v>
      </c>
      <c r="K829">
        <v>19226.77</v>
      </c>
      <c r="L829">
        <v>-773.23</v>
      </c>
      <c r="M829">
        <v>377430</v>
      </c>
      <c r="N829">
        <v>20000</v>
      </c>
      <c r="O829">
        <v>-4.0216323386611474</v>
      </c>
      <c r="P829" t="s">
        <v>2079</v>
      </c>
      <c r="Q829" t="s">
        <v>2093</v>
      </c>
    </row>
    <row r="830" spans="1:17" x14ac:dyDescent="0.25">
      <c r="A830" t="s">
        <v>1408</v>
      </c>
      <c r="B830" s="18">
        <v>45804</v>
      </c>
      <c r="C830" t="s">
        <v>2028</v>
      </c>
      <c r="D830" t="s">
        <v>2048</v>
      </c>
      <c r="E830" t="s">
        <v>2057</v>
      </c>
      <c r="F830" t="s">
        <v>2060</v>
      </c>
      <c r="G830">
        <v>8</v>
      </c>
      <c r="H830">
        <v>80</v>
      </c>
      <c r="I830">
        <v>116</v>
      </c>
      <c r="J830">
        <v>10.89</v>
      </c>
      <c r="K830">
        <v>826.98</v>
      </c>
      <c r="L830">
        <v>186.98</v>
      </c>
      <c r="M830">
        <v>10105.92</v>
      </c>
      <c r="N830">
        <v>640</v>
      </c>
      <c r="O830">
        <v>22.60997847590026</v>
      </c>
      <c r="P830" t="s">
        <v>2079</v>
      </c>
      <c r="Q830" t="s">
        <v>2092</v>
      </c>
    </row>
    <row r="831" spans="1:17" x14ac:dyDescent="0.25">
      <c r="A831" t="s">
        <v>1799</v>
      </c>
      <c r="B831" s="18">
        <v>45804</v>
      </c>
      <c r="C831" t="s">
        <v>2027</v>
      </c>
      <c r="D831" t="s">
        <v>2047</v>
      </c>
      <c r="E831" t="s">
        <v>2053</v>
      </c>
      <c r="F831" t="s">
        <v>2062</v>
      </c>
      <c r="G831">
        <v>1</v>
      </c>
      <c r="H831">
        <v>1100</v>
      </c>
      <c r="I831">
        <v>1298</v>
      </c>
      <c r="J831">
        <v>5.8</v>
      </c>
      <c r="K831">
        <v>1222.74</v>
      </c>
      <c r="L831">
        <v>122.74</v>
      </c>
      <c r="M831">
        <v>7528.4</v>
      </c>
      <c r="N831">
        <v>1100</v>
      </c>
      <c r="O831">
        <v>10.038111127467818</v>
      </c>
      <c r="P831" t="s">
        <v>2079</v>
      </c>
      <c r="Q831" t="s">
        <v>2092</v>
      </c>
    </row>
    <row r="832" spans="1:17" x14ac:dyDescent="0.25">
      <c r="A832" t="s">
        <v>1950</v>
      </c>
      <c r="B832" s="18">
        <v>45804</v>
      </c>
      <c r="C832" t="s">
        <v>2026</v>
      </c>
      <c r="D832" t="s">
        <v>2046</v>
      </c>
      <c r="E832" t="s">
        <v>2052</v>
      </c>
      <c r="F832" t="s">
        <v>2060</v>
      </c>
      <c r="G832">
        <v>6</v>
      </c>
      <c r="H832">
        <v>3000</v>
      </c>
      <c r="I832">
        <v>3600</v>
      </c>
      <c r="J832">
        <v>14.91</v>
      </c>
      <c r="K832">
        <v>18378.490000000002</v>
      </c>
      <c r="L832">
        <v>378.49</v>
      </c>
      <c r="M832">
        <v>322056</v>
      </c>
      <c r="N832">
        <v>18000</v>
      </c>
      <c r="O832">
        <v>2.0594183744148733</v>
      </c>
      <c r="P832" t="s">
        <v>2079</v>
      </c>
      <c r="Q832" t="s">
        <v>2091</v>
      </c>
    </row>
    <row r="833" spans="1:17" x14ac:dyDescent="0.25">
      <c r="A833" t="s">
        <v>261</v>
      </c>
      <c r="B833" s="18">
        <v>45805</v>
      </c>
      <c r="C833" t="s">
        <v>2029</v>
      </c>
      <c r="D833" t="s">
        <v>2049</v>
      </c>
      <c r="E833" t="s">
        <v>2055</v>
      </c>
      <c r="F833" t="s">
        <v>2059</v>
      </c>
      <c r="G833">
        <v>10</v>
      </c>
      <c r="H833">
        <v>1200</v>
      </c>
      <c r="I833">
        <v>1464</v>
      </c>
      <c r="J833">
        <v>30</v>
      </c>
      <c r="K833">
        <v>10248</v>
      </c>
      <c r="L833">
        <v>-1752</v>
      </c>
      <c r="M833">
        <v>439200</v>
      </c>
      <c r="N833">
        <v>12000</v>
      </c>
      <c r="O833">
        <v>-17.096018735362996</v>
      </c>
      <c r="P833" t="s">
        <v>2079</v>
      </c>
      <c r="Q833" t="s">
        <v>2093</v>
      </c>
    </row>
    <row r="834" spans="1:17" x14ac:dyDescent="0.25">
      <c r="A834" t="s">
        <v>485</v>
      </c>
      <c r="B834" s="18">
        <v>45805</v>
      </c>
      <c r="C834" t="s">
        <v>2021</v>
      </c>
      <c r="D834" t="s">
        <v>2041</v>
      </c>
      <c r="E834" t="s">
        <v>2056</v>
      </c>
      <c r="F834" t="s">
        <v>2062</v>
      </c>
      <c r="G834">
        <v>9</v>
      </c>
      <c r="H834">
        <v>300</v>
      </c>
      <c r="I834">
        <v>405</v>
      </c>
      <c r="J834">
        <v>16.52</v>
      </c>
      <c r="K834">
        <v>3042.87</v>
      </c>
      <c r="L834">
        <v>342.87</v>
      </c>
      <c r="M834">
        <v>60215.4</v>
      </c>
      <c r="N834">
        <v>2700</v>
      </c>
      <c r="O834">
        <v>11.267980557828629</v>
      </c>
      <c r="P834" t="s">
        <v>2079</v>
      </c>
      <c r="Q834" t="s">
        <v>2092</v>
      </c>
    </row>
    <row r="835" spans="1:17" x14ac:dyDescent="0.25">
      <c r="A835" t="s">
        <v>577</v>
      </c>
      <c r="B835" s="18">
        <v>45805</v>
      </c>
      <c r="C835" t="s">
        <v>2024</v>
      </c>
      <c r="D835" t="s">
        <v>2044</v>
      </c>
      <c r="E835" t="s">
        <v>2055</v>
      </c>
      <c r="F835" t="s">
        <v>2061</v>
      </c>
      <c r="G835">
        <v>7</v>
      </c>
      <c r="H835">
        <v>180</v>
      </c>
      <c r="I835">
        <v>243</v>
      </c>
      <c r="J835">
        <v>10.32</v>
      </c>
      <c r="K835">
        <v>1525.49</v>
      </c>
      <c r="L835">
        <v>265.49</v>
      </c>
      <c r="M835">
        <v>17554.32</v>
      </c>
      <c r="N835">
        <v>1260</v>
      </c>
      <c r="O835">
        <v>17.403588355217011</v>
      </c>
      <c r="P835" t="s">
        <v>2079</v>
      </c>
      <c r="Q835" t="s">
        <v>2092</v>
      </c>
    </row>
    <row r="836" spans="1:17" x14ac:dyDescent="0.25">
      <c r="A836" t="s">
        <v>778</v>
      </c>
      <c r="B836" s="18">
        <v>45805</v>
      </c>
      <c r="C836" t="s">
        <v>2029</v>
      </c>
      <c r="D836" t="s">
        <v>2049</v>
      </c>
      <c r="E836" t="s">
        <v>2055</v>
      </c>
      <c r="F836" t="s">
        <v>2059</v>
      </c>
      <c r="G836">
        <v>5</v>
      </c>
      <c r="H836">
        <v>1200</v>
      </c>
      <c r="I836">
        <v>1464</v>
      </c>
      <c r="J836">
        <v>8.84</v>
      </c>
      <c r="K836">
        <v>6673</v>
      </c>
      <c r="L836">
        <v>673</v>
      </c>
      <c r="M836">
        <v>64708.799999999996</v>
      </c>
      <c r="N836">
        <v>6000</v>
      </c>
      <c r="O836">
        <v>10.085418852090514</v>
      </c>
      <c r="P836" t="s">
        <v>2079</v>
      </c>
      <c r="Q836" t="s">
        <v>2092</v>
      </c>
    </row>
    <row r="837" spans="1:17" x14ac:dyDescent="0.25">
      <c r="A837" t="s">
        <v>1094</v>
      </c>
      <c r="B837" s="18">
        <v>45805</v>
      </c>
      <c r="C837" t="s">
        <v>2012</v>
      </c>
      <c r="D837" t="s">
        <v>2032</v>
      </c>
      <c r="E837" t="s">
        <v>2052</v>
      </c>
      <c r="F837" t="s">
        <v>2062</v>
      </c>
      <c r="G837">
        <v>10</v>
      </c>
      <c r="H837">
        <v>6500</v>
      </c>
      <c r="I837">
        <v>8125</v>
      </c>
      <c r="J837">
        <v>28.97</v>
      </c>
      <c r="K837">
        <v>57713.94</v>
      </c>
      <c r="L837">
        <v>-7286.06</v>
      </c>
      <c r="M837">
        <v>2353812.5</v>
      </c>
      <c r="N837">
        <v>65000</v>
      </c>
      <c r="O837">
        <v>-12.624437007766234</v>
      </c>
      <c r="P837" t="s">
        <v>2079</v>
      </c>
      <c r="Q837" t="s">
        <v>2093</v>
      </c>
    </row>
    <row r="838" spans="1:17" x14ac:dyDescent="0.25">
      <c r="A838" t="s">
        <v>1363</v>
      </c>
      <c r="B838" s="18">
        <v>45805</v>
      </c>
      <c r="C838" t="s">
        <v>2020</v>
      </c>
      <c r="D838" t="s">
        <v>2040</v>
      </c>
      <c r="E838" t="s">
        <v>2053</v>
      </c>
      <c r="F838" t="s">
        <v>2062</v>
      </c>
      <c r="G838">
        <v>9</v>
      </c>
      <c r="H838">
        <v>350</v>
      </c>
      <c r="I838">
        <v>455</v>
      </c>
      <c r="J838">
        <v>12.12</v>
      </c>
      <c r="K838">
        <v>3598.83</v>
      </c>
      <c r="L838">
        <v>448.83</v>
      </c>
      <c r="M838">
        <v>49631.399999999994</v>
      </c>
      <c r="N838">
        <v>3150</v>
      </c>
      <c r="O838">
        <v>12.471553254807812</v>
      </c>
      <c r="P838" t="s">
        <v>2079</v>
      </c>
      <c r="Q838" t="s">
        <v>2092</v>
      </c>
    </row>
    <row r="839" spans="1:17" x14ac:dyDescent="0.25">
      <c r="A839" t="s">
        <v>1955</v>
      </c>
      <c r="B839" s="18">
        <v>45805</v>
      </c>
      <c r="C839" t="s">
        <v>2015</v>
      </c>
      <c r="D839" t="s">
        <v>2035</v>
      </c>
      <c r="E839" t="s">
        <v>2054</v>
      </c>
      <c r="F839" t="s">
        <v>2059</v>
      </c>
      <c r="G839">
        <v>4</v>
      </c>
      <c r="H839">
        <v>900</v>
      </c>
      <c r="I839">
        <v>1170</v>
      </c>
      <c r="J839">
        <v>10.08</v>
      </c>
      <c r="K839">
        <v>4208.41</v>
      </c>
      <c r="L839">
        <v>608.41</v>
      </c>
      <c r="M839">
        <v>47174.400000000001</v>
      </c>
      <c r="N839">
        <v>3600</v>
      </c>
      <c r="O839">
        <v>14.457003951611178</v>
      </c>
      <c r="P839" t="s">
        <v>2079</v>
      </c>
      <c r="Q839" t="s">
        <v>2092</v>
      </c>
    </row>
    <row r="840" spans="1:17" x14ac:dyDescent="0.25">
      <c r="A840" t="s">
        <v>46</v>
      </c>
      <c r="B840" s="18">
        <v>45806</v>
      </c>
      <c r="C840" t="s">
        <v>2018</v>
      </c>
      <c r="D840" t="s">
        <v>2038</v>
      </c>
      <c r="E840" t="s">
        <v>2053</v>
      </c>
      <c r="F840" t="s">
        <v>2059</v>
      </c>
      <c r="G840">
        <v>4</v>
      </c>
      <c r="H840">
        <v>500</v>
      </c>
      <c r="I840">
        <v>610</v>
      </c>
      <c r="J840">
        <v>10.89</v>
      </c>
      <c r="K840">
        <v>2174.2199999999998</v>
      </c>
      <c r="L840">
        <v>174.22</v>
      </c>
      <c r="M840">
        <v>26571.600000000002</v>
      </c>
      <c r="N840">
        <v>2000</v>
      </c>
      <c r="O840">
        <v>8.0129885660144797</v>
      </c>
      <c r="P840" t="s">
        <v>2079</v>
      </c>
      <c r="Q840" t="s">
        <v>2091</v>
      </c>
    </row>
    <row r="841" spans="1:17" x14ac:dyDescent="0.25">
      <c r="A841" t="s">
        <v>150</v>
      </c>
      <c r="B841" s="18">
        <v>45806</v>
      </c>
      <c r="C841" t="s">
        <v>2021</v>
      </c>
      <c r="D841" t="s">
        <v>2041</v>
      </c>
      <c r="E841" t="s">
        <v>2056</v>
      </c>
      <c r="F841" t="s">
        <v>2062</v>
      </c>
      <c r="G841">
        <v>6</v>
      </c>
      <c r="H841">
        <v>300</v>
      </c>
      <c r="I841">
        <v>405</v>
      </c>
      <c r="J841">
        <v>0</v>
      </c>
      <c r="K841">
        <v>2430</v>
      </c>
      <c r="L841">
        <v>630</v>
      </c>
      <c r="M841">
        <v>0</v>
      </c>
      <c r="N841">
        <v>1800</v>
      </c>
      <c r="O841">
        <v>25.925925925925924</v>
      </c>
      <c r="P841" t="s">
        <v>2079</v>
      </c>
      <c r="Q841" t="s">
        <v>2092</v>
      </c>
    </row>
    <row r="842" spans="1:17" x14ac:dyDescent="0.25">
      <c r="A842" t="s">
        <v>189</v>
      </c>
      <c r="B842" s="18">
        <v>45806</v>
      </c>
      <c r="C842" t="s">
        <v>2017</v>
      </c>
      <c r="D842" t="s">
        <v>2037</v>
      </c>
      <c r="E842" t="s">
        <v>2055</v>
      </c>
      <c r="F842" t="s">
        <v>2060</v>
      </c>
      <c r="G842">
        <v>2</v>
      </c>
      <c r="H842">
        <v>2500</v>
      </c>
      <c r="I842">
        <v>2875</v>
      </c>
      <c r="J842">
        <v>6.87</v>
      </c>
      <c r="K842">
        <v>5355.06</v>
      </c>
      <c r="L842">
        <v>355.06</v>
      </c>
      <c r="M842">
        <v>39502.5</v>
      </c>
      <c r="N842">
        <v>5000</v>
      </c>
      <c r="O842">
        <v>6.6303645524046413</v>
      </c>
      <c r="P842" t="s">
        <v>2079</v>
      </c>
      <c r="Q842" t="s">
        <v>2091</v>
      </c>
    </row>
    <row r="843" spans="1:17" x14ac:dyDescent="0.25">
      <c r="A843" t="s">
        <v>297</v>
      </c>
      <c r="B843" s="18">
        <v>45806</v>
      </c>
      <c r="C843" t="s">
        <v>2024</v>
      </c>
      <c r="D843" t="s">
        <v>2044</v>
      </c>
      <c r="E843" t="s">
        <v>2055</v>
      </c>
      <c r="F843" t="s">
        <v>2059</v>
      </c>
      <c r="G843">
        <v>1</v>
      </c>
      <c r="H843">
        <v>180</v>
      </c>
      <c r="I843">
        <v>243</v>
      </c>
      <c r="J843">
        <v>3.99</v>
      </c>
      <c r="K843">
        <v>233.3</v>
      </c>
      <c r="L843">
        <v>53.3</v>
      </c>
      <c r="M843">
        <v>969.57</v>
      </c>
      <c r="N843">
        <v>180</v>
      </c>
      <c r="O843">
        <v>22.846120874410627</v>
      </c>
      <c r="P843" t="s">
        <v>2079</v>
      </c>
      <c r="Q843" t="s">
        <v>2092</v>
      </c>
    </row>
    <row r="844" spans="1:17" x14ac:dyDescent="0.25">
      <c r="A844" t="s">
        <v>333</v>
      </c>
      <c r="B844" s="18">
        <v>45806</v>
      </c>
      <c r="C844" t="s">
        <v>2018</v>
      </c>
      <c r="D844" t="s">
        <v>2038</v>
      </c>
      <c r="E844" t="s">
        <v>2053</v>
      </c>
      <c r="F844" t="s">
        <v>2059</v>
      </c>
      <c r="G844">
        <v>6</v>
      </c>
      <c r="H844">
        <v>500</v>
      </c>
      <c r="I844">
        <v>610</v>
      </c>
      <c r="J844">
        <v>18.8</v>
      </c>
      <c r="K844">
        <v>2972.04</v>
      </c>
      <c r="L844">
        <v>-27.96</v>
      </c>
      <c r="M844">
        <v>68808</v>
      </c>
      <c r="N844">
        <v>3000</v>
      </c>
      <c r="O844">
        <v>-0.94076795736261976</v>
      </c>
      <c r="P844" t="s">
        <v>2079</v>
      </c>
      <c r="Q844" t="s">
        <v>2093</v>
      </c>
    </row>
    <row r="845" spans="1:17" x14ac:dyDescent="0.25">
      <c r="A845" t="s">
        <v>334</v>
      </c>
      <c r="B845" s="18">
        <v>45806</v>
      </c>
      <c r="C845" t="s">
        <v>2031</v>
      </c>
      <c r="D845" t="s">
        <v>2051</v>
      </c>
      <c r="E845" t="s">
        <v>2058</v>
      </c>
      <c r="F845" t="s">
        <v>2060</v>
      </c>
      <c r="G845">
        <v>6</v>
      </c>
      <c r="H845">
        <v>3200</v>
      </c>
      <c r="I845">
        <v>3840</v>
      </c>
      <c r="J845">
        <v>10.02</v>
      </c>
      <c r="K845">
        <v>20730.509999999998</v>
      </c>
      <c r="L845">
        <v>1530.51</v>
      </c>
      <c r="M845">
        <v>230860.79999999999</v>
      </c>
      <c r="N845">
        <v>19200</v>
      </c>
      <c r="O845">
        <v>7.3828863834030134</v>
      </c>
      <c r="P845" t="s">
        <v>2079</v>
      </c>
      <c r="Q845" t="s">
        <v>2091</v>
      </c>
    </row>
    <row r="846" spans="1:17" x14ac:dyDescent="0.25">
      <c r="A846" t="s">
        <v>879</v>
      </c>
      <c r="B846" s="18">
        <v>45806</v>
      </c>
      <c r="C846" t="s">
        <v>2016</v>
      </c>
      <c r="D846" t="s">
        <v>2036</v>
      </c>
      <c r="E846" t="s">
        <v>2052</v>
      </c>
      <c r="F846" t="s">
        <v>2062</v>
      </c>
      <c r="G846">
        <v>2</v>
      </c>
      <c r="H846">
        <v>900</v>
      </c>
      <c r="I846">
        <v>1170</v>
      </c>
      <c r="J846">
        <v>17.309999999999999</v>
      </c>
      <c r="K846">
        <v>1934.9</v>
      </c>
      <c r="L846">
        <v>134.9</v>
      </c>
      <c r="M846">
        <v>40505.399999999994</v>
      </c>
      <c r="N846">
        <v>1800</v>
      </c>
      <c r="O846">
        <v>6.9719365341878126</v>
      </c>
      <c r="P846" t="s">
        <v>2079</v>
      </c>
      <c r="Q846" t="s">
        <v>2091</v>
      </c>
    </row>
    <row r="847" spans="1:17" x14ac:dyDescent="0.25">
      <c r="A847" t="s">
        <v>1201</v>
      </c>
      <c r="B847" s="18">
        <v>45806</v>
      </c>
      <c r="C847" t="s">
        <v>2016</v>
      </c>
      <c r="D847" t="s">
        <v>2036</v>
      </c>
      <c r="E847" t="s">
        <v>2052</v>
      </c>
      <c r="F847" t="s">
        <v>2059</v>
      </c>
      <c r="G847">
        <v>5</v>
      </c>
      <c r="H847">
        <v>900</v>
      </c>
      <c r="I847">
        <v>1170</v>
      </c>
      <c r="J847">
        <v>5.37</v>
      </c>
      <c r="K847">
        <v>5535.74</v>
      </c>
      <c r="L847">
        <v>1035.74</v>
      </c>
      <c r="M847">
        <v>31414.5</v>
      </c>
      <c r="N847">
        <v>4500</v>
      </c>
      <c r="O847">
        <v>18.710055024260534</v>
      </c>
      <c r="P847" t="s">
        <v>2079</v>
      </c>
      <c r="Q847" t="s">
        <v>2092</v>
      </c>
    </row>
    <row r="848" spans="1:17" x14ac:dyDescent="0.25">
      <c r="A848" t="s">
        <v>1481</v>
      </c>
      <c r="B848" s="18">
        <v>45806</v>
      </c>
      <c r="C848" t="s">
        <v>2024</v>
      </c>
      <c r="D848" t="s">
        <v>2044</v>
      </c>
      <c r="E848" t="s">
        <v>2055</v>
      </c>
      <c r="F848" t="s">
        <v>2062</v>
      </c>
      <c r="G848">
        <v>5</v>
      </c>
      <c r="H848">
        <v>180</v>
      </c>
      <c r="I848">
        <v>243</v>
      </c>
      <c r="J848">
        <v>18.489999999999998</v>
      </c>
      <c r="K848">
        <v>990.33</v>
      </c>
      <c r="L848">
        <v>90.33</v>
      </c>
      <c r="M848">
        <v>22465.35</v>
      </c>
      <c r="N848">
        <v>900</v>
      </c>
      <c r="O848">
        <v>9.1212020235679017</v>
      </c>
      <c r="P848" t="s">
        <v>2079</v>
      </c>
      <c r="Q848" t="s">
        <v>2091</v>
      </c>
    </row>
    <row r="849" spans="1:17" x14ac:dyDescent="0.25">
      <c r="A849" t="s">
        <v>1778</v>
      </c>
      <c r="B849" s="18">
        <v>45806</v>
      </c>
      <c r="C849" t="s">
        <v>2020</v>
      </c>
      <c r="D849" t="s">
        <v>2040</v>
      </c>
      <c r="E849" t="s">
        <v>2053</v>
      </c>
      <c r="F849" t="s">
        <v>2060</v>
      </c>
      <c r="G849">
        <v>6</v>
      </c>
      <c r="H849">
        <v>350</v>
      </c>
      <c r="I849">
        <v>455</v>
      </c>
      <c r="J849">
        <v>15.46</v>
      </c>
      <c r="K849">
        <v>2307.9699999999998</v>
      </c>
      <c r="L849">
        <v>207.97</v>
      </c>
      <c r="M849">
        <v>42205.8</v>
      </c>
      <c r="N849">
        <v>2100</v>
      </c>
      <c r="O849">
        <v>9.0109490158017653</v>
      </c>
      <c r="P849" t="s">
        <v>2079</v>
      </c>
      <c r="Q849" t="s">
        <v>2091</v>
      </c>
    </row>
    <row r="850" spans="1:17" x14ac:dyDescent="0.25">
      <c r="A850" t="s">
        <v>1865</v>
      </c>
      <c r="B850" s="18">
        <v>45806</v>
      </c>
      <c r="C850" t="s">
        <v>2015</v>
      </c>
      <c r="D850" t="s">
        <v>2035</v>
      </c>
      <c r="E850" t="s">
        <v>2054</v>
      </c>
      <c r="F850" t="s">
        <v>2061</v>
      </c>
      <c r="G850">
        <v>8</v>
      </c>
      <c r="H850">
        <v>900</v>
      </c>
      <c r="I850">
        <v>1170</v>
      </c>
      <c r="J850">
        <v>21.29</v>
      </c>
      <c r="K850">
        <v>7367.16</v>
      </c>
      <c r="L850">
        <v>167.16</v>
      </c>
      <c r="M850">
        <v>199274.4</v>
      </c>
      <c r="N850">
        <v>7200</v>
      </c>
      <c r="O850">
        <v>2.2689883211441044</v>
      </c>
      <c r="P850" t="s">
        <v>2079</v>
      </c>
      <c r="Q850" t="s">
        <v>2091</v>
      </c>
    </row>
    <row r="851" spans="1:17" x14ac:dyDescent="0.25">
      <c r="A851" t="s">
        <v>15</v>
      </c>
      <c r="B851" s="18">
        <v>45807</v>
      </c>
      <c r="C851" t="s">
        <v>2015</v>
      </c>
      <c r="D851" t="s">
        <v>2035</v>
      </c>
      <c r="E851" t="s">
        <v>2054</v>
      </c>
      <c r="F851" t="s">
        <v>2059</v>
      </c>
      <c r="G851">
        <v>6</v>
      </c>
      <c r="H851">
        <v>900</v>
      </c>
      <c r="I851">
        <v>1170</v>
      </c>
      <c r="J851">
        <v>9.1</v>
      </c>
      <c r="K851">
        <v>6381.51</v>
      </c>
      <c r="L851">
        <v>981.51</v>
      </c>
      <c r="M851">
        <v>63882</v>
      </c>
      <c r="N851">
        <v>5400</v>
      </c>
      <c r="O851">
        <v>15.380529059736645</v>
      </c>
      <c r="P851" t="s">
        <v>2079</v>
      </c>
      <c r="Q851" t="s">
        <v>2092</v>
      </c>
    </row>
    <row r="852" spans="1:17" x14ac:dyDescent="0.25">
      <c r="A852" t="s">
        <v>346</v>
      </c>
      <c r="B852" s="18">
        <v>45807</v>
      </c>
      <c r="C852" t="s">
        <v>2017</v>
      </c>
      <c r="D852" t="s">
        <v>2037</v>
      </c>
      <c r="E852" t="s">
        <v>2055</v>
      </c>
      <c r="F852" t="s">
        <v>2060</v>
      </c>
      <c r="G852">
        <v>3</v>
      </c>
      <c r="H852">
        <v>2500</v>
      </c>
      <c r="I852">
        <v>2875</v>
      </c>
      <c r="J852">
        <v>9.81</v>
      </c>
      <c r="K852">
        <v>7778.51</v>
      </c>
      <c r="L852">
        <v>278.51</v>
      </c>
      <c r="M852">
        <v>84611.25</v>
      </c>
      <c r="N852">
        <v>7500</v>
      </c>
      <c r="O852">
        <v>3.5805057780988898</v>
      </c>
      <c r="P852" t="s">
        <v>2079</v>
      </c>
      <c r="Q852" t="s">
        <v>2091</v>
      </c>
    </row>
    <row r="853" spans="1:17" x14ac:dyDescent="0.25">
      <c r="A853" t="s">
        <v>762</v>
      </c>
      <c r="B853" s="18">
        <v>45807</v>
      </c>
      <c r="C853" t="s">
        <v>2017</v>
      </c>
      <c r="D853" t="s">
        <v>2037</v>
      </c>
      <c r="E853" t="s">
        <v>2055</v>
      </c>
      <c r="F853" t="s">
        <v>2059</v>
      </c>
      <c r="G853">
        <v>3</v>
      </c>
      <c r="H853">
        <v>2500</v>
      </c>
      <c r="I853">
        <v>2875</v>
      </c>
      <c r="J853">
        <v>10.8</v>
      </c>
      <c r="K853">
        <v>7693.35</v>
      </c>
      <c r="L853">
        <v>193.35</v>
      </c>
      <c r="M853">
        <v>93150</v>
      </c>
      <c r="N853">
        <v>7500</v>
      </c>
      <c r="O853">
        <v>2.513209460118154</v>
      </c>
      <c r="P853" t="s">
        <v>2079</v>
      </c>
      <c r="Q853" t="s">
        <v>2091</v>
      </c>
    </row>
    <row r="854" spans="1:17" x14ac:dyDescent="0.25">
      <c r="A854" t="s">
        <v>827</v>
      </c>
      <c r="B854" s="18">
        <v>45807</v>
      </c>
      <c r="C854" t="s">
        <v>2027</v>
      </c>
      <c r="D854" t="s">
        <v>2047</v>
      </c>
      <c r="E854" t="s">
        <v>2053</v>
      </c>
      <c r="F854" t="s">
        <v>2059</v>
      </c>
      <c r="G854">
        <v>10</v>
      </c>
      <c r="H854">
        <v>1100</v>
      </c>
      <c r="I854">
        <v>1298</v>
      </c>
      <c r="J854">
        <v>13.81</v>
      </c>
      <c r="K854">
        <v>11187.69</v>
      </c>
      <c r="L854">
        <v>187.69</v>
      </c>
      <c r="M854">
        <v>179253.80000000002</v>
      </c>
      <c r="N854">
        <v>11000</v>
      </c>
      <c r="O854">
        <v>1.6776474857633703</v>
      </c>
      <c r="P854" t="s">
        <v>2079</v>
      </c>
      <c r="Q854" t="s">
        <v>2091</v>
      </c>
    </row>
    <row r="855" spans="1:17" x14ac:dyDescent="0.25">
      <c r="A855" t="s">
        <v>56</v>
      </c>
      <c r="B855" s="18">
        <v>45808</v>
      </c>
      <c r="C855" t="s">
        <v>2014</v>
      </c>
      <c r="D855" t="s">
        <v>2034</v>
      </c>
      <c r="E855" t="s">
        <v>2052</v>
      </c>
      <c r="F855" t="s">
        <v>2062</v>
      </c>
      <c r="G855">
        <v>1</v>
      </c>
      <c r="H855">
        <v>4500</v>
      </c>
      <c r="I855">
        <v>5220</v>
      </c>
      <c r="J855">
        <v>9.08</v>
      </c>
      <c r="K855">
        <v>4746.26</v>
      </c>
      <c r="L855">
        <v>246.26</v>
      </c>
      <c r="M855">
        <v>47397.599999999999</v>
      </c>
      <c r="N855">
        <v>4500</v>
      </c>
      <c r="O855">
        <v>5.1885063186593232</v>
      </c>
      <c r="P855" t="s">
        <v>2079</v>
      </c>
      <c r="Q855" t="s">
        <v>2091</v>
      </c>
    </row>
    <row r="856" spans="1:17" x14ac:dyDescent="0.25">
      <c r="A856" t="s">
        <v>138</v>
      </c>
      <c r="B856" s="18">
        <v>45808</v>
      </c>
      <c r="C856" t="s">
        <v>2031</v>
      </c>
      <c r="D856" t="s">
        <v>2051</v>
      </c>
      <c r="E856" t="s">
        <v>2058</v>
      </c>
      <c r="F856" t="s">
        <v>2060</v>
      </c>
      <c r="G856">
        <v>7</v>
      </c>
      <c r="H856">
        <v>3200</v>
      </c>
      <c r="I856">
        <v>3840</v>
      </c>
      <c r="J856">
        <v>8.51</v>
      </c>
      <c r="K856">
        <v>24591.65</v>
      </c>
      <c r="L856">
        <v>2191.65</v>
      </c>
      <c r="M856">
        <v>228748.79999999999</v>
      </c>
      <c r="N856">
        <v>22400</v>
      </c>
      <c r="O856">
        <v>8.9121714077745899</v>
      </c>
      <c r="P856" t="s">
        <v>2079</v>
      </c>
      <c r="Q856" t="s">
        <v>2091</v>
      </c>
    </row>
    <row r="857" spans="1:17" x14ac:dyDescent="0.25">
      <c r="A857" t="s">
        <v>340</v>
      </c>
      <c r="B857" s="18">
        <v>45808</v>
      </c>
      <c r="C857" t="s">
        <v>2030</v>
      </c>
      <c r="D857" t="s">
        <v>2050</v>
      </c>
      <c r="E857" t="s">
        <v>2058</v>
      </c>
      <c r="F857" t="s">
        <v>2062</v>
      </c>
      <c r="G857">
        <v>1</v>
      </c>
      <c r="H857">
        <v>1800</v>
      </c>
      <c r="I857">
        <v>2124</v>
      </c>
      <c r="J857">
        <v>22.35</v>
      </c>
      <c r="K857">
        <v>1649.26</v>
      </c>
      <c r="L857">
        <v>-150.74</v>
      </c>
      <c r="M857">
        <v>47471.4</v>
      </c>
      <c r="N857">
        <v>1800</v>
      </c>
      <c r="O857">
        <v>-9.1398566629882492</v>
      </c>
      <c r="P857" t="s">
        <v>2079</v>
      </c>
      <c r="Q857" t="s">
        <v>2093</v>
      </c>
    </row>
    <row r="858" spans="1:17" x14ac:dyDescent="0.25">
      <c r="A858" t="s">
        <v>1957</v>
      </c>
      <c r="B858" s="18">
        <v>45808</v>
      </c>
      <c r="C858" t="s">
        <v>2028</v>
      </c>
      <c r="D858" t="s">
        <v>2048</v>
      </c>
      <c r="E858" t="s">
        <v>2057</v>
      </c>
      <c r="F858" t="s">
        <v>2060</v>
      </c>
      <c r="G858">
        <v>7</v>
      </c>
      <c r="H858">
        <v>80</v>
      </c>
      <c r="I858">
        <v>116</v>
      </c>
      <c r="J858">
        <v>0.87</v>
      </c>
      <c r="K858">
        <v>804.9</v>
      </c>
      <c r="L858">
        <v>244.9</v>
      </c>
      <c r="M858">
        <v>706.43999999999994</v>
      </c>
      <c r="N858">
        <v>560</v>
      </c>
      <c r="O858">
        <v>30.426139893154431</v>
      </c>
      <c r="P858" t="s">
        <v>2079</v>
      </c>
      <c r="Q858" t="s">
        <v>2092</v>
      </c>
    </row>
    <row r="859" spans="1:17" x14ac:dyDescent="0.25">
      <c r="A859" t="s">
        <v>258</v>
      </c>
      <c r="B859" s="18">
        <v>45809</v>
      </c>
      <c r="C859" t="s">
        <v>2019</v>
      </c>
      <c r="D859" t="s">
        <v>2039</v>
      </c>
      <c r="E859" t="s">
        <v>2053</v>
      </c>
      <c r="F859" t="s">
        <v>2061</v>
      </c>
      <c r="G859">
        <v>4</v>
      </c>
      <c r="H859">
        <v>900</v>
      </c>
      <c r="I859">
        <v>1152</v>
      </c>
      <c r="J859">
        <v>12.82</v>
      </c>
      <c r="K859">
        <v>4017.47</v>
      </c>
      <c r="L859">
        <v>417.47</v>
      </c>
      <c r="M859">
        <v>59074.559999999998</v>
      </c>
      <c r="N859">
        <v>3600</v>
      </c>
      <c r="O859">
        <v>10.391365710260439</v>
      </c>
      <c r="P859" t="s">
        <v>2080</v>
      </c>
      <c r="Q859" t="s">
        <v>2092</v>
      </c>
    </row>
    <row r="860" spans="1:17" x14ac:dyDescent="0.25">
      <c r="A860" t="s">
        <v>457</v>
      </c>
      <c r="B860" s="18">
        <v>45809</v>
      </c>
      <c r="C860" t="s">
        <v>2015</v>
      </c>
      <c r="D860" t="s">
        <v>2035</v>
      </c>
      <c r="E860" t="s">
        <v>2054</v>
      </c>
      <c r="F860" t="s">
        <v>2060</v>
      </c>
      <c r="G860">
        <v>3</v>
      </c>
      <c r="H860">
        <v>900</v>
      </c>
      <c r="I860">
        <v>1170</v>
      </c>
      <c r="J860">
        <v>17.39</v>
      </c>
      <c r="K860">
        <v>2899.5</v>
      </c>
      <c r="L860">
        <v>199.5</v>
      </c>
      <c r="M860">
        <v>61038.9</v>
      </c>
      <c r="N860">
        <v>2700</v>
      </c>
      <c r="O860">
        <v>6.8804966373512677</v>
      </c>
      <c r="P860" t="s">
        <v>2080</v>
      </c>
      <c r="Q860" t="s">
        <v>2091</v>
      </c>
    </row>
    <row r="861" spans="1:17" x14ac:dyDescent="0.25">
      <c r="A861" t="s">
        <v>541</v>
      </c>
      <c r="B861" s="18">
        <v>45809</v>
      </c>
      <c r="C861" t="s">
        <v>2022</v>
      </c>
      <c r="D861" t="s">
        <v>2042</v>
      </c>
      <c r="E861" t="s">
        <v>2053</v>
      </c>
      <c r="F861" t="s">
        <v>2059</v>
      </c>
      <c r="G861">
        <v>2</v>
      </c>
      <c r="H861">
        <v>8500</v>
      </c>
      <c r="I861">
        <v>9520</v>
      </c>
      <c r="J861">
        <v>9.4600000000000009</v>
      </c>
      <c r="K861">
        <v>17238.61</v>
      </c>
      <c r="L861">
        <v>238.61</v>
      </c>
      <c r="M861">
        <v>180118.40000000002</v>
      </c>
      <c r="N861">
        <v>17000</v>
      </c>
      <c r="O861">
        <v>1.3841603238312139</v>
      </c>
      <c r="P861" t="s">
        <v>2080</v>
      </c>
      <c r="Q861" t="s">
        <v>2091</v>
      </c>
    </row>
    <row r="862" spans="1:17" x14ac:dyDescent="0.25">
      <c r="A862" t="s">
        <v>602</v>
      </c>
      <c r="B862" s="18">
        <v>45809</v>
      </c>
      <c r="C862" t="s">
        <v>2026</v>
      </c>
      <c r="D862" t="s">
        <v>2046</v>
      </c>
      <c r="E862" t="s">
        <v>2052</v>
      </c>
      <c r="F862" t="s">
        <v>2060</v>
      </c>
      <c r="G862">
        <v>8</v>
      </c>
      <c r="H862">
        <v>3000</v>
      </c>
      <c r="I862">
        <v>3600</v>
      </c>
      <c r="J862">
        <v>16.89</v>
      </c>
      <c r="K862">
        <v>23936.14</v>
      </c>
      <c r="L862">
        <v>-63.86</v>
      </c>
      <c r="M862">
        <v>486432</v>
      </c>
      <c r="N862">
        <v>24000</v>
      </c>
      <c r="O862">
        <v>-0.26679322564122704</v>
      </c>
      <c r="P862" t="s">
        <v>2080</v>
      </c>
      <c r="Q862" t="s">
        <v>2093</v>
      </c>
    </row>
    <row r="863" spans="1:17" x14ac:dyDescent="0.25">
      <c r="A863" t="s">
        <v>1179</v>
      </c>
      <c r="B863" s="18">
        <v>45809</v>
      </c>
      <c r="C863" t="s">
        <v>2014</v>
      </c>
      <c r="D863" t="s">
        <v>2034</v>
      </c>
      <c r="E863" t="s">
        <v>2052</v>
      </c>
      <c r="F863" t="s">
        <v>2059</v>
      </c>
      <c r="G863">
        <v>3</v>
      </c>
      <c r="H863">
        <v>4500</v>
      </c>
      <c r="I863">
        <v>5220</v>
      </c>
      <c r="J863">
        <v>20.010000000000002</v>
      </c>
      <c r="K863">
        <v>12525.99</v>
      </c>
      <c r="L863">
        <v>-974.01</v>
      </c>
      <c r="M863">
        <v>313356.60000000003</v>
      </c>
      <c r="N863">
        <v>13500</v>
      </c>
      <c r="O863">
        <v>-7.7759123230978151</v>
      </c>
      <c r="P863" t="s">
        <v>2080</v>
      </c>
      <c r="Q863" t="s">
        <v>2093</v>
      </c>
    </row>
    <row r="864" spans="1:17" x14ac:dyDescent="0.25">
      <c r="A864" t="s">
        <v>1269</v>
      </c>
      <c r="B864" s="18">
        <v>45809</v>
      </c>
      <c r="C864" t="s">
        <v>2014</v>
      </c>
      <c r="D864" t="s">
        <v>2034</v>
      </c>
      <c r="E864" t="s">
        <v>2052</v>
      </c>
      <c r="F864" t="s">
        <v>2062</v>
      </c>
      <c r="G864">
        <v>9</v>
      </c>
      <c r="H864">
        <v>4500</v>
      </c>
      <c r="I864">
        <v>5220</v>
      </c>
      <c r="J864">
        <v>5.53</v>
      </c>
      <c r="K864">
        <v>44384.25</v>
      </c>
      <c r="L864">
        <v>3884.25</v>
      </c>
      <c r="M864">
        <v>259799.40000000002</v>
      </c>
      <c r="N864">
        <v>40500</v>
      </c>
      <c r="O864">
        <v>8.7514151979587353</v>
      </c>
      <c r="P864" t="s">
        <v>2080</v>
      </c>
      <c r="Q864" t="s">
        <v>2091</v>
      </c>
    </row>
    <row r="865" spans="1:17" x14ac:dyDescent="0.25">
      <c r="A865" t="s">
        <v>314</v>
      </c>
      <c r="B865" s="18">
        <v>45810</v>
      </c>
      <c r="C865" t="s">
        <v>2016</v>
      </c>
      <c r="D865" t="s">
        <v>2036</v>
      </c>
      <c r="E865" t="s">
        <v>2052</v>
      </c>
      <c r="F865" t="s">
        <v>2061</v>
      </c>
      <c r="G865">
        <v>6</v>
      </c>
      <c r="H865">
        <v>900</v>
      </c>
      <c r="I865">
        <v>1170</v>
      </c>
      <c r="J865">
        <v>15.85</v>
      </c>
      <c r="K865">
        <v>5907.08</v>
      </c>
      <c r="L865">
        <v>507.08</v>
      </c>
      <c r="M865">
        <v>111267</v>
      </c>
      <c r="N865">
        <v>5400</v>
      </c>
      <c r="O865">
        <v>8.5842751410172191</v>
      </c>
      <c r="P865" t="s">
        <v>2080</v>
      </c>
      <c r="Q865" t="s">
        <v>2091</v>
      </c>
    </row>
    <row r="866" spans="1:17" x14ac:dyDescent="0.25">
      <c r="A866" t="s">
        <v>927</v>
      </c>
      <c r="B866" s="18">
        <v>45810</v>
      </c>
      <c r="C866" t="s">
        <v>2018</v>
      </c>
      <c r="D866" t="s">
        <v>2038</v>
      </c>
      <c r="E866" t="s">
        <v>2053</v>
      </c>
      <c r="F866" t="s">
        <v>2060</v>
      </c>
      <c r="G866">
        <v>5</v>
      </c>
      <c r="H866">
        <v>500</v>
      </c>
      <c r="I866">
        <v>610</v>
      </c>
      <c r="J866">
        <v>16.04</v>
      </c>
      <c r="K866">
        <v>2560.6999999999998</v>
      </c>
      <c r="L866">
        <v>60.7</v>
      </c>
      <c r="M866">
        <v>48922</v>
      </c>
      <c r="N866">
        <v>2500</v>
      </c>
      <c r="O866">
        <v>2.3704455812863672</v>
      </c>
      <c r="P866" t="s">
        <v>2080</v>
      </c>
      <c r="Q866" t="s">
        <v>2091</v>
      </c>
    </row>
    <row r="867" spans="1:17" x14ac:dyDescent="0.25">
      <c r="A867" t="s">
        <v>998</v>
      </c>
      <c r="B867" s="18">
        <v>45810</v>
      </c>
      <c r="C867" t="s">
        <v>2017</v>
      </c>
      <c r="D867" t="s">
        <v>2037</v>
      </c>
      <c r="E867" t="s">
        <v>2055</v>
      </c>
      <c r="F867" t="s">
        <v>2059</v>
      </c>
      <c r="G867">
        <v>7</v>
      </c>
      <c r="H867">
        <v>2500</v>
      </c>
      <c r="I867">
        <v>2875</v>
      </c>
      <c r="J867">
        <v>12.17</v>
      </c>
      <c r="K867">
        <v>17675.3</v>
      </c>
      <c r="L867">
        <v>175.3</v>
      </c>
      <c r="M867">
        <v>244921.25</v>
      </c>
      <c r="N867">
        <v>17500</v>
      </c>
      <c r="O867">
        <v>0.99177948889127776</v>
      </c>
      <c r="P867" t="s">
        <v>2080</v>
      </c>
      <c r="Q867" t="s">
        <v>2091</v>
      </c>
    </row>
    <row r="868" spans="1:17" x14ac:dyDescent="0.25">
      <c r="A868" t="s">
        <v>1542</v>
      </c>
      <c r="B868" s="18">
        <v>45810</v>
      </c>
      <c r="C868" t="s">
        <v>2015</v>
      </c>
      <c r="D868" t="s">
        <v>2035</v>
      </c>
      <c r="E868" t="s">
        <v>2054</v>
      </c>
      <c r="F868" t="s">
        <v>2062</v>
      </c>
      <c r="G868">
        <v>10</v>
      </c>
      <c r="H868">
        <v>900</v>
      </c>
      <c r="I868">
        <v>1170</v>
      </c>
      <c r="J868">
        <v>18.27</v>
      </c>
      <c r="K868">
        <v>9562.06</v>
      </c>
      <c r="L868">
        <v>562.05999999999995</v>
      </c>
      <c r="M868">
        <v>213759</v>
      </c>
      <c r="N868">
        <v>9000</v>
      </c>
      <c r="O868">
        <v>5.8780220998404111</v>
      </c>
      <c r="P868" t="s">
        <v>2080</v>
      </c>
      <c r="Q868" t="s">
        <v>2091</v>
      </c>
    </row>
    <row r="869" spans="1:17" x14ac:dyDescent="0.25">
      <c r="A869" t="s">
        <v>1883</v>
      </c>
      <c r="B869" s="18">
        <v>45810</v>
      </c>
      <c r="C869" t="s">
        <v>2017</v>
      </c>
      <c r="D869" t="s">
        <v>2037</v>
      </c>
      <c r="E869" t="s">
        <v>2055</v>
      </c>
      <c r="F869" t="s">
        <v>2060</v>
      </c>
      <c r="G869">
        <v>2</v>
      </c>
      <c r="H869">
        <v>2500</v>
      </c>
      <c r="I869">
        <v>2875</v>
      </c>
      <c r="J869">
        <v>0</v>
      </c>
      <c r="K869">
        <v>5750</v>
      </c>
      <c r="L869">
        <v>750</v>
      </c>
      <c r="M869">
        <v>0</v>
      </c>
      <c r="N869">
        <v>5000</v>
      </c>
      <c r="O869">
        <v>13.043478260869565</v>
      </c>
      <c r="P869" t="s">
        <v>2080</v>
      </c>
      <c r="Q869" t="s">
        <v>2092</v>
      </c>
    </row>
    <row r="870" spans="1:17" x14ac:dyDescent="0.25">
      <c r="A870" t="s">
        <v>68</v>
      </c>
      <c r="B870" s="18">
        <v>45811</v>
      </c>
      <c r="C870" t="s">
        <v>2029</v>
      </c>
      <c r="D870" t="s">
        <v>2049</v>
      </c>
      <c r="E870" t="s">
        <v>2055</v>
      </c>
      <c r="F870" t="s">
        <v>2061</v>
      </c>
      <c r="G870">
        <v>6</v>
      </c>
      <c r="H870">
        <v>1200</v>
      </c>
      <c r="I870">
        <v>1464</v>
      </c>
      <c r="J870">
        <v>5.9</v>
      </c>
      <c r="K870">
        <v>8265.44</v>
      </c>
      <c r="L870">
        <v>1065.44</v>
      </c>
      <c r="M870">
        <v>51825.600000000006</v>
      </c>
      <c r="N870">
        <v>7200</v>
      </c>
      <c r="O870">
        <v>12.890299850945624</v>
      </c>
      <c r="P870" t="s">
        <v>2080</v>
      </c>
      <c r="Q870" t="s">
        <v>2092</v>
      </c>
    </row>
    <row r="871" spans="1:17" x14ac:dyDescent="0.25">
      <c r="A871" t="s">
        <v>423</v>
      </c>
      <c r="B871" s="18">
        <v>45811</v>
      </c>
      <c r="C871" t="s">
        <v>2013</v>
      </c>
      <c r="D871" t="s">
        <v>2033</v>
      </c>
      <c r="E871" t="s">
        <v>2053</v>
      </c>
      <c r="F871" t="s">
        <v>2061</v>
      </c>
      <c r="G871">
        <v>6</v>
      </c>
      <c r="H871">
        <v>6500</v>
      </c>
      <c r="I871">
        <v>7150</v>
      </c>
      <c r="J871">
        <v>4.72</v>
      </c>
      <c r="K871">
        <v>40876.57</v>
      </c>
      <c r="L871">
        <v>1876.57</v>
      </c>
      <c r="M871">
        <v>202488</v>
      </c>
      <c r="N871">
        <v>39000</v>
      </c>
      <c r="O871">
        <v>4.5908206094591595</v>
      </c>
      <c r="P871" t="s">
        <v>2080</v>
      </c>
      <c r="Q871" t="s">
        <v>2091</v>
      </c>
    </row>
    <row r="872" spans="1:17" x14ac:dyDescent="0.25">
      <c r="A872" t="s">
        <v>580</v>
      </c>
      <c r="B872" s="18">
        <v>45811</v>
      </c>
      <c r="C872" t="s">
        <v>2023</v>
      </c>
      <c r="D872" t="s">
        <v>2043</v>
      </c>
      <c r="E872" t="s">
        <v>2053</v>
      </c>
      <c r="F872" t="s">
        <v>2059</v>
      </c>
      <c r="G872">
        <v>1</v>
      </c>
      <c r="H872">
        <v>550</v>
      </c>
      <c r="I872">
        <v>742.5</v>
      </c>
      <c r="J872">
        <v>16</v>
      </c>
      <c r="K872">
        <v>623.71</v>
      </c>
      <c r="L872">
        <v>73.709999999999994</v>
      </c>
      <c r="M872">
        <v>11880</v>
      </c>
      <c r="N872">
        <v>550</v>
      </c>
      <c r="O872">
        <v>11.817992336181877</v>
      </c>
      <c r="P872" t="s">
        <v>2080</v>
      </c>
      <c r="Q872" t="s">
        <v>2092</v>
      </c>
    </row>
    <row r="873" spans="1:17" x14ac:dyDescent="0.25">
      <c r="A873" t="s">
        <v>643</v>
      </c>
      <c r="B873" s="18">
        <v>45811</v>
      </c>
      <c r="C873" t="s">
        <v>2028</v>
      </c>
      <c r="D873" t="s">
        <v>2048</v>
      </c>
      <c r="E873" t="s">
        <v>2057</v>
      </c>
      <c r="F873" t="s">
        <v>2061</v>
      </c>
      <c r="G873">
        <v>6</v>
      </c>
      <c r="H873">
        <v>80</v>
      </c>
      <c r="I873">
        <v>116</v>
      </c>
      <c r="J873">
        <v>13.49</v>
      </c>
      <c r="K873">
        <v>602.13</v>
      </c>
      <c r="L873">
        <v>122.13</v>
      </c>
      <c r="M873">
        <v>9389.0400000000009</v>
      </c>
      <c r="N873">
        <v>480</v>
      </c>
      <c r="O873">
        <v>20.282995366449104</v>
      </c>
      <c r="P873" t="s">
        <v>2080</v>
      </c>
      <c r="Q873" t="s">
        <v>2092</v>
      </c>
    </row>
    <row r="874" spans="1:17" x14ac:dyDescent="0.25">
      <c r="A874" t="s">
        <v>731</v>
      </c>
      <c r="B874" s="18">
        <v>45811</v>
      </c>
      <c r="C874" t="s">
        <v>2031</v>
      </c>
      <c r="D874" t="s">
        <v>2051</v>
      </c>
      <c r="E874" t="s">
        <v>2058</v>
      </c>
      <c r="F874" t="s">
        <v>2060</v>
      </c>
      <c r="G874">
        <v>7</v>
      </c>
      <c r="H874">
        <v>3200</v>
      </c>
      <c r="I874">
        <v>3840</v>
      </c>
      <c r="J874">
        <v>16.399999999999999</v>
      </c>
      <c r="K874">
        <v>22470.97</v>
      </c>
      <c r="L874">
        <v>70.97</v>
      </c>
      <c r="M874">
        <v>440831.99999999994</v>
      </c>
      <c r="N874">
        <v>22400</v>
      </c>
      <c r="O874">
        <v>0.31582971273603228</v>
      </c>
      <c r="P874" t="s">
        <v>2080</v>
      </c>
      <c r="Q874" t="s">
        <v>2091</v>
      </c>
    </row>
    <row r="875" spans="1:17" x14ac:dyDescent="0.25">
      <c r="A875" t="s">
        <v>824</v>
      </c>
      <c r="B875" s="18">
        <v>45811</v>
      </c>
      <c r="C875" t="s">
        <v>2017</v>
      </c>
      <c r="D875" t="s">
        <v>2037</v>
      </c>
      <c r="E875" t="s">
        <v>2055</v>
      </c>
      <c r="F875" t="s">
        <v>2061</v>
      </c>
      <c r="G875">
        <v>4</v>
      </c>
      <c r="H875">
        <v>2500</v>
      </c>
      <c r="I875">
        <v>2875</v>
      </c>
      <c r="J875">
        <v>8.49</v>
      </c>
      <c r="K875">
        <v>10524.21</v>
      </c>
      <c r="L875">
        <v>524.21</v>
      </c>
      <c r="M875">
        <v>97635</v>
      </c>
      <c r="N875">
        <v>10000</v>
      </c>
      <c r="O875">
        <v>4.9809914473390409</v>
      </c>
      <c r="P875" t="s">
        <v>2080</v>
      </c>
      <c r="Q875" t="s">
        <v>2091</v>
      </c>
    </row>
    <row r="876" spans="1:17" x14ac:dyDescent="0.25">
      <c r="A876" t="s">
        <v>1116</v>
      </c>
      <c r="B876" s="18">
        <v>45811</v>
      </c>
      <c r="C876" t="s">
        <v>2020</v>
      </c>
      <c r="D876" t="s">
        <v>2040</v>
      </c>
      <c r="E876" t="s">
        <v>2053</v>
      </c>
      <c r="F876" t="s">
        <v>2060</v>
      </c>
      <c r="G876">
        <v>5</v>
      </c>
      <c r="H876">
        <v>350</v>
      </c>
      <c r="I876">
        <v>455</v>
      </c>
      <c r="J876">
        <v>9.93</v>
      </c>
      <c r="K876">
        <v>2049.1999999999998</v>
      </c>
      <c r="L876">
        <v>299.2</v>
      </c>
      <c r="M876">
        <v>22590.75</v>
      </c>
      <c r="N876">
        <v>1750</v>
      </c>
      <c r="O876">
        <v>14.600819832129613</v>
      </c>
      <c r="P876" t="s">
        <v>2080</v>
      </c>
      <c r="Q876" t="s">
        <v>2092</v>
      </c>
    </row>
    <row r="877" spans="1:17" x14ac:dyDescent="0.25">
      <c r="A877" t="s">
        <v>1211</v>
      </c>
      <c r="B877" s="18">
        <v>45811</v>
      </c>
      <c r="C877" t="s">
        <v>2022</v>
      </c>
      <c r="D877" t="s">
        <v>2042</v>
      </c>
      <c r="E877" t="s">
        <v>2053</v>
      </c>
      <c r="F877" t="s">
        <v>2059</v>
      </c>
      <c r="G877">
        <v>10</v>
      </c>
      <c r="H877">
        <v>8500</v>
      </c>
      <c r="I877">
        <v>9520</v>
      </c>
      <c r="J877">
        <v>22.6</v>
      </c>
      <c r="K877">
        <v>73687.09</v>
      </c>
      <c r="L877">
        <v>-11312.91</v>
      </c>
      <c r="M877">
        <v>2151520</v>
      </c>
      <c r="N877">
        <v>85000</v>
      </c>
      <c r="O877">
        <v>-15.352635040954935</v>
      </c>
      <c r="P877" t="s">
        <v>2080</v>
      </c>
      <c r="Q877" t="s">
        <v>2093</v>
      </c>
    </row>
    <row r="878" spans="1:17" x14ac:dyDescent="0.25">
      <c r="A878" t="s">
        <v>1390</v>
      </c>
      <c r="B878" s="18">
        <v>45811</v>
      </c>
      <c r="C878" t="s">
        <v>2024</v>
      </c>
      <c r="D878" t="s">
        <v>2044</v>
      </c>
      <c r="E878" t="s">
        <v>2055</v>
      </c>
      <c r="F878" t="s">
        <v>2062</v>
      </c>
      <c r="G878">
        <v>5</v>
      </c>
      <c r="H878">
        <v>180</v>
      </c>
      <c r="I878">
        <v>243</v>
      </c>
      <c r="J878">
        <v>9.57</v>
      </c>
      <c r="K878">
        <v>1098.78</v>
      </c>
      <c r="L878">
        <v>198.78</v>
      </c>
      <c r="M878">
        <v>11627.550000000001</v>
      </c>
      <c r="N878">
        <v>900</v>
      </c>
      <c r="O878">
        <v>18.090973625293508</v>
      </c>
      <c r="P878" t="s">
        <v>2080</v>
      </c>
      <c r="Q878" t="s">
        <v>2092</v>
      </c>
    </row>
    <row r="879" spans="1:17" x14ac:dyDescent="0.25">
      <c r="A879" t="s">
        <v>1673</v>
      </c>
      <c r="B879" s="18">
        <v>45811</v>
      </c>
      <c r="C879" t="s">
        <v>2019</v>
      </c>
      <c r="D879" t="s">
        <v>2039</v>
      </c>
      <c r="E879" t="s">
        <v>2053</v>
      </c>
      <c r="F879" t="s">
        <v>2061</v>
      </c>
      <c r="G879">
        <v>2</v>
      </c>
      <c r="H879">
        <v>900</v>
      </c>
      <c r="I879">
        <v>1152</v>
      </c>
      <c r="J879">
        <v>18.010000000000002</v>
      </c>
      <c r="K879">
        <v>1889.01</v>
      </c>
      <c r="L879">
        <v>89.01</v>
      </c>
      <c r="M879">
        <v>41495.040000000001</v>
      </c>
      <c r="N879">
        <v>1800</v>
      </c>
      <c r="O879">
        <v>4.7119919958073275</v>
      </c>
      <c r="P879" t="s">
        <v>2080</v>
      </c>
      <c r="Q879" t="s">
        <v>2091</v>
      </c>
    </row>
    <row r="880" spans="1:17" x14ac:dyDescent="0.25">
      <c r="A880" t="s">
        <v>1759</v>
      </c>
      <c r="B880" s="18">
        <v>45811</v>
      </c>
      <c r="C880" t="s">
        <v>2014</v>
      </c>
      <c r="D880" t="s">
        <v>2034</v>
      </c>
      <c r="E880" t="s">
        <v>2052</v>
      </c>
      <c r="F880" t="s">
        <v>2059</v>
      </c>
      <c r="G880">
        <v>9</v>
      </c>
      <c r="H880">
        <v>4500</v>
      </c>
      <c r="I880">
        <v>5220</v>
      </c>
      <c r="J880">
        <v>28.92</v>
      </c>
      <c r="K880">
        <v>33392.26</v>
      </c>
      <c r="L880">
        <v>-7107.74</v>
      </c>
      <c r="M880">
        <v>1358661.6</v>
      </c>
      <c r="N880">
        <v>40500</v>
      </c>
      <c r="O880">
        <v>-21.285591331643918</v>
      </c>
      <c r="P880" t="s">
        <v>2080</v>
      </c>
      <c r="Q880" t="s">
        <v>2093</v>
      </c>
    </row>
    <row r="881" spans="1:17" x14ac:dyDescent="0.25">
      <c r="A881" t="s">
        <v>1787</v>
      </c>
      <c r="B881" s="18">
        <v>45811</v>
      </c>
      <c r="C881" t="s">
        <v>2016</v>
      </c>
      <c r="D881" t="s">
        <v>2036</v>
      </c>
      <c r="E881" t="s">
        <v>2052</v>
      </c>
      <c r="F881" t="s">
        <v>2061</v>
      </c>
      <c r="G881">
        <v>3</v>
      </c>
      <c r="H881">
        <v>900</v>
      </c>
      <c r="I881">
        <v>1170</v>
      </c>
      <c r="J881">
        <v>17.23</v>
      </c>
      <c r="K881">
        <v>2905.05</v>
      </c>
      <c r="L881">
        <v>205.05</v>
      </c>
      <c r="M881">
        <v>60477.3</v>
      </c>
      <c r="N881">
        <v>2700</v>
      </c>
      <c r="O881">
        <v>7.0583983063974802</v>
      </c>
      <c r="P881" t="s">
        <v>2080</v>
      </c>
      <c r="Q881" t="s">
        <v>2091</v>
      </c>
    </row>
    <row r="882" spans="1:17" x14ac:dyDescent="0.25">
      <c r="A882" t="s">
        <v>177</v>
      </c>
      <c r="B882" s="18">
        <v>45812</v>
      </c>
      <c r="C882" t="s">
        <v>2020</v>
      </c>
      <c r="D882" t="s">
        <v>2040</v>
      </c>
      <c r="E882" t="s">
        <v>2053</v>
      </c>
      <c r="F882" t="s">
        <v>2061</v>
      </c>
      <c r="G882">
        <v>3</v>
      </c>
      <c r="H882">
        <v>350</v>
      </c>
      <c r="I882">
        <v>455</v>
      </c>
      <c r="J882">
        <v>11.77</v>
      </c>
      <c r="K882">
        <v>1204.3900000000001</v>
      </c>
      <c r="L882">
        <v>154.38999999999999</v>
      </c>
      <c r="M882">
        <v>16066.05</v>
      </c>
      <c r="N882">
        <v>1050</v>
      </c>
      <c r="O882">
        <v>12.818937387391124</v>
      </c>
      <c r="P882" t="s">
        <v>2080</v>
      </c>
      <c r="Q882" t="s">
        <v>2092</v>
      </c>
    </row>
    <row r="883" spans="1:17" x14ac:dyDescent="0.25">
      <c r="A883" t="s">
        <v>1037</v>
      </c>
      <c r="B883" s="18">
        <v>45812</v>
      </c>
      <c r="C883" t="s">
        <v>2031</v>
      </c>
      <c r="D883" t="s">
        <v>2051</v>
      </c>
      <c r="E883" t="s">
        <v>2058</v>
      </c>
      <c r="F883" t="s">
        <v>2060</v>
      </c>
      <c r="G883">
        <v>10</v>
      </c>
      <c r="H883">
        <v>3200</v>
      </c>
      <c r="I883">
        <v>3840</v>
      </c>
      <c r="J883">
        <v>21.12</v>
      </c>
      <c r="K883">
        <v>30290.79</v>
      </c>
      <c r="L883">
        <v>-1709.21</v>
      </c>
      <c r="M883">
        <v>811008</v>
      </c>
      <c r="N883">
        <v>32000</v>
      </c>
      <c r="O883">
        <v>-5.642672244599761</v>
      </c>
      <c r="P883" t="s">
        <v>2080</v>
      </c>
      <c r="Q883" t="s">
        <v>2093</v>
      </c>
    </row>
    <row r="884" spans="1:17" x14ac:dyDescent="0.25">
      <c r="A884" t="s">
        <v>1117</v>
      </c>
      <c r="B884" s="18">
        <v>45812</v>
      </c>
      <c r="C884" t="s">
        <v>2021</v>
      </c>
      <c r="D884" t="s">
        <v>2041</v>
      </c>
      <c r="E884" t="s">
        <v>2056</v>
      </c>
      <c r="F884" t="s">
        <v>2060</v>
      </c>
      <c r="G884">
        <v>6</v>
      </c>
      <c r="H884">
        <v>300</v>
      </c>
      <c r="I884">
        <v>405</v>
      </c>
      <c r="J884">
        <v>0.5</v>
      </c>
      <c r="K884">
        <v>2417.7800000000002</v>
      </c>
      <c r="L884">
        <v>617.78</v>
      </c>
      <c r="M884">
        <v>1215</v>
      </c>
      <c r="N884">
        <v>1800</v>
      </c>
      <c r="O884">
        <v>25.551539015129578</v>
      </c>
      <c r="P884" t="s">
        <v>2080</v>
      </c>
      <c r="Q884" t="s">
        <v>2092</v>
      </c>
    </row>
    <row r="885" spans="1:17" x14ac:dyDescent="0.25">
      <c r="A885" t="s">
        <v>1719</v>
      </c>
      <c r="B885" s="18">
        <v>45812</v>
      </c>
      <c r="C885" t="s">
        <v>2021</v>
      </c>
      <c r="D885" t="s">
        <v>2041</v>
      </c>
      <c r="E885" t="s">
        <v>2056</v>
      </c>
      <c r="F885" t="s">
        <v>2059</v>
      </c>
      <c r="G885">
        <v>3</v>
      </c>
      <c r="H885">
        <v>300</v>
      </c>
      <c r="I885">
        <v>405</v>
      </c>
      <c r="J885">
        <v>16.04</v>
      </c>
      <c r="K885">
        <v>1020.14</v>
      </c>
      <c r="L885">
        <v>120.14</v>
      </c>
      <c r="M885">
        <v>19488.599999999999</v>
      </c>
      <c r="N885">
        <v>900</v>
      </c>
      <c r="O885">
        <v>11.776814946968063</v>
      </c>
      <c r="P885" t="s">
        <v>2080</v>
      </c>
      <c r="Q885" t="s">
        <v>2092</v>
      </c>
    </row>
    <row r="886" spans="1:17" x14ac:dyDescent="0.25">
      <c r="A886" t="s">
        <v>1729</v>
      </c>
      <c r="B886" s="18">
        <v>45812</v>
      </c>
      <c r="C886" t="s">
        <v>2024</v>
      </c>
      <c r="D886" t="s">
        <v>2044</v>
      </c>
      <c r="E886" t="s">
        <v>2055</v>
      </c>
      <c r="F886" t="s">
        <v>2059</v>
      </c>
      <c r="G886">
        <v>6</v>
      </c>
      <c r="H886">
        <v>180</v>
      </c>
      <c r="I886">
        <v>243</v>
      </c>
      <c r="J886">
        <v>3.5</v>
      </c>
      <c r="K886">
        <v>1407</v>
      </c>
      <c r="L886">
        <v>327</v>
      </c>
      <c r="M886">
        <v>5103</v>
      </c>
      <c r="N886">
        <v>1080</v>
      </c>
      <c r="O886">
        <v>23.240938166311302</v>
      </c>
      <c r="P886" t="s">
        <v>2080</v>
      </c>
      <c r="Q886" t="s">
        <v>2092</v>
      </c>
    </row>
    <row r="887" spans="1:17" x14ac:dyDescent="0.25">
      <c r="A887" t="s">
        <v>152</v>
      </c>
      <c r="B887" s="18">
        <v>45813</v>
      </c>
      <c r="C887" t="s">
        <v>2015</v>
      </c>
      <c r="D887" t="s">
        <v>2035</v>
      </c>
      <c r="E887" t="s">
        <v>2054</v>
      </c>
      <c r="F887" t="s">
        <v>2060</v>
      </c>
      <c r="G887">
        <v>9</v>
      </c>
      <c r="H887">
        <v>900</v>
      </c>
      <c r="I887">
        <v>1170</v>
      </c>
      <c r="J887">
        <v>13.22</v>
      </c>
      <c r="K887">
        <v>9137.61</v>
      </c>
      <c r="L887">
        <v>1037.6099999999999</v>
      </c>
      <c r="M887">
        <v>139206.6</v>
      </c>
      <c r="N887">
        <v>8100</v>
      </c>
      <c r="O887">
        <v>11.35537629642762</v>
      </c>
      <c r="P887" t="s">
        <v>2080</v>
      </c>
      <c r="Q887" t="s">
        <v>2092</v>
      </c>
    </row>
    <row r="888" spans="1:17" x14ac:dyDescent="0.25">
      <c r="A888" t="s">
        <v>748</v>
      </c>
      <c r="B888" s="18">
        <v>45813</v>
      </c>
      <c r="C888" t="s">
        <v>2020</v>
      </c>
      <c r="D888" t="s">
        <v>2040</v>
      </c>
      <c r="E888" t="s">
        <v>2053</v>
      </c>
      <c r="F888" t="s">
        <v>2061</v>
      </c>
      <c r="G888">
        <v>3</v>
      </c>
      <c r="H888">
        <v>350</v>
      </c>
      <c r="I888">
        <v>455</v>
      </c>
      <c r="J888">
        <v>17.7</v>
      </c>
      <c r="K888">
        <v>1123.3699999999999</v>
      </c>
      <c r="L888">
        <v>73.37</v>
      </c>
      <c r="M888">
        <v>24160.5</v>
      </c>
      <c r="N888">
        <v>1050</v>
      </c>
      <c r="O888">
        <v>6.5312408200325818</v>
      </c>
      <c r="P888" t="s">
        <v>2080</v>
      </c>
      <c r="Q888" t="s">
        <v>2091</v>
      </c>
    </row>
    <row r="889" spans="1:17" x14ac:dyDescent="0.25">
      <c r="A889" t="s">
        <v>775</v>
      </c>
      <c r="B889" s="18">
        <v>45813</v>
      </c>
      <c r="C889" t="s">
        <v>2019</v>
      </c>
      <c r="D889" t="s">
        <v>2039</v>
      </c>
      <c r="E889" t="s">
        <v>2053</v>
      </c>
      <c r="F889" t="s">
        <v>2059</v>
      </c>
      <c r="G889">
        <v>1</v>
      </c>
      <c r="H889">
        <v>900</v>
      </c>
      <c r="I889">
        <v>1152</v>
      </c>
      <c r="J889">
        <v>13.96</v>
      </c>
      <c r="K889">
        <v>991.18</v>
      </c>
      <c r="L889">
        <v>91.18</v>
      </c>
      <c r="M889">
        <v>16081.920000000002</v>
      </c>
      <c r="N889">
        <v>900</v>
      </c>
      <c r="O889">
        <v>9.1991363828971533</v>
      </c>
      <c r="P889" t="s">
        <v>2080</v>
      </c>
      <c r="Q889" t="s">
        <v>2091</v>
      </c>
    </row>
    <row r="890" spans="1:17" x14ac:dyDescent="0.25">
      <c r="A890" t="s">
        <v>1072</v>
      </c>
      <c r="B890" s="18">
        <v>45813</v>
      </c>
      <c r="C890" t="s">
        <v>2016</v>
      </c>
      <c r="D890" t="s">
        <v>2036</v>
      </c>
      <c r="E890" t="s">
        <v>2052</v>
      </c>
      <c r="F890" t="s">
        <v>2062</v>
      </c>
      <c r="G890">
        <v>9</v>
      </c>
      <c r="H890">
        <v>900</v>
      </c>
      <c r="I890">
        <v>1170</v>
      </c>
      <c r="J890">
        <v>17.75</v>
      </c>
      <c r="K890">
        <v>8660.61</v>
      </c>
      <c r="L890">
        <v>560.61</v>
      </c>
      <c r="M890">
        <v>186907.5</v>
      </c>
      <c r="N890">
        <v>8100</v>
      </c>
      <c r="O890">
        <v>6.4731006245518499</v>
      </c>
      <c r="P890" t="s">
        <v>2080</v>
      </c>
      <c r="Q890" t="s">
        <v>2091</v>
      </c>
    </row>
    <row r="891" spans="1:17" x14ac:dyDescent="0.25">
      <c r="A891" t="s">
        <v>1087</v>
      </c>
      <c r="B891" s="18">
        <v>45813</v>
      </c>
      <c r="C891" t="s">
        <v>2013</v>
      </c>
      <c r="D891" t="s">
        <v>2033</v>
      </c>
      <c r="E891" t="s">
        <v>2053</v>
      </c>
      <c r="F891" t="s">
        <v>2061</v>
      </c>
      <c r="G891">
        <v>7</v>
      </c>
      <c r="H891">
        <v>6500</v>
      </c>
      <c r="I891">
        <v>7150</v>
      </c>
      <c r="J891">
        <v>4</v>
      </c>
      <c r="K891">
        <v>48048</v>
      </c>
      <c r="L891">
        <v>2548</v>
      </c>
      <c r="M891">
        <v>200200</v>
      </c>
      <c r="N891">
        <v>45500</v>
      </c>
      <c r="O891">
        <v>5.3030303030303028</v>
      </c>
      <c r="P891" t="s">
        <v>2080</v>
      </c>
      <c r="Q891" t="s">
        <v>2091</v>
      </c>
    </row>
    <row r="892" spans="1:17" x14ac:dyDescent="0.25">
      <c r="A892" t="s">
        <v>1403</v>
      </c>
      <c r="B892" s="18">
        <v>45813</v>
      </c>
      <c r="C892" t="s">
        <v>2017</v>
      </c>
      <c r="D892" t="s">
        <v>2037</v>
      </c>
      <c r="E892" t="s">
        <v>2055</v>
      </c>
      <c r="F892" t="s">
        <v>2060</v>
      </c>
      <c r="G892">
        <v>5</v>
      </c>
      <c r="H892">
        <v>2500</v>
      </c>
      <c r="I892">
        <v>2875</v>
      </c>
      <c r="J892">
        <v>6.1</v>
      </c>
      <c r="K892">
        <v>13497.98</v>
      </c>
      <c r="L892">
        <v>997.98</v>
      </c>
      <c r="M892">
        <v>87687.5</v>
      </c>
      <c r="N892">
        <v>12500</v>
      </c>
      <c r="O892">
        <v>7.3935507387031247</v>
      </c>
      <c r="P892" t="s">
        <v>2080</v>
      </c>
      <c r="Q892" t="s">
        <v>2091</v>
      </c>
    </row>
    <row r="893" spans="1:17" x14ac:dyDescent="0.25">
      <c r="A893" t="s">
        <v>1526</v>
      </c>
      <c r="B893" s="18">
        <v>45813</v>
      </c>
      <c r="C893" t="s">
        <v>2021</v>
      </c>
      <c r="D893" t="s">
        <v>2041</v>
      </c>
      <c r="E893" t="s">
        <v>2056</v>
      </c>
      <c r="F893" t="s">
        <v>2059</v>
      </c>
      <c r="G893">
        <v>4</v>
      </c>
      <c r="H893">
        <v>300</v>
      </c>
      <c r="I893">
        <v>405</v>
      </c>
      <c r="J893">
        <v>0</v>
      </c>
      <c r="K893">
        <v>1620</v>
      </c>
      <c r="L893">
        <v>420</v>
      </c>
      <c r="M893">
        <v>0</v>
      </c>
      <c r="N893">
        <v>1200</v>
      </c>
      <c r="O893">
        <v>25.925925925925924</v>
      </c>
      <c r="P893" t="s">
        <v>2080</v>
      </c>
      <c r="Q893" t="s">
        <v>2092</v>
      </c>
    </row>
    <row r="894" spans="1:17" x14ac:dyDescent="0.25">
      <c r="A894" t="s">
        <v>1653</v>
      </c>
      <c r="B894" s="18">
        <v>45813</v>
      </c>
      <c r="C894" t="s">
        <v>2028</v>
      </c>
      <c r="D894" t="s">
        <v>2048</v>
      </c>
      <c r="E894" t="s">
        <v>2057</v>
      </c>
      <c r="F894" t="s">
        <v>2061</v>
      </c>
      <c r="G894">
        <v>1</v>
      </c>
      <c r="H894">
        <v>80</v>
      </c>
      <c r="I894">
        <v>116</v>
      </c>
      <c r="J894">
        <v>15.96</v>
      </c>
      <c r="K894">
        <v>97.49</v>
      </c>
      <c r="L894">
        <v>17.489999999999998</v>
      </c>
      <c r="M894">
        <v>1851.3600000000001</v>
      </c>
      <c r="N894">
        <v>80</v>
      </c>
      <c r="O894">
        <v>17.940301569391732</v>
      </c>
      <c r="P894" t="s">
        <v>2080</v>
      </c>
      <c r="Q894" t="s">
        <v>2092</v>
      </c>
    </row>
    <row r="895" spans="1:17" x14ac:dyDescent="0.25">
      <c r="A895" t="s">
        <v>1707</v>
      </c>
      <c r="B895" s="18">
        <v>45813</v>
      </c>
      <c r="C895" t="s">
        <v>2019</v>
      </c>
      <c r="D895" t="s">
        <v>2039</v>
      </c>
      <c r="E895" t="s">
        <v>2053</v>
      </c>
      <c r="F895" t="s">
        <v>2061</v>
      </c>
      <c r="G895">
        <v>6</v>
      </c>
      <c r="H895">
        <v>900</v>
      </c>
      <c r="I895">
        <v>1152</v>
      </c>
      <c r="J895">
        <v>6.82</v>
      </c>
      <c r="K895">
        <v>6440.29</v>
      </c>
      <c r="L895">
        <v>1040.29</v>
      </c>
      <c r="M895">
        <v>47139.840000000004</v>
      </c>
      <c r="N895">
        <v>5400</v>
      </c>
      <c r="O895">
        <v>16.152844048948108</v>
      </c>
      <c r="P895" t="s">
        <v>2080</v>
      </c>
      <c r="Q895" t="s">
        <v>2092</v>
      </c>
    </row>
    <row r="896" spans="1:17" x14ac:dyDescent="0.25">
      <c r="A896" t="s">
        <v>908</v>
      </c>
      <c r="B896" s="18">
        <v>45814</v>
      </c>
      <c r="C896" t="s">
        <v>2030</v>
      </c>
      <c r="D896" t="s">
        <v>2050</v>
      </c>
      <c r="E896" t="s">
        <v>2058</v>
      </c>
      <c r="F896" t="s">
        <v>2061</v>
      </c>
      <c r="G896">
        <v>6</v>
      </c>
      <c r="H896">
        <v>1800</v>
      </c>
      <c r="I896">
        <v>2124</v>
      </c>
      <c r="J896">
        <v>9.2100000000000009</v>
      </c>
      <c r="K896">
        <v>11569.75</v>
      </c>
      <c r="L896">
        <v>769.75</v>
      </c>
      <c r="M896">
        <v>117372.24</v>
      </c>
      <c r="N896">
        <v>10800</v>
      </c>
      <c r="O896">
        <v>6.6531256077270466</v>
      </c>
      <c r="P896" t="s">
        <v>2080</v>
      </c>
      <c r="Q896" t="s">
        <v>2091</v>
      </c>
    </row>
    <row r="897" spans="1:17" x14ac:dyDescent="0.25">
      <c r="A897" t="s">
        <v>1096</v>
      </c>
      <c r="B897" s="18">
        <v>45814</v>
      </c>
      <c r="C897" t="s">
        <v>2017</v>
      </c>
      <c r="D897" t="s">
        <v>2037</v>
      </c>
      <c r="E897" t="s">
        <v>2055</v>
      </c>
      <c r="F897" t="s">
        <v>2061</v>
      </c>
      <c r="G897">
        <v>5</v>
      </c>
      <c r="H897">
        <v>2500</v>
      </c>
      <c r="I897">
        <v>2875</v>
      </c>
      <c r="J897">
        <v>10.93</v>
      </c>
      <c r="K897">
        <v>12804.33</v>
      </c>
      <c r="L897">
        <v>304.33</v>
      </c>
      <c r="M897">
        <v>157118.75</v>
      </c>
      <c r="N897">
        <v>12500</v>
      </c>
      <c r="O897">
        <v>2.3767741068841555</v>
      </c>
      <c r="P897" t="s">
        <v>2080</v>
      </c>
      <c r="Q897" t="s">
        <v>2091</v>
      </c>
    </row>
    <row r="898" spans="1:17" x14ac:dyDescent="0.25">
      <c r="A898" t="s">
        <v>1402</v>
      </c>
      <c r="B898" s="18">
        <v>45814</v>
      </c>
      <c r="C898" t="s">
        <v>2022</v>
      </c>
      <c r="D898" t="s">
        <v>2042</v>
      </c>
      <c r="E898" t="s">
        <v>2053</v>
      </c>
      <c r="F898" t="s">
        <v>2059</v>
      </c>
      <c r="G898">
        <v>4</v>
      </c>
      <c r="H898">
        <v>8500</v>
      </c>
      <c r="I898">
        <v>9520</v>
      </c>
      <c r="J898">
        <v>4</v>
      </c>
      <c r="K898">
        <v>36556.800000000003</v>
      </c>
      <c r="L898">
        <v>2556.8000000000002</v>
      </c>
      <c r="M898">
        <v>152320</v>
      </c>
      <c r="N898">
        <v>34000</v>
      </c>
      <c r="O898">
        <v>6.9940476190476195</v>
      </c>
      <c r="P898" t="s">
        <v>2080</v>
      </c>
      <c r="Q898" t="s">
        <v>2091</v>
      </c>
    </row>
    <row r="899" spans="1:17" x14ac:dyDescent="0.25">
      <c r="A899" t="s">
        <v>1568</v>
      </c>
      <c r="B899" s="18">
        <v>45814</v>
      </c>
      <c r="C899" t="s">
        <v>2016</v>
      </c>
      <c r="D899" t="s">
        <v>2036</v>
      </c>
      <c r="E899" t="s">
        <v>2052</v>
      </c>
      <c r="F899" t="s">
        <v>2059</v>
      </c>
      <c r="G899">
        <v>2</v>
      </c>
      <c r="H899">
        <v>900</v>
      </c>
      <c r="I899">
        <v>1170</v>
      </c>
      <c r="J899">
        <v>23.2</v>
      </c>
      <c r="K899">
        <v>1797.07</v>
      </c>
      <c r="L899">
        <v>-2.93</v>
      </c>
      <c r="M899">
        <v>54288</v>
      </c>
      <c r="N899">
        <v>1800</v>
      </c>
      <c r="O899">
        <v>-0.16304317583622233</v>
      </c>
      <c r="P899" t="s">
        <v>2080</v>
      </c>
      <c r="Q899" t="s">
        <v>2093</v>
      </c>
    </row>
    <row r="900" spans="1:17" x14ac:dyDescent="0.25">
      <c r="A900" t="s">
        <v>24</v>
      </c>
      <c r="B900" s="18">
        <v>45815</v>
      </c>
      <c r="C900" t="s">
        <v>2020</v>
      </c>
      <c r="D900" t="s">
        <v>2040</v>
      </c>
      <c r="E900" t="s">
        <v>2053</v>
      </c>
      <c r="F900" t="s">
        <v>2061</v>
      </c>
      <c r="G900">
        <v>1</v>
      </c>
      <c r="H900">
        <v>350</v>
      </c>
      <c r="I900">
        <v>455</v>
      </c>
      <c r="J900">
        <v>4.0999999999999996</v>
      </c>
      <c r="K900">
        <v>436.33</v>
      </c>
      <c r="L900">
        <v>86.33</v>
      </c>
      <c r="M900">
        <v>1865.4999999999998</v>
      </c>
      <c r="N900">
        <v>350</v>
      </c>
      <c r="O900">
        <v>19.785483464350378</v>
      </c>
      <c r="P900" t="s">
        <v>2080</v>
      </c>
      <c r="Q900" t="s">
        <v>2092</v>
      </c>
    </row>
    <row r="901" spans="1:17" x14ac:dyDescent="0.25">
      <c r="A901" t="s">
        <v>84</v>
      </c>
      <c r="B901" s="18">
        <v>45815</v>
      </c>
      <c r="C901" t="s">
        <v>2028</v>
      </c>
      <c r="D901" t="s">
        <v>2048</v>
      </c>
      <c r="E901" t="s">
        <v>2057</v>
      </c>
      <c r="F901" t="s">
        <v>2060</v>
      </c>
      <c r="G901">
        <v>1</v>
      </c>
      <c r="H901">
        <v>80</v>
      </c>
      <c r="I901">
        <v>116</v>
      </c>
      <c r="J901">
        <v>5.68</v>
      </c>
      <c r="K901">
        <v>109.42</v>
      </c>
      <c r="L901">
        <v>29.42</v>
      </c>
      <c r="M901">
        <v>658.88</v>
      </c>
      <c r="N901">
        <v>80</v>
      </c>
      <c r="O901">
        <v>26.887223542314022</v>
      </c>
      <c r="P901" t="s">
        <v>2080</v>
      </c>
      <c r="Q901" t="s">
        <v>2092</v>
      </c>
    </row>
    <row r="902" spans="1:17" x14ac:dyDescent="0.25">
      <c r="A902" t="s">
        <v>86</v>
      </c>
      <c r="B902" s="18">
        <v>45815</v>
      </c>
      <c r="C902" t="s">
        <v>2031</v>
      </c>
      <c r="D902" t="s">
        <v>2051</v>
      </c>
      <c r="E902" t="s">
        <v>2058</v>
      </c>
      <c r="F902" t="s">
        <v>2061</v>
      </c>
      <c r="G902">
        <v>4</v>
      </c>
      <c r="H902">
        <v>3200</v>
      </c>
      <c r="I902">
        <v>3840</v>
      </c>
      <c r="J902">
        <v>16.7</v>
      </c>
      <c r="K902">
        <v>12794.57</v>
      </c>
      <c r="L902">
        <v>-5.43</v>
      </c>
      <c r="M902">
        <v>256512</v>
      </c>
      <c r="N902">
        <v>12800</v>
      </c>
      <c r="O902">
        <v>-4.243987879233143E-2</v>
      </c>
      <c r="P902" t="s">
        <v>2080</v>
      </c>
      <c r="Q902" t="s">
        <v>2093</v>
      </c>
    </row>
    <row r="903" spans="1:17" x14ac:dyDescent="0.25">
      <c r="A903" t="s">
        <v>449</v>
      </c>
      <c r="B903" s="18">
        <v>45815</v>
      </c>
      <c r="C903" t="s">
        <v>2025</v>
      </c>
      <c r="D903" t="s">
        <v>2045</v>
      </c>
      <c r="E903" t="s">
        <v>2057</v>
      </c>
      <c r="F903" t="s">
        <v>2062</v>
      </c>
      <c r="G903">
        <v>2</v>
      </c>
      <c r="H903">
        <v>45</v>
      </c>
      <c r="I903">
        <v>63</v>
      </c>
      <c r="J903">
        <v>6.2</v>
      </c>
      <c r="K903">
        <v>118.18</v>
      </c>
      <c r="L903">
        <v>28.18</v>
      </c>
      <c r="M903">
        <v>781.2</v>
      </c>
      <c r="N903">
        <v>90</v>
      </c>
      <c r="O903">
        <v>23.844982230495852</v>
      </c>
      <c r="P903" t="s">
        <v>2080</v>
      </c>
      <c r="Q903" t="s">
        <v>2092</v>
      </c>
    </row>
    <row r="904" spans="1:17" x14ac:dyDescent="0.25">
      <c r="A904" t="s">
        <v>715</v>
      </c>
      <c r="B904" s="18">
        <v>45815</v>
      </c>
      <c r="C904" t="s">
        <v>2019</v>
      </c>
      <c r="D904" t="s">
        <v>2039</v>
      </c>
      <c r="E904" t="s">
        <v>2053</v>
      </c>
      <c r="F904" t="s">
        <v>2059</v>
      </c>
      <c r="G904">
        <v>4</v>
      </c>
      <c r="H904">
        <v>900</v>
      </c>
      <c r="I904">
        <v>1152</v>
      </c>
      <c r="J904">
        <v>8.73</v>
      </c>
      <c r="K904">
        <v>4205.79</v>
      </c>
      <c r="L904">
        <v>605.79</v>
      </c>
      <c r="M904">
        <v>40227.840000000004</v>
      </c>
      <c r="N904">
        <v>3600</v>
      </c>
      <c r="O904">
        <v>14.403714878774259</v>
      </c>
      <c r="P904" t="s">
        <v>2080</v>
      </c>
      <c r="Q904" t="s">
        <v>2092</v>
      </c>
    </row>
    <row r="905" spans="1:17" x14ac:dyDescent="0.25">
      <c r="A905" t="s">
        <v>872</v>
      </c>
      <c r="B905" s="18">
        <v>45815</v>
      </c>
      <c r="C905" t="s">
        <v>2015</v>
      </c>
      <c r="D905" t="s">
        <v>2035</v>
      </c>
      <c r="E905" t="s">
        <v>2054</v>
      </c>
      <c r="F905" t="s">
        <v>2061</v>
      </c>
      <c r="G905">
        <v>7</v>
      </c>
      <c r="H905">
        <v>900</v>
      </c>
      <c r="I905">
        <v>1170</v>
      </c>
      <c r="J905">
        <v>6.65</v>
      </c>
      <c r="K905">
        <v>7645.6</v>
      </c>
      <c r="L905">
        <v>1345.6</v>
      </c>
      <c r="M905">
        <v>54463.5</v>
      </c>
      <c r="N905">
        <v>6300</v>
      </c>
      <c r="O905">
        <v>17.599665166893374</v>
      </c>
      <c r="P905" t="s">
        <v>2080</v>
      </c>
      <c r="Q905" t="s">
        <v>2092</v>
      </c>
    </row>
    <row r="906" spans="1:17" x14ac:dyDescent="0.25">
      <c r="A906" t="s">
        <v>1002</v>
      </c>
      <c r="B906" s="18">
        <v>45815</v>
      </c>
      <c r="C906" t="s">
        <v>2028</v>
      </c>
      <c r="D906" t="s">
        <v>2048</v>
      </c>
      <c r="E906" t="s">
        <v>2057</v>
      </c>
      <c r="F906" t="s">
        <v>2061</v>
      </c>
      <c r="G906">
        <v>1</v>
      </c>
      <c r="H906">
        <v>80</v>
      </c>
      <c r="I906">
        <v>116</v>
      </c>
      <c r="J906">
        <v>12.05</v>
      </c>
      <c r="K906">
        <v>102.02</v>
      </c>
      <c r="L906">
        <v>22.02</v>
      </c>
      <c r="M906">
        <v>1397.8000000000002</v>
      </c>
      <c r="N906">
        <v>80</v>
      </c>
      <c r="O906">
        <v>21.584003136639875</v>
      </c>
      <c r="P906" t="s">
        <v>2080</v>
      </c>
      <c r="Q906" t="s">
        <v>2092</v>
      </c>
    </row>
    <row r="907" spans="1:17" x14ac:dyDescent="0.25">
      <c r="A907" t="s">
        <v>1346</v>
      </c>
      <c r="B907" s="18">
        <v>45815</v>
      </c>
      <c r="C907" t="s">
        <v>2019</v>
      </c>
      <c r="D907" t="s">
        <v>2039</v>
      </c>
      <c r="E907" t="s">
        <v>2053</v>
      </c>
      <c r="F907" t="s">
        <v>2060</v>
      </c>
      <c r="G907">
        <v>1</v>
      </c>
      <c r="H907">
        <v>900</v>
      </c>
      <c r="I907">
        <v>1152</v>
      </c>
      <c r="J907">
        <v>15.2</v>
      </c>
      <c r="K907">
        <v>976.95</v>
      </c>
      <c r="L907">
        <v>76.95</v>
      </c>
      <c r="M907">
        <v>17510.399999999998</v>
      </c>
      <c r="N907">
        <v>900</v>
      </c>
      <c r="O907">
        <v>7.8765545831414094</v>
      </c>
      <c r="P907" t="s">
        <v>2080</v>
      </c>
      <c r="Q907" t="s">
        <v>2091</v>
      </c>
    </row>
    <row r="908" spans="1:17" x14ac:dyDescent="0.25">
      <c r="A908" t="s">
        <v>451</v>
      </c>
      <c r="B908" s="18">
        <v>45816</v>
      </c>
      <c r="C908" t="s">
        <v>2017</v>
      </c>
      <c r="D908" t="s">
        <v>2037</v>
      </c>
      <c r="E908" t="s">
        <v>2055</v>
      </c>
      <c r="F908" t="s">
        <v>2060</v>
      </c>
      <c r="G908">
        <v>1</v>
      </c>
      <c r="H908">
        <v>2500</v>
      </c>
      <c r="I908">
        <v>2875</v>
      </c>
      <c r="J908">
        <v>8.5399999999999991</v>
      </c>
      <c r="K908">
        <v>2629.54</v>
      </c>
      <c r="L908">
        <v>129.54</v>
      </c>
      <c r="M908">
        <v>24552.499999999996</v>
      </c>
      <c r="N908">
        <v>2500</v>
      </c>
      <c r="O908">
        <v>4.9263369258501486</v>
      </c>
      <c r="P908" t="s">
        <v>2080</v>
      </c>
      <c r="Q908" t="s">
        <v>2091</v>
      </c>
    </row>
    <row r="909" spans="1:17" x14ac:dyDescent="0.25">
      <c r="A909" t="s">
        <v>1611</v>
      </c>
      <c r="B909" s="18">
        <v>45816</v>
      </c>
      <c r="C909" t="s">
        <v>2022</v>
      </c>
      <c r="D909" t="s">
        <v>2042</v>
      </c>
      <c r="E909" t="s">
        <v>2053</v>
      </c>
      <c r="F909" t="s">
        <v>2060</v>
      </c>
      <c r="G909">
        <v>10</v>
      </c>
      <c r="H909">
        <v>8500</v>
      </c>
      <c r="I909">
        <v>9520</v>
      </c>
      <c r="J909">
        <v>8.83</v>
      </c>
      <c r="K909">
        <v>86790.02</v>
      </c>
      <c r="L909">
        <v>1790.02</v>
      </c>
      <c r="M909">
        <v>840616</v>
      </c>
      <c r="N909">
        <v>85000</v>
      </c>
      <c r="O909">
        <v>2.0624721598174536</v>
      </c>
      <c r="P909" t="s">
        <v>2080</v>
      </c>
      <c r="Q909" t="s">
        <v>2091</v>
      </c>
    </row>
    <row r="910" spans="1:17" x14ac:dyDescent="0.25">
      <c r="A910" t="s">
        <v>132</v>
      </c>
      <c r="B910" s="18">
        <v>45817</v>
      </c>
      <c r="C910" t="s">
        <v>2012</v>
      </c>
      <c r="D910" t="s">
        <v>2032</v>
      </c>
      <c r="E910" t="s">
        <v>2052</v>
      </c>
      <c r="F910" t="s">
        <v>2061</v>
      </c>
      <c r="G910">
        <v>4</v>
      </c>
      <c r="H910">
        <v>6500</v>
      </c>
      <c r="I910">
        <v>8125</v>
      </c>
      <c r="J910">
        <v>30.66</v>
      </c>
      <c r="K910">
        <v>22535.07</v>
      </c>
      <c r="L910">
        <v>-3464.93</v>
      </c>
      <c r="M910">
        <v>996450</v>
      </c>
      <c r="N910">
        <v>26000</v>
      </c>
      <c r="O910">
        <v>-15.375723261565197</v>
      </c>
      <c r="P910" t="s">
        <v>2080</v>
      </c>
      <c r="Q910" t="s">
        <v>2093</v>
      </c>
    </row>
    <row r="911" spans="1:17" x14ac:dyDescent="0.25">
      <c r="A911" t="s">
        <v>200</v>
      </c>
      <c r="B911" s="18">
        <v>45817</v>
      </c>
      <c r="C911" t="s">
        <v>2022</v>
      </c>
      <c r="D911" t="s">
        <v>2042</v>
      </c>
      <c r="E911" t="s">
        <v>2053</v>
      </c>
      <c r="F911" t="s">
        <v>2062</v>
      </c>
      <c r="G911">
        <v>10</v>
      </c>
      <c r="H911">
        <v>8500</v>
      </c>
      <c r="I911">
        <v>9520</v>
      </c>
      <c r="J911">
        <v>4</v>
      </c>
      <c r="K911">
        <v>91392</v>
      </c>
      <c r="L911">
        <v>6392</v>
      </c>
      <c r="M911">
        <v>380800</v>
      </c>
      <c r="N911">
        <v>85000</v>
      </c>
      <c r="O911">
        <v>6.9940476190476195</v>
      </c>
      <c r="P911" t="s">
        <v>2080</v>
      </c>
      <c r="Q911" t="s">
        <v>2091</v>
      </c>
    </row>
    <row r="912" spans="1:17" x14ac:dyDescent="0.25">
      <c r="A912" t="s">
        <v>304</v>
      </c>
      <c r="B912" s="18">
        <v>45817</v>
      </c>
      <c r="C912" t="s">
        <v>2024</v>
      </c>
      <c r="D912" t="s">
        <v>2044</v>
      </c>
      <c r="E912" t="s">
        <v>2055</v>
      </c>
      <c r="F912" t="s">
        <v>2061</v>
      </c>
      <c r="G912">
        <v>3</v>
      </c>
      <c r="H912">
        <v>180</v>
      </c>
      <c r="I912">
        <v>243</v>
      </c>
      <c r="J912">
        <v>6.17</v>
      </c>
      <c r="K912">
        <v>684.03</v>
      </c>
      <c r="L912">
        <v>144.03</v>
      </c>
      <c r="M912">
        <v>4497.93</v>
      </c>
      <c r="N912">
        <v>540</v>
      </c>
      <c r="O912">
        <v>21.056094030963553</v>
      </c>
      <c r="P912" t="s">
        <v>2080</v>
      </c>
      <c r="Q912" t="s">
        <v>2092</v>
      </c>
    </row>
    <row r="913" spans="1:17" x14ac:dyDescent="0.25">
      <c r="A913" t="s">
        <v>574</v>
      </c>
      <c r="B913" s="18">
        <v>45817</v>
      </c>
      <c r="C913" t="s">
        <v>2029</v>
      </c>
      <c r="D913" t="s">
        <v>2049</v>
      </c>
      <c r="E913" t="s">
        <v>2055</v>
      </c>
      <c r="F913" t="s">
        <v>2059</v>
      </c>
      <c r="G913">
        <v>8</v>
      </c>
      <c r="H913">
        <v>1200</v>
      </c>
      <c r="I913">
        <v>1464</v>
      </c>
      <c r="J913">
        <v>6.68</v>
      </c>
      <c r="K913">
        <v>10929.9</v>
      </c>
      <c r="L913">
        <v>1329.9</v>
      </c>
      <c r="M913">
        <v>78236.160000000003</v>
      </c>
      <c r="N913">
        <v>9600</v>
      </c>
      <c r="O913">
        <v>12.167540416655232</v>
      </c>
      <c r="P913" t="s">
        <v>2080</v>
      </c>
      <c r="Q913" t="s">
        <v>2092</v>
      </c>
    </row>
    <row r="914" spans="1:17" x14ac:dyDescent="0.25">
      <c r="A914" t="s">
        <v>1081</v>
      </c>
      <c r="B914" s="18">
        <v>45817</v>
      </c>
      <c r="C914" t="s">
        <v>2019</v>
      </c>
      <c r="D914" t="s">
        <v>2039</v>
      </c>
      <c r="E914" t="s">
        <v>2053</v>
      </c>
      <c r="F914" t="s">
        <v>2059</v>
      </c>
      <c r="G914">
        <v>4</v>
      </c>
      <c r="H914">
        <v>900</v>
      </c>
      <c r="I914">
        <v>1152</v>
      </c>
      <c r="J914">
        <v>2.93</v>
      </c>
      <c r="K914">
        <v>4473.1899999999996</v>
      </c>
      <c r="L914">
        <v>873.19</v>
      </c>
      <c r="M914">
        <v>13501.44</v>
      </c>
      <c r="N914">
        <v>3600</v>
      </c>
      <c r="O914">
        <v>19.520521149336385</v>
      </c>
      <c r="P914" t="s">
        <v>2080</v>
      </c>
      <c r="Q914" t="s">
        <v>2092</v>
      </c>
    </row>
    <row r="915" spans="1:17" x14ac:dyDescent="0.25">
      <c r="A915" t="s">
        <v>1364</v>
      </c>
      <c r="B915" s="18">
        <v>45817</v>
      </c>
      <c r="C915" t="s">
        <v>2015</v>
      </c>
      <c r="D915" t="s">
        <v>2035</v>
      </c>
      <c r="E915" t="s">
        <v>2054</v>
      </c>
      <c r="F915" t="s">
        <v>2059</v>
      </c>
      <c r="G915">
        <v>8</v>
      </c>
      <c r="H915">
        <v>900</v>
      </c>
      <c r="I915">
        <v>1170</v>
      </c>
      <c r="J915">
        <v>6.96</v>
      </c>
      <c r="K915">
        <v>8708.36</v>
      </c>
      <c r="L915">
        <v>1508.36</v>
      </c>
      <c r="M915">
        <v>65145.599999999999</v>
      </c>
      <c r="N915">
        <v>7200</v>
      </c>
      <c r="O915">
        <v>17.320827342921053</v>
      </c>
      <c r="P915" t="s">
        <v>2080</v>
      </c>
      <c r="Q915" t="s">
        <v>2092</v>
      </c>
    </row>
    <row r="916" spans="1:17" x14ac:dyDescent="0.25">
      <c r="A916" t="s">
        <v>1557</v>
      </c>
      <c r="B916" s="18">
        <v>45817</v>
      </c>
      <c r="C916" t="s">
        <v>2015</v>
      </c>
      <c r="D916" t="s">
        <v>2035</v>
      </c>
      <c r="E916" t="s">
        <v>2054</v>
      </c>
      <c r="F916" t="s">
        <v>2062</v>
      </c>
      <c r="G916">
        <v>1</v>
      </c>
      <c r="H916">
        <v>900</v>
      </c>
      <c r="I916">
        <v>1170</v>
      </c>
      <c r="J916">
        <v>14.99</v>
      </c>
      <c r="K916">
        <v>994.59</v>
      </c>
      <c r="L916">
        <v>94.59</v>
      </c>
      <c r="M916">
        <v>17538.3</v>
      </c>
      <c r="N916">
        <v>900</v>
      </c>
      <c r="O916">
        <v>9.5104515428468019</v>
      </c>
      <c r="P916" t="s">
        <v>2080</v>
      </c>
      <c r="Q916" t="s">
        <v>2091</v>
      </c>
    </row>
    <row r="917" spans="1:17" x14ac:dyDescent="0.25">
      <c r="A917" t="s">
        <v>1732</v>
      </c>
      <c r="B917" s="18">
        <v>45817</v>
      </c>
      <c r="C917" t="s">
        <v>2014</v>
      </c>
      <c r="D917" t="s">
        <v>2034</v>
      </c>
      <c r="E917" t="s">
        <v>2052</v>
      </c>
      <c r="F917" t="s">
        <v>2062</v>
      </c>
      <c r="G917">
        <v>8</v>
      </c>
      <c r="H917">
        <v>4500</v>
      </c>
      <c r="I917">
        <v>5220</v>
      </c>
      <c r="J917">
        <v>26.14</v>
      </c>
      <c r="K917">
        <v>30845.46</v>
      </c>
      <c r="L917">
        <v>-5154.54</v>
      </c>
      <c r="M917">
        <v>1091606.4000000001</v>
      </c>
      <c r="N917">
        <v>36000</v>
      </c>
      <c r="O917">
        <v>-16.710854693040726</v>
      </c>
      <c r="P917" t="s">
        <v>2080</v>
      </c>
      <c r="Q917" t="s">
        <v>2093</v>
      </c>
    </row>
    <row r="918" spans="1:17" x14ac:dyDescent="0.25">
      <c r="A918" t="s">
        <v>50</v>
      </c>
      <c r="B918" s="18">
        <v>45818</v>
      </c>
      <c r="C918" t="s">
        <v>2020</v>
      </c>
      <c r="D918" t="s">
        <v>2040</v>
      </c>
      <c r="E918" t="s">
        <v>2053</v>
      </c>
      <c r="F918" t="s">
        <v>2061</v>
      </c>
      <c r="G918">
        <v>2</v>
      </c>
      <c r="H918">
        <v>350</v>
      </c>
      <c r="I918">
        <v>455</v>
      </c>
      <c r="J918">
        <v>11.98</v>
      </c>
      <c r="K918">
        <v>800.97</v>
      </c>
      <c r="L918">
        <v>100.97</v>
      </c>
      <c r="M918">
        <v>10901.800000000001</v>
      </c>
      <c r="N918">
        <v>700</v>
      </c>
      <c r="O918">
        <v>12.605965267113625</v>
      </c>
      <c r="P918" t="s">
        <v>2080</v>
      </c>
      <c r="Q918" t="s">
        <v>2092</v>
      </c>
    </row>
    <row r="919" spans="1:17" x14ac:dyDescent="0.25">
      <c r="A919" t="s">
        <v>482</v>
      </c>
      <c r="B919" s="18">
        <v>45818</v>
      </c>
      <c r="C919" t="s">
        <v>2017</v>
      </c>
      <c r="D919" t="s">
        <v>2037</v>
      </c>
      <c r="E919" t="s">
        <v>2055</v>
      </c>
      <c r="F919" t="s">
        <v>2062</v>
      </c>
      <c r="G919">
        <v>3</v>
      </c>
      <c r="H919">
        <v>2500</v>
      </c>
      <c r="I919">
        <v>2875</v>
      </c>
      <c r="J919">
        <v>7.8</v>
      </c>
      <c r="K919">
        <v>7951.92</v>
      </c>
      <c r="L919">
        <v>451.92</v>
      </c>
      <c r="M919">
        <v>67275</v>
      </c>
      <c r="N919">
        <v>7500</v>
      </c>
      <c r="O919">
        <v>5.6831557661545888</v>
      </c>
      <c r="P919" t="s">
        <v>2080</v>
      </c>
      <c r="Q919" t="s">
        <v>2091</v>
      </c>
    </row>
    <row r="920" spans="1:17" x14ac:dyDescent="0.25">
      <c r="A920" t="s">
        <v>594</v>
      </c>
      <c r="B920" s="18">
        <v>45818</v>
      </c>
      <c r="C920" t="s">
        <v>2027</v>
      </c>
      <c r="D920" t="s">
        <v>2047</v>
      </c>
      <c r="E920" t="s">
        <v>2053</v>
      </c>
      <c r="F920" t="s">
        <v>2059</v>
      </c>
      <c r="G920">
        <v>4</v>
      </c>
      <c r="H920">
        <v>1100</v>
      </c>
      <c r="I920">
        <v>1298</v>
      </c>
      <c r="J920">
        <v>23.71</v>
      </c>
      <c r="K920">
        <v>3960.95</v>
      </c>
      <c r="L920">
        <v>-439.05</v>
      </c>
      <c r="M920">
        <v>123102.32</v>
      </c>
      <c r="N920">
        <v>4400</v>
      </c>
      <c r="O920">
        <v>-11.084462060869237</v>
      </c>
      <c r="P920" t="s">
        <v>2080</v>
      </c>
      <c r="Q920" t="s">
        <v>2093</v>
      </c>
    </row>
    <row r="921" spans="1:17" x14ac:dyDescent="0.25">
      <c r="A921" t="s">
        <v>848</v>
      </c>
      <c r="B921" s="18">
        <v>45818</v>
      </c>
      <c r="C921" t="s">
        <v>2029</v>
      </c>
      <c r="D921" t="s">
        <v>2049</v>
      </c>
      <c r="E921" t="s">
        <v>2055</v>
      </c>
      <c r="F921" t="s">
        <v>2060</v>
      </c>
      <c r="G921">
        <v>10</v>
      </c>
      <c r="H921">
        <v>1200</v>
      </c>
      <c r="I921">
        <v>1464</v>
      </c>
      <c r="J921">
        <v>7.76</v>
      </c>
      <c r="K921">
        <v>13504.23</v>
      </c>
      <c r="L921">
        <v>1504.23</v>
      </c>
      <c r="M921">
        <v>113606.39999999999</v>
      </c>
      <c r="N921">
        <v>12000</v>
      </c>
      <c r="O921">
        <v>11.13895423878296</v>
      </c>
      <c r="P921" t="s">
        <v>2080</v>
      </c>
      <c r="Q921" t="s">
        <v>2092</v>
      </c>
    </row>
    <row r="922" spans="1:17" x14ac:dyDescent="0.25">
      <c r="A922" t="s">
        <v>1010</v>
      </c>
      <c r="B922" s="18">
        <v>45818</v>
      </c>
      <c r="C922" t="s">
        <v>2022</v>
      </c>
      <c r="D922" t="s">
        <v>2042</v>
      </c>
      <c r="E922" t="s">
        <v>2053</v>
      </c>
      <c r="F922" t="s">
        <v>2061</v>
      </c>
      <c r="G922">
        <v>8</v>
      </c>
      <c r="H922">
        <v>8500</v>
      </c>
      <c r="I922">
        <v>9520</v>
      </c>
      <c r="J922">
        <v>14.45</v>
      </c>
      <c r="K922">
        <v>65157.19</v>
      </c>
      <c r="L922">
        <v>-2842.81</v>
      </c>
      <c r="M922">
        <v>1100512</v>
      </c>
      <c r="N922">
        <v>68000</v>
      </c>
      <c r="O922">
        <v>-4.3630027630104973</v>
      </c>
      <c r="P922" t="s">
        <v>2080</v>
      </c>
      <c r="Q922" t="s">
        <v>2093</v>
      </c>
    </row>
    <row r="923" spans="1:17" x14ac:dyDescent="0.25">
      <c r="A923" t="s">
        <v>1622</v>
      </c>
      <c r="B923" s="18">
        <v>45818</v>
      </c>
      <c r="C923" t="s">
        <v>2017</v>
      </c>
      <c r="D923" t="s">
        <v>2037</v>
      </c>
      <c r="E923" t="s">
        <v>2055</v>
      </c>
      <c r="F923" t="s">
        <v>2060</v>
      </c>
      <c r="G923">
        <v>8</v>
      </c>
      <c r="H923">
        <v>2500</v>
      </c>
      <c r="I923">
        <v>2875</v>
      </c>
      <c r="J923">
        <v>12.16</v>
      </c>
      <c r="K923">
        <v>20203.240000000002</v>
      </c>
      <c r="L923">
        <v>203.24</v>
      </c>
      <c r="M923">
        <v>279680</v>
      </c>
      <c r="N923">
        <v>20000</v>
      </c>
      <c r="O923">
        <v>1.0059772590930958</v>
      </c>
      <c r="P923" t="s">
        <v>2080</v>
      </c>
      <c r="Q923" t="s">
        <v>2091</v>
      </c>
    </row>
    <row r="924" spans="1:17" x14ac:dyDescent="0.25">
      <c r="A924" t="s">
        <v>1645</v>
      </c>
      <c r="B924" s="18">
        <v>45818</v>
      </c>
      <c r="C924" t="s">
        <v>2013</v>
      </c>
      <c r="D924" t="s">
        <v>2033</v>
      </c>
      <c r="E924" t="s">
        <v>2053</v>
      </c>
      <c r="F924" t="s">
        <v>2059</v>
      </c>
      <c r="G924">
        <v>1</v>
      </c>
      <c r="H924">
        <v>6500</v>
      </c>
      <c r="I924">
        <v>7150</v>
      </c>
      <c r="J924">
        <v>20.95</v>
      </c>
      <c r="K924">
        <v>5651.98</v>
      </c>
      <c r="L924">
        <v>-848.02</v>
      </c>
      <c r="M924">
        <v>149792.5</v>
      </c>
      <c r="N924">
        <v>6500</v>
      </c>
      <c r="O924">
        <v>-15.003945519977071</v>
      </c>
      <c r="P924" t="s">
        <v>2080</v>
      </c>
      <c r="Q924" t="s">
        <v>2093</v>
      </c>
    </row>
    <row r="925" spans="1:17" x14ac:dyDescent="0.25">
      <c r="A925" t="s">
        <v>448</v>
      </c>
      <c r="B925" s="18">
        <v>45819</v>
      </c>
      <c r="C925" t="s">
        <v>2016</v>
      </c>
      <c r="D925" t="s">
        <v>2036</v>
      </c>
      <c r="E925" t="s">
        <v>2052</v>
      </c>
      <c r="F925" t="s">
        <v>2060</v>
      </c>
      <c r="G925">
        <v>2</v>
      </c>
      <c r="H925">
        <v>900</v>
      </c>
      <c r="I925">
        <v>1170</v>
      </c>
      <c r="J925">
        <v>7.33</v>
      </c>
      <c r="K925">
        <v>2168.37</v>
      </c>
      <c r="L925">
        <v>368.37</v>
      </c>
      <c r="M925">
        <v>17152.2</v>
      </c>
      <c r="N925">
        <v>1800</v>
      </c>
      <c r="O925">
        <v>16.988336861329017</v>
      </c>
      <c r="P925" t="s">
        <v>2080</v>
      </c>
      <c r="Q925" t="s">
        <v>2092</v>
      </c>
    </row>
    <row r="926" spans="1:17" x14ac:dyDescent="0.25">
      <c r="A926" t="s">
        <v>717</v>
      </c>
      <c r="B926" s="18">
        <v>45819</v>
      </c>
      <c r="C926" t="s">
        <v>2017</v>
      </c>
      <c r="D926" t="s">
        <v>2037</v>
      </c>
      <c r="E926" t="s">
        <v>2055</v>
      </c>
      <c r="F926" t="s">
        <v>2062</v>
      </c>
      <c r="G926">
        <v>1</v>
      </c>
      <c r="H926">
        <v>2500</v>
      </c>
      <c r="I926">
        <v>2875</v>
      </c>
      <c r="J926">
        <v>17.739999999999998</v>
      </c>
      <c r="K926">
        <v>2365</v>
      </c>
      <c r="L926">
        <v>-135</v>
      </c>
      <c r="M926">
        <v>51002.499999999993</v>
      </c>
      <c r="N926">
        <v>2500</v>
      </c>
      <c r="O926">
        <v>-5.7082452431289639</v>
      </c>
      <c r="P926" t="s">
        <v>2080</v>
      </c>
      <c r="Q926" t="s">
        <v>2093</v>
      </c>
    </row>
    <row r="927" spans="1:17" x14ac:dyDescent="0.25">
      <c r="A927" t="s">
        <v>919</v>
      </c>
      <c r="B927" s="18">
        <v>45819</v>
      </c>
      <c r="C927" t="s">
        <v>2016</v>
      </c>
      <c r="D927" t="s">
        <v>2036</v>
      </c>
      <c r="E927" t="s">
        <v>2052</v>
      </c>
      <c r="F927" t="s">
        <v>2062</v>
      </c>
      <c r="G927">
        <v>7</v>
      </c>
      <c r="H927">
        <v>900</v>
      </c>
      <c r="I927">
        <v>1170</v>
      </c>
      <c r="J927">
        <v>12.54</v>
      </c>
      <c r="K927">
        <v>7163.15</v>
      </c>
      <c r="L927">
        <v>863.15</v>
      </c>
      <c r="M927">
        <v>102702.59999999999</v>
      </c>
      <c r="N927">
        <v>6300</v>
      </c>
      <c r="O927">
        <v>12.04986632975716</v>
      </c>
      <c r="P927" t="s">
        <v>2080</v>
      </c>
      <c r="Q927" t="s">
        <v>2092</v>
      </c>
    </row>
    <row r="928" spans="1:17" x14ac:dyDescent="0.25">
      <c r="A928" t="s">
        <v>1150</v>
      </c>
      <c r="B928" s="18">
        <v>45819</v>
      </c>
      <c r="C928" t="s">
        <v>2027</v>
      </c>
      <c r="D928" t="s">
        <v>2047</v>
      </c>
      <c r="E928" t="s">
        <v>2053</v>
      </c>
      <c r="F928" t="s">
        <v>2061</v>
      </c>
      <c r="G928">
        <v>5</v>
      </c>
      <c r="H928">
        <v>1100</v>
      </c>
      <c r="I928">
        <v>1298</v>
      </c>
      <c r="J928">
        <v>20.63</v>
      </c>
      <c r="K928">
        <v>5151.09</v>
      </c>
      <c r="L928">
        <v>-348.91</v>
      </c>
      <c r="M928">
        <v>133888.69999999998</v>
      </c>
      <c r="N928">
        <v>5500</v>
      </c>
      <c r="O928">
        <v>-6.7735178379721583</v>
      </c>
      <c r="P928" t="s">
        <v>2080</v>
      </c>
      <c r="Q928" t="s">
        <v>2093</v>
      </c>
    </row>
    <row r="929" spans="1:17" x14ac:dyDescent="0.25">
      <c r="A929" t="s">
        <v>1324</v>
      </c>
      <c r="B929" s="18">
        <v>45819</v>
      </c>
      <c r="C929" t="s">
        <v>2031</v>
      </c>
      <c r="D929" t="s">
        <v>2051</v>
      </c>
      <c r="E929" t="s">
        <v>2058</v>
      </c>
      <c r="F929" t="s">
        <v>2060</v>
      </c>
      <c r="G929">
        <v>2</v>
      </c>
      <c r="H929">
        <v>3200</v>
      </c>
      <c r="I929">
        <v>3840</v>
      </c>
      <c r="J929">
        <v>14.64</v>
      </c>
      <c r="K929">
        <v>6555.43</v>
      </c>
      <c r="L929">
        <v>155.43</v>
      </c>
      <c r="M929">
        <v>112435.20000000001</v>
      </c>
      <c r="N929">
        <v>6400</v>
      </c>
      <c r="O929">
        <v>2.3710115125933768</v>
      </c>
      <c r="P929" t="s">
        <v>2080</v>
      </c>
      <c r="Q929" t="s">
        <v>2091</v>
      </c>
    </row>
    <row r="930" spans="1:17" x14ac:dyDescent="0.25">
      <c r="A930" t="s">
        <v>1410</v>
      </c>
      <c r="B930" s="18">
        <v>45819</v>
      </c>
      <c r="C930" t="s">
        <v>2015</v>
      </c>
      <c r="D930" t="s">
        <v>2035</v>
      </c>
      <c r="E930" t="s">
        <v>2054</v>
      </c>
      <c r="F930" t="s">
        <v>2062</v>
      </c>
      <c r="G930">
        <v>10</v>
      </c>
      <c r="H930">
        <v>900</v>
      </c>
      <c r="I930">
        <v>1170</v>
      </c>
      <c r="J930">
        <v>15.16</v>
      </c>
      <c r="K930">
        <v>9925.81</v>
      </c>
      <c r="L930">
        <v>925.81</v>
      </c>
      <c r="M930">
        <v>177372</v>
      </c>
      <c r="N930">
        <v>9000</v>
      </c>
      <c r="O930">
        <v>9.3272992330096987</v>
      </c>
      <c r="P930" t="s">
        <v>2080</v>
      </c>
      <c r="Q930" t="s">
        <v>2091</v>
      </c>
    </row>
    <row r="931" spans="1:17" x14ac:dyDescent="0.25">
      <c r="A931" t="s">
        <v>1472</v>
      </c>
      <c r="B931" s="18">
        <v>45819</v>
      </c>
      <c r="C931" t="s">
        <v>2022</v>
      </c>
      <c r="D931" t="s">
        <v>2042</v>
      </c>
      <c r="E931" t="s">
        <v>2053</v>
      </c>
      <c r="F931" t="s">
        <v>2061</v>
      </c>
      <c r="G931">
        <v>3</v>
      </c>
      <c r="H931">
        <v>8500</v>
      </c>
      <c r="I931">
        <v>9520</v>
      </c>
      <c r="J931">
        <v>14.95</v>
      </c>
      <c r="K931">
        <v>24291.49</v>
      </c>
      <c r="L931">
        <v>-1208.51</v>
      </c>
      <c r="M931">
        <v>426972</v>
      </c>
      <c r="N931">
        <v>25500</v>
      </c>
      <c r="O931">
        <v>-4.9750344668029829</v>
      </c>
      <c r="P931" t="s">
        <v>2080</v>
      </c>
      <c r="Q931" t="s">
        <v>2093</v>
      </c>
    </row>
    <row r="932" spans="1:17" x14ac:dyDescent="0.25">
      <c r="A932" t="s">
        <v>1539</v>
      </c>
      <c r="B932" s="18">
        <v>45819</v>
      </c>
      <c r="C932" t="s">
        <v>2026</v>
      </c>
      <c r="D932" t="s">
        <v>2046</v>
      </c>
      <c r="E932" t="s">
        <v>2052</v>
      </c>
      <c r="F932" t="s">
        <v>2061</v>
      </c>
      <c r="G932">
        <v>5</v>
      </c>
      <c r="H932">
        <v>3000</v>
      </c>
      <c r="I932">
        <v>3600</v>
      </c>
      <c r="J932">
        <v>11.57</v>
      </c>
      <c r="K932">
        <v>15917.47</v>
      </c>
      <c r="L932">
        <v>917.47</v>
      </c>
      <c r="M932">
        <v>208260</v>
      </c>
      <c r="N932">
        <v>15000</v>
      </c>
      <c r="O932">
        <v>5.763918512175616</v>
      </c>
      <c r="P932" t="s">
        <v>2080</v>
      </c>
      <c r="Q932" t="s">
        <v>2091</v>
      </c>
    </row>
    <row r="933" spans="1:17" x14ac:dyDescent="0.25">
      <c r="A933" t="s">
        <v>1872</v>
      </c>
      <c r="B933" s="18">
        <v>45819</v>
      </c>
      <c r="C933" t="s">
        <v>2031</v>
      </c>
      <c r="D933" t="s">
        <v>2051</v>
      </c>
      <c r="E933" t="s">
        <v>2058</v>
      </c>
      <c r="F933" t="s">
        <v>2061</v>
      </c>
      <c r="G933">
        <v>7</v>
      </c>
      <c r="H933">
        <v>3200</v>
      </c>
      <c r="I933">
        <v>3840</v>
      </c>
      <c r="J933">
        <v>18.21</v>
      </c>
      <c r="K933">
        <v>21986.36</v>
      </c>
      <c r="L933">
        <v>-413.64</v>
      </c>
      <c r="M933">
        <v>489484.80000000005</v>
      </c>
      <c r="N933">
        <v>22400</v>
      </c>
      <c r="O933">
        <v>-1.8813482540993596</v>
      </c>
      <c r="P933" t="s">
        <v>2080</v>
      </c>
      <c r="Q933" t="s">
        <v>2093</v>
      </c>
    </row>
    <row r="934" spans="1:17" x14ac:dyDescent="0.25">
      <c r="A934" t="s">
        <v>1936</v>
      </c>
      <c r="B934" s="18">
        <v>45819</v>
      </c>
      <c r="C934" t="s">
        <v>2029</v>
      </c>
      <c r="D934" t="s">
        <v>2049</v>
      </c>
      <c r="E934" t="s">
        <v>2055</v>
      </c>
      <c r="F934" t="s">
        <v>2059</v>
      </c>
      <c r="G934">
        <v>7</v>
      </c>
      <c r="H934">
        <v>1200</v>
      </c>
      <c r="I934">
        <v>1464</v>
      </c>
      <c r="J934">
        <v>20.51</v>
      </c>
      <c r="K934">
        <v>8145.94</v>
      </c>
      <c r="L934">
        <v>-254.06</v>
      </c>
      <c r="M934">
        <v>210186.48</v>
      </c>
      <c r="N934">
        <v>8400</v>
      </c>
      <c r="O934">
        <v>-3.1188543004245064</v>
      </c>
      <c r="P934" t="s">
        <v>2080</v>
      </c>
      <c r="Q934" t="s">
        <v>2093</v>
      </c>
    </row>
    <row r="935" spans="1:17" x14ac:dyDescent="0.25">
      <c r="A935" t="s">
        <v>93</v>
      </c>
      <c r="B935" s="18">
        <v>45820</v>
      </c>
      <c r="C935" t="s">
        <v>2015</v>
      </c>
      <c r="D935" t="s">
        <v>2035</v>
      </c>
      <c r="E935" t="s">
        <v>2054</v>
      </c>
      <c r="F935" t="s">
        <v>2059</v>
      </c>
      <c r="G935">
        <v>2</v>
      </c>
      <c r="H935">
        <v>900</v>
      </c>
      <c r="I935">
        <v>1170</v>
      </c>
      <c r="J935">
        <v>3.17</v>
      </c>
      <c r="K935">
        <v>2265.83</v>
      </c>
      <c r="L935">
        <v>465.83</v>
      </c>
      <c r="M935">
        <v>7417.8</v>
      </c>
      <c r="N935">
        <v>1800</v>
      </c>
      <c r="O935">
        <v>20.558912186704209</v>
      </c>
      <c r="P935" t="s">
        <v>2080</v>
      </c>
      <c r="Q935" t="s">
        <v>2092</v>
      </c>
    </row>
    <row r="936" spans="1:17" x14ac:dyDescent="0.25">
      <c r="A936" t="s">
        <v>548</v>
      </c>
      <c r="B936" s="18">
        <v>45820</v>
      </c>
      <c r="C936" t="s">
        <v>2019</v>
      </c>
      <c r="D936" t="s">
        <v>2039</v>
      </c>
      <c r="E936" t="s">
        <v>2053</v>
      </c>
      <c r="F936" t="s">
        <v>2060</v>
      </c>
      <c r="G936">
        <v>10</v>
      </c>
      <c r="H936">
        <v>900</v>
      </c>
      <c r="I936">
        <v>1152</v>
      </c>
      <c r="J936">
        <v>14.13</v>
      </c>
      <c r="K936">
        <v>9892.4</v>
      </c>
      <c r="L936">
        <v>892.4</v>
      </c>
      <c r="M936">
        <v>162777.60000000001</v>
      </c>
      <c r="N936">
        <v>9000</v>
      </c>
      <c r="O936">
        <v>9.0210666774493546</v>
      </c>
      <c r="P936" t="s">
        <v>2080</v>
      </c>
      <c r="Q936" t="s">
        <v>2091</v>
      </c>
    </row>
    <row r="937" spans="1:17" x14ac:dyDescent="0.25">
      <c r="A937" t="s">
        <v>752</v>
      </c>
      <c r="B937" s="18">
        <v>45820</v>
      </c>
      <c r="C937" t="s">
        <v>2012</v>
      </c>
      <c r="D937" t="s">
        <v>2032</v>
      </c>
      <c r="E937" t="s">
        <v>2052</v>
      </c>
      <c r="F937" t="s">
        <v>2059</v>
      </c>
      <c r="G937">
        <v>10</v>
      </c>
      <c r="H937">
        <v>6500</v>
      </c>
      <c r="I937">
        <v>8125</v>
      </c>
      <c r="J937">
        <v>6.47</v>
      </c>
      <c r="K937">
        <v>75994.990000000005</v>
      </c>
      <c r="L937">
        <v>10994.99</v>
      </c>
      <c r="M937">
        <v>525687.5</v>
      </c>
      <c r="N937">
        <v>65000</v>
      </c>
      <c r="O937">
        <v>14.468045854075379</v>
      </c>
      <c r="P937" t="s">
        <v>2080</v>
      </c>
      <c r="Q937" t="s">
        <v>2092</v>
      </c>
    </row>
    <row r="938" spans="1:17" x14ac:dyDescent="0.25">
      <c r="A938" t="s">
        <v>1236</v>
      </c>
      <c r="B938" s="18">
        <v>45820</v>
      </c>
      <c r="C938" t="s">
        <v>2014</v>
      </c>
      <c r="D938" t="s">
        <v>2034</v>
      </c>
      <c r="E938" t="s">
        <v>2052</v>
      </c>
      <c r="F938" t="s">
        <v>2059</v>
      </c>
      <c r="G938">
        <v>10</v>
      </c>
      <c r="H938">
        <v>4500</v>
      </c>
      <c r="I938">
        <v>5220</v>
      </c>
      <c r="J938">
        <v>20.69</v>
      </c>
      <c r="K938">
        <v>41399</v>
      </c>
      <c r="L938">
        <v>-3601</v>
      </c>
      <c r="M938">
        <v>1080018</v>
      </c>
      <c r="N938">
        <v>45000</v>
      </c>
      <c r="O938">
        <v>-8.6982777361772019</v>
      </c>
      <c r="P938" t="s">
        <v>2080</v>
      </c>
      <c r="Q938" t="s">
        <v>2093</v>
      </c>
    </row>
    <row r="939" spans="1:17" x14ac:dyDescent="0.25">
      <c r="A939" t="s">
        <v>1276</v>
      </c>
      <c r="B939" s="18">
        <v>45820</v>
      </c>
      <c r="C939" t="s">
        <v>2031</v>
      </c>
      <c r="D939" t="s">
        <v>2051</v>
      </c>
      <c r="E939" t="s">
        <v>2058</v>
      </c>
      <c r="F939" t="s">
        <v>2062</v>
      </c>
      <c r="G939">
        <v>4</v>
      </c>
      <c r="H939">
        <v>3200</v>
      </c>
      <c r="I939">
        <v>3840</v>
      </c>
      <c r="J939">
        <v>11.68</v>
      </c>
      <c r="K939">
        <v>13565.33</v>
      </c>
      <c r="L939">
        <v>765.33</v>
      </c>
      <c r="M939">
        <v>179404.79999999999</v>
      </c>
      <c r="N939">
        <v>12800</v>
      </c>
      <c r="O939">
        <v>5.641808934983521</v>
      </c>
      <c r="P939" t="s">
        <v>2080</v>
      </c>
      <c r="Q939" t="s">
        <v>2091</v>
      </c>
    </row>
    <row r="940" spans="1:17" x14ac:dyDescent="0.25">
      <c r="A940" t="s">
        <v>1510</v>
      </c>
      <c r="B940" s="18">
        <v>45820</v>
      </c>
      <c r="C940" t="s">
        <v>2024</v>
      </c>
      <c r="D940" t="s">
        <v>2044</v>
      </c>
      <c r="E940" t="s">
        <v>2055</v>
      </c>
      <c r="F940" t="s">
        <v>2061</v>
      </c>
      <c r="G940">
        <v>10</v>
      </c>
      <c r="H940">
        <v>180</v>
      </c>
      <c r="I940">
        <v>243</v>
      </c>
      <c r="J940">
        <v>0</v>
      </c>
      <c r="K940">
        <v>2430</v>
      </c>
      <c r="L940">
        <v>630</v>
      </c>
      <c r="M940">
        <v>0</v>
      </c>
      <c r="N940">
        <v>1800</v>
      </c>
      <c r="O940">
        <v>25.925925925925924</v>
      </c>
      <c r="P940" t="s">
        <v>2080</v>
      </c>
      <c r="Q940" t="s">
        <v>2092</v>
      </c>
    </row>
    <row r="941" spans="1:17" x14ac:dyDescent="0.25">
      <c r="A941" t="s">
        <v>1740</v>
      </c>
      <c r="B941" s="18">
        <v>45820</v>
      </c>
      <c r="C941" t="s">
        <v>2027</v>
      </c>
      <c r="D941" t="s">
        <v>2047</v>
      </c>
      <c r="E941" t="s">
        <v>2053</v>
      </c>
      <c r="F941" t="s">
        <v>2059</v>
      </c>
      <c r="G941">
        <v>7</v>
      </c>
      <c r="H941">
        <v>1100</v>
      </c>
      <c r="I941">
        <v>1298</v>
      </c>
      <c r="J941">
        <v>3.13</v>
      </c>
      <c r="K941">
        <v>8801.7000000000007</v>
      </c>
      <c r="L941">
        <v>1101.7</v>
      </c>
      <c r="M941">
        <v>28439.18</v>
      </c>
      <c r="N941">
        <v>7700</v>
      </c>
      <c r="O941">
        <v>12.516900144290307</v>
      </c>
      <c r="P941" t="s">
        <v>2080</v>
      </c>
      <c r="Q941" t="s">
        <v>2092</v>
      </c>
    </row>
    <row r="942" spans="1:17" x14ac:dyDescent="0.25">
      <c r="A942" t="s">
        <v>106</v>
      </c>
      <c r="B942" s="18">
        <v>45821</v>
      </c>
      <c r="C942" t="s">
        <v>2016</v>
      </c>
      <c r="D942" t="s">
        <v>2036</v>
      </c>
      <c r="E942" t="s">
        <v>2052</v>
      </c>
      <c r="F942" t="s">
        <v>2061</v>
      </c>
      <c r="G942">
        <v>9</v>
      </c>
      <c r="H942">
        <v>900</v>
      </c>
      <c r="I942">
        <v>1170</v>
      </c>
      <c r="J942">
        <v>7.61</v>
      </c>
      <c r="K942">
        <v>9728.7800000000007</v>
      </c>
      <c r="L942">
        <v>1628.78</v>
      </c>
      <c r="M942">
        <v>80133.3</v>
      </c>
      <c r="N942">
        <v>8100</v>
      </c>
      <c r="O942">
        <v>16.741873081722474</v>
      </c>
      <c r="P942" t="s">
        <v>2080</v>
      </c>
      <c r="Q942" t="s">
        <v>2092</v>
      </c>
    </row>
    <row r="943" spans="1:17" x14ac:dyDescent="0.25">
      <c r="A943" t="s">
        <v>201</v>
      </c>
      <c r="B943" s="18">
        <v>45821</v>
      </c>
      <c r="C943" t="s">
        <v>2015</v>
      </c>
      <c r="D943" t="s">
        <v>2035</v>
      </c>
      <c r="E943" t="s">
        <v>2054</v>
      </c>
      <c r="F943" t="s">
        <v>2059</v>
      </c>
      <c r="G943">
        <v>7</v>
      </c>
      <c r="H943">
        <v>900</v>
      </c>
      <c r="I943">
        <v>1170</v>
      </c>
      <c r="J943">
        <v>9.9700000000000006</v>
      </c>
      <c r="K943">
        <v>7373.44</v>
      </c>
      <c r="L943">
        <v>1073.44</v>
      </c>
      <c r="M943">
        <v>81654.3</v>
      </c>
      <c r="N943">
        <v>6300</v>
      </c>
      <c r="O943">
        <v>14.558198073083936</v>
      </c>
      <c r="P943" t="s">
        <v>2080</v>
      </c>
      <c r="Q943" t="s">
        <v>2092</v>
      </c>
    </row>
    <row r="944" spans="1:17" x14ac:dyDescent="0.25">
      <c r="A944" t="s">
        <v>298</v>
      </c>
      <c r="B944" s="18">
        <v>45821</v>
      </c>
      <c r="C944" t="s">
        <v>2021</v>
      </c>
      <c r="D944" t="s">
        <v>2041</v>
      </c>
      <c r="E944" t="s">
        <v>2056</v>
      </c>
      <c r="F944" t="s">
        <v>2061</v>
      </c>
      <c r="G944">
        <v>7</v>
      </c>
      <c r="H944">
        <v>300</v>
      </c>
      <c r="I944">
        <v>405</v>
      </c>
      <c r="J944">
        <v>13.96</v>
      </c>
      <c r="K944">
        <v>2439.13</v>
      </c>
      <c r="L944">
        <v>339.13</v>
      </c>
      <c r="M944">
        <v>39576.600000000006</v>
      </c>
      <c r="N944">
        <v>2100</v>
      </c>
      <c r="O944">
        <v>13.903727968578961</v>
      </c>
      <c r="P944" t="s">
        <v>2080</v>
      </c>
      <c r="Q944" t="s">
        <v>2092</v>
      </c>
    </row>
    <row r="945" spans="1:17" x14ac:dyDescent="0.25">
      <c r="A945" t="s">
        <v>677</v>
      </c>
      <c r="B945" s="18">
        <v>45821</v>
      </c>
      <c r="C945" t="s">
        <v>2020</v>
      </c>
      <c r="D945" t="s">
        <v>2040</v>
      </c>
      <c r="E945" t="s">
        <v>2053</v>
      </c>
      <c r="F945" t="s">
        <v>2059</v>
      </c>
      <c r="G945">
        <v>10</v>
      </c>
      <c r="H945">
        <v>350</v>
      </c>
      <c r="I945">
        <v>455</v>
      </c>
      <c r="J945">
        <v>7.9</v>
      </c>
      <c r="K945">
        <v>4190.49</v>
      </c>
      <c r="L945">
        <v>690.49</v>
      </c>
      <c r="M945">
        <v>35945</v>
      </c>
      <c r="N945">
        <v>3500</v>
      </c>
      <c r="O945">
        <v>16.477547971716913</v>
      </c>
      <c r="P945" t="s">
        <v>2080</v>
      </c>
      <c r="Q945" t="s">
        <v>2092</v>
      </c>
    </row>
    <row r="946" spans="1:17" x14ac:dyDescent="0.25">
      <c r="A946" t="s">
        <v>844</v>
      </c>
      <c r="B946" s="18">
        <v>45821</v>
      </c>
      <c r="C946" t="s">
        <v>2015</v>
      </c>
      <c r="D946" t="s">
        <v>2035</v>
      </c>
      <c r="E946" t="s">
        <v>2054</v>
      </c>
      <c r="F946" t="s">
        <v>2060</v>
      </c>
      <c r="G946">
        <v>7</v>
      </c>
      <c r="H946">
        <v>900</v>
      </c>
      <c r="I946">
        <v>1170</v>
      </c>
      <c r="J946">
        <v>4.0199999999999996</v>
      </c>
      <c r="K946">
        <v>7860.94</v>
      </c>
      <c r="L946">
        <v>1560.94</v>
      </c>
      <c r="M946">
        <v>32923.799999999996</v>
      </c>
      <c r="N946">
        <v>6300</v>
      </c>
      <c r="O946">
        <v>19.856912786511536</v>
      </c>
      <c r="P946" t="s">
        <v>2080</v>
      </c>
      <c r="Q946" t="s">
        <v>2092</v>
      </c>
    </row>
    <row r="947" spans="1:17" x14ac:dyDescent="0.25">
      <c r="A947" t="s">
        <v>1189</v>
      </c>
      <c r="B947" s="18">
        <v>45821</v>
      </c>
      <c r="C947" t="s">
        <v>2024</v>
      </c>
      <c r="D947" t="s">
        <v>2044</v>
      </c>
      <c r="E947" t="s">
        <v>2055</v>
      </c>
      <c r="F947" t="s">
        <v>2061</v>
      </c>
      <c r="G947">
        <v>7</v>
      </c>
      <c r="H947">
        <v>180</v>
      </c>
      <c r="I947">
        <v>243</v>
      </c>
      <c r="J947">
        <v>9.98</v>
      </c>
      <c r="K947">
        <v>1531.17</v>
      </c>
      <c r="L947">
        <v>271.17</v>
      </c>
      <c r="M947">
        <v>16975.98</v>
      </c>
      <c r="N947">
        <v>1260</v>
      </c>
      <c r="O947">
        <v>17.70998648092635</v>
      </c>
      <c r="P947" t="s">
        <v>2080</v>
      </c>
      <c r="Q947" t="s">
        <v>2092</v>
      </c>
    </row>
    <row r="948" spans="1:17" x14ac:dyDescent="0.25">
      <c r="A948" t="s">
        <v>1299</v>
      </c>
      <c r="B948" s="18">
        <v>45821</v>
      </c>
      <c r="C948" t="s">
        <v>2023</v>
      </c>
      <c r="D948" t="s">
        <v>2043</v>
      </c>
      <c r="E948" t="s">
        <v>2053</v>
      </c>
      <c r="F948" t="s">
        <v>2061</v>
      </c>
      <c r="G948">
        <v>9</v>
      </c>
      <c r="H948">
        <v>550</v>
      </c>
      <c r="I948">
        <v>742.5</v>
      </c>
      <c r="J948">
        <v>5.0199999999999996</v>
      </c>
      <c r="K948">
        <v>6347.15</v>
      </c>
      <c r="L948">
        <v>1397.15</v>
      </c>
      <c r="M948">
        <v>33546.149999999994</v>
      </c>
      <c r="N948">
        <v>4950</v>
      </c>
      <c r="O948">
        <v>22.012241714785379</v>
      </c>
      <c r="P948" t="s">
        <v>2080</v>
      </c>
      <c r="Q948" t="s">
        <v>2092</v>
      </c>
    </row>
    <row r="949" spans="1:17" x14ac:dyDescent="0.25">
      <c r="A949" t="s">
        <v>1810</v>
      </c>
      <c r="B949" s="18">
        <v>45821</v>
      </c>
      <c r="C949" t="s">
        <v>2031</v>
      </c>
      <c r="D949" t="s">
        <v>2051</v>
      </c>
      <c r="E949" t="s">
        <v>2058</v>
      </c>
      <c r="F949" t="s">
        <v>2060</v>
      </c>
      <c r="G949">
        <v>1</v>
      </c>
      <c r="H949">
        <v>3200</v>
      </c>
      <c r="I949">
        <v>3840</v>
      </c>
      <c r="J949">
        <v>21</v>
      </c>
      <c r="K949">
        <v>3033.75</v>
      </c>
      <c r="L949">
        <v>-166.25</v>
      </c>
      <c r="M949">
        <v>80640</v>
      </c>
      <c r="N949">
        <v>3200</v>
      </c>
      <c r="O949">
        <v>-5.4800164812525756</v>
      </c>
      <c r="P949" t="s">
        <v>2080</v>
      </c>
      <c r="Q949" t="s">
        <v>2093</v>
      </c>
    </row>
    <row r="950" spans="1:17" x14ac:dyDescent="0.25">
      <c r="A950" t="s">
        <v>583</v>
      </c>
      <c r="B950" s="18">
        <v>45822</v>
      </c>
      <c r="C950" t="s">
        <v>2015</v>
      </c>
      <c r="D950" t="s">
        <v>2035</v>
      </c>
      <c r="E950" t="s">
        <v>2054</v>
      </c>
      <c r="F950" t="s">
        <v>2060</v>
      </c>
      <c r="G950">
        <v>3</v>
      </c>
      <c r="H950">
        <v>900</v>
      </c>
      <c r="I950">
        <v>1170</v>
      </c>
      <c r="J950">
        <v>0</v>
      </c>
      <c r="K950">
        <v>3510</v>
      </c>
      <c r="L950">
        <v>810</v>
      </c>
      <c r="M950">
        <v>0</v>
      </c>
      <c r="N950">
        <v>2700</v>
      </c>
      <c r="O950">
        <v>23.076923076923077</v>
      </c>
      <c r="P950" t="s">
        <v>2080</v>
      </c>
      <c r="Q950" t="s">
        <v>2092</v>
      </c>
    </row>
    <row r="951" spans="1:17" x14ac:dyDescent="0.25">
      <c r="A951" t="s">
        <v>1148</v>
      </c>
      <c r="B951" s="18">
        <v>45822</v>
      </c>
      <c r="C951" t="s">
        <v>2020</v>
      </c>
      <c r="D951" t="s">
        <v>2040</v>
      </c>
      <c r="E951" t="s">
        <v>2053</v>
      </c>
      <c r="F951" t="s">
        <v>2059</v>
      </c>
      <c r="G951">
        <v>5</v>
      </c>
      <c r="H951">
        <v>350</v>
      </c>
      <c r="I951">
        <v>455</v>
      </c>
      <c r="J951">
        <v>10.78</v>
      </c>
      <c r="K951">
        <v>2029.68</v>
      </c>
      <c r="L951">
        <v>279.68</v>
      </c>
      <c r="M951">
        <v>24524.5</v>
      </c>
      <c r="N951">
        <v>1750</v>
      </c>
      <c r="O951">
        <v>13.779512041307004</v>
      </c>
      <c r="P951" t="s">
        <v>2080</v>
      </c>
      <c r="Q951" t="s">
        <v>2092</v>
      </c>
    </row>
    <row r="952" spans="1:17" x14ac:dyDescent="0.25">
      <c r="A952" t="s">
        <v>1182</v>
      </c>
      <c r="B952" s="18">
        <v>45822</v>
      </c>
      <c r="C952" t="s">
        <v>2018</v>
      </c>
      <c r="D952" t="s">
        <v>2038</v>
      </c>
      <c r="E952" t="s">
        <v>2053</v>
      </c>
      <c r="F952" t="s">
        <v>2061</v>
      </c>
      <c r="G952">
        <v>6</v>
      </c>
      <c r="H952">
        <v>500</v>
      </c>
      <c r="I952">
        <v>610</v>
      </c>
      <c r="J952">
        <v>4.17</v>
      </c>
      <c r="K952">
        <v>3507.28</v>
      </c>
      <c r="L952">
        <v>507.28</v>
      </c>
      <c r="M952">
        <v>15262.199999999999</v>
      </c>
      <c r="N952">
        <v>3000</v>
      </c>
      <c r="O952">
        <v>14.463629935448552</v>
      </c>
      <c r="P952" t="s">
        <v>2080</v>
      </c>
      <c r="Q952" t="s">
        <v>2092</v>
      </c>
    </row>
    <row r="953" spans="1:17" x14ac:dyDescent="0.25">
      <c r="A953" t="s">
        <v>1503</v>
      </c>
      <c r="B953" s="18">
        <v>45822</v>
      </c>
      <c r="C953" t="s">
        <v>2027</v>
      </c>
      <c r="D953" t="s">
        <v>2047</v>
      </c>
      <c r="E953" t="s">
        <v>2053</v>
      </c>
      <c r="F953" t="s">
        <v>2061</v>
      </c>
      <c r="G953">
        <v>1</v>
      </c>
      <c r="H953">
        <v>1100</v>
      </c>
      <c r="I953">
        <v>1298</v>
      </c>
      <c r="J953">
        <v>8.73</v>
      </c>
      <c r="K953">
        <v>1184.67</v>
      </c>
      <c r="L953">
        <v>84.67</v>
      </c>
      <c r="M953">
        <v>11331.54</v>
      </c>
      <c r="N953">
        <v>1100</v>
      </c>
      <c r="O953">
        <v>7.1471380215587468</v>
      </c>
      <c r="P953" t="s">
        <v>2080</v>
      </c>
      <c r="Q953" t="s">
        <v>2091</v>
      </c>
    </row>
    <row r="954" spans="1:17" x14ac:dyDescent="0.25">
      <c r="A954" t="s">
        <v>81</v>
      </c>
      <c r="B954" s="18">
        <v>45823</v>
      </c>
      <c r="C954" t="s">
        <v>2029</v>
      </c>
      <c r="D954" t="s">
        <v>2049</v>
      </c>
      <c r="E954" t="s">
        <v>2055</v>
      </c>
      <c r="F954" t="s">
        <v>2061</v>
      </c>
      <c r="G954">
        <v>9</v>
      </c>
      <c r="H954">
        <v>1200</v>
      </c>
      <c r="I954">
        <v>1464</v>
      </c>
      <c r="J954">
        <v>11.12</v>
      </c>
      <c r="K954">
        <v>11711.07</v>
      </c>
      <c r="L954">
        <v>911.07</v>
      </c>
      <c r="M954">
        <v>146517.12</v>
      </c>
      <c r="N954">
        <v>10800</v>
      </c>
      <c r="O954">
        <v>7.7795624140236548</v>
      </c>
      <c r="P954" t="s">
        <v>2080</v>
      </c>
      <c r="Q954" t="s">
        <v>2091</v>
      </c>
    </row>
    <row r="955" spans="1:17" x14ac:dyDescent="0.25">
      <c r="A955" t="s">
        <v>1041</v>
      </c>
      <c r="B955" s="18">
        <v>45823</v>
      </c>
      <c r="C955" t="s">
        <v>2031</v>
      </c>
      <c r="D955" t="s">
        <v>2051</v>
      </c>
      <c r="E955" t="s">
        <v>2058</v>
      </c>
      <c r="F955" t="s">
        <v>2061</v>
      </c>
      <c r="G955">
        <v>6</v>
      </c>
      <c r="H955">
        <v>3200</v>
      </c>
      <c r="I955">
        <v>3840</v>
      </c>
      <c r="J955">
        <v>6.56</v>
      </c>
      <c r="K955">
        <v>21529.3</v>
      </c>
      <c r="L955">
        <v>2329.3000000000002</v>
      </c>
      <c r="M955">
        <v>151142.39999999999</v>
      </c>
      <c r="N955">
        <v>19200</v>
      </c>
      <c r="O955">
        <v>10.819209170757992</v>
      </c>
      <c r="P955" t="s">
        <v>2080</v>
      </c>
      <c r="Q955" t="s">
        <v>2092</v>
      </c>
    </row>
    <row r="956" spans="1:17" x14ac:dyDescent="0.25">
      <c r="A956" t="s">
        <v>1465</v>
      </c>
      <c r="B956" s="18">
        <v>45823</v>
      </c>
      <c r="C956" t="s">
        <v>2018</v>
      </c>
      <c r="D956" t="s">
        <v>2038</v>
      </c>
      <c r="E956" t="s">
        <v>2053</v>
      </c>
      <c r="F956" t="s">
        <v>2062</v>
      </c>
      <c r="G956">
        <v>9</v>
      </c>
      <c r="H956">
        <v>500</v>
      </c>
      <c r="I956">
        <v>610</v>
      </c>
      <c r="J956">
        <v>5.38</v>
      </c>
      <c r="K956">
        <v>5194.88</v>
      </c>
      <c r="L956">
        <v>694.88</v>
      </c>
      <c r="M956">
        <v>29536.2</v>
      </c>
      <c r="N956">
        <v>4500</v>
      </c>
      <c r="O956">
        <v>13.376247382037699</v>
      </c>
      <c r="P956" t="s">
        <v>2080</v>
      </c>
      <c r="Q956" t="s">
        <v>2092</v>
      </c>
    </row>
    <row r="957" spans="1:17" x14ac:dyDescent="0.25">
      <c r="A957" t="s">
        <v>628</v>
      </c>
      <c r="B957" s="18">
        <v>45824</v>
      </c>
      <c r="C957" t="s">
        <v>2023</v>
      </c>
      <c r="D957" t="s">
        <v>2043</v>
      </c>
      <c r="E957" t="s">
        <v>2053</v>
      </c>
      <c r="F957" t="s">
        <v>2061</v>
      </c>
      <c r="G957">
        <v>8</v>
      </c>
      <c r="H957">
        <v>550</v>
      </c>
      <c r="I957">
        <v>742.5</v>
      </c>
      <c r="J957">
        <v>11.79</v>
      </c>
      <c r="K957">
        <v>5239.63</v>
      </c>
      <c r="L957">
        <v>839.63</v>
      </c>
      <c r="M957">
        <v>70032.599999999991</v>
      </c>
      <c r="N957">
        <v>4400</v>
      </c>
      <c r="O957">
        <v>16.024604790796296</v>
      </c>
      <c r="P957" t="s">
        <v>2080</v>
      </c>
      <c r="Q957" t="s">
        <v>2092</v>
      </c>
    </row>
    <row r="958" spans="1:17" x14ac:dyDescent="0.25">
      <c r="A958" t="s">
        <v>666</v>
      </c>
      <c r="B958" s="18">
        <v>45824</v>
      </c>
      <c r="C958" t="s">
        <v>2014</v>
      </c>
      <c r="D958" t="s">
        <v>2034</v>
      </c>
      <c r="E958" t="s">
        <v>2052</v>
      </c>
      <c r="F958" t="s">
        <v>2062</v>
      </c>
      <c r="G958">
        <v>7</v>
      </c>
      <c r="H958">
        <v>4500</v>
      </c>
      <c r="I958">
        <v>5220</v>
      </c>
      <c r="J958">
        <v>16.420000000000002</v>
      </c>
      <c r="K958">
        <v>30541.57</v>
      </c>
      <c r="L958">
        <v>-958.43</v>
      </c>
      <c r="M958">
        <v>599986.80000000005</v>
      </c>
      <c r="N958">
        <v>31500</v>
      </c>
      <c r="O958">
        <v>-3.1381163443791529</v>
      </c>
      <c r="P958" t="s">
        <v>2080</v>
      </c>
      <c r="Q958" t="s">
        <v>2093</v>
      </c>
    </row>
    <row r="959" spans="1:17" x14ac:dyDescent="0.25">
      <c r="A959" t="s">
        <v>1085</v>
      </c>
      <c r="B959" s="18">
        <v>45824</v>
      </c>
      <c r="C959" t="s">
        <v>2026</v>
      </c>
      <c r="D959" t="s">
        <v>2046</v>
      </c>
      <c r="E959" t="s">
        <v>2052</v>
      </c>
      <c r="F959" t="s">
        <v>2061</v>
      </c>
      <c r="G959">
        <v>3</v>
      </c>
      <c r="H959">
        <v>3000</v>
      </c>
      <c r="I959">
        <v>3600</v>
      </c>
      <c r="J959">
        <v>11.15</v>
      </c>
      <c r="K959">
        <v>9595.6299999999992</v>
      </c>
      <c r="L959">
        <v>595.63</v>
      </c>
      <c r="M959">
        <v>120420</v>
      </c>
      <c r="N959">
        <v>9000</v>
      </c>
      <c r="O959">
        <v>6.2073047835316704</v>
      </c>
      <c r="P959" t="s">
        <v>2080</v>
      </c>
      <c r="Q959" t="s">
        <v>2091</v>
      </c>
    </row>
    <row r="960" spans="1:17" x14ac:dyDescent="0.25">
      <c r="A960" t="s">
        <v>1901</v>
      </c>
      <c r="B960" s="18">
        <v>45824</v>
      </c>
      <c r="C960" t="s">
        <v>2015</v>
      </c>
      <c r="D960" t="s">
        <v>2035</v>
      </c>
      <c r="E960" t="s">
        <v>2054</v>
      </c>
      <c r="F960" t="s">
        <v>2060</v>
      </c>
      <c r="G960">
        <v>3</v>
      </c>
      <c r="H960">
        <v>900</v>
      </c>
      <c r="I960">
        <v>1170</v>
      </c>
      <c r="J960">
        <v>10.1</v>
      </c>
      <c r="K960">
        <v>3155.45</v>
      </c>
      <c r="L960">
        <v>455.45</v>
      </c>
      <c r="M960">
        <v>35451</v>
      </c>
      <c r="N960">
        <v>2700</v>
      </c>
      <c r="O960">
        <v>14.433757467239221</v>
      </c>
      <c r="P960" t="s">
        <v>2080</v>
      </c>
      <c r="Q960" t="s">
        <v>2092</v>
      </c>
    </row>
    <row r="961" spans="1:17" x14ac:dyDescent="0.25">
      <c r="A961" t="s">
        <v>1992</v>
      </c>
      <c r="B961" s="18">
        <v>45824</v>
      </c>
      <c r="C961" t="s">
        <v>2031</v>
      </c>
      <c r="D961" t="s">
        <v>2051</v>
      </c>
      <c r="E961" t="s">
        <v>2058</v>
      </c>
      <c r="F961" t="s">
        <v>2062</v>
      </c>
      <c r="G961">
        <v>2</v>
      </c>
      <c r="H961">
        <v>3200</v>
      </c>
      <c r="I961">
        <v>3840</v>
      </c>
      <c r="J961">
        <v>19.579999999999998</v>
      </c>
      <c r="K961">
        <v>6176.59</v>
      </c>
      <c r="L961">
        <v>-223.41</v>
      </c>
      <c r="M961">
        <v>150374.39999999999</v>
      </c>
      <c r="N961">
        <v>6400</v>
      </c>
      <c r="O961">
        <v>-3.6170443561900663</v>
      </c>
      <c r="P961" t="s">
        <v>2080</v>
      </c>
      <c r="Q961" t="s">
        <v>2093</v>
      </c>
    </row>
    <row r="962" spans="1:17" x14ac:dyDescent="0.25">
      <c r="A962" t="s">
        <v>654</v>
      </c>
      <c r="B962" s="18">
        <v>45825</v>
      </c>
      <c r="C962" t="s">
        <v>2016</v>
      </c>
      <c r="D962" t="s">
        <v>2036</v>
      </c>
      <c r="E962" t="s">
        <v>2052</v>
      </c>
      <c r="F962" t="s">
        <v>2059</v>
      </c>
      <c r="G962">
        <v>8</v>
      </c>
      <c r="H962">
        <v>900</v>
      </c>
      <c r="I962">
        <v>1170</v>
      </c>
      <c r="J962">
        <v>22.7</v>
      </c>
      <c r="K962">
        <v>7235.46</v>
      </c>
      <c r="L962">
        <v>35.46</v>
      </c>
      <c r="M962">
        <v>212472</v>
      </c>
      <c r="N962">
        <v>7200</v>
      </c>
      <c r="O962">
        <v>0.49008632485011322</v>
      </c>
      <c r="P962" t="s">
        <v>2080</v>
      </c>
      <c r="Q962" t="s">
        <v>2091</v>
      </c>
    </row>
    <row r="963" spans="1:17" x14ac:dyDescent="0.25">
      <c r="A963" t="s">
        <v>985</v>
      </c>
      <c r="B963" s="18">
        <v>45825</v>
      </c>
      <c r="C963" t="s">
        <v>2024</v>
      </c>
      <c r="D963" t="s">
        <v>2044</v>
      </c>
      <c r="E963" t="s">
        <v>2055</v>
      </c>
      <c r="F963" t="s">
        <v>2059</v>
      </c>
      <c r="G963">
        <v>9</v>
      </c>
      <c r="H963">
        <v>180</v>
      </c>
      <c r="I963">
        <v>243</v>
      </c>
      <c r="J963">
        <v>21.86</v>
      </c>
      <c r="K963">
        <v>1708.98</v>
      </c>
      <c r="L963">
        <v>88.98</v>
      </c>
      <c r="M963">
        <v>47807.82</v>
      </c>
      <c r="N963">
        <v>1620</v>
      </c>
      <c r="O963">
        <v>5.206614471790191</v>
      </c>
      <c r="P963" t="s">
        <v>2080</v>
      </c>
      <c r="Q963" t="s">
        <v>2091</v>
      </c>
    </row>
    <row r="964" spans="1:17" x14ac:dyDescent="0.25">
      <c r="A964" t="s">
        <v>1835</v>
      </c>
      <c r="B964" s="18">
        <v>45825</v>
      </c>
      <c r="C964" t="s">
        <v>2017</v>
      </c>
      <c r="D964" t="s">
        <v>2037</v>
      </c>
      <c r="E964" t="s">
        <v>2055</v>
      </c>
      <c r="F964" t="s">
        <v>2060</v>
      </c>
      <c r="G964">
        <v>8</v>
      </c>
      <c r="H964">
        <v>2500</v>
      </c>
      <c r="I964">
        <v>2875</v>
      </c>
      <c r="J964">
        <v>19.260000000000002</v>
      </c>
      <c r="K964">
        <v>18569.18</v>
      </c>
      <c r="L964">
        <v>-1430.82</v>
      </c>
      <c r="M964">
        <v>442980.00000000006</v>
      </c>
      <c r="N964">
        <v>20000</v>
      </c>
      <c r="O964">
        <v>-7.705348324481748</v>
      </c>
      <c r="P964" t="s">
        <v>2080</v>
      </c>
      <c r="Q964" t="s">
        <v>2093</v>
      </c>
    </row>
    <row r="965" spans="1:17" x14ac:dyDescent="0.25">
      <c r="A965" t="s">
        <v>1942</v>
      </c>
      <c r="B965" s="18">
        <v>45825</v>
      </c>
      <c r="C965" t="s">
        <v>2027</v>
      </c>
      <c r="D965" t="s">
        <v>2047</v>
      </c>
      <c r="E965" t="s">
        <v>2053</v>
      </c>
      <c r="F965" t="s">
        <v>2060</v>
      </c>
      <c r="G965">
        <v>10</v>
      </c>
      <c r="H965">
        <v>1100</v>
      </c>
      <c r="I965">
        <v>1298</v>
      </c>
      <c r="J965">
        <v>12.23</v>
      </c>
      <c r="K965">
        <v>11392.01</v>
      </c>
      <c r="L965">
        <v>392.01</v>
      </c>
      <c r="M965">
        <v>158745.4</v>
      </c>
      <c r="N965">
        <v>11000</v>
      </c>
      <c r="O965">
        <v>3.4410959962289356</v>
      </c>
      <c r="P965" t="s">
        <v>2080</v>
      </c>
      <c r="Q965" t="s">
        <v>2091</v>
      </c>
    </row>
    <row r="966" spans="1:17" x14ac:dyDescent="0.25">
      <c r="A966" t="s">
        <v>291</v>
      </c>
      <c r="B966" s="18">
        <v>45826</v>
      </c>
      <c r="C966" t="s">
        <v>2027</v>
      </c>
      <c r="D966" t="s">
        <v>2047</v>
      </c>
      <c r="E966" t="s">
        <v>2053</v>
      </c>
      <c r="F966" t="s">
        <v>2060</v>
      </c>
      <c r="G966">
        <v>5</v>
      </c>
      <c r="H966">
        <v>1100</v>
      </c>
      <c r="I966">
        <v>1298</v>
      </c>
      <c r="J966">
        <v>3.73</v>
      </c>
      <c r="K966">
        <v>6248.07</v>
      </c>
      <c r="L966">
        <v>748.07</v>
      </c>
      <c r="M966">
        <v>24207.7</v>
      </c>
      <c r="N966">
        <v>5500</v>
      </c>
      <c r="O966">
        <v>11.9728172059532</v>
      </c>
      <c r="P966" t="s">
        <v>2080</v>
      </c>
      <c r="Q966" t="s">
        <v>2092</v>
      </c>
    </row>
    <row r="967" spans="1:17" x14ac:dyDescent="0.25">
      <c r="A967" t="s">
        <v>608</v>
      </c>
      <c r="B967" s="18">
        <v>45826</v>
      </c>
      <c r="C967" t="s">
        <v>2017</v>
      </c>
      <c r="D967" t="s">
        <v>2037</v>
      </c>
      <c r="E967" t="s">
        <v>2055</v>
      </c>
      <c r="F967" t="s">
        <v>2060</v>
      </c>
      <c r="G967">
        <v>10</v>
      </c>
      <c r="H967">
        <v>2500</v>
      </c>
      <c r="I967">
        <v>2875</v>
      </c>
      <c r="J967">
        <v>18.41</v>
      </c>
      <c r="K967">
        <v>23455.86</v>
      </c>
      <c r="L967">
        <v>-1544.14</v>
      </c>
      <c r="M967">
        <v>529287.5</v>
      </c>
      <c r="N967">
        <v>25000</v>
      </c>
      <c r="O967">
        <v>-6.5831736717391731</v>
      </c>
      <c r="P967" t="s">
        <v>2080</v>
      </c>
      <c r="Q967" t="s">
        <v>2093</v>
      </c>
    </row>
    <row r="968" spans="1:17" x14ac:dyDescent="0.25">
      <c r="A968" t="s">
        <v>1268</v>
      </c>
      <c r="B968" s="18">
        <v>45826</v>
      </c>
      <c r="C968" t="s">
        <v>2012</v>
      </c>
      <c r="D968" t="s">
        <v>2032</v>
      </c>
      <c r="E968" t="s">
        <v>2052</v>
      </c>
      <c r="F968" t="s">
        <v>2061</v>
      </c>
      <c r="G968">
        <v>8</v>
      </c>
      <c r="H968">
        <v>6500</v>
      </c>
      <c r="I968">
        <v>8125</v>
      </c>
      <c r="J968">
        <v>21.07</v>
      </c>
      <c r="K968">
        <v>51303.76</v>
      </c>
      <c r="L968">
        <v>-696.24</v>
      </c>
      <c r="M968">
        <v>1369550</v>
      </c>
      <c r="N968">
        <v>52000</v>
      </c>
      <c r="O968">
        <v>-1.3570935151731569</v>
      </c>
      <c r="P968" t="s">
        <v>2080</v>
      </c>
      <c r="Q968" t="s">
        <v>2093</v>
      </c>
    </row>
    <row r="969" spans="1:17" x14ac:dyDescent="0.25">
      <c r="A969" t="s">
        <v>1655</v>
      </c>
      <c r="B969" s="18">
        <v>45826</v>
      </c>
      <c r="C969" t="s">
        <v>2020</v>
      </c>
      <c r="D969" t="s">
        <v>2040</v>
      </c>
      <c r="E969" t="s">
        <v>2053</v>
      </c>
      <c r="F969" t="s">
        <v>2060</v>
      </c>
      <c r="G969">
        <v>9</v>
      </c>
      <c r="H969">
        <v>350</v>
      </c>
      <c r="I969">
        <v>455</v>
      </c>
      <c r="J969">
        <v>5.46</v>
      </c>
      <c r="K969">
        <v>3871.4</v>
      </c>
      <c r="L969">
        <v>721.4</v>
      </c>
      <c r="M969">
        <v>22358.7</v>
      </c>
      <c r="N969">
        <v>3150</v>
      </c>
      <c r="O969">
        <v>18.634085860412252</v>
      </c>
      <c r="P969" t="s">
        <v>2080</v>
      </c>
      <c r="Q969" t="s">
        <v>2092</v>
      </c>
    </row>
    <row r="970" spans="1:17" x14ac:dyDescent="0.25">
      <c r="A970" t="s">
        <v>1826</v>
      </c>
      <c r="B970" s="18">
        <v>45826</v>
      </c>
      <c r="C970" t="s">
        <v>2031</v>
      </c>
      <c r="D970" t="s">
        <v>2051</v>
      </c>
      <c r="E970" t="s">
        <v>2058</v>
      </c>
      <c r="F970" t="s">
        <v>2059</v>
      </c>
      <c r="G970">
        <v>10</v>
      </c>
      <c r="H970">
        <v>3200</v>
      </c>
      <c r="I970">
        <v>3840</v>
      </c>
      <c r="J970">
        <v>10.76</v>
      </c>
      <c r="K970">
        <v>34269.97</v>
      </c>
      <c r="L970">
        <v>2269.9699999999998</v>
      </c>
      <c r="M970">
        <v>413184</v>
      </c>
      <c r="N970">
        <v>32000</v>
      </c>
      <c r="O970">
        <v>6.6237875317661494</v>
      </c>
      <c r="P970" t="s">
        <v>2080</v>
      </c>
      <c r="Q970" t="s">
        <v>2091</v>
      </c>
    </row>
    <row r="971" spans="1:17" x14ac:dyDescent="0.25">
      <c r="A971" t="s">
        <v>1847</v>
      </c>
      <c r="B971" s="18">
        <v>45826</v>
      </c>
      <c r="C971" t="s">
        <v>2025</v>
      </c>
      <c r="D971" t="s">
        <v>2045</v>
      </c>
      <c r="E971" t="s">
        <v>2057</v>
      </c>
      <c r="F971" t="s">
        <v>2061</v>
      </c>
      <c r="G971">
        <v>4</v>
      </c>
      <c r="H971">
        <v>45</v>
      </c>
      <c r="I971">
        <v>63</v>
      </c>
      <c r="J971">
        <v>13.94</v>
      </c>
      <c r="K971">
        <v>216.88</v>
      </c>
      <c r="L971">
        <v>36.880000000000003</v>
      </c>
      <c r="M971">
        <v>3512.8799999999997</v>
      </c>
      <c r="N971">
        <v>180</v>
      </c>
      <c r="O971">
        <v>17.00479527849502</v>
      </c>
      <c r="P971" t="s">
        <v>2080</v>
      </c>
      <c r="Q971" t="s">
        <v>2092</v>
      </c>
    </row>
    <row r="972" spans="1:17" x14ac:dyDescent="0.25">
      <c r="A972" t="s">
        <v>1906</v>
      </c>
      <c r="B972" s="18">
        <v>45826</v>
      </c>
      <c r="C972" t="s">
        <v>2031</v>
      </c>
      <c r="D972" t="s">
        <v>2051</v>
      </c>
      <c r="E972" t="s">
        <v>2058</v>
      </c>
      <c r="F972" t="s">
        <v>2060</v>
      </c>
      <c r="G972">
        <v>4</v>
      </c>
      <c r="H972">
        <v>3200</v>
      </c>
      <c r="I972">
        <v>3840</v>
      </c>
      <c r="J972">
        <v>7.03</v>
      </c>
      <c r="K972">
        <v>14279.73</v>
      </c>
      <c r="L972">
        <v>1479.73</v>
      </c>
      <c r="M972">
        <v>107980.8</v>
      </c>
      <c r="N972">
        <v>12800</v>
      </c>
      <c r="O972">
        <v>10.362450830652961</v>
      </c>
      <c r="P972" t="s">
        <v>2080</v>
      </c>
      <c r="Q972" t="s">
        <v>2092</v>
      </c>
    </row>
    <row r="973" spans="1:17" x14ac:dyDescent="0.25">
      <c r="A973" t="s">
        <v>1130</v>
      </c>
      <c r="B973" s="18">
        <v>45827</v>
      </c>
      <c r="C973" t="s">
        <v>2016</v>
      </c>
      <c r="D973" t="s">
        <v>2036</v>
      </c>
      <c r="E973" t="s">
        <v>2052</v>
      </c>
      <c r="F973" t="s">
        <v>2060</v>
      </c>
      <c r="G973">
        <v>5</v>
      </c>
      <c r="H973">
        <v>900</v>
      </c>
      <c r="I973">
        <v>1170</v>
      </c>
      <c r="J973">
        <v>13.21</v>
      </c>
      <c r="K973">
        <v>5077.08</v>
      </c>
      <c r="L973">
        <v>577.08000000000004</v>
      </c>
      <c r="M973">
        <v>77278.5</v>
      </c>
      <c r="N973">
        <v>4500</v>
      </c>
      <c r="O973">
        <v>11.366375948379778</v>
      </c>
      <c r="P973" t="s">
        <v>2080</v>
      </c>
      <c r="Q973" t="s">
        <v>2092</v>
      </c>
    </row>
    <row r="974" spans="1:17" x14ac:dyDescent="0.25">
      <c r="A974" t="s">
        <v>1534</v>
      </c>
      <c r="B974" s="18">
        <v>45827</v>
      </c>
      <c r="C974" t="s">
        <v>2021</v>
      </c>
      <c r="D974" t="s">
        <v>2041</v>
      </c>
      <c r="E974" t="s">
        <v>2056</v>
      </c>
      <c r="F974" t="s">
        <v>2060</v>
      </c>
      <c r="G974">
        <v>6</v>
      </c>
      <c r="H974">
        <v>300</v>
      </c>
      <c r="I974">
        <v>405</v>
      </c>
      <c r="J974">
        <v>12.48</v>
      </c>
      <c r="K974">
        <v>2126.65</v>
      </c>
      <c r="L974">
        <v>326.64999999999998</v>
      </c>
      <c r="M974">
        <v>30326.400000000001</v>
      </c>
      <c r="N974">
        <v>1800</v>
      </c>
      <c r="O974">
        <v>15.359838243246418</v>
      </c>
      <c r="P974" t="s">
        <v>2080</v>
      </c>
      <c r="Q974" t="s">
        <v>2092</v>
      </c>
    </row>
    <row r="975" spans="1:17" x14ac:dyDescent="0.25">
      <c r="A975" t="s">
        <v>1711</v>
      </c>
      <c r="B975" s="18">
        <v>45827</v>
      </c>
      <c r="C975" t="s">
        <v>2025</v>
      </c>
      <c r="D975" t="s">
        <v>2045</v>
      </c>
      <c r="E975" t="s">
        <v>2057</v>
      </c>
      <c r="F975" t="s">
        <v>2061</v>
      </c>
      <c r="G975">
        <v>1</v>
      </c>
      <c r="H975">
        <v>45</v>
      </c>
      <c r="I975">
        <v>63</v>
      </c>
      <c r="J975">
        <v>14.05</v>
      </c>
      <c r="K975">
        <v>54.15</v>
      </c>
      <c r="L975">
        <v>9.15</v>
      </c>
      <c r="M975">
        <v>885.15000000000009</v>
      </c>
      <c r="N975">
        <v>45</v>
      </c>
      <c r="O975">
        <v>16.897506925207757</v>
      </c>
      <c r="P975" t="s">
        <v>2080</v>
      </c>
      <c r="Q975" t="s">
        <v>2092</v>
      </c>
    </row>
    <row r="976" spans="1:17" x14ac:dyDescent="0.25">
      <c r="A976" t="s">
        <v>362</v>
      </c>
      <c r="B976" s="18">
        <v>45828</v>
      </c>
      <c r="C976" t="s">
        <v>2031</v>
      </c>
      <c r="D976" t="s">
        <v>2051</v>
      </c>
      <c r="E976" t="s">
        <v>2058</v>
      </c>
      <c r="F976" t="s">
        <v>2060</v>
      </c>
      <c r="G976">
        <v>8</v>
      </c>
      <c r="H976">
        <v>3200</v>
      </c>
      <c r="I976">
        <v>3840</v>
      </c>
      <c r="J976">
        <v>11.98</v>
      </c>
      <c r="K976">
        <v>27038.89</v>
      </c>
      <c r="L976">
        <v>1438.89</v>
      </c>
      <c r="M976">
        <v>368025.60000000003</v>
      </c>
      <c r="N976">
        <v>25600</v>
      </c>
      <c r="O976">
        <v>5.3215572088943013</v>
      </c>
      <c r="P976" t="s">
        <v>2080</v>
      </c>
      <c r="Q976" t="s">
        <v>2091</v>
      </c>
    </row>
    <row r="977" spans="1:17" x14ac:dyDescent="0.25">
      <c r="A977" t="s">
        <v>1259</v>
      </c>
      <c r="B977" s="18">
        <v>45828</v>
      </c>
      <c r="C977" t="s">
        <v>2019</v>
      </c>
      <c r="D977" t="s">
        <v>2039</v>
      </c>
      <c r="E977" t="s">
        <v>2053</v>
      </c>
      <c r="F977" t="s">
        <v>2061</v>
      </c>
      <c r="G977">
        <v>2</v>
      </c>
      <c r="H977">
        <v>900</v>
      </c>
      <c r="I977">
        <v>1152</v>
      </c>
      <c r="J977">
        <v>11.32</v>
      </c>
      <c r="K977">
        <v>2043.29</v>
      </c>
      <c r="L977">
        <v>243.29</v>
      </c>
      <c r="M977">
        <v>26081.279999999999</v>
      </c>
      <c r="N977">
        <v>1800</v>
      </c>
      <c r="O977">
        <v>11.906777794635122</v>
      </c>
      <c r="P977" t="s">
        <v>2080</v>
      </c>
      <c r="Q977" t="s">
        <v>2092</v>
      </c>
    </row>
    <row r="978" spans="1:17" x14ac:dyDescent="0.25">
      <c r="A978" t="s">
        <v>1518</v>
      </c>
      <c r="B978" s="18">
        <v>45828</v>
      </c>
      <c r="C978" t="s">
        <v>2024</v>
      </c>
      <c r="D978" t="s">
        <v>2044</v>
      </c>
      <c r="E978" t="s">
        <v>2055</v>
      </c>
      <c r="F978" t="s">
        <v>2062</v>
      </c>
      <c r="G978">
        <v>8</v>
      </c>
      <c r="H978">
        <v>180</v>
      </c>
      <c r="I978">
        <v>243</v>
      </c>
      <c r="J978">
        <v>16.37</v>
      </c>
      <c r="K978">
        <v>1625.86</v>
      </c>
      <c r="L978">
        <v>185.86</v>
      </c>
      <c r="M978">
        <v>31823.280000000002</v>
      </c>
      <c r="N978">
        <v>1440</v>
      </c>
      <c r="O978">
        <v>11.4314885660512</v>
      </c>
      <c r="P978" t="s">
        <v>2080</v>
      </c>
      <c r="Q978" t="s">
        <v>2092</v>
      </c>
    </row>
    <row r="979" spans="1:17" x14ac:dyDescent="0.25">
      <c r="A979" t="s">
        <v>1709</v>
      </c>
      <c r="B979" s="18">
        <v>45828</v>
      </c>
      <c r="C979" t="s">
        <v>2026</v>
      </c>
      <c r="D979" t="s">
        <v>2046</v>
      </c>
      <c r="E979" t="s">
        <v>2052</v>
      </c>
      <c r="F979" t="s">
        <v>2060</v>
      </c>
      <c r="G979">
        <v>2</v>
      </c>
      <c r="H979">
        <v>3000</v>
      </c>
      <c r="I979">
        <v>3600</v>
      </c>
      <c r="J979">
        <v>7</v>
      </c>
      <c r="K979">
        <v>6696.3</v>
      </c>
      <c r="L979">
        <v>696.3</v>
      </c>
      <c r="M979">
        <v>50400</v>
      </c>
      <c r="N979">
        <v>6000</v>
      </c>
      <c r="O979">
        <v>10.39827964696922</v>
      </c>
      <c r="P979" t="s">
        <v>2080</v>
      </c>
      <c r="Q979" t="s">
        <v>2092</v>
      </c>
    </row>
    <row r="980" spans="1:17" x14ac:dyDescent="0.25">
      <c r="A980" t="s">
        <v>321</v>
      </c>
      <c r="B980" s="18">
        <v>45829</v>
      </c>
      <c r="C980" t="s">
        <v>2024</v>
      </c>
      <c r="D980" t="s">
        <v>2044</v>
      </c>
      <c r="E980" t="s">
        <v>2055</v>
      </c>
      <c r="F980" t="s">
        <v>2059</v>
      </c>
      <c r="G980">
        <v>3</v>
      </c>
      <c r="H980">
        <v>180</v>
      </c>
      <c r="I980">
        <v>243</v>
      </c>
      <c r="J980">
        <v>12.07</v>
      </c>
      <c r="K980">
        <v>641.02</v>
      </c>
      <c r="L980">
        <v>101.02</v>
      </c>
      <c r="M980">
        <v>8799.0300000000007</v>
      </c>
      <c r="N980">
        <v>540</v>
      </c>
      <c r="O980">
        <v>15.759258681476396</v>
      </c>
      <c r="P980" t="s">
        <v>2080</v>
      </c>
      <c r="Q980" t="s">
        <v>2092</v>
      </c>
    </row>
    <row r="981" spans="1:17" x14ac:dyDescent="0.25">
      <c r="A981" t="s">
        <v>884</v>
      </c>
      <c r="B981" s="18">
        <v>45829</v>
      </c>
      <c r="C981" t="s">
        <v>2030</v>
      </c>
      <c r="D981" t="s">
        <v>2050</v>
      </c>
      <c r="E981" t="s">
        <v>2058</v>
      </c>
      <c r="F981" t="s">
        <v>2062</v>
      </c>
      <c r="G981">
        <v>4</v>
      </c>
      <c r="H981">
        <v>1800</v>
      </c>
      <c r="I981">
        <v>2124</v>
      </c>
      <c r="J981">
        <v>14.69</v>
      </c>
      <c r="K981">
        <v>7247.79</v>
      </c>
      <c r="L981">
        <v>47.79</v>
      </c>
      <c r="M981">
        <v>124806.23999999999</v>
      </c>
      <c r="N981">
        <v>7200</v>
      </c>
      <c r="O981">
        <v>0.65937340899777719</v>
      </c>
      <c r="P981" t="s">
        <v>2080</v>
      </c>
      <c r="Q981" t="s">
        <v>2091</v>
      </c>
    </row>
    <row r="982" spans="1:17" x14ac:dyDescent="0.25">
      <c r="A982" t="s">
        <v>1073</v>
      </c>
      <c r="B982" s="18">
        <v>45829</v>
      </c>
      <c r="C982" t="s">
        <v>2014</v>
      </c>
      <c r="D982" t="s">
        <v>2034</v>
      </c>
      <c r="E982" t="s">
        <v>2052</v>
      </c>
      <c r="F982" t="s">
        <v>2060</v>
      </c>
      <c r="G982">
        <v>3</v>
      </c>
      <c r="H982">
        <v>4500</v>
      </c>
      <c r="I982">
        <v>5220</v>
      </c>
      <c r="J982">
        <v>8.6999999999999993</v>
      </c>
      <c r="K982">
        <v>14297.82</v>
      </c>
      <c r="L982">
        <v>797.82</v>
      </c>
      <c r="M982">
        <v>136242</v>
      </c>
      <c r="N982">
        <v>13500</v>
      </c>
      <c r="O982">
        <v>5.5800114982563782</v>
      </c>
      <c r="P982" t="s">
        <v>2080</v>
      </c>
      <c r="Q982" t="s">
        <v>2091</v>
      </c>
    </row>
    <row r="983" spans="1:17" x14ac:dyDescent="0.25">
      <c r="A983" t="s">
        <v>120</v>
      </c>
      <c r="B983" s="18">
        <v>45830</v>
      </c>
      <c r="C983" t="s">
        <v>2030</v>
      </c>
      <c r="D983" t="s">
        <v>2050</v>
      </c>
      <c r="E983" t="s">
        <v>2058</v>
      </c>
      <c r="F983" t="s">
        <v>2060</v>
      </c>
      <c r="G983">
        <v>2</v>
      </c>
      <c r="H983">
        <v>1800</v>
      </c>
      <c r="I983">
        <v>2124</v>
      </c>
      <c r="J983">
        <v>12.3</v>
      </c>
      <c r="K983">
        <v>3725.7</v>
      </c>
      <c r="L983">
        <v>125.7</v>
      </c>
      <c r="M983">
        <v>52250.400000000001</v>
      </c>
      <c r="N983">
        <v>3600</v>
      </c>
      <c r="O983">
        <v>3.3738626298413723</v>
      </c>
      <c r="P983" t="s">
        <v>2080</v>
      </c>
      <c r="Q983" t="s">
        <v>2091</v>
      </c>
    </row>
    <row r="984" spans="1:17" x14ac:dyDescent="0.25">
      <c r="A984" t="s">
        <v>199</v>
      </c>
      <c r="B984" s="18">
        <v>45830</v>
      </c>
      <c r="C984" t="s">
        <v>2020</v>
      </c>
      <c r="D984" t="s">
        <v>2040</v>
      </c>
      <c r="E984" t="s">
        <v>2053</v>
      </c>
      <c r="F984" t="s">
        <v>2062</v>
      </c>
      <c r="G984">
        <v>8</v>
      </c>
      <c r="H984">
        <v>350</v>
      </c>
      <c r="I984">
        <v>455</v>
      </c>
      <c r="J984">
        <v>7.58</v>
      </c>
      <c r="K984">
        <v>3364.14</v>
      </c>
      <c r="L984">
        <v>564.14</v>
      </c>
      <c r="M984">
        <v>27591.200000000001</v>
      </c>
      <c r="N984">
        <v>2800</v>
      </c>
      <c r="O984">
        <v>16.76921887911918</v>
      </c>
      <c r="P984" t="s">
        <v>2080</v>
      </c>
      <c r="Q984" t="s">
        <v>2092</v>
      </c>
    </row>
    <row r="985" spans="1:17" x14ac:dyDescent="0.25">
      <c r="A985" t="s">
        <v>248</v>
      </c>
      <c r="B985" s="18">
        <v>45830</v>
      </c>
      <c r="C985" t="s">
        <v>2013</v>
      </c>
      <c r="D985" t="s">
        <v>2033</v>
      </c>
      <c r="E985" t="s">
        <v>2053</v>
      </c>
      <c r="F985" t="s">
        <v>2061</v>
      </c>
      <c r="G985">
        <v>2</v>
      </c>
      <c r="H985">
        <v>6500</v>
      </c>
      <c r="I985">
        <v>7150</v>
      </c>
      <c r="J985">
        <v>13.79</v>
      </c>
      <c r="K985">
        <v>12328.47</v>
      </c>
      <c r="L985">
        <v>-671.53</v>
      </c>
      <c r="M985">
        <v>197197</v>
      </c>
      <c r="N985">
        <v>13000</v>
      </c>
      <c r="O985">
        <v>-5.4469857168002189</v>
      </c>
      <c r="P985" t="s">
        <v>2080</v>
      </c>
      <c r="Q985" t="s">
        <v>2093</v>
      </c>
    </row>
    <row r="986" spans="1:17" x14ac:dyDescent="0.25">
      <c r="A986" t="s">
        <v>466</v>
      </c>
      <c r="B986" s="18">
        <v>45830</v>
      </c>
      <c r="C986" t="s">
        <v>2026</v>
      </c>
      <c r="D986" t="s">
        <v>2046</v>
      </c>
      <c r="E986" t="s">
        <v>2052</v>
      </c>
      <c r="F986" t="s">
        <v>2061</v>
      </c>
      <c r="G986">
        <v>6</v>
      </c>
      <c r="H986">
        <v>3000</v>
      </c>
      <c r="I986">
        <v>3600</v>
      </c>
      <c r="J986">
        <v>8.24</v>
      </c>
      <c r="K986">
        <v>19820.689999999999</v>
      </c>
      <c r="L986">
        <v>1820.69</v>
      </c>
      <c r="M986">
        <v>177984</v>
      </c>
      <c r="N986">
        <v>18000</v>
      </c>
      <c r="O986">
        <v>9.1858053377556494</v>
      </c>
      <c r="P986" t="s">
        <v>2080</v>
      </c>
      <c r="Q986" t="s">
        <v>2091</v>
      </c>
    </row>
    <row r="987" spans="1:17" x14ac:dyDescent="0.25">
      <c r="A987" t="s">
        <v>833</v>
      </c>
      <c r="B987" s="18">
        <v>45830</v>
      </c>
      <c r="C987" t="s">
        <v>2013</v>
      </c>
      <c r="D987" t="s">
        <v>2033</v>
      </c>
      <c r="E987" t="s">
        <v>2053</v>
      </c>
      <c r="F987" t="s">
        <v>2061</v>
      </c>
      <c r="G987">
        <v>2</v>
      </c>
      <c r="H987">
        <v>6500</v>
      </c>
      <c r="I987">
        <v>7150</v>
      </c>
      <c r="J987">
        <v>13.61</v>
      </c>
      <c r="K987">
        <v>12353.9</v>
      </c>
      <c r="L987">
        <v>-646.1</v>
      </c>
      <c r="M987">
        <v>194623</v>
      </c>
      <c r="N987">
        <v>13000</v>
      </c>
      <c r="O987">
        <v>-5.2299273913501008</v>
      </c>
      <c r="P987" t="s">
        <v>2080</v>
      </c>
      <c r="Q987" t="s">
        <v>2093</v>
      </c>
    </row>
    <row r="988" spans="1:17" x14ac:dyDescent="0.25">
      <c r="A988" t="s">
        <v>1197</v>
      </c>
      <c r="B988" s="18">
        <v>45830</v>
      </c>
      <c r="C988" t="s">
        <v>2016</v>
      </c>
      <c r="D988" t="s">
        <v>2036</v>
      </c>
      <c r="E988" t="s">
        <v>2052</v>
      </c>
      <c r="F988" t="s">
        <v>2059</v>
      </c>
      <c r="G988">
        <v>9</v>
      </c>
      <c r="H988">
        <v>900</v>
      </c>
      <c r="I988">
        <v>1170</v>
      </c>
      <c r="J988">
        <v>4.6100000000000003</v>
      </c>
      <c r="K988">
        <v>10044.08</v>
      </c>
      <c r="L988">
        <v>1944.08</v>
      </c>
      <c r="M988">
        <v>48543.3</v>
      </c>
      <c r="N988">
        <v>8100</v>
      </c>
      <c r="O988">
        <v>19.355481039577541</v>
      </c>
      <c r="P988" t="s">
        <v>2080</v>
      </c>
      <c r="Q988" t="s">
        <v>2092</v>
      </c>
    </row>
    <row r="989" spans="1:17" x14ac:dyDescent="0.25">
      <c r="A989" t="s">
        <v>1314</v>
      </c>
      <c r="B989" s="18">
        <v>45830</v>
      </c>
      <c r="C989" t="s">
        <v>2024</v>
      </c>
      <c r="D989" t="s">
        <v>2044</v>
      </c>
      <c r="E989" t="s">
        <v>2055</v>
      </c>
      <c r="F989" t="s">
        <v>2062</v>
      </c>
      <c r="G989">
        <v>6</v>
      </c>
      <c r="H989">
        <v>180</v>
      </c>
      <c r="I989">
        <v>243</v>
      </c>
      <c r="J989">
        <v>2.5099999999999998</v>
      </c>
      <c r="K989">
        <v>1421.44</v>
      </c>
      <c r="L989">
        <v>341.44</v>
      </c>
      <c r="M989">
        <v>3659.5799999999995</v>
      </c>
      <c r="N989">
        <v>1080</v>
      </c>
      <c r="O989">
        <v>24.020711391265195</v>
      </c>
      <c r="P989" t="s">
        <v>2080</v>
      </c>
      <c r="Q989" t="s">
        <v>2092</v>
      </c>
    </row>
    <row r="990" spans="1:17" x14ac:dyDescent="0.25">
      <c r="A990" t="s">
        <v>1470</v>
      </c>
      <c r="B990" s="18">
        <v>45830</v>
      </c>
      <c r="C990" t="s">
        <v>2015</v>
      </c>
      <c r="D990" t="s">
        <v>2035</v>
      </c>
      <c r="E990" t="s">
        <v>2054</v>
      </c>
      <c r="F990" t="s">
        <v>2061</v>
      </c>
      <c r="G990">
        <v>1</v>
      </c>
      <c r="H990">
        <v>900</v>
      </c>
      <c r="I990">
        <v>1170</v>
      </c>
      <c r="J990">
        <v>9.99</v>
      </c>
      <c r="K990">
        <v>1053.08</v>
      </c>
      <c r="L990">
        <v>153.08000000000001</v>
      </c>
      <c r="M990">
        <v>11688.300000000001</v>
      </c>
      <c r="N990">
        <v>900</v>
      </c>
      <c r="O990">
        <v>14.536407490409086</v>
      </c>
      <c r="P990" t="s">
        <v>2080</v>
      </c>
      <c r="Q990" t="s">
        <v>2092</v>
      </c>
    </row>
    <row r="991" spans="1:17" x14ac:dyDescent="0.25">
      <c r="A991" t="s">
        <v>1723</v>
      </c>
      <c r="B991" s="18">
        <v>45830</v>
      </c>
      <c r="C991" t="s">
        <v>2027</v>
      </c>
      <c r="D991" t="s">
        <v>2047</v>
      </c>
      <c r="E991" t="s">
        <v>2053</v>
      </c>
      <c r="F991" t="s">
        <v>2062</v>
      </c>
      <c r="G991">
        <v>6</v>
      </c>
      <c r="H991">
        <v>1100</v>
      </c>
      <c r="I991">
        <v>1298</v>
      </c>
      <c r="J991">
        <v>16.16</v>
      </c>
      <c r="K991">
        <v>6529.2</v>
      </c>
      <c r="L991">
        <v>-70.8</v>
      </c>
      <c r="M991">
        <v>125854.08</v>
      </c>
      <c r="N991">
        <v>6600</v>
      </c>
      <c r="O991">
        <v>-1.0843594927403051</v>
      </c>
      <c r="P991" t="s">
        <v>2080</v>
      </c>
      <c r="Q991" t="s">
        <v>2093</v>
      </c>
    </row>
    <row r="992" spans="1:17" x14ac:dyDescent="0.25">
      <c r="A992" t="s">
        <v>1749</v>
      </c>
      <c r="B992" s="18">
        <v>45830</v>
      </c>
      <c r="C992" t="s">
        <v>2017</v>
      </c>
      <c r="D992" t="s">
        <v>2037</v>
      </c>
      <c r="E992" t="s">
        <v>2055</v>
      </c>
      <c r="F992" t="s">
        <v>2059</v>
      </c>
      <c r="G992">
        <v>2</v>
      </c>
      <c r="H992">
        <v>2500</v>
      </c>
      <c r="I992">
        <v>2875</v>
      </c>
      <c r="J992">
        <v>3.25</v>
      </c>
      <c r="K992">
        <v>5562.87</v>
      </c>
      <c r="L992">
        <v>562.87</v>
      </c>
      <c r="M992">
        <v>18687.5</v>
      </c>
      <c r="N992">
        <v>5000</v>
      </c>
      <c r="O992">
        <v>10.118338195931237</v>
      </c>
      <c r="P992" t="s">
        <v>2080</v>
      </c>
      <c r="Q992" t="s">
        <v>2092</v>
      </c>
    </row>
    <row r="993" spans="1:17" x14ac:dyDescent="0.25">
      <c r="A993" t="s">
        <v>323</v>
      </c>
      <c r="B993" s="18">
        <v>45831</v>
      </c>
      <c r="C993" t="s">
        <v>2023</v>
      </c>
      <c r="D993" t="s">
        <v>2043</v>
      </c>
      <c r="E993" t="s">
        <v>2053</v>
      </c>
      <c r="F993" t="s">
        <v>2062</v>
      </c>
      <c r="G993">
        <v>2</v>
      </c>
      <c r="H993">
        <v>550</v>
      </c>
      <c r="I993">
        <v>742.5</v>
      </c>
      <c r="J993">
        <v>4.3899999999999997</v>
      </c>
      <c r="K993">
        <v>1419.77</v>
      </c>
      <c r="L993">
        <v>319.77</v>
      </c>
      <c r="M993">
        <v>6519.15</v>
      </c>
      <c r="N993">
        <v>1100</v>
      </c>
      <c r="O993">
        <v>22.52266212132951</v>
      </c>
      <c r="P993" t="s">
        <v>2080</v>
      </c>
      <c r="Q993" t="s">
        <v>2092</v>
      </c>
    </row>
    <row r="994" spans="1:17" x14ac:dyDescent="0.25">
      <c r="A994" t="s">
        <v>534</v>
      </c>
      <c r="B994" s="18">
        <v>45831</v>
      </c>
      <c r="C994" t="s">
        <v>2023</v>
      </c>
      <c r="D994" t="s">
        <v>2043</v>
      </c>
      <c r="E994" t="s">
        <v>2053</v>
      </c>
      <c r="F994" t="s">
        <v>2061</v>
      </c>
      <c r="G994">
        <v>8</v>
      </c>
      <c r="H994">
        <v>550</v>
      </c>
      <c r="I994">
        <v>742.5</v>
      </c>
      <c r="J994">
        <v>2.68</v>
      </c>
      <c r="K994">
        <v>5781.08</v>
      </c>
      <c r="L994">
        <v>1381.08</v>
      </c>
      <c r="M994">
        <v>15919.2</v>
      </c>
      <c r="N994">
        <v>4400</v>
      </c>
      <c r="O994">
        <v>23.889653836307399</v>
      </c>
      <c r="P994" t="s">
        <v>2080</v>
      </c>
      <c r="Q994" t="s">
        <v>2092</v>
      </c>
    </row>
    <row r="995" spans="1:17" x14ac:dyDescent="0.25">
      <c r="A995" t="s">
        <v>895</v>
      </c>
      <c r="B995" s="18">
        <v>45831</v>
      </c>
      <c r="C995" t="s">
        <v>2016</v>
      </c>
      <c r="D995" t="s">
        <v>2036</v>
      </c>
      <c r="E995" t="s">
        <v>2052</v>
      </c>
      <c r="F995" t="s">
        <v>2061</v>
      </c>
      <c r="G995">
        <v>9</v>
      </c>
      <c r="H995">
        <v>900</v>
      </c>
      <c r="I995">
        <v>1170</v>
      </c>
      <c r="J995">
        <v>22.1</v>
      </c>
      <c r="K995">
        <v>8202.7900000000009</v>
      </c>
      <c r="L995">
        <v>102.79</v>
      </c>
      <c r="M995">
        <v>232713.00000000003</v>
      </c>
      <c r="N995">
        <v>8100</v>
      </c>
      <c r="O995">
        <v>1.2531102222536479</v>
      </c>
      <c r="P995" t="s">
        <v>2080</v>
      </c>
      <c r="Q995" t="s">
        <v>2091</v>
      </c>
    </row>
    <row r="996" spans="1:17" x14ac:dyDescent="0.25">
      <c r="A996" t="s">
        <v>1000</v>
      </c>
      <c r="B996" s="18">
        <v>45831</v>
      </c>
      <c r="C996" t="s">
        <v>2014</v>
      </c>
      <c r="D996" t="s">
        <v>2034</v>
      </c>
      <c r="E996" t="s">
        <v>2052</v>
      </c>
      <c r="F996" t="s">
        <v>2061</v>
      </c>
      <c r="G996">
        <v>3</v>
      </c>
      <c r="H996">
        <v>4500</v>
      </c>
      <c r="I996">
        <v>5220</v>
      </c>
      <c r="J996">
        <v>6.59</v>
      </c>
      <c r="K996">
        <v>14627.96</v>
      </c>
      <c r="L996">
        <v>1127.96</v>
      </c>
      <c r="M996">
        <v>103199.4</v>
      </c>
      <c r="N996">
        <v>13500</v>
      </c>
      <c r="O996">
        <v>7.7109863576329181</v>
      </c>
      <c r="P996" t="s">
        <v>2080</v>
      </c>
      <c r="Q996" t="s">
        <v>2091</v>
      </c>
    </row>
    <row r="997" spans="1:17" x14ac:dyDescent="0.25">
      <c r="A997" t="s">
        <v>1612</v>
      </c>
      <c r="B997" s="18">
        <v>45831</v>
      </c>
      <c r="C997" t="s">
        <v>2019</v>
      </c>
      <c r="D997" t="s">
        <v>2039</v>
      </c>
      <c r="E997" t="s">
        <v>2053</v>
      </c>
      <c r="F997" t="s">
        <v>2059</v>
      </c>
      <c r="G997">
        <v>7</v>
      </c>
      <c r="H997">
        <v>900</v>
      </c>
      <c r="I997">
        <v>1152</v>
      </c>
      <c r="J997">
        <v>9.83</v>
      </c>
      <c r="K997">
        <v>7271.07</v>
      </c>
      <c r="L997">
        <v>971.07</v>
      </c>
      <c r="M997">
        <v>79269.119999999995</v>
      </c>
      <c r="N997">
        <v>6300</v>
      </c>
      <c r="O997">
        <v>13.355255828922017</v>
      </c>
      <c r="P997" t="s">
        <v>2080</v>
      </c>
      <c r="Q997" t="s">
        <v>2092</v>
      </c>
    </row>
    <row r="998" spans="1:17" x14ac:dyDescent="0.25">
      <c r="A998" t="s">
        <v>1005</v>
      </c>
      <c r="B998" s="18">
        <v>45832</v>
      </c>
      <c r="C998" t="s">
        <v>2013</v>
      </c>
      <c r="D998" t="s">
        <v>2033</v>
      </c>
      <c r="E998" t="s">
        <v>2053</v>
      </c>
      <c r="F998" t="s">
        <v>2059</v>
      </c>
      <c r="G998">
        <v>4</v>
      </c>
      <c r="H998">
        <v>6500</v>
      </c>
      <c r="I998">
        <v>7150</v>
      </c>
      <c r="J998">
        <v>19.54</v>
      </c>
      <c r="K998">
        <v>23012.68</v>
      </c>
      <c r="L998">
        <v>-2987.32</v>
      </c>
      <c r="M998">
        <v>558844</v>
      </c>
      <c r="N998">
        <v>26000</v>
      </c>
      <c r="O998">
        <v>-12.981191238916981</v>
      </c>
      <c r="P998" t="s">
        <v>2080</v>
      </c>
      <c r="Q998" t="s">
        <v>2093</v>
      </c>
    </row>
    <row r="999" spans="1:17" x14ac:dyDescent="0.25">
      <c r="A999" t="s">
        <v>1232</v>
      </c>
      <c r="B999" s="18">
        <v>45832</v>
      </c>
      <c r="C999" t="s">
        <v>2021</v>
      </c>
      <c r="D999" t="s">
        <v>2041</v>
      </c>
      <c r="E999" t="s">
        <v>2056</v>
      </c>
      <c r="F999" t="s">
        <v>2062</v>
      </c>
      <c r="G999">
        <v>7</v>
      </c>
      <c r="H999">
        <v>300</v>
      </c>
      <c r="I999">
        <v>405</v>
      </c>
      <c r="J999">
        <v>0</v>
      </c>
      <c r="K999">
        <v>2835</v>
      </c>
      <c r="L999">
        <v>735</v>
      </c>
      <c r="M999">
        <v>0</v>
      </c>
      <c r="N999">
        <v>2100</v>
      </c>
      <c r="O999">
        <v>25.925925925925924</v>
      </c>
      <c r="P999" t="s">
        <v>2080</v>
      </c>
      <c r="Q999" t="s">
        <v>2092</v>
      </c>
    </row>
    <row r="1000" spans="1:17" x14ac:dyDescent="0.25">
      <c r="A1000" t="s">
        <v>1426</v>
      </c>
      <c r="B1000" s="18">
        <v>45832</v>
      </c>
      <c r="C1000" t="s">
        <v>2020</v>
      </c>
      <c r="D1000" t="s">
        <v>2040</v>
      </c>
      <c r="E1000" t="s">
        <v>2053</v>
      </c>
      <c r="F1000" t="s">
        <v>2060</v>
      </c>
      <c r="G1000">
        <v>6</v>
      </c>
      <c r="H1000">
        <v>350</v>
      </c>
      <c r="I1000">
        <v>455</v>
      </c>
      <c r="J1000">
        <v>15.58</v>
      </c>
      <c r="K1000">
        <v>2304.71</v>
      </c>
      <c r="L1000">
        <v>204.71</v>
      </c>
      <c r="M1000">
        <v>42533.4</v>
      </c>
      <c r="N1000">
        <v>2100</v>
      </c>
      <c r="O1000">
        <v>8.8822454885864168</v>
      </c>
      <c r="P1000" t="s">
        <v>2080</v>
      </c>
      <c r="Q1000" t="s">
        <v>2091</v>
      </c>
    </row>
    <row r="1001" spans="1:17" x14ac:dyDescent="0.25">
      <c r="A1001" t="s">
        <v>1528</v>
      </c>
      <c r="B1001" s="18">
        <v>45832</v>
      </c>
      <c r="C1001" t="s">
        <v>2013</v>
      </c>
      <c r="D1001" t="s">
        <v>2033</v>
      </c>
      <c r="E1001" t="s">
        <v>2053</v>
      </c>
      <c r="F1001" t="s">
        <v>2062</v>
      </c>
      <c r="G1001">
        <v>1</v>
      </c>
      <c r="H1001">
        <v>6500</v>
      </c>
      <c r="I1001">
        <v>7150</v>
      </c>
      <c r="J1001">
        <v>19.27</v>
      </c>
      <c r="K1001">
        <v>5771.91</v>
      </c>
      <c r="L1001">
        <v>-728.09</v>
      </c>
      <c r="M1001">
        <v>137780.5</v>
      </c>
      <c r="N1001">
        <v>6500</v>
      </c>
      <c r="O1001">
        <v>-12.614368553910232</v>
      </c>
      <c r="P1001" t="s">
        <v>2080</v>
      </c>
      <c r="Q1001" t="s">
        <v>2093</v>
      </c>
    </row>
    <row r="1002" spans="1:17" x14ac:dyDescent="0.25">
      <c r="A1002" t="s">
        <v>1536</v>
      </c>
      <c r="B1002" s="18">
        <v>45832</v>
      </c>
      <c r="C1002" t="s">
        <v>2018</v>
      </c>
      <c r="D1002" t="s">
        <v>2038</v>
      </c>
      <c r="E1002" t="s">
        <v>2053</v>
      </c>
      <c r="F1002" t="s">
        <v>2060</v>
      </c>
      <c r="G1002">
        <v>4</v>
      </c>
      <c r="H1002">
        <v>500</v>
      </c>
      <c r="I1002">
        <v>610</v>
      </c>
      <c r="J1002">
        <v>16.739999999999998</v>
      </c>
      <c r="K1002">
        <v>2031.44</v>
      </c>
      <c r="L1002">
        <v>31.44</v>
      </c>
      <c r="M1002">
        <v>40845.599999999999</v>
      </c>
      <c r="N1002">
        <v>2000</v>
      </c>
      <c r="O1002">
        <v>1.5476706178868194</v>
      </c>
      <c r="P1002" t="s">
        <v>2080</v>
      </c>
      <c r="Q1002" t="s">
        <v>2091</v>
      </c>
    </row>
    <row r="1003" spans="1:17" x14ac:dyDescent="0.25">
      <c r="A1003" t="s">
        <v>1604</v>
      </c>
      <c r="B1003" s="18">
        <v>45832</v>
      </c>
      <c r="C1003" t="s">
        <v>2013</v>
      </c>
      <c r="D1003" t="s">
        <v>2033</v>
      </c>
      <c r="E1003" t="s">
        <v>2053</v>
      </c>
      <c r="F1003" t="s">
        <v>2060</v>
      </c>
      <c r="G1003">
        <v>5</v>
      </c>
      <c r="H1003">
        <v>6500</v>
      </c>
      <c r="I1003">
        <v>7150</v>
      </c>
      <c r="J1003">
        <v>4</v>
      </c>
      <c r="K1003">
        <v>34320</v>
      </c>
      <c r="L1003">
        <v>1820</v>
      </c>
      <c r="M1003">
        <v>143000</v>
      </c>
      <c r="N1003">
        <v>32500</v>
      </c>
      <c r="O1003">
        <v>5.3030303030303028</v>
      </c>
      <c r="P1003" t="s">
        <v>2080</v>
      </c>
      <c r="Q1003" t="s">
        <v>2091</v>
      </c>
    </row>
    <row r="1004" spans="1:17" x14ac:dyDescent="0.25">
      <c r="A1004" t="s">
        <v>1919</v>
      </c>
      <c r="B1004" s="18">
        <v>45832</v>
      </c>
      <c r="C1004" t="s">
        <v>2014</v>
      </c>
      <c r="D1004" t="s">
        <v>2034</v>
      </c>
      <c r="E1004" t="s">
        <v>2052</v>
      </c>
      <c r="F1004" t="s">
        <v>2061</v>
      </c>
      <c r="G1004">
        <v>6</v>
      </c>
      <c r="H1004">
        <v>4500</v>
      </c>
      <c r="I1004">
        <v>5220</v>
      </c>
      <c r="J1004">
        <v>20.18</v>
      </c>
      <c r="K1004">
        <v>25000.84</v>
      </c>
      <c r="L1004">
        <v>-1999.16</v>
      </c>
      <c r="M1004">
        <v>632037.6</v>
      </c>
      <c r="N1004">
        <v>27000</v>
      </c>
      <c r="O1004">
        <v>-7.9963713219235828</v>
      </c>
      <c r="P1004" t="s">
        <v>2080</v>
      </c>
      <c r="Q1004" t="s">
        <v>2093</v>
      </c>
    </row>
    <row r="1005" spans="1:17" x14ac:dyDescent="0.25">
      <c r="A1005" t="s">
        <v>700</v>
      </c>
      <c r="B1005" s="18">
        <v>45833</v>
      </c>
      <c r="C1005" t="s">
        <v>2031</v>
      </c>
      <c r="D1005" t="s">
        <v>2051</v>
      </c>
      <c r="E1005" t="s">
        <v>2058</v>
      </c>
      <c r="F1005" t="s">
        <v>2061</v>
      </c>
      <c r="G1005">
        <v>3</v>
      </c>
      <c r="H1005">
        <v>3200</v>
      </c>
      <c r="I1005">
        <v>3840</v>
      </c>
      <c r="J1005">
        <v>19.399999999999999</v>
      </c>
      <c r="K1005">
        <v>9285.3700000000008</v>
      </c>
      <c r="L1005">
        <v>-314.63</v>
      </c>
      <c r="M1005">
        <v>223487.99999999997</v>
      </c>
      <c r="N1005">
        <v>9600</v>
      </c>
      <c r="O1005">
        <v>-3.3884487101752541</v>
      </c>
      <c r="P1005" t="s">
        <v>2080</v>
      </c>
      <c r="Q1005" t="s">
        <v>2093</v>
      </c>
    </row>
    <row r="1006" spans="1:17" x14ac:dyDescent="0.25">
      <c r="A1006" t="s">
        <v>761</v>
      </c>
      <c r="B1006" s="18">
        <v>45833</v>
      </c>
      <c r="C1006" t="s">
        <v>2019</v>
      </c>
      <c r="D1006" t="s">
        <v>2039</v>
      </c>
      <c r="E1006" t="s">
        <v>2053</v>
      </c>
      <c r="F1006" t="s">
        <v>2062</v>
      </c>
      <c r="G1006">
        <v>1</v>
      </c>
      <c r="H1006">
        <v>900</v>
      </c>
      <c r="I1006">
        <v>1152</v>
      </c>
      <c r="J1006">
        <v>10.45</v>
      </c>
      <c r="K1006">
        <v>1031.6199999999999</v>
      </c>
      <c r="L1006">
        <v>131.62</v>
      </c>
      <c r="M1006">
        <v>12038.4</v>
      </c>
      <c r="N1006">
        <v>900</v>
      </c>
      <c r="O1006">
        <v>12.758573893487915</v>
      </c>
      <c r="P1006" t="s">
        <v>2080</v>
      </c>
      <c r="Q1006" t="s">
        <v>2092</v>
      </c>
    </row>
    <row r="1007" spans="1:17" x14ac:dyDescent="0.25">
      <c r="A1007" t="s">
        <v>1103</v>
      </c>
      <c r="B1007" s="18">
        <v>45833</v>
      </c>
      <c r="C1007" t="s">
        <v>2014</v>
      </c>
      <c r="D1007" t="s">
        <v>2034</v>
      </c>
      <c r="E1007" t="s">
        <v>2052</v>
      </c>
      <c r="F1007" t="s">
        <v>2061</v>
      </c>
      <c r="G1007">
        <v>10</v>
      </c>
      <c r="H1007">
        <v>4500</v>
      </c>
      <c r="I1007">
        <v>5220</v>
      </c>
      <c r="J1007">
        <v>15.64</v>
      </c>
      <c r="K1007">
        <v>44033.62</v>
      </c>
      <c r="L1007">
        <v>-966.38</v>
      </c>
      <c r="M1007">
        <v>816408</v>
      </c>
      <c r="N1007">
        <v>45000</v>
      </c>
      <c r="O1007">
        <v>-2.1946412763701915</v>
      </c>
      <c r="P1007" t="s">
        <v>2080</v>
      </c>
      <c r="Q1007" t="s">
        <v>2093</v>
      </c>
    </row>
    <row r="1008" spans="1:17" x14ac:dyDescent="0.25">
      <c r="A1008" t="s">
        <v>610</v>
      </c>
      <c r="B1008" s="18">
        <v>45834</v>
      </c>
      <c r="C1008" t="s">
        <v>2014</v>
      </c>
      <c r="D1008" t="s">
        <v>2034</v>
      </c>
      <c r="E1008" t="s">
        <v>2052</v>
      </c>
      <c r="F1008" t="s">
        <v>2060</v>
      </c>
      <c r="G1008">
        <v>1</v>
      </c>
      <c r="H1008">
        <v>4500</v>
      </c>
      <c r="I1008">
        <v>5220</v>
      </c>
      <c r="J1008">
        <v>11.52</v>
      </c>
      <c r="K1008">
        <v>4618.6099999999997</v>
      </c>
      <c r="L1008">
        <v>118.61</v>
      </c>
      <c r="M1008">
        <v>60134.399999999994</v>
      </c>
      <c r="N1008">
        <v>4500</v>
      </c>
      <c r="O1008">
        <v>2.5680886673696199</v>
      </c>
      <c r="P1008" t="s">
        <v>2080</v>
      </c>
      <c r="Q1008" t="s">
        <v>2091</v>
      </c>
    </row>
    <row r="1009" spans="1:17" x14ac:dyDescent="0.25">
      <c r="A1009" t="s">
        <v>945</v>
      </c>
      <c r="B1009" s="18">
        <v>45834</v>
      </c>
      <c r="C1009" t="s">
        <v>2016</v>
      </c>
      <c r="D1009" t="s">
        <v>2036</v>
      </c>
      <c r="E1009" t="s">
        <v>2052</v>
      </c>
      <c r="F1009" t="s">
        <v>2060</v>
      </c>
      <c r="G1009">
        <v>4</v>
      </c>
      <c r="H1009">
        <v>900</v>
      </c>
      <c r="I1009">
        <v>1170</v>
      </c>
      <c r="J1009">
        <v>14.16</v>
      </c>
      <c r="K1009">
        <v>4017.23</v>
      </c>
      <c r="L1009">
        <v>417.23</v>
      </c>
      <c r="M1009">
        <v>66268.800000000003</v>
      </c>
      <c r="N1009">
        <v>3600</v>
      </c>
      <c r="O1009">
        <v>10.386012252223548</v>
      </c>
      <c r="P1009" t="s">
        <v>2080</v>
      </c>
      <c r="Q1009" t="s">
        <v>2092</v>
      </c>
    </row>
    <row r="1010" spans="1:17" x14ac:dyDescent="0.25">
      <c r="A1010" t="s">
        <v>1004</v>
      </c>
      <c r="B1010" s="18">
        <v>45834</v>
      </c>
      <c r="C1010" t="s">
        <v>2025</v>
      </c>
      <c r="D1010" t="s">
        <v>2045</v>
      </c>
      <c r="E1010" t="s">
        <v>2057</v>
      </c>
      <c r="F1010" t="s">
        <v>2060</v>
      </c>
      <c r="G1010">
        <v>3</v>
      </c>
      <c r="H1010">
        <v>45</v>
      </c>
      <c r="I1010">
        <v>63</v>
      </c>
      <c r="J1010">
        <v>18.93</v>
      </c>
      <c r="K1010">
        <v>153.22999999999999</v>
      </c>
      <c r="L1010">
        <v>18.23</v>
      </c>
      <c r="M1010">
        <v>3577.77</v>
      </c>
      <c r="N1010">
        <v>135</v>
      </c>
      <c r="O1010">
        <v>11.897148078052602</v>
      </c>
      <c r="P1010" t="s">
        <v>2080</v>
      </c>
      <c r="Q1010" t="s">
        <v>2092</v>
      </c>
    </row>
    <row r="1011" spans="1:17" x14ac:dyDescent="0.25">
      <c r="A1011" t="s">
        <v>1416</v>
      </c>
      <c r="B1011" s="18">
        <v>45834</v>
      </c>
      <c r="C1011" t="s">
        <v>2027</v>
      </c>
      <c r="D1011" t="s">
        <v>2047</v>
      </c>
      <c r="E1011" t="s">
        <v>2053</v>
      </c>
      <c r="F1011" t="s">
        <v>2061</v>
      </c>
      <c r="G1011">
        <v>8</v>
      </c>
      <c r="H1011">
        <v>1100</v>
      </c>
      <c r="I1011">
        <v>1298</v>
      </c>
      <c r="J1011">
        <v>3.76</v>
      </c>
      <c r="K1011">
        <v>9993.19</v>
      </c>
      <c r="L1011">
        <v>1193.19</v>
      </c>
      <c r="M1011">
        <v>39043.839999999997</v>
      </c>
      <c r="N1011">
        <v>8800</v>
      </c>
      <c r="O1011">
        <v>11.940031161220793</v>
      </c>
      <c r="P1011" t="s">
        <v>2080</v>
      </c>
      <c r="Q1011" t="s">
        <v>2092</v>
      </c>
    </row>
    <row r="1012" spans="1:17" x14ac:dyDescent="0.25">
      <c r="A1012" t="s">
        <v>145</v>
      </c>
      <c r="B1012" s="18">
        <v>45835</v>
      </c>
      <c r="C1012" t="s">
        <v>2020</v>
      </c>
      <c r="D1012" t="s">
        <v>2040</v>
      </c>
      <c r="E1012" t="s">
        <v>2053</v>
      </c>
      <c r="F1012" t="s">
        <v>2062</v>
      </c>
      <c r="G1012">
        <v>6</v>
      </c>
      <c r="H1012">
        <v>350</v>
      </c>
      <c r="I1012">
        <v>455</v>
      </c>
      <c r="J1012">
        <v>14.77</v>
      </c>
      <c r="K1012">
        <v>2326.64</v>
      </c>
      <c r="L1012">
        <v>226.64</v>
      </c>
      <c r="M1012">
        <v>40322.1</v>
      </c>
      <c r="N1012">
        <v>2100</v>
      </c>
      <c r="O1012">
        <v>9.7410858577175663</v>
      </c>
      <c r="P1012" t="s">
        <v>2080</v>
      </c>
      <c r="Q1012" t="s">
        <v>2091</v>
      </c>
    </row>
    <row r="1013" spans="1:17" x14ac:dyDescent="0.25">
      <c r="A1013" t="s">
        <v>170</v>
      </c>
      <c r="B1013" s="18">
        <v>45835</v>
      </c>
      <c r="C1013" t="s">
        <v>2028</v>
      </c>
      <c r="D1013" t="s">
        <v>2048</v>
      </c>
      <c r="E1013" t="s">
        <v>2057</v>
      </c>
      <c r="F1013" t="s">
        <v>2060</v>
      </c>
      <c r="G1013">
        <v>6</v>
      </c>
      <c r="H1013">
        <v>80</v>
      </c>
      <c r="I1013">
        <v>116</v>
      </c>
      <c r="J1013">
        <v>17.79</v>
      </c>
      <c r="K1013">
        <v>572.17999999999995</v>
      </c>
      <c r="L1013">
        <v>92.18</v>
      </c>
      <c r="M1013">
        <v>12381.84</v>
      </c>
      <c r="N1013">
        <v>480</v>
      </c>
      <c r="O1013">
        <v>16.11031493585935</v>
      </c>
      <c r="P1013" t="s">
        <v>2080</v>
      </c>
      <c r="Q1013" t="s">
        <v>2092</v>
      </c>
    </row>
    <row r="1014" spans="1:17" x14ac:dyDescent="0.25">
      <c r="A1014" t="s">
        <v>570</v>
      </c>
      <c r="B1014" s="18">
        <v>45835</v>
      </c>
      <c r="C1014" t="s">
        <v>2018</v>
      </c>
      <c r="D1014" t="s">
        <v>2038</v>
      </c>
      <c r="E1014" t="s">
        <v>2053</v>
      </c>
      <c r="F1014" t="s">
        <v>2061</v>
      </c>
      <c r="G1014">
        <v>10</v>
      </c>
      <c r="H1014">
        <v>500</v>
      </c>
      <c r="I1014">
        <v>610</v>
      </c>
      <c r="J1014">
        <v>14.12</v>
      </c>
      <c r="K1014">
        <v>5238.42</v>
      </c>
      <c r="L1014">
        <v>238.42</v>
      </c>
      <c r="M1014">
        <v>86132</v>
      </c>
      <c r="N1014">
        <v>5000</v>
      </c>
      <c r="O1014">
        <v>4.5513723603682017</v>
      </c>
      <c r="P1014" t="s">
        <v>2080</v>
      </c>
      <c r="Q1014" t="s">
        <v>2091</v>
      </c>
    </row>
    <row r="1015" spans="1:17" x14ac:dyDescent="0.25">
      <c r="A1015" t="s">
        <v>595</v>
      </c>
      <c r="B1015" s="18">
        <v>45835</v>
      </c>
      <c r="C1015" t="s">
        <v>2028</v>
      </c>
      <c r="D1015" t="s">
        <v>2048</v>
      </c>
      <c r="E1015" t="s">
        <v>2057</v>
      </c>
      <c r="F1015" t="s">
        <v>2059</v>
      </c>
      <c r="G1015">
        <v>5</v>
      </c>
      <c r="H1015">
        <v>80</v>
      </c>
      <c r="I1015">
        <v>116</v>
      </c>
      <c r="J1015">
        <v>11.01</v>
      </c>
      <c r="K1015">
        <v>516.16</v>
      </c>
      <c r="L1015">
        <v>116.16</v>
      </c>
      <c r="M1015">
        <v>6385.8</v>
      </c>
      <c r="N1015">
        <v>400</v>
      </c>
      <c r="O1015">
        <v>22.50464972101674</v>
      </c>
      <c r="P1015" t="s">
        <v>2080</v>
      </c>
      <c r="Q1015" t="s">
        <v>2092</v>
      </c>
    </row>
    <row r="1016" spans="1:17" x14ac:dyDescent="0.25">
      <c r="A1016" t="s">
        <v>669</v>
      </c>
      <c r="B1016" s="18">
        <v>45835</v>
      </c>
      <c r="C1016" t="s">
        <v>2020</v>
      </c>
      <c r="D1016" t="s">
        <v>2040</v>
      </c>
      <c r="E1016" t="s">
        <v>2053</v>
      </c>
      <c r="F1016" t="s">
        <v>2059</v>
      </c>
      <c r="G1016">
        <v>9</v>
      </c>
      <c r="H1016">
        <v>350</v>
      </c>
      <c r="I1016">
        <v>455</v>
      </c>
      <c r="J1016">
        <v>5.51</v>
      </c>
      <c r="K1016">
        <v>3869.26</v>
      </c>
      <c r="L1016">
        <v>719.26</v>
      </c>
      <c r="M1016">
        <v>22563.45</v>
      </c>
      <c r="N1016">
        <v>3150</v>
      </c>
      <c r="O1016">
        <v>18.589084217654019</v>
      </c>
      <c r="P1016" t="s">
        <v>2080</v>
      </c>
      <c r="Q1016" t="s">
        <v>2092</v>
      </c>
    </row>
    <row r="1017" spans="1:17" x14ac:dyDescent="0.25">
      <c r="A1017" t="s">
        <v>1366</v>
      </c>
      <c r="B1017" s="18">
        <v>45835</v>
      </c>
      <c r="C1017" t="s">
        <v>2019</v>
      </c>
      <c r="D1017" t="s">
        <v>2039</v>
      </c>
      <c r="E1017" t="s">
        <v>2053</v>
      </c>
      <c r="F1017" t="s">
        <v>2059</v>
      </c>
      <c r="G1017">
        <v>1</v>
      </c>
      <c r="H1017">
        <v>900</v>
      </c>
      <c r="I1017">
        <v>1152</v>
      </c>
      <c r="J1017">
        <v>0</v>
      </c>
      <c r="K1017">
        <v>1152</v>
      </c>
      <c r="L1017">
        <v>252</v>
      </c>
      <c r="M1017">
        <v>0</v>
      </c>
      <c r="N1017">
        <v>900</v>
      </c>
      <c r="O1017">
        <v>21.875</v>
      </c>
      <c r="P1017" t="s">
        <v>2080</v>
      </c>
      <c r="Q1017" t="s">
        <v>2092</v>
      </c>
    </row>
    <row r="1018" spans="1:17" x14ac:dyDescent="0.25">
      <c r="A1018" t="s">
        <v>909</v>
      </c>
      <c r="B1018" s="18">
        <v>45836</v>
      </c>
      <c r="C1018" t="s">
        <v>2016</v>
      </c>
      <c r="D1018" t="s">
        <v>2036</v>
      </c>
      <c r="E1018" t="s">
        <v>2052</v>
      </c>
      <c r="F1018" t="s">
        <v>2060</v>
      </c>
      <c r="G1018">
        <v>8</v>
      </c>
      <c r="H1018">
        <v>900</v>
      </c>
      <c r="I1018">
        <v>1170</v>
      </c>
      <c r="J1018">
        <v>15.35</v>
      </c>
      <c r="K1018">
        <v>7923.23</v>
      </c>
      <c r="L1018">
        <v>723.23</v>
      </c>
      <c r="M1018">
        <v>143676</v>
      </c>
      <c r="N1018">
        <v>7200</v>
      </c>
      <c r="O1018">
        <v>9.1279692751567243</v>
      </c>
      <c r="P1018" t="s">
        <v>2080</v>
      </c>
      <c r="Q1018" t="s">
        <v>2091</v>
      </c>
    </row>
    <row r="1019" spans="1:17" x14ac:dyDescent="0.25">
      <c r="A1019" t="s">
        <v>1228</v>
      </c>
      <c r="B1019" s="18">
        <v>45836</v>
      </c>
      <c r="C1019" t="s">
        <v>2026</v>
      </c>
      <c r="D1019" t="s">
        <v>2046</v>
      </c>
      <c r="E1019" t="s">
        <v>2052</v>
      </c>
      <c r="F1019" t="s">
        <v>2060</v>
      </c>
      <c r="G1019">
        <v>7</v>
      </c>
      <c r="H1019">
        <v>3000</v>
      </c>
      <c r="I1019">
        <v>3600</v>
      </c>
      <c r="J1019">
        <v>6.18</v>
      </c>
      <c r="K1019">
        <v>23641.81</v>
      </c>
      <c r="L1019">
        <v>2641.81</v>
      </c>
      <c r="M1019">
        <v>155736</v>
      </c>
      <c r="N1019">
        <v>21000</v>
      </c>
      <c r="O1019">
        <v>11.174313641806611</v>
      </c>
      <c r="P1019" t="s">
        <v>2080</v>
      </c>
      <c r="Q1019" t="s">
        <v>2092</v>
      </c>
    </row>
    <row r="1020" spans="1:17" x14ac:dyDescent="0.25">
      <c r="A1020" t="s">
        <v>1420</v>
      </c>
      <c r="B1020" s="18">
        <v>45836</v>
      </c>
      <c r="C1020" t="s">
        <v>2025</v>
      </c>
      <c r="D1020" t="s">
        <v>2045</v>
      </c>
      <c r="E1020" t="s">
        <v>2057</v>
      </c>
      <c r="F1020" t="s">
        <v>2059</v>
      </c>
      <c r="G1020">
        <v>7</v>
      </c>
      <c r="H1020">
        <v>45</v>
      </c>
      <c r="I1020">
        <v>63</v>
      </c>
      <c r="J1020">
        <v>24.37</v>
      </c>
      <c r="K1020">
        <v>333.53</v>
      </c>
      <c r="L1020">
        <v>18.53</v>
      </c>
      <c r="M1020">
        <v>10747.17</v>
      </c>
      <c r="N1020">
        <v>315</v>
      </c>
      <c r="O1020">
        <v>5.5557221239468717</v>
      </c>
      <c r="P1020" t="s">
        <v>2080</v>
      </c>
      <c r="Q1020" t="s">
        <v>2091</v>
      </c>
    </row>
    <row r="1021" spans="1:17" x14ac:dyDescent="0.25">
      <c r="A1021" t="s">
        <v>1841</v>
      </c>
      <c r="B1021" s="18">
        <v>45836</v>
      </c>
      <c r="C1021" t="s">
        <v>2022</v>
      </c>
      <c r="D1021" t="s">
        <v>2042</v>
      </c>
      <c r="E1021" t="s">
        <v>2053</v>
      </c>
      <c r="F1021" t="s">
        <v>2059</v>
      </c>
      <c r="G1021">
        <v>3</v>
      </c>
      <c r="H1021">
        <v>8500</v>
      </c>
      <c r="I1021">
        <v>9520</v>
      </c>
      <c r="J1021">
        <v>16.829999999999998</v>
      </c>
      <c r="K1021">
        <v>23753.02</v>
      </c>
      <c r="L1021">
        <v>-1746.98</v>
      </c>
      <c r="M1021">
        <v>480664.79999999993</v>
      </c>
      <c r="N1021">
        <v>25500</v>
      </c>
      <c r="O1021">
        <v>-7.3547700460825611</v>
      </c>
      <c r="P1021" t="s">
        <v>2080</v>
      </c>
      <c r="Q1021" t="s">
        <v>2093</v>
      </c>
    </row>
    <row r="1022" spans="1:17" x14ac:dyDescent="0.25">
      <c r="A1022" t="s">
        <v>1967</v>
      </c>
      <c r="B1022" s="18">
        <v>45836</v>
      </c>
      <c r="C1022" t="s">
        <v>2028</v>
      </c>
      <c r="D1022" t="s">
        <v>2048</v>
      </c>
      <c r="E1022" t="s">
        <v>2057</v>
      </c>
      <c r="F1022" t="s">
        <v>2060</v>
      </c>
      <c r="G1022">
        <v>8</v>
      </c>
      <c r="H1022">
        <v>80</v>
      </c>
      <c r="I1022">
        <v>116</v>
      </c>
      <c r="J1022">
        <v>10.91</v>
      </c>
      <c r="K1022">
        <v>826.71</v>
      </c>
      <c r="L1022">
        <v>186.71</v>
      </c>
      <c r="M1022">
        <v>10124.48</v>
      </c>
      <c r="N1022">
        <v>640</v>
      </c>
      <c r="O1022">
        <v>22.584703221202115</v>
      </c>
      <c r="P1022" t="s">
        <v>2080</v>
      </c>
      <c r="Q1022" t="s">
        <v>2092</v>
      </c>
    </row>
    <row r="1023" spans="1:17" x14ac:dyDescent="0.25">
      <c r="A1023" t="s">
        <v>66</v>
      </c>
      <c r="B1023" s="18">
        <v>45837</v>
      </c>
      <c r="C1023" t="s">
        <v>2025</v>
      </c>
      <c r="D1023" t="s">
        <v>2045</v>
      </c>
      <c r="E1023" t="s">
        <v>2057</v>
      </c>
      <c r="F1023" t="s">
        <v>2060</v>
      </c>
      <c r="G1023">
        <v>10</v>
      </c>
      <c r="H1023">
        <v>45</v>
      </c>
      <c r="I1023">
        <v>63</v>
      </c>
      <c r="J1023">
        <v>6.16</v>
      </c>
      <c r="K1023">
        <v>591.16999999999996</v>
      </c>
      <c r="L1023">
        <v>141.16999999999999</v>
      </c>
      <c r="M1023">
        <v>3880.8</v>
      </c>
      <c r="N1023">
        <v>450</v>
      </c>
      <c r="O1023">
        <v>23.879763858111879</v>
      </c>
      <c r="P1023" t="s">
        <v>2080</v>
      </c>
      <c r="Q1023" t="s">
        <v>2092</v>
      </c>
    </row>
    <row r="1024" spans="1:17" x14ac:dyDescent="0.25">
      <c r="A1024" t="s">
        <v>753</v>
      </c>
      <c r="B1024" s="18">
        <v>45837</v>
      </c>
      <c r="C1024" t="s">
        <v>2019</v>
      </c>
      <c r="D1024" t="s">
        <v>2039</v>
      </c>
      <c r="E1024" t="s">
        <v>2053</v>
      </c>
      <c r="F1024" t="s">
        <v>2061</v>
      </c>
      <c r="G1024">
        <v>5</v>
      </c>
      <c r="H1024">
        <v>900</v>
      </c>
      <c r="I1024">
        <v>1152</v>
      </c>
      <c r="J1024">
        <v>11.51</v>
      </c>
      <c r="K1024">
        <v>5096.9799999999996</v>
      </c>
      <c r="L1024">
        <v>596.98</v>
      </c>
      <c r="M1024">
        <v>66297.600000000006</v>
      </c>
      <c r="N1024">
        <v>4500</v>
      </c>
      <c r="O1024">
        <v>11.712425789389012</v>
      </c>
      <c r="P1024" t="s">
        <v>2080</v>
      </c>
      <c r="Q1024" t="s">
        <v>2092</v>
      </c>
    </row>
    <row r="1025" spans="1:17" x14ac:dyDescent="0.25">
      <c r="A1025" t="s">
        <v>197</v>
      </c>
      <c r="B1025" s="18">
        <v>45838</v>
      </c>
      <c r="C1025" t="s">
        <v>2027</v>
      </c>
      <c r="D1025" t="s">
        <v>2047</v>
      </c>
      <c r="E1025" t="s">
        <v>2053</v>
      </c>
      <c r="F1025" t="s">
        <v>2059</v>
      </c>
      <c r="G1025">
        <v>1</v>
      </c>
      <c r="H1025">
        <v>1100</v>
      </c>
      <c r="I1025">
        <v>1298</v>
      </c>
      <c r="J1025">
        <v>22.32</v>
      </c>
      <c r="K1025">
        <v>1008.31</v>
      </c>
      <c r="L1025">
        <v>-91.69</v>
      </c>
      <c r="M1025">
        <v>28971.360000000001</v>
      </c>
      <c r="N1025">
        <v>1100</v>
      </c>
      <c r="O1025">
        <v>-9.0934335670577493</v>
      </c>
      <c r="P1025" t="s">
        <v>2080</v>
      </c>
      <c r="Q1025" t="s">
        <v>2093</v>
      </c>
    </row>
    <row r="1026" spans="1:17" x14ac:dyDescent="0.25">
      <c r="A1026" t="s">
        <v>303</v>
      </c>
      <c r="B1026" s="18">
        <v>45838</v>
      </c>
      <c r="C1026" t="s">
        <v>2027</v>
      </c>
      <c r="D1026" t="s">
        <v>2047</v>
      </c>
      <c r="E1026" t="s">
        <v>2053</v>
      </c>
      <c r="F1026" t="s">
        <v>2061</v>
      </c>
      <c r="G1026">
        <v>9</v>
      </c>
      <c r="H1026">
        <v>1100</v>
      </c>
      <c r="I1026">
        <v>1298</v>
      </c>
      <c r="J1026">
        <v>5.62</v>
      </c>
      <c r="K1026">
        <v>11025.71</v>
      </c>
      <c r="L1026">
        <v>1125.71</v>
      </c>
      <c r="M1026">
        <v>65652.84</v>
      </c>
      <c r="N1026">
        <v>9900</v>
      </c>
      <c r="O1026">
        <v>10.209864035966845</v>
      </c>
      <c r="P1026" t="s">
        <v>2080</v>
      </c>
      <c r="Q1026" t="s">
        <v>2092</v>
      </c>
    </row>
    <row r="1027" spans="1:17" x14ac:dyDescent="0.25">
      <c r="A1027" t="s">
        <v>1533</v>
      </c>
      <c r="B1027" s="18">
        <v>45838</v>
      </c>
      <c r="C1027" t="s">
        <v>2024</v>
      </c>
      <c r="D1027" t="s">
        <v>2044</v>
      </c>
      <c r="E1027" t="s">
        <v>2055</v>
      </c>
      <c r="F1027" t="s">
        <v>2062</v>
      </c>
      <c r="G1027">
        <v>4</v>
      </c>
      <c r="H1027">
        <v>180</v>
      </c>
      <c r="I1027">
        <v>243</v>
      </c>
      <c r="J1027">
        <v>10.99</v>
      </c>
      <c r="K1027">
        <v>865.15</v>
      </c>
      <c r="L1027">
        <v>145.15</v>
      </c>
      <c r="M1027">
        <v>10682.28</v>
      </c>
      <c r="N1027">
        <v>720</v>
      </c>
      <c r="O1027">
        <v>16.777437438594465</v>
      </c>
      <c r="P1027" t="s">
        <v>2080</v>
      </c>
      <c r="Q1027" t="s">
        <v>2092</v>
      </c>
    </row>
    <row r="1028" spans="1:17" x14ac:dyDescent="0.25">
      <c r="A1028" t="s">
        <v>1598</v>
      </c>
      <c r="B1028" s="18">
        <v>45838</v>
      </c>
      <c r="C1028" t="s">
        <v>2028</v>
      </c>
      <c r="D1028" t="s">
        <v>2048</v>
      </c>
      <c r="E1028" t="s">
        <v>2057</v>
      </c>
      <c r="F1028" t="s">
        <v>2060</v>
      </c>
      <c r="G1028">
        <v>3</v>
      </c>
      <c r="H1028">
        <v>80</v>
      </c>
      <c r="I1028">
        <v>116</v>
      </c>
      <c r="J1028">
        <v>0</v>
      </c>
      <c r="K1028">
        <v>348</v>
      </c>
      <c r="L1028">
        <v>108</v>
      </c>
      <c r="M1028">
        <v>0</v>
      </c>
      <c r="N1028">
        <v>240</v>
      </c>
      <c r="O1028">
        <v>31.03448275862069</v>
      </c>
      <c r="P1028" t="s">
        <v>2080</v>
      </c>
      <c r="Q1028" t="s">
        <v>2092</v>
      </c>
    </row>
    <row r="1029" spans="1:17" x14ac:dyDescent="0.25">
      <c r="A1029" t="s">
        <v>1752</v>
      </c>
      <c r="B1029" s="18">
        <v>45838</v>
      </c>
      <c r="C1029" t="s">
        <v>2025</v>
      </c>
      <c r="D1029" t="s">
        <v>2045</v>
      </c>
      <c r="E1029" t="s">
        <v>2057</v>
      </c>
      <c r="F1029" t="s">
        <v>2060</v>
      </c>
      <c r="G1029">
        <v>8</v>
      </c>
      <c r="H1029">
        <v>45</v>
      </c>
      <c r="I1029">
        <v>63</v>
      </c>
      <c r="J1029">
        <v>23.2</v>
      </c>
      <c r="K1029">
        <v>387.08</v>
      </c>
      <c r="L1029">
        <v>27.08</v>
      </c>
      <c r="M1029">
        <v>11692.8</v>
      </c>
      <c r="N1029">
        <v>360</v>
      </c>
      <c r="O1029">
        <v>6.9959698253590981</v>
      </c>
      <c r="P1029" t="s">
        <v>2080</v>
      </c>
      <c r="Q1029" t="s">
        <v>2091</v>
      </c>
    </row>
    <row r="1030" spans="1:17" x14ac:dyDescent="0.25">
      <c r="A1030" t="s">
        <v>1816</v>
      </c>
      <c r="B1030" s="18">
        <v>45838</v>
      </c>
      <c r="C1030" t="s">
        <v>2030</v>
      </c>
      <c r="D1030" t="s">
        <v>2050</v>
      </c>
      <c r="E1030" t="s">
        <v>2058</v>
      </c>
      <c r="F1030" t="s">
        <v>2060</v>
      </c>
      <c r="G1030">
        <v>7</v>
      </c>
      <c r="H1030">
        <v>1800</v>
      </c>
      <c r="I1030">
        <v>2124</v>
      </c>
      <c r="J1030">
        <v>4</v>
      </c>
      <c r="K1030">
        <v>14273.28</v>
      </c>
      <c r="L1030">
        <v>1673.28</v>
      </c>
      <c r="M1030">
        <v>59472</v>
      </c>
      <c r="N1030">
        <v>12600</v>
      </c>
      <c r="O1030">
        <v>11.723163841807908</v>
      </c>
      <c r="P1030" t="s">
        <v>2080</v>
      </c>
      <c r="Q1030" t="s">
        <v>2092</v>
      </c>
    </row>
    <row r="1031" spans="1:17" x14ac:dyDescent="0.25">
      <c r="A1031" t="s">
        <v>1824</v>
      </c>
      <c r="B1031" s="18">
        <v>45838</v>
      </c>
      <c r="C1031" t="s">
        <v>2028</v>
      </c>
      <c r="D1031" t="s">
        <v>2048</v>
      </c>
      <c r="E1031" t="s">
        <v>2057</v>
      </c>
      <c r="F1031" t="s">
        <v>2062</v>
      </c>
      <c r="G1031">
        <v>9</v>
      </c>
      <c r="H1031">
        <v>80</v>
      </c>
      <c r="I1031">
        <v>116</v>
      </c>
      <c r="J1031">
        <v>23.07</v>
      </c>
      <c r="K1031">
        <v>803.13</v>
      </c>
      <c r="L1031">
        <v>83.13</v>
      </c>
      <c r="M1031">
        <v>24085.08</v>
      </c>
      <c r="N1031">
        <v>720</v>
      </c>
      <c r="O1031">
        <v>10.350752680138955</v>
      </c>
      <c r="P1031" t="s">
        <v>2080</v>
      </c>
      <c r="Q1031" t="s">
        <v>2092</v>
      </c>
    </row>
    <row r="1032" spans="1:17" x14ac:dyDescent="0.25">
      <c r="A1032" t="s">
        <v>533</v>
      </c>
      <c r="B1032" s="18">
        <v>45839</v>
      </c>
      <c r="C1032" t="s">
        <v>2031</v>
      </c>
      <c r="D1032" t="s">
        <v>2051</v>
      </c>
      <c r="E1032" t="s">
        <v>2058</v>
      </c>
      <c r="F1032" t="s">
        <v>2061</v>
      </c>
      <c r="G1032">
        <v>7</v>
      </c>
      <c r="H1032">
        <v>3200</v>
      </c>
      <c r="I1032">
        <v>3840</v>
      </c>
      <c r="J1032">
        <v>16.36</v>
      </c>
      <c r="K1032">
        <v>22482.71</v>
      </c>
      <c r="L1032">
        <v>82.71</v>
      </c>
      <c r="M1032">
        <v>439756.79999999999</v>
      </c>
      <c r="N1032">
        <v>22400</v>
      </c>
      <c r="O1032">
        <v>0.36788269741503582</v>
      </c>
      <c r="P1032" t="s">
        <v>2081</v>
      </c>
      <c r="Q1032" t="s">
        <v>2091</v>
      </c>
    </row>
    <row r="1033" spans="1:17" x14ac:dyDescent="0.25">
      <c r="A1033" t="s">
        <v>553</v>
      </c>
      <c r="B1033" s="18">
        <v>45839</v>
      </c>
      <c r="C1033" t="s">
        <v>2016</v>
      </c>
      <c r="D1033" t="s">
        <v>2036</v>
      </c>
      <c r="E1033" t="s">
        <v>2052</v>
      </c>
      <c r="F1033" t="s">
        <v>2061</v>
      </c>
      <c r="G1033">
        <v>8</v>
      </c>
      <c r="H1033">
        <v>900</v>
      </c>
      <c r="I1033">
        <v>1170</v>
      </c>
      <c r="J1033">
        <v>14.81</v>
      </c>
      <c r="K1033">
        <v>7973.57</v>
      </c>
      <c r="L1033">
        <v>773.57</v>
      </c>
      <c r="M1033">
        <v>138621.6</v>
      </c>
      <c r="N1033">
        <v>7200</v>
      </c>
      <c r="O1033">
        <v>9.7016769151082904</v>
      </c>
      <c r="P1033" t="s">
        <v>2081</v>
      </c>
      <c r="Q1033" t="s">
        <v>2091</v>
      </c>
    </row>
    <row r="1034" spans="1:17" x14ac:dyDescent="0.25">
      <c r="A1034" t="s">
        <v>1515</v>
      </c>
      <c r="B1034" s="18">
        <v>45839</v>
      </c>
      <c r="C1034" t="s">
        <v>2026</v>
      </c>
      <c r="D1034" t="s">
        <v>2046</v>
      </c>
      <c r="E1034" t="s">
        <v>2052</v>
      </c>
      <c r="F1034" t="s">
        <v>2061</v>
      </c>
      <c r="G1034">
        <v>9</v>
      </c>
      <c r="H1034">
        <v>3000</v>
      </c>
      <c r="I1034">
        <v>3600</v>
      </c>
      <c r="J1034">
        <v>8.1199999999999992</v>
      </c>
      <c r="K1034">
        <v>29770</v>
      </c>
      <c r="L1034">
        <v>2770</v>
      </c>
      <c r="M1034">
        <v>263088</v>
      </c>
      <c r="N1034">
        <v>27000</v>
      </c>
      <c r="O1034">
        <v>9.3046691299966415</v>
      </c>
      <c r="P1034" t="s">
        <v>2081</v>
      </c>
      <c r="Q1034" t="s">
        <v>2091</v>
      </c>
    </row>
    <row r="1035" spans="1:17" x14ac:dyDescent="0.25">
      <c r="A1035" t="s">
        <v>1996</v>
      </c>
      <c r="B1035" s="18">
        <v>45839</v>
      </c>
      <c r="C1035" t="s">
        <v>2021</v>
      </c>
      <c r="D1035" t="s">
        <v>2041</v>
      </c>
      <c r="E1035" t="s">
        <v>2056</v>
      </c>
      <c r="F1035" t="s">
        <v>2062</v>
      </c>
      <c r="G1035">
        <v>6</v>
      </c>
      <c r="H1035">
        <v>300</v>
      </c>
      <c r="I1035">
        <v>405</v>
      </c>
      <c r="J1035">
        <v>4</v>
      </c>
      <c r="K1035">
        <v>2332.7199999999998</v>
      </c>
      <c r="L1035">
        <v>532.72</v>
      </c>
      <c r="M1035">
        <v>9720</v>
      </c>
      <c r="N1035">
        <v>1800</v>
      </c>
      <c r="O1035">
        <v>22.836859974621902</v>
      </c>
      <c r="P1035" t="s">
        <v>2081</v>
      </c>
      <c r="Q1035" t="s">
        <v>2092</v>
      </c>
    </row>
    <row r="1036" spans="1:17" x14ac:dyDescent="0.25">
      <c r="A1036" t="s">
        <v>183</v>
      </c>
      <c r="B1036" s="18">
        <v>45840</v>
      </c>
      <c r="C1036" t="s">
        <v>2024</v>
      </c>
      <c r="D1036" t="s">
        <v>2044</v>
      </c>
      <c r="E1036" t="s">
        <v>2055</v>
      </c>
      <c r="F1036" t="s">
        <v>2060</v>
      </c>
      <c r="G1036">
        <v>6</v>
      </c>
      <c r="H1036">
        <v>180</v>
      </c>
      <c r="I1036">
        <v>243</v>
      </c>
      <c r="J1036">
        <v>7.79</v>
      </c>
      <c r="K1036">
        <v>1344.36</v>
      </c>
      <c r="L1036">
        <v>264.36</v>
      </c>
      <c r="M1036">
        <v>11357.82</v>
      </c>
      <c r="N1036">
        <v>1080</v>
      </c>
      <c r="O1036">
        <v>19.664375613674913</v>
      </c>
      <c r="P1036" t="s">
        <v>2081</v>
      </c>
      <c r="Q1036" t="s">
        <v>2092</v>
      </c>
    </row>
    <row r="1037" spans="1:17" x14ac:dyDescent="0.25">
      <c r="A1037" t="s">
        <v>206</v>
      </c>
      <c r="B1037" s="18">
        <v>45840</v>
      </c>
      <c r="C1037" t="s">
        <v>2022</v>
      </c>
      <c r="D1037" t="s">
        <v>2042</v>
      </c>
      <c r="E1037" t="s">
        <v>2053</v>
      </c>
      <c r="F1037" t="s">
        <v>2061</v>
      </c>
      <c r="G1037">
        <v>8</v>
      </c>
      <c r="H1037">
        <v>8500</v>
      </c>
      <c r="I1037">
        <v>9520</v>
      </c>
      <c r="J1037">
        <v>10.96</v>
      </c>
      <c r="K1037">
        <v>67815.47</v>
      </c>
      <c r="L1037">
        <v>-184.53</v>
      </c>
      <c r="M1037">
        <v>834713.60000000009</v>
      </c>
      <c r="N1037">
        <v>68000</v>
      </c>
      <c r="O1037">
        <v>-0.27210605485739464</v>
      </c>
      <c r="P1037" t="s">
        <v>2081</v>
      </c>
      <c r="Q1037" t="s">
        <v>2093</v>
      </c>
    </row>
    <row r="1038" spans="1:17" x14ac:dyDescent="0.25">
      <c r="A1038" t="s">
        <v>313</v>
      </c>
      <c r="B1038" s="18">
        <v>45840</v>
      </c>
      <c r="C1038" t="s">
        <v>2019</v>
      </c>
      <c r="D1038" t="s">
        <v>2039</v>
      </c>
      <c r="E1038" t="s">
        <v>2053</v>
      </c>
      <c r="F1038" t="s">
        <v>2061</v>
      </c>
      <c r="G1038">
        <v>9</v>
      </c>
      <c r="H1038">
        <v>900</v>
      </c>
      <c r="I1038">
        <v>1152</v>
      </c>
      <c r="J1038">
        <v>14.16</v>
      </c>
      <c r="K1038">
        <v>8899.5400000000009</v>
      </c>
      <c r="L1038">
        <v>799.54</v>
      </c>
      <c r="M1038">
        <v>146810.88</v>
      </c>
      <c r="N1038">
        <v>8100</v>
      </c>
      <c r="O1038">
        <v>8.984059850284396</v>
      </c>
      <c r="P1038" t="s">
        <v>2081</v>
      </c>
      <c r="Q1038" t="s">
        <v>2091</v>
      </c>
    </row>
    <row r="1039" spans="1:17" x14ac:dyDescent="0.25">
      <c r="A1039" t="s">
        <v>469</v>
      </c>
      <c r="B1039" s="18">
        <v>45840</v>
      </c>
      <c r="C1039" t="s">
        <v>2024</v>
      </c>
      <c r="D1039" t="s">
        <v>2044</v>
      </c>
      <c r="E1039" t="s">
        <v>2055</v>
      </c>
      <c r="F1039" t="s">
        <v>2059</v>
      </c>
      <c r="G1039">
        <v>2</v>
      </c>
      <c r="H1039">
        <v>180</v>
      </c>
      <c r="I1039">
        <v>243</v>
      </c>
      <c r="J1039">
        <v>10.33</v>
      </c>
      <c r="K1039">
        <v>435.8</v>
      </c>
      <c r="L1039">
        <v>75.8</v>
      </c>
      <c r="M1039">
        <v>5020.38</v>
      </c>
      <c r="N1039">
        <v>360</v>
      </c>
      <c r="O1039">
        <v>17.39329967875172</v>
      </c>
      <c r="P1039" t="s">
        <v>2081</v>
      </c>
      <c r="Q1039" t="s">
        <v>2092</v>
      </c>
    </row>
    <row r="1040" spans="1:17" x14ac:dyDescent="0.25">
      <c r="A1040" t="s">
        <v>471</v>
      </c>
      <c r="B1040" s="18">
        <v>45840</v>
      </c>
      <c r="C1040" t="s">
        <v>2027</v>
      </c>
      <c r="D1040" t="s">
        <v>2047</v>
      </c>
      <c r="E1040" t="s">
        <v>2053</v>
      </c>
      <c r="F1040" t="s">
        <v>2062</v>
      </c>
      <c r="G1040">
        <v>4</v>
      </c>
      <c r="H1040">
        <v>1100</v>
      </c>
      <c r="I1040">
        <v>1298</v>
      </c>
      <c r="J1040">
        <v>6.41</v>
      </c>
      <c r="K1040">
        <v>4859.09</v>
      </c>
      <c r="L1040">
        <v>459.09</v>
      </c>
      <c r="M1040">
        <v>33280.720000000001</v>
      </c>
      <c r="N1040">
        <v>4400</v>
      </c>
      <c r="O1040">
        <v>9.4480653784967963</v>
      </c>
      <c r="P1040" t="s">
        <v>2081</v>
      </c>
      <c r="Q1040" t="s">
        <v>2091</v>
      </c>
    </row>
    <row r="1041" spans="1:17" x14ac:dyDescent="0.25">
      <c r="A1041" t="s">
        <v>869</v>
      </c>
      <c r="B1041" s="18">
        <v>45840</v>
      </c>
      <c r="C1041" t="s">
        <v>2021</v>
      </c>
      <c r="D1041" t="s">
        <v>2041</v>
      </c>
      <c r="E1041" t="s">
        <v>2056</v>
      </c>
      <c r="F1041" t="s">
        <v>2061</v>
      </c>
      <c r="G1041">
        <v>7</v>
      </c>
      <c r="H1041">
        <v>300</v>
      </c>
      <c r="I1041">
        <v>405</v>
      </c>
      <c r="J1041">
        <v>11.13</v>
      </c>
      <c r="K1041">
        <v>2519.37</v>
      </c>
      <c r="L1041">
        <v>419.37</v>
      </c>
      <c r="M1041">
        <v>31553.550000000003</v>
      </c>
      <c r="N1041">
        <v>2100</v>
      </c>
      <c r="O1041">
        <v>16.645828123697591</v>
      </c>
      <c r="P1041" t="s">
        <v>2081</v>
      </c>
      <c r="Q1041" t="s">
        <v>2092</v>
      </c>
    </row>
    <row r="1042" spans="1:17" x14ac:dyDescent="0.25">
      <c r="A1042" t="s">
        <v>974</v>
      </c>
      <c r="B1042" s="18">
        <v>45840</v>
      </c>
      <c r="C1042" t="s">
        <v>2016</v>
      </c>
      <c r="D1042" t="s">
        <v>2036</v>
      </c>
      <c r="E1042" t="s">
        <v>2052</v>
      </c>
      <c r="F1042" t="s">
        <v>2059</v>
      </c>
      <c r="G1042">
        <v>6</v>
      </c>
      <c r="H1042">
        <v>900</v>
      </c>
      <c r="I1042">
        <v>1170</v>
      </c>
      <c r="J1042">
        <v>0.76</v>
      </c>
      <c r="K1042">
        <v>6966.74</v>
      </c>
      <c r="L1042">
        <v>1566.74</v>
      </c>
      <c r="M1042">
        <v>5335.2</v>
      </c>
      <c r="N1042">
        <v>5400</v>
      </c>
      <c r="O1042">
        <v>22.488854184310021</v>
      </c>
      <c r="P1042" t="s">
        <v>2081</v>
      </c>
      <c r="Q1042" t="s">
        <v>2092</v>
      </c>
    </row>
    <row r="1043" spans="1:17" x14ac:dyDescent="0.25">
      <c r="A1043" t="s">
        <v>1218</v>
      </c>
      <c r="B1043" s="18">
        <v>45840</v>
      </c>
      <c r="C1043" t="s">
        <v>2024</v>
      </c>
      <c r="D1043" t="s">
        <v>2044</v>
      </c>
      <c r="E1043" t="s">
        <v>2055</v>
      </c>
      <c r="F1043" t="s">
        <v>2062</v>
      </c>
      <c r="G1043">
        <v>5</v>
      </c>
      <c r="H1043">
        <v>180</v>
      </c>
      <c r="I1043">
        <v>243</v>
      </c>
      <c r="J1043">
        <v>0</v>
      </c>
      <c r="K1043">
        <v>1215</v>
      </c>
      <c r="L1043">
        <v>315</v>
      </c>
      <c r="M1043">
        <v>0</v>
      </c>
      <c r="N1043">
        <v>900</v>
      </c>
      <c r="O1043">
        <v>25.925925925925924</v>
      </c>
      <c r="P1043" t="s">
        <v>2081</v>
      </c>
      <c r="Q1043" t="s">
        <v>2092</v>
      </c>
    </row>
    <row r="1044" spans="1:17" x14ac:dyDescent="0.25">
      <c r="A1044" t="s">
        <v>1356</v>
      </c>
      <c r="B1044" s="18">
        <v>45840</v>
      </c>
      <c r="C1044" t="s">
        <v>2022</v>
      </c>
      <c r="D1044" t="s">
        <v>2042</v>
      </c>
      <c r="E1044" t="s">
        <v>2053</v>
      </c>
      <c r="F1044" t="s">
        <v>2062</v>
      </c>
      <c r="G1044">
        <v>5</v>
      </c>
      <c r="H1044">
        <v>8500</v>
      </c>
      <c r="I1044">
        <v>9520</v>
      </c>
      <c r="J1044">
        <v>19.690000000000001</v>
      </c>
      <c r="K1044">
        <v>38226.03</v>
      </c>
      <c r="L1044">
        <v>-4273.97</v>
      </c>
      <c r="M1044">
        <v>937244.00000000012</v>
      </c>
      <c r="N1044">
        <v>42500</v>
      </c>
      <c r="O1044">
        <v>-11.180784402670119</v>
      </c>
      <c r="P1044" t="s">
        <v>2081</v>
      </c>
      <c r="Q1044" t="s">
        <v>2093</v>
      </c>
    </row>
    <row r="1045" spans="1:17" x14ac:dyDescent="0.25">
      <c r="A1045" t="s">
        <v>1921</v>
      </c>
      <c r="B1045" s="18">
        <v>45840</v>
      </c>
      <c r="C1045" t="s">
        <v>2028</v>
      </c>
      <c r="D1045" t="s">
        <v>2048</v>
      </c>
      <c r="E1045" t="s">
        <v>2057</v>
      </c>
      <c r="F1045" t="s">
        <v>2060</v>
      </c>
      <c r="G1045">
        <v>3</v>
      </c>
      <c r="H1045">
        <v>80</v>
      </c>
      <c r="I1045">
        <v>116</v>
      </c>
      <c r="J1045">
        <v>3.17</v>
      </c>
      <c r="K1045">
        <v>336.96</v>
      </c>
      <c r="L1045">
        <v>96.96</v>
      </c>
      <c r="M1045">
        <v>1103.1600000000001</v>
      </c>
      <c r="N1045">
        <v>240</v>
      </c>
      <c r="O1045">
        <v>28.774928774928775</v>
      </c>
      <c r="P1045" t="s">
        <v>2081</v>
      </c>
      <c r="Q1045" t="s">
        <v>2092</v>
      </c>
    </row>
    <row r="1046" spans="1:17" x14ac:dyDescent="0.25">
      <c r="A1046" t="s">
        <v>365</v>
      </c>
      <c r="B1046" s="18">
        <v>45841</v>
      </c>
      <c r="C1046" t="s">
        <v>2019</v>
      </c>
      <c r="D1046" t="s">
        <v>2039</v>
      </c>
      <c r="E1046" t="s">
        <v>2053</v>
      </c>
      <c r="F1046" t="s">
        <v>2059</v>
      </c>
      <c r="G1046">
        <v>10</v>
      </c>
      <c r="H1046">
        <v>900</v>
      </c>
      <c r="I1046">
        <v>1152</v>
      </c>
      <c r="J1046">
        <v>17.420000000000002</v>
      </c>
      <c r="K1046">
        <v>9512.74</v>
      </c>
      <c r="L1046">
        <v>512.74</v>
      </c>
      <c r="M1046">
        <v>200678.40000000002</v>
      </c>
      <c r="N1046">
        <v>9000</v>
      </c>
      <c r="O1046">
        <v>5.3900348374916165</v>
      </c>
      <c r="P1046" t="s">
        <v>2081</v>
      </c>
      <c r="Q1046" t="s">
        <v>2091</v>
      </c>
    </row>
    <row r="1047" spans="1:17" x14ac:dyDescent="0.25">
      <c r="A1047" t="s">
        <v>562</v>
      </c>
      <c r="B1047" s="18">
        <v>45841</v>
      </c>
      <c r="C1047" t="s">
        <v>2022</v>
      </c>
      <c r="D1047" t="s">
        <v>2042</v>
      </c>
      <c r="E1047" t="s">
        <v>2053</v>
      </c>
      <c r="F1047" t="s">
        <v>2061</v>
      </c>
      <c r="G1047">
        <v>5</v>
      </c>
      <c r="H1047">
        <v>8500</v>
      </c>
      <c r="I1047">
        <v>9520</v>
      </c>
      <c r="J1047">
        <v>16.18</v>
      </c>
      <c r="K1047">
        <v>39899.08</v>
      </c>
      <c r="L1047">
        <v>-2600.92</v>
      </c>
      <c r="M1047">
        <v>770168</v>
      </c>
      <c r="N1047">
        <v>42500</v>
      </c>
      <c r="O1047">
        <v>-6.5187467981717875</v>
      </c>
      <c r="P1047" t="s">
        <v>2081</v>
      </c>
      <c r="Q1047" t="s">
        <v>2093</v>
      </c>
    </row>
    <row r="1048" spans="1:17" x14ac:dyDescent="0.25">
      <c r="A1048" t="s">
        <v>1204</v>
      </c>
      <c r="B1048" s="18">
        <v>45841</v>
      </c>
      <c r="C1048" t="s">
        <v>2019</v>
      </c>
      <c r="D1048" t="s">
        <v>2039</v>
      </c>
      <c r="E1048" t="s">
        <v>2053</v>
      </c>
      <c r="F1048" t="s">
        <v>2061</v>
      </c>
      <c r="G1048">
        <v>5</v>
      </c>
      <c r="H1048">
        <v>900</v>
      </c>
      <c r="I1048">
        <v>1152</v>
      </c>
      <c r="J1048">
        <v>2.54</v>
      </c>
      <c r="K1048">
        <v>5613.81</v>
      </c>
      <c r="L1048">
        <v>1113.81</v>
      </c>
      <c r="M1048">
        <v>14630.4</v>
      </c>
      <c r="N1048">
        <v>4500</v>
      </c>
      <c r="O1048">
        <v>19.840536106494515</v>
      </c>
      <c r="P1048" t="s">
        <v>2081</v>
      </c>
      <c r="Q1048" t="s">
        <v>2092</v>
      </c>
    </row>
    <row r="1049" spans="1:17" x14ac:dyDescent="0.25">
      <c r="A1049" t="s">
        <v>1271</v>
      </c>
      <c r="B1049" s="18">
        <v>45841</v>
      </c>
      <c r="C1049" t="s">
        <v>2018</v>
      </c>
      <c r="D1049" t="s">
        <v>2038</v>
      </c>
      <c r="E1049" t="s">
        <v>2053</v>
      </c>
      <c r="F1049" t="s">
        <v>2059</v>
      </c>
      <c r="G1049">
        <v>10</v>
      </c>
      <c r="H1049">
        <v>500</v>
      </c>
      <c r="I1049">
        <v>610</v>
      </c>
      <c r="J1049">
        <v>20.14</v>
      </c>
      <c r="K1049">
        <v>4871.21</v>
      </c>
      <c r="L1049">
        <v>-128.79</v>
      </c>
      <c r="M1049">
        <v>122854</v>
      </c>
      <c r="N1049">
        <v>5000</v>
      </c>
      <c r="O1049">
        <v>-2.6439016178731771</v>
      </c>
      <c r="P1049" t="s">
        <v>2081</v>
      </c>
      <c r="Q1049" t="s">
        <v>2093</v>
      </c>
    </row>
    <row r="1050" spans="1:17" x14ac:dyDescent="0.25">
      <c r="A1050" t="s">
        <v>1331</v>
      </c>
      <c r="B1050" s="18">
        <v>45841</v>
      </c>
      <c r="C1050" t="s">
        <v>2017</v>
      </c>
      <c r="D1050" t="s">
        <v>2037</v>
      </c>
      <c r="E1050" t="s">
        <v>2055</v>
      </c>
      <c r="F1050" t="s">
        <v>2061</v>
      </c>
      <c r="G1050">
        <v>8</v>
      </c>
      <c r="H1050">
        <v>2500</v>
      </c>
      <c r="I1050">
        <v>2875</v>
      </c>
      <c r="J1050">
        <v>10.039999999999999</v>
      </c>
      <c r="K1050">
        <v>20690.8</v>
      </c>
      <c r="L1050">
        <v>690.8</v>
      </c>
      <c r="M1050">
        <v>230919.99999999997</v>
      </c>
      <c r="N1050">
        <v>20000</v>
      </c>
      <c r="O1050">
        <v>3.3386819262667462</v>
      </c>
      <c r="P1050" t="s">
        <v>2081</v>
      </c>
      <c r="Q1050" t="s">
        <v>2091</v>
      </c>
    </row>
    <row r="1051" spans="1:17" x14ac:dyDescent="0.25">
      <c r="A1051" t="s">
        <v>1661</v>
      </c>
      <c r="B1051" s="18">
        <v>45841</v>
      </c>
      <c r="C1051" t="s">
        <v>2022</v>
      </c>
      <c r="D1051" t="s">
        <v>2042</v>
      </c>
      <c r="E1051" t="s">
        <v>2053</v>
      </c>
      <c r="F1051" t="s">
        <v>2060</v>
      </c>
      <c r="G1051">
        <v>9</v>
      </c>
      <c r="H1051">
        <v>8500</v>
      </c>
      <c r="I1051">
        <v>9520</v>
      </c>
      <c r="J1051">
        <v>33.090000000000003</v>
      </c>
      <c r="K1051">
        <v>57327.19</v>
      </c>
      <c r="L1051">
        <v>-19172.810000000001</v>
      </c>
      <c r="M1051">
        <v>2835151.2</v>
      </c>
      <c r="N1051">
        <v>76500</v>
      </c>
      <c r="O1051">
        <v>-33.444531294835841</v>
      </c>
      <c r="P1051" t="s">
        <v>2081</v>
      </c>
      <c r="Q1051" t="s">
        <v>2093</v>
      </c>
    </row>
    <row r="1052" spans="1:17" x14ac:dyDescent="0.25">
      <c r="A1052" t="s">
        <v>1857</v>
      </c>
      <c r="B1052" s="18">
        <v>45842</v>
      </c>
      <c r="C1052" t="s">
        <v>2027</v>
      </c>
      <c r="D1052" t="s">
        <v>2047</v>
      </c>
      <c r="E1052" t="s">
        <v>2053</v>
      </c>
      <c r="F1052" t="s">
        <v>2059</v>
      </c>
      <c r="G1052">
        <v>5</v>
      </c>
      <c r="H1052">
        <v>1100</v>
      </c>
      <c r="I1052">
        <v>1298</v>
      </c>
      <c r="J1052">
        <v>5.25</v>
      </c>
      <c r="K1052">
        <v>6149.18</v>
      </c>
      <c r="L1052">
        <v>649.17999999999995</v>
      </c>
      <c r="M1052">
        <v>34072.5</v>
      </c>
      <c r="N1052">
        <v>5500</v>
      </c>
      <c r="O1052">
        <v>10.55717998172114</v>
      </c>
      <c r="P1052" t="s">
        <v>2081</v>
      </c>
      <c r="Q1052" t="s">
        <v>2092</v>
      </c>
    </row>
    <row r="1053" spans="1:17" x14ac:dyDescent="0.25">
      <c r="A1053" t="s">
        <v>380</v>
      </c>
      <c r="B1053" s="18">
        <v>45843</v>
      </c>
      <c r="C1053" t="s">
        <v>2014</v>
      </c>
      <c r="D1053" t="s">
        <v>2034</v>
      </c>
      <c r="E1053" t="s">
        <v>2052</v>
      </c>
      <c r="F1053" t="s">
        <v>2059</v>
      </c>
      <c r="G1053">
        <v>3</v>
      </c>
      <c r="H1053">
        <v>4500</v>
      </c>
      <c r="I1053">
        <v>5220</v>
      </c>
      <c r="J1053">
        <v>7.32</v>
      </c>
      <c r="K1053">
        <v>14514.46</v>
      </c>
      <c r="L1053">
        <v>1014.46</v>
      </c>
      <c r="M1053">
        <v>114631.20000000001</v>
      </c>
      <c r="N1053">
        <v>13500</v>
      </c>
      <c r="O1053">
        <v>6.9893058370755794</v>
      </c>
      <c r="P1053" t="s">
        <v>2081</v>
      </c>
      <c r="Q1053" t="s">
        <v>2091</v>
      </c>
    </row>
    <row r="1054" spans="1:17" x14ac:dyDescent="0.25">
      <c r="A1054" t="s">
        <v>416</v>
      </c>
      <c r="B1054" s="18">
        <v>45843</v>
      </c>
      <c r="C1054" t="s">
        <v>2027</v>
      </c>
      <c r="D1054" t="s">
        <v>2047</v>
      </c>
      <c r="E1054" t="s">
        <v>2053</v>
      </c>
      <c r="F1054" t="s">
        <v>2059</v>
      </c>
      <c r="G1054">
        <v>6</v>
      </c>
      <c r="H1054">
        <v>1100</v>
      </c>
      <c r="I1054">
        <v>1298</v>
      </c>
      <c r="J1054">
        <v>5.89</v>
      </c>
      <c r="K1054">
        <v>7329.09</v>
      </c>
      <c r="L1054">
        <v>729.09</v>
      </c>
      <c r="M1054">
        <v>45871.32</v>
      </c>
      <c r="N1054">
        <v>6600</v>
      </c>
      <c r="O1054">
        <v>9.9478925760223991</v>
      </c>
      <c r="P1054" t="s">
        <v>2081</v>
      </c>
      <c r="Q1054" t="s">
        <v>2091</v>
      </c>
    </row>
    <row r="1055" spans="1:17" x14ac:dyDescent="0.25">
      <c r="A1055" t="s">
        <v>444</v>
      </c>
      <c r="B1055" s="18">
        <v>45843</v>
      </c>
      <c r="C1055" t="s">
        <v>2017</v>
      </c>
      <c r="D1055" t="s">
        <v>2037</v>
      </c>
      <c r="E1055" t="s">
        <v>2055</v>
      </c>
      <c r="F1055" t="s">
        <v>2061</v>
      </c>
      <c r="G1055">
        <v>8</v>
      </c>
      <c r="H1055">
        <v>2500</v>
      </c>
      <c r="I1055">
        <v>2875</v>
      </c>
      <c r="J1055">
        <v>1</v>
      </c>
      <c r="K1055">
        <v>22770.14</v>
      </c>
      <c r="L1055">
        <v>2770.14</v>
      </c>
      <c r="M1055">
        <v>23000</v>
      </c>
      <c r="N1055">
        <v>20000</v>
      </c>
      <c r="O1055">
        <v>12.165669600626083</v>
      </c>
      <c r="P1055" t="s">
        <v>2081</v>
      </c>
      <c r="Q1055" t="s">
        <v>2092</v>
      </c>
    </row>
    <row r="1056" spans="1:17" x14ac:dyDescent="0.25">
      <c r="A1056" t="s">
        <v>1421</v>
      </c>
      <c r="B1056" s="18">
        <v>45843</v>
      </c>
      <c r="C1056" t="s">
        <v>2025</v>
      </c>
      <c r="D1056" t="s">
        <v>2045</v>
      </c>
      <c r="E1056" t="s">
        <v>2057</v>
      </c>
      <c r="F1056" t="s">
        <v>2062</v>
      </c>
      <c r="G1056">
        <v>10</v>
      </c>
      <c r="H1056">
        <v>45</v>
      </c>
      <c r="I1056">
        <v>63</v>
      </c>
      <c r="J1056">
        <v>14.51</v>
      </c>
      <c r="K1056">
        <v>538.59</v>
      </c>
      <c r="L1056">
        <v>88.59</v>
      </c>
      <c r="M1056">
        <v>9141.2999999999993</v>
      </c>
      <c r="N1056">
        <v>450</v>
      </c>
      <c r="O1056">
        <v>16.448504428229267</v>
      </c>
      <c r="P1056" t="s">
        <v>2081</v>
      </c>
      <c r="Q1056" t="s">
        <v>2092</v>
      </c>
    </row>
    <row r="1057" spans="1:17" x14ac:dyDescent="0.25">
      <c r="A1057" t="s">
        <v>1531</v>
      </c>
      <c r="B1057" s="18">
        <v>45843</v>
      </c>
      <c r="C1057" t="s">
        <v>2030</v>
      </c>
      <c r="D1057" t="s">
        <v>2050</v>
      </c>
      <c r="E1057" t="s">
        <v>2058</v>
      </c>
      <c r="F1057" t="s">
        <v>2062</v>
      </c>
      <c r="G1057">
        <v>7</v>
      </c>
      <c r="H1057">
        <v>1800</v>
      </c>
      <c r="I1057">
        <v>2124</v>
      </c>
      <c r="J1057">
        <v>15.7</v>
      </c>
      <c r="K1057">
        <v>12533.35</v>
      </c>
      <c r="L1057">
        <v>-66.650000000000006</v>
      </c>
      <c r="M1057">
        <v>233427.59999999998</v>
      </c>
      <c r="N1057">
        <v>12600</v>
      </c>
      <c r="O1057">
        <v>-0.53178120773775572</v>
      </c>
      <c r="P1057" t="s">
        <v>2081</v>
      </c>
      <c r="Q1057" t="s">
        <v>2093</v>
      </c>
    </row>
    <row r="1058" spans="1:17" x14ac:dyDescent="0.25">
      <c r="A1058" t="s">
        <v>1535</v>
      </c>
      <c r="B1058" s="18">
        <v>45844</v>
      </c>
      <c r="C1058" t="s">
        <v>2013</v>
      </c>
      <c r="D1058" t="s">
        <v>2033</v>
      </c>
      <c r="E1058" t="s">
        <v>2053</v>
      </c>
      <c r="F1058" t="s">
        <v>2062</v>
      </c>
      <c r="G1058">
        <v>2</v>
      </c>
      <c r="H1058">
        <v>6500</v>
      </c>
      <c r="I1058">
        <v>7150</v>
      </c>
      <c r="J1058">
        <v>28.11</v>
      </c>
      <c r="K1058">
        <v>10280.450000000001</v>
      </c>
      <c r="L1058">
        <v>-2719.55</v>
      </c>
      <c r="M1058">
        <v>401973</v>
      </c>
      <c r="N1058">
        <v>13000</v>
      </c>
      <c r="O1058">
        <v>-26.45360854826394</v>
      </c>
      <c r="P1058" t="s">
        <v>2081</v>
      </c>
      <c r="Q1058" t="s">
        <v>2093</v>
      </c>
    </row>
    <row r="1059" spans="1:17" x14ac:dyDescent="0.25">
      <c r="A1059" t="s">
        <v>1663</v>
      </c>
      <c r="B1059" s="18">
        <v>45844</v>
      </c>
      <c r="C1059" t="s">
        <v>2025</v>
      </c>
      <c r="D1059" t="s">
        <v>2045</v>
      </c>
      <c r="E1059" t="s">
        <v>2057</v>
      </c>
      <c r="F1059" t="s">
        <v>2062</v>
      </c>
      <c r="G1059">
        <v>2</v>
      </c>
      <c r="H1059">
        <v>45</v>
      </c>
      <c r="I1059">
        <v>63</v>
      </c>
      <c r="J1059">
        <v>14.81</v>
      </c>
      <c r="K1059">
        <v>107.34</v>
      </c>
      <c r="L1059">
        <v>17.34</v>
      </c>
      <c r="M1059">
        <v>1866.0600000000002</v>
      </c>
      <c r="N1059">
        <v>90</v>
      </c>
      <c r="O1059">
        <v>16.154276131917271</v>
      </c>
      <c r="P1059" t="s">
        <v>2081</v>
      </c>
      <c r="Q1059" t="s">
        <v>2092</v>
      </c>
    </row>
    <row r="1060" spans="1:17" x14ac:dyDescent="0.25">
      <c r="A1060" t="s">
        <v>1695</v>
      </c>
      <c r="B1060" s="18">
        <v>45844</v>
      </c>
      <c r="C1060" t="s">
        <v>2020</v>
      </c>
      <c r="D1060" t="s">
        <v>2040</v>
      </c>
      <c r="E1060" t="s">
        <v>2053</v>
      </c>
      <c r="F1060" t="s">
        <v>2060</v>
      </c>
      <c r="G1060">
        <v>7</v>
      </c>
      <c r="H1060">
        <v>350</v>
      </c>
      <c r="I1060">
        <v>455</v>
      </c>
      <c r="J1060">
        <v>19.75</v>
      </c>
      <c r="K1060">
        <v>2555.89</v>
      </c>
      <c r="L1060">
        <v>105.89</v>
      </c>
      <c r="M1060">
        <v>62903.75</v>
      </c>
      <c r="N1060">
        <v>2450</v>
      </c>
      <c r="O1060">
        <v>4.1429795491981265</v>
      </c>
      <c r="P1060" t="s">
        <v>2081</v>
      </c>
      <c r="Q1060" t="s">
        <v>2091</v>
      </c>
    </row>
    <row r="1061" spans="1:17" x14ac:dyDescent="0.25">
      <c r="A1061" t="s">
        <v>202</v>
      </c>
      <c r="B1061" s="18">
        <v>45845</v>
      </c>
      <c r="C1061" t="s">
        <v>2026</v>
      </c>
      <c r="D1061" t="s">
        <v>2046</v>
      </c>
      <c r="E1061" t="s">
        <v>2052</v>
      </c>
      <c r="F1061" t="s">
        <v>2059</v>
      </c>
      <c r="G1061">
        <v>9</v>
      </c>
      <c r="H1061">
        <v>3000</v>
      </c>
      <c r="I1061">
        <v>3600</v>
      </c>
      <c r="J1061">
        <v>27.67</v>
      </c>
      <c r="K1061">
        <v>23433.91</v>
      </c>
      <c r="L1061">
        <v>-3566.09</v>
      </c>
      <c r="M1061">
        <v>896508</v>
      </c>
      <c r="N1061">
        <v>27000</v>
      </c>
      <c r="O1061">
        <v>-15.217648271244535</v>
      </c>
      <c r="P1061" t="s">
        <v>2081</v>
      </c>
      <c r="Q1061" t="s">
        <v>2093</v>
      </c>
    </row>
    <row r="1062" spans="1:17" x14ac:dyDescent="0.25">
      <c r="A1062" t="s">
        <v>431</v>
      </c>
      <c r="B1062" s="18">
        <v>45845</v>
      </c>
      <c r="C1062" t="s">
        <v>2027</v>
      </c>
      <c r="D1062" t="s">
        <v>2047</v>
      </c>
      <c r="E1062" t="s">
        <v>2053</v>
      </c>
      <c r="F1062" t="s">
        <v>2061</v>
      </c>
      <c r="G1062">
        <v>1</v>
      </c>
      <c r="H1062">
        <v>1100</v>
      </c>
      <c r="I1062">
        <v>1298</v>
      </c>
      <c r="J1062">
        <v>11.41</v>
      </c>
      <c r="K1062">
        <v>1149.8900000000001</v>
      </c>
      <c r="L1062">
        <v>49.89</v>
      </c>
      <c r="M1062">
        <v>14810.18</v>
      </c>
      <c r="N1062">
        <v>1100</v>
      </c>
      <c r="O1062">
        <v>4.3386758733444069</v>
      </c>
      <c r="P1062" t="s">
        <v>2081</v>
      </c>
      <c r="Q1062" t="s">
        <v>2091</v>
      </c>
    </row>
    <row r="1063" spans="1:17" x14ac:dyDescent="0.25">
      <c r="A1063" t="s">
        <v>452</v>
      </c>
      <c r="B1063" s="18">
        <v>45845</v>
      </c>
      <c r="C1063" t="s">
        <v>2028</v>
      </c>
      <c r="D1063" t="s">
        <v>2048</v>
      </c>
      <c r="E1063" t="s">
        <v>2057</v>
      </c>
      <c r="F1063" t="s">
        <v>2061</v>
      </c>
      <c r="G1063">
        <v>6</v>
      </c>
      <c r="H1063">
        <v>80</v>
      </c>
      <c r="I1063">
        <v>116</v>
      </c>
      <c r="J1063">
        <v>4.6900000000000004</v>
      </c>
      <c r="K1063">
        <v>663.35</v>
      </c>
      <c r="L1063">
        <v>183.35</v>
      </c>
      <c r="M1063">
        <v>3264.2400000000002</v>
      </c>
      <c r="N1063">
        <v>480</v>
      </c>
      <c r="O1063">
        <v>27.64000904499887</v>
      </c>
      <c r="P1063" t="s">
        <v>2081</v>
      </c>
      <c r="Q1063" t="s">
        <v>2092</v>
      </c>
    </row>
    <row r="1064" spans="1:17" x14ac:dyDescent="0.25">
      <c r="A1064" t="s">
        <v>537</v>
      </c>
      <c r="B1064" s="18">
        <v>45845</v>
      </c>
      <c r="C1064" t="s">
        <v>2012</v>
      </c>
      <c r="D1064" t="s">
        <v>2032</v>
      </c>
      <c r="E1064" t="s">
        <v>2052</v>
      </c>
      <c r="F1064" t="s">
        <v>2062</v>
      </c>
      <c r="G1064">
        <v>6</v>
      </c>
      <c r="H1064">
        <v>6500</v>
      </c>
      <c r="I1064">
        <v>8125</v>
      </c>
      <c r="J1064">
        <v>23.33</v>
      </c>
      <c r="K1064">
        <v>37374.47</v>
      </c>
      <c r="L1064">
        <v>-1625.53</v>
      </c>
      <c r="M1064">
        <v>1137337.5</v>
      </c>
      <c r="N1064">
        <v>39000</v>
      </c>
      <c r="O1064">
        <v>-4.3493058229320711</v>
      </c>
      <c r="P1064" t="s">
        <v>2081</v>
      </c>
      <c r="Q1064" t="s">
        <v>2093</v>
      </c>
    </row>
    <row r="1065" spans="1:17" x14ac:dyDescent="0.25">
      <c r="A1065" t="s">
        <v>1067</v>
      </c>
      <c r="B1065" s="18">
        <v>45845</v>
      </c>
      <c r="C1065" t="s">
        <v>2029</v>
      </c>
      <c r="D1065" t="s">
        <v>2049</v>
      </c>
      <c r="E1065" t="s">
        <v>2055</v>
      </c>
      <c r="F1065" t="s">
        <v>2062</v>
      </c>
      <c r="G1065">
        <v>10</v>
      </c>
      <c r="H1065">
        <v>1200</v>
      </c>
      <c r="I1065">
        <v>1464</v>
      </c>
      <c r="J1065">
        <v>10.77</v>
      </c>
      <c r="K1065">
        <v>13063.1</v>
      </c>
      <c r="L1065">
        <v>1063.0999999999999</v>
      </c>
      <c r="M1065">
        <v>157672.79999999999</v>
      </c>
      <c r="N1065">
        <v>12000</v>
      </c>
      <c r="O1065">
        <v>8.1381907816674435</v>
      </c>
      <c r="P1065" t="s">
        <v>2081</v>
      </c>
      <c r="Q1065" t="s">
        <v>2091</v>
      </c>
    </row>
    <row r="1066" spans="1:17" x14ac:dyDescent="0.25">
      <c r="A1066" t="s">
        <v>1294</v>
      </c>
      <c r="B1066" s="18">
        <v>45845</v>
      </c>
      <c r="C1066" t="s">
        <v>2014</v>
      </c>
      <c r="D1066" t="s">
        <v>2034</v>
      </c>
      <c r="E1066" t="s">
        <v>2052</v>
      </c>
      <c r="F1066" t="s">
        <v>2060</v>
      </c>
      <c r="G1066">
        <v>3</v>
      </c>
      <c r="H1066">
        <v>4500</v>
      </c>
      <c r="I1066">
        <v>5220</v>
      </c>
      <c r="J1066">
        <v>5.4</v>
      </c>
      <c r="K1066">
        <v>14814.89</v>
      </c>
      <c r="L1066">
        <v>1314.89</v>
      </c>
      <c r="M1066">
        <v>84564</v>
      </c>
      <c r="N1066">
        <v>13500</v>
      </c>
      <c r="O1066">
        <v>8.875462457028032</v>
      </c>
      <c r="P1066" t="s">
        <v>2081</v>
      </c>
      <c r="Q1066" t="s">
        <v>2091</v>
      </c>
    </row>
    <row r="1067" spans="1:17" x14ac:dyDescent="0.25">
      <c r="A1067" t="s">
        <v>1313</v>
      </c>
      <c r="B1067" s="18">
        <v>45845</v>
      </c>
      <c r="C1067" t="s">
        <v>2014</v>
      </c>
      <c r="D1067" t="s">
        <v>2034</v>
      </c>
      <c r="E1067" t="s">
        <v>2052</v>
      </c>
      <c r="F1067" t="s">
        <v>2060</v>
      </c>
      <c r="G1067">
        <v>8</v>
      </c>
      <c r="H1067">
        <v>4500</v>
      </c>
      <c r="I1067">
        <v>5220</v>
      </c>
      <c r="J1067">
        <v>21.21</v>
      </c>
      <c r="K1067">
        <v>32903.54</v>
      </c>
      <c r="L1067">
        <v>-3096.46</v>
      </c>
      <c r="M1067">
        <v>885729.60000000009</v>
      </c>
      <c r="N1067">
        <v>36000</v>
      </c>
      <c r="O1067">
        <v>-9.4107199407723297</v>
      </c>
      <c r="P1067" t="s">
        <v>2081</v>
      </c>
      <c r="Q1067" t="s">
        <v>2093</v>
      </c>
    </row>
    <row r="1068" spans="1:17" x14ac:dyDescent="0.25">
      <c r="A1068" t="s">
        <v>1328</v>
      </c>
      <c r="B1068" s="18">
        <v>45845</v>
      </c>
      <c r="C1068" t="s">
        <v>2018</v>
      </c>
      <c r="D1068" t="s">
        <v>2038</v>
      </c>
      <c r="E1068" t="s">
        <v>2053</v>
      </c>
      <c r="F1068" t="s">
        <v>2061</v>
      </c>
      <c r="G1068">
        <v>5</v>
      </c>
      <c r="H1068">
        <v>500</v>
      </c>
      <c r="I1068">
        <v>610</v>
      </c>
      <c r="J1068">
        <v>13.65</v>
      </c>
      <c r="K1068">
        <v>2633.72</v>
      </c>
      <c r="L1068">
        <v>133.72</v>
      </c>
      <c r="M1068">
        <v>41632.5</v>
      </c>
      <c r="N1068">
        <v>2500</v>
      </c>
      <c r="O1068">
        <v>5.077229166350258</v>
      </c>
      <c r="P1068" t="s">
        <v>2081</v>
      </c>
      <c r="Q1068" t="s">
        <v>2091</v>
      </c>
    </row>
    <row r="1069" spans="1:17" x14ac:dyDescent="0.25">
      <c r="A1069" t="s">
        <v>1520</v>
      </c>
      <c r="B1069" s="18">
        <v>45845</v>
      </c>
      <c r="C1069" t="s">
        <v>2014</v>
      </c>
      <c r="D1069" t="s">
        <v>2034</v>
      </c>
      <c r="E1069" t="s">
        <v>2052</v>
      </c>
      <c r="F1069" t="s">
        <v>2059</v>
      </c>
      <c r="G1069">
        <v>4</v>
      </c>
      <c r="H1069">
        <v>4500</v>
      </c>
      <c r="I1069">
        <v>5220</v>
      </c>
      <c r="J1069">
        <v>4</v>
      </c>
      <c r="K1069">
        <v>20044.8</v>
      </c>
      <c r="L1069">
        <v>2044.8</v>
      </c>
      <c r="M1069">
        <v>83520</v>
      </c>
      <c r="N1069">
        <v>18000</v>
      </c>
      <c r="O1069">
        <v>10.201149425287356</v>
      </c>
      <c r="P1069" t="s">
        <v>2081</v>
      </c>
      <c r="Q1069" t="s">
        <v>2092</v>
      </c>
    </row>
    <row r="1070" spans="1:17" x14ac:dyDescent="0.25">
      <c r="A1070" t="s">
        <v>1608</v>
      </c>
      <c r="B1070" s="18">
        <v>45845</v>
      </c>
      <c r="C1070" t="s">
        <v>2013</v>
      </c>
      <c r="D1070" t="s">
        <v>2033</v>
      </c>
      <c r="E1070" t="s">
        <v>2053</v>
      </c>
      <c r="F1070" t="s">
        <v>2059</v>
      </c>
      <c r="G1070">
        <v>5</v>
      </c>
      <c r="H1070">
        <v>6500</v>
      </c>
      <c r="I1070">
        <v>7150</v>
      </c>
      <c r="J1070">
        <v>9.4600000000000009</v>
      </c>
      <c r="K1070">
        <v>32368.799999999999</v>
      </c>
      <c r="L1070">
        <v>-131.19999999999999</v>
      </c>
      <c r="M1070">
        <v>338195.00000000006</v>
      </c>
      <c r="N1070">
        <v>32500</v>
      </c>
      <c r="O1070">
        <v>-0.40532858802303456</v>
      </c>
      <c r="P1070" t="s">
        <v>2081</v>
      </c>
      <c r="Q1070" t="s">
        <v>2093</v>
      </c>
    </row>
    <row r="1071" spans="1:17" x14ac:dyDescent="0.25">
      <c r="A1071" t="s">
        <v>1783</v>
      </c>
      <c r="B1071" s="18">
        <v>45845</v>
      </c>
      <c r="C1071" t="s">
        <v>2029</v>
      </c>
      <c r="D1071" t="s">
        <v>2049</v>
      </c>
      <c r="E1071" t="s">
        <v>2055</v>
      </c>
      <c r="F1071" t="s">
        <v>2060</v>
      </c>
      <c r="G1071">
        <v>8</v>
      </c>
      <c r="H1071">
        <v>1200</v>
      </c>
      <c r="I1071">
        <v>1464</v>
      </c>
      <c r="J1071">
        <v>11.78</v>
      </c>
      <c r="K1071">
        <v>10331.77</v>
      </c>
      <c r="L1071">
        <v>731.77</v>
      </c>
      <c r="M1071">
        <v>137967.35999999999</v>
      </c>
      <c r="N1071">
        <v>9600</v>
      </c>
      <c r="O1071">
        <v>7.0827167077857895</v>
      </c>
      <c r="P1071" t="s">
        <v>2081</v>
      </c>
      <c r="Q1071" t="s">
        <v>2091</v>
      </c>
    </row>
    <row r="1072" spans="1:17" x14ac:dyDescent="0.25">
      <c r="A1072" t="s">
        <v>1829</v>
      </c>
      <c r="B1072" s="18">
        <v>45845</v>
      </c>
      <c r="C1072" t="s">
        <v>2012</v>
      </c>
      <c r="D1072" t="s">
        <v>2032</v>
      </c>
      <c r="E1072" t="s">
        <v>2052</v>
      </c>
      <c r="F1072" t="s">
        <v>2060</v>
      </c>
      <c r="G1072">
        <v>4</v>
      </c>
      <c r="H1072">
        <v>6500</v>
      </c>
      <c r="I1072">
        <v>8125</v>
      </c>
      <c r="J1072">
        <v>6.26</v>
      </c>
      <c r="K1072">
        <v>30464.03</v>
      </c>
      <c r="L1072">
        <v>4464.03</v>
      </c>
      <c r="M1072">
        <v>203450</v>
      </c>
      <c r="N1072">
        <v>26000</v>
      </c>
      <c r="O1072">
        <v>14.653445391171161</v>
      </c>
      <c r="P1072" t="s">
        <v>2081</v>
      </c>
      <c r="Q1072" t="s">
        <v>2092</v>
      </c>
    </row>
    <row r="1073" spans="1:17" x14ac:dyDescent="0.25">
      <c r="A1073" t="s">
        <v>363</v>
      </c>
      <c r="B1073" s="18">
        <v>45846</v>
      </c>
      <c r="C1073" t="s">
        <v>2013</v>
      </c>
      <c r="D1073" t="s">
        <v>2033</v>
      </c>
      <c r="E1073" t="s">
        <v>2053</v>
      </c>
      <c r="F1073" t="s">
        <v>2060</v>
      </c>
      <c r="G1073">
        <v>9</v>
      </c>
      <c r="H1073">
        <v>6500</v>
      </c>
      <c r="I1073">
        <v>7150</v>
      </c>
      <c r="J1073">
        <v>16.89</v>
      </c>
      <c r="K1073">
        <v>53481.62</v>
      </c>
      <c r="L1073">
        <v>-5018.38</v>
      </c>
      <c r="M1073">
        <v>1086871.5</v>
      </c>
      <c r="N1073">
        <v>58500</v>
      </c>
      <c r="O1073">
        <v>-9.3833732037286826</v>
      </c>
      <c r="P1073" t="s">
        <v>2081</v>
      </c>
      <c r="Q1073" t="s">
        <v>2093</v>
      </c>
    </row>
    <row r="1074" spans="1:17" x14ac:dyDescent="0.25">
      <c r="A1074" t="s">
        <v>734</v>
      </c>
      <c r="B1074" s="18">
        <v>45846</v>
      </c>
      <c r="C1074" t="s">
        <v>2014</v>
      </c>
      <c r="D1074" t="s">
        <v>2034</v>
      </c>
      <c r="E1074" t="s">
        <v>2052</v>
      </c>
      <c r="F1074" t="s">
        <v>2062</v>
      </c>
      <c r="G1074">
        <v>9</v>
      </c>
      <c r="H1074">
        <v>4500</v>
      </c>
      <c r="I1074">
        <v>5220</v>
      </c>
      <c r="J1074">
        <v>9.14</v>
      </c>
      <c r="K1074">
        <v>42686.14</v>
      </c>
      <c r="L1074">
        <v>2186.14</v>
      </c>
      <c r="M1074">
        <v>429397.2</v>
      </c>
      <c r="N1074">
        <v>40500</v>
      </c>
      <c r="O1074">
        <v>5.1214281731728377</v>
      </c>
      <c r="P1074" t="s">
        <v>2081</v>
      </c>
      <c r="Q1074" t="s">
        <v>2091</v>
      </c>
    </row>
    <row r="1075" spans="1:17" x14ac:dyDescent="0.25">
      <c r="A1075" t="s">
        <v>947</v>
      </c>
      <c r="B1075" s="18">
        <v>45846</v>
      </c>
      <c r="C1075" t="s">
        <v>2014</v>
      </c>
      <c r="D1075" t="s">
        <v>2034</v>
      </c>
      <c r="E1075" t="s">
        <v>2052</v>
      </c>
      <c r="F1075" t="s">
        <v>2061</v>
      </c>
      <c r="G1075">
        <v>1</v>
      </c>
      <c r="H1075">
        <v>4500</v>
      </c>
      <c r="I1075">
        <v>5220</v>
      </c>
      <c r="J1075">
        <v>15.18</v>
      </c>
      <c r="K1075">
        <v>4427.74</v>
      </c>
      <c r="L1075">
        <v>-72.260000000000005</v>
      </c>
      <c r="M1075">
        <v>79239.599999999991</v>
      </c>
      <c r="N1075">
        <v>4500</v>
      </c>
      <c r="O1075">
        <v>-1.6319838111542233</v>
      </c>
      <c r="P1075" t="s">
        <v>2081</v>
      </c>
      <c r="Q1075" t="s">
        <v>2093</v>
      </c>
    </row>
    <row r="1076" spans="1:17" x14ac:dyDescent="0.25">
      <c r="A1076" t="s">
        <v>1252</v>
      </c>
      <c r="B1076" s="18">
        <v>45846</v>
      </c>
      <c r="C1076" t="s">
        <v>2012</v>
      </c>
      <c r="D1076" t="s">
        <v>2032</v>
      </c>
      <c r="E1076" t="s">
        <v>2052</v>
      </c>
      <c r="F1076" t="s">
        <v>2061</v>
      </c>
      <c r="G1076">
        <v>3</v>
      </c>
      <c r="H1076">
        <v>6500</v>
      </c>
      <c r="I1076">
        <v>8125</v>
      </c>
      <c r="J1076">
        <v>10</v>
      </c>
      <c r="K1076">
        <v>21938.48</v>
      </c>
      <c r="L1076">
        <v>2438.48</v>
      </c>
      <c r="M1076">
        <v>243750</v>
      </c>
      <c r="N1076">
        <v>19500</v>
      </c>
      <c r="O1076">
        <v>11.115081810590342</v>
      </c>
      <c r="P1076" t="s">
        <v>2081</v>
      </c>
      <c r="Q1076" t="s">
        <v>2092</v>
      </c>
    </row>
    <row r="1077" spans="1:17" x14ac:dyDescent="0.25">
      <c r="A1077" t="s">
        <v>1809</v>
      </c>
      <c r="B1077" s="18">
        <v>45846</v>
      </c>
      <c r="C1077" t="s">
        <v>2028</v>
      </c>
      <c r="D1077" t="s">
        <v>2048</v>
      </c>
      <c r="E1077" t="s">
        <v>2057</v>
      </c>
      <c r="F1077" t="s">
        <v>2059</v>
      </c>
      <c r="G1077">
        <v>9</v>
      </c>
      <c r="H1077">
        <v>80</v>
      </c>
      <c r="I1077">
        <v>116</v>
      </c>
      <c r="J1077">
        <v>15.28</v>
      </c>
      <c r="K1077">
        <v>884.46</v>
      </c>
      <c r="L1077">
        <v>164.46</v>
      </c>
      <c r="M1077">
        <v>15952.32</v>
      </c>
      <c r="N1077">
        <v>720</v>
      </c>
      <c r="O1077">
        <v>18.594396580964656</v>
      </c>
      <c r="P1077" t="s">
        <v>2081</v>
      </c>
      <c r="Q1077" t="s">
        <v>2092</v>
      </c>
    </row>
    <row r="1078" spans="1:17" x14ac:dyDescent="0.25">
      <c r="A1078" t="s">
        <v>1937</v>
      </c>
      <c r="B1078" s="18">
        <v>45846</v>
      </c>
      <c r="C1078" t="s">
        <v>2017</v>
      </c>
      <c r="D1078" t="s">
        <v>2037</v>
      </c>
      <c r="E1078" t="s">
        <v>2055</v>
      </c>
      <c r="F1078" t="s">
        <v>2060</v>
      </c>
      <c r="G1078">
        <v>6</v>
      </c>
      <c r="H1078">
        <v>2500</v>
      </c>
      <c r="I1078">
        <v>2875</v>
      </c>
      <c r="J1078">
        <v>9.6999999999999993</v>
      </c>
      <c r="K1078">
        <v>15576.87</v>
      </c>
      <c r="L1078">
        <v>576.87</v>
      </c>
      <c r="M1078">
        <v>167325</v>
      </c>
      <c r="N1078">
        <v>15000</v>
      </c>
      <c r="O1078">
        <v>3.7033755818723528</v>
      </c>
      <c r="P1078" t="s">
        <v>2081</v>
      </c>
      <c r="Q1078" t="s">
        <v>2091</v>
      </c>
    </row>
    <row r="1079" spans="1:17" x14ac:dyDescent="0.25">
      <c r="A1079" t="s">
        <v>67</v>
      </c>
      <c r="B1079" s="18">
        <v>45847</v>
      </c>
      <c r="C1079" t="s">
        <v>2018</v>
      </c>
      <c r="D1079" t="s">
        <v>2038</v>
      </c>
      <c r="E1079" t="s">
        <v>2053</v>
      </c>
      <c r="F1079" t="s">
        <v>2059</v>
      </c>
      <c r="G1079">
        <v>5</v>
      </c>
      <c r="H1079">
        <v>500</v>
      </c>
      <c r="I1079">
        <v>610</v>
      </c>
      <c r="J1079">
        <v>10.29</v>
      </c>
      <c r="K1079">
        <v>2736.15</v>
      </c>
      <c r="L1079">
        <v>236.15</v>
      </c>
      <c r="M1079">
        <v>31384.499999999996</v>
      </c>
      <c r="N1079">
        <v>2500</v>
      </c>
      <c r="O1079">
        <v>8.6307402737423011</v>
      </c>
      <c r="P1079" t="s">
        <v>2081</v>
      </c>
      <c r="Q1079" t="s">
        <v>2091</v>
      </c>
    </row>
    <row r="1080" spans="1:17" x14ac:dyDescent="0.25">
      <c r="A1080" t="s">
        <v>153</v>
      </c>
      <c r="B1080" s="18">
        <v>45847</v>
      </c>
      <c r="C1080" t="s">
        <v>2012</v>
      </c>
      <c r="D1080" t="s">
        <v>2032</v>
      </c>
      <c r="E1080" t="s">
        <v>2052</v>
      </c>
      <c r="F1080" t="s">
        <v>2059</v>
      </c>
      <c r="G1080">
        <v>2</v>
      </c>
      <c r="H1080">
        <v>6500</v>
      </c>
      <c r="I1080">
        <v>8125</v>
      </c>
      <c r="J1080">
        <v>13.49</v>
      </c>
      <c r="K1080">
        <v>14057.86</v>
      </c>
      <c r="L1080">
        <v>1057.8599999999999</v>
      </c>
      <c r="M1080">
        <v>219212.5</v>
      </c>
      <c r="N1080">
        <v>13000</v>
      </c>
      <c r="O1080">
        <v>7.5250429297204544</v>
      </c>
      <c r="P1080" t="s">
        <v>2081</v>
      </c>
      <c r="Q1080" t="s">
        <v>2091</v>
      </c>
    </row>
    <row r="1081" spans="1:17" x14ac:dyDescent="0.25">
      <c r="A1081" t="s">
        <v>294</v>
      </c>
      <c r="B1081" s="18">
        <v>45847</v>
      </c>
      <c r="C1081" t="s">
        <v>2018</v>
      </c>
      <c r="D1081" t="s">
        <v>2038</v>
      </c>
      <c r="E1081" t="s">
        <v>2053</v>
      </c>
      <c r="F1081" t="s">
        <v>2061</v>
      </c>
      <c r="G1081">
        <v>3</v>
      </c>
      <c r="H1081">
        <v>500</v>
      </c>
      <c r="I1081">
        <v>610</v>
      </c>
      <c r="J1081">
        <v>5.14</v>
      </c>
      <c r="K1081">
        <v>1736.03</v>
      </c>
      <c r="L1081">
        <v>236.03</v>
      </c>
      <c r="M1081">
        <v>9406.1999999999989</v>
      </c>
      <c r="N1081">
        <v>1500</v>
      </c>
      <c r="O1081">
        <v>13.595963203400864</v>
      </c>
      <c r="P1081" t="s">
        <v>2081</v>
      </c>
      <c r="Q1081" t="s">
        <v>2092</v>
      </c>
    </row>
    <row r="1082" spans="1:17" x14ac:dyDescent="0.25">
      <c r="A1082" t="s">
        <v>751</v>
      </c>
      <c r="B1082" s="18">
        <v>45847</v>
      </c>
      <c r="C1082" t="s">
        <v>2017</v>
      </c>
      <c r="D1082" t="s">
        <v>2037</v>
      </c>
      <c r="E1082" t="s">
        <v>2055</v>
      </c>
      <c r="F1082" t="s">
        <v>2060</v>
      </c>
      <c r="G1082">
        <v>4</v>
      </c>
      <c r="H1082">
        <v>2500</v>
      </c>
      <c r="I1082">
        <v>2875</v>
      </c>
      <c r="J1082">
        <v>22.1</v>
      </c>
      <c r="K1082">
        <v>8958.25</v>
      </c>
      <c r="L1082">
        <v>-1041.75</v>
      </c>
      <c r="M1082">
        <v>254150.00000000003</v>
      </c>
      <c r="N1082">
        <v>10000</v>
      </c>
      <c r="O1082">
        <v>-11.628945385538469</v>
      </c>
      <c r="P1082" t="s">
        <v>2081</v>
      </c>
      <c r="Q1082" t="s">
        <v>2093</v>
      </c>
    </row>
    <row r="1083" spans="1:17" x14ac:dyDescent="0.25">
      <c r="A1083" t="s">
        <v>815</v>
      </c>
      <c r="B1083" s="18">
        <v>45847</v>
      </c>
      <c r="C1083" t="s">
        <v>2014</v>
      </c>
      <c r="D1083" t="s">
        <v>2034</v>
      </c>
      <c r="E1083" t="s">
        <v>2052</v>
      </c>
      <c r="F1083" t="s">
        <v>2060</v>
      </c>
      <c r="G1083">
        <v>6</v>
      </c>
      <c r="H1083">
        <v>4500</v>
      </c>
      <c r="I1083">
        <v>5220</v>
      </c>
      <c r="J1083">
        <v>8.65</v>
      </c>
      <c r="K1083">
        <v>28612.32</v>
      </c>
      <c r="L1083">
        <v>1612.32</v>
      </c>
      <c r="M1083">
        <v>270918</v>
      </c>
      <c r="N1083">
        <v>27000</v>
      </c>
      <c r="O1083">
        <v>5.6350551091278165</v>
      </c>
      <c r="P1083" t="s">
        <v>2081</v>
      </c>
      <c r="Q1083" t="s">
        <v>2091</v>
      </c>
    </row>
    <row r="1084" spans="1:17" x14ac:dyDescent="0.25">
      <c r="A1084" t="s">
        <v>950</v>
      </c>
      <c r="B1084" s="18">
        <v>45847</v>
      </c>
      <c r="C1084" t="s">
        <v>2031</v>
      </c>
      <c r="D1084" t="s">
        <v>2051</v>
      </c>
      <c r="E1084" t="s">
        <v>2058</v>
      </c>
      <c r="F1084" t="s">
        <v>2060</v>
      </c>
      <c r="G1084">
        <v>8</v>
      </c>
      <c r="H1084">
        <v>3200</v>
      </c>
      <c r="I1084">
        <v>3840</v>
      </c>
      <c r="J1084">
        <v>8.82</v>
      </c>
      <c r="K1084">
        <v>28011.18</v>
      </c>
      <c r="L1084">
        <v>2411.1799999999998</v>
      </c>
      <c r="M1084">
        <v>270950.40000000002</v>
      </c>
      <c r="N1084">
        <v>25600</v>
      </c>
      <c r="O1084">
        <v>8.6079201233221863</v>
      </c>
      <c r="P1084" t="s">
        <v>2081</v>
      </c>
      <c r="Q1084" t="s">
        <v>2091</v>
      </c>
    </row>
    <row r="1085" spans="1:17" x14ac:dyDescent="0.25">
      <c r="A1085" t="s">
        <v>1852</v>
      </c>
      <c r="B1085" s="18">
        <v>45847</v>
      </c>
      <c r="C1085" t="s">
        <v>2016</v>
      </c>
      <c r="D1085" t="s">
        <v>2036</v>
      </c>
      <c r="E1085" t="s">
        <v>2052</v>
      </c>
      <c r="F1085" t="s">
        <v>2061</v>
      </c>
      <c r="G1085">
        <v>10</v>
      </c>
      <c r="H1085">
        <v>900</v>
      </c>
      <c r="I1085">
        <v>1170</v>
      </c>
      <c r="J1085">
        <v>3.54</v>
      </c>
      <c r="K1085">
        <v>11285.59</v>
      </c>
      <c r="L1085">
        <v>2285.59</v>
      </c>
      <c r="M1085">
        <v>41418</v>
      </c>
      <c r="N1085">
        <v>9000</v>
      </c>
      <c r="O1085">
        <v>20.252286322646846</v>
      </c>
      <c r="P1085" t="s">
        <v>2081</v>
      </c>
      <c r="Q1085" t="s">
        <v>2092</v>
      </c>
    </row>
    <row r="1086" spans="1:17" x14ac:dyDescent="0.25">
      <c r="A1086" t="s">
        <v>173</v>
      </c>
      <c r="B1086" s="18">
        <v>45848</v>
      </c>
      <c r="C1086" t="s">
        <v>2024</v>
      </c>
      <c r="D1086" t="s">
        <v>2044</v>
      </c>
      <c r="E1086" t="s">
        <v>2055</v>
      </c>
      <c r="F1086" t="s">
        <v>2061</v>
      </c>
      <c r="G1086">
        <v>8</v>
      </c>
      <c r="H1086">
        <v>180</v>
      </c>
      <c r="I1086">
        <v>243</v>
      </c>
      <c r="J1086">
        <v>19.48</v>
      </c>
      <c r="K1086">
        <v>1565.29</v>
      </c>
      <c r="L1086">
        <v>125.29</v>
      </c>
      <c r="M1086">
        <v>37869.120000000003</v>
      </c>
      <c r="N1086">
        <v>1440</v>
      </c>
      <c r="O1086">
        <v>8.0042675798094933</v>
      </c>
      <c r="P1086" t="s">
        <v>2081</v>
      </c>
      <c r="Q1086" t="s">
        <v>2091</v>
      </c>
    </row>
    <row r="1087" spans="1:17" x14ac:dyDescent="0.25">
      <c r="A1087" t="s">
        <v>203</v>
      </c>
      <c r="B1087" s="18">
        <v>45848</v>
      </c>
      <c r="C1087" t="s">
        <v>2026</v>
      </c>
      <c r="D1087" t="s">
        <v>2046</v>
      </c>
      <c r="E1087" t="s">
        <v>2052</v>
      </c>
      <c r="F1087" t="s">
        <v>2060</v>
      </c>
      <c r="G1087">
        <v>5</v>
      </c>
      <c r="H1087">
        <v>3000</v>
      </c>
      <c r="I1087">
        <v>3600</v>
      </c>
      <c r="J1087">
        <v>13.1</v>
      </c>
      <c r="K1087">
        <v>15642.21</v>
      </c>
      <c r="L1087">
        <v>642.21</v>
      </c>
      <c r="M1087">
        <v>235800</v>
      </c>
      <c r="N1087">
        <v>15000</v>
      </c>
      <c r="O1087">
        <v>4.1056219038102677</v>
      </c>
      <c r="P1087" t="s">
        <v>2081</v>
      </c>
      <c r="Q1087" t="s">
        <v>2091</v>
      </c>
    </row>
    <row r="1088" spans="1:17" x14ac:dyDescent="0.25">
      <c r="A1088" t="s">
        <v>367</v>
      </c>
      <c r="B1088" s="18">
        <v>45848</v>
      </c>
      <c r="C1088" t="s">
        <v>2013</v>
      </c>
      <c r="D1088" t="s">
        <v>2033</v>
      </c>
      <c r="E1088" t="s">
        <v>2053</v>
      </c>
      <c r="F1088" t="s">
        <v>2061</v>
      </c>
      <c r="G1088">
        <v>7</v>
      </c>
      <c r="H1088">
        <v>6500</v>
      </c>
      <c r="I1088">
        <v>7150</v>
      </c>
      <c r="J1088">
        <v>14.99</v>
      </c>
      <c r="K1088">
        <v>42548.98</v>
      </c>
      <c r="L1088">
        <v>-2951.02</v>
      </c>
      <c r="M1088">
        <v>750249.5</v>
      </c>
      <c r="N1088">
        <v>45500</v>
      </c>
      <c r="O1088">
        <v>-6.9355834146905506</v>
      </c>
      <c r="P1088" t="s">
        <v>2081</v>
      </c>
      <c r="Q1088" t="s">
        <v>2093</v>
      </c>
    </row>
    <row r="1089" spans="1:17" x14ac:dyDescent="0.25">
      <c r="A1089" t="s">
        <v>784</v>
      </c>
      <c r="B1089" s="18">
        <v>45848</v>
      </c>
      <c r="C1089" t="s">
        <v>2016</v>
      </c>
      <c r="D1089" t="s">
        <v>2036</v>
      </c>
      <c r="E1089" t="s">
        <v>2052</v>
      </c>
      <c r="F1089" t="s">
        <v>2060</v>
      </c>
      <c r="G1089">
        <v>6</v>
      </c>
      <c r="H1089">
        <v>900</v>
      </c>
      <c r="I1089">
        <v>1170</v>
      </c>
      <c r="J1089">
        <v>16.87</v>
      </c>
      <c r="K1089">
        <v>5835.88</v>
      </c>
      <c r="L1089">
        <v>435.88</v>
      </c>
      <c r="M1089">
        <v>118427.40000000001</v>
      </c>
      <c r="N1089">
        <v>5400</v>
      </c>
      <c r="O1089">
        <v>7.4689678334715586</v>
      </c>
      <c r="P1089" t="s">
        <v>2081</v>
      </c>
      <c r="Q1089" t="s">
        <v>2091</v>
      </c>
    </row>
    <row r="1090" spans="1:17" x14ac:dyDescent="0.25">
      <c r="A1090" t="s">
        <v>790</v>
      </c>
      <c r="B1090" s="18">
        <v>45848</v>
      </c>
      <c r="C1090" t="s">
        <v>2028</v>
      </c>
      <c r="D1090" t="s">
        <v>2048</v>
      </c>
      <c r="E1090" t="s">
        <v>2057</v>
      </c>
      <c r="F1090" t="s">
        <v>2060</v>
      </c>
      <c r="G1090">
        <v>8</v>
      </c>
      <c r="H1090">
        <v>80</v>
      </c>
      <c r="I1090">
        <v>116</v>
      </c>
      <c r="J1090">
        <v>17.38</v>
      </c>
      <c r="K1090">
        <v>766.68</v>
      </c>
      <c r="L1090">
        <v>126.68</v>
      </c>
      <c r="M1090">
        <v>16128.64</v>
      </c>
      <c r="N1090">
        <v>640</v>
      </c>
      <c r="O1090">
        <v>16.52319090102781</v>
      </c>
      <c r="P1090" t="s">
        <v>2081</v>
      </c>
      <c r="Q1090" t="s">
        <v>2092</v>
      </c>
    </row>
    <row r="1091" spans="1:17" x14ac:dyDescent="0.25">
      <c r="A1091" t="s">
        <v>1302</v>
      </c>
      <c r="B1091" s="18">
        <v>45848</v>
      </c>
      <c r="C1091" t="s">
        <v>2031</v>
      </c>
      <c r="D1091" t="s">
        <v>2051</v>
      </c>
      <c r="E1091" t="s">
        <v>2058</v>
      </c>
      <c r="F1091" t="s">
        <v>2059</v>
      </c>
      <c r="G1091">
        <v>4</v>
      </c>
      <c r="H1091">
        <v>3200</v>
      </c>
      <c r="I1091">
        <v>3840</v>
      </c>
      <c r="J1091">
        <v>12.4</v>
      </c>
      <c r="K1091">
        <v>13455.88</v>
      </c>
      <c r="L1091">
        <v>655.88</v>
      </c>
      <c r="M1091">
        <v>190464</v>
      </c>
      <c r="N1091">
        <v>12800</v>
      </c>
      <c r="O1091">
        <v>4.8743003058885783</v>
      </c>
      <c r="P1091" t="s">
        <v>2081</v>
      </c>
      <c r="Q1091" t="s">
        <v>2091</v>
      </c>
    </row>
    <row r="1092" spans="1:17" x14ac:dyDescent="0.25">
      <c r="A1092" t="s">
        <v>1371</v>
      </c>
      <c r="B1092" s="18">
        <v>45848</v>
      </c>
      <c r="C1092" t="s">
        <v>2025</v>
      </c>
      <c r="D1092" t="s">
        <v>2045</v>
      </c>
      <c r="E1092" t="s">
        <v>2057</v>
      </c>
      <c r="F1092" t="s">
        <v>2062</v>
      </c>
      <c r="G1092">
        <v>8</v>
      </c>
      <c r="H1092">
        <v>45</v>
      </c>
      <c r="I1092">
        <v>63</v>
      </c>
      <c r="J1092">
        <v>6.2</v>
      </c>
      <c r="K1092">
        <v>472.74</v>
      </c>
      <c r="L1092">
        <v>112.74</v>
      </c>
      <c r="M1092">
        <v>3124.8</v>
      </c>
      <c r="N1092">
        <v>360</v>
      </c>
      <c r="O1092">
        <v>23.848204086813045</v>
      </c>
      <c r="P1092" t="s">
        <v>2081</v>
      </c>
      <c r="Q1092" t="s">
        <v>2092</v>
      </c>
    </row>
    <row r="1093" spans="1:17" x14ac:dyDescent="0.25">
      <c r="A1093" t="s">
        <v>1889</v>
      </c>
      <c r="B1093" s="18">
        <v>45848</v>
      </c>
      <c r="C1093" t="s">
        <v>2030</v>
      </c>
      <c r="D1093" t="s">
        <v>2050</v>
      </c>
      <c r="E1093" t="s">
        <v>2058</v>
      </c>
      <c r="F1093" t="s">
        <v>2060</v>
      </c>
      <c r="G1093">
        <v>10</v>
      </c>
      <c r="H1093">
        <v>1800</v>
      </c>
      <c r="I1093">
        <v>2124</v>
      </c>
      <c r="J1093">
        <v>22.64</v>
      </c>
      <c r="K1093">
        <v>16431.38</v>
      </c>
      <c r="L1093">
        <v>-1568.62</v>
      </c>
      <c r="M1093">
        <v>480873.60000000003</v>
      </c>
      <c r="N1093">
        <v>18000</v>
      </c>
      <c r="O1093">
        <v>-9.5464897044557429</v>
      </c>
      <c r="P1093" t="s">
        <v>2081</v>
      </c>
      <c r="Q1093" t="s">
        <v>2093</v>
      </c>
    </row>
    <row r="1094" spans="1:17" x14ac:dyDescent="0.25">
      <c r="A1094" t="s">
        <v>224</v>
      </c>
      <c r="B1094" s="18">
        <v>45849</v>
      </c>
      <c r="C1094" t="s">
        <v>2015</v>
      </c>
      <c r="D1094" t="s">
        <v>2035</v>
      </c>
      <c r="E1094" t="s">
        <v>2054</v>
      </c>
      <c r="F1094" t="s">
        <v>2061</v>
      </c>
      <c r="G1094">
        <v>7</v>
      </c>
      <c r="H1094">
        <v>900</v>
      </c>
      <c r="I1094">
        <v>1170</v>
      </c>
      <c r="J1094">
        <v>25.81</v>
      </c>
      <c r="K1094">
        <v>6076.01</v>
      </c>
      <c r="L1094">
        <v>-223.99</v>
      </c>
      <c r="M1094">
        <v>211383.9</v>
      </c>
      <c r="N1094">
        <v>6300</v>
      </c>
      <c r="O1094">
        <v>-3.6864652954817387</v>
      </c>
      <c r="P1094" t="s">
        <v>2081</v>
      </c>
      <c r="Q1094" t="s">
        <v>2093</v>
      </c>
    </row>
    <row r="1095" spans="1:17" x14ac:dyDescent="0.25">
      <c r="A1095" t="s">
        <v>464</v>
      </c>
      <c r="B1095" s="18">
        <v>45849</v>
      </c>
      <c r="C1095" t="s">
        <v>2024</v>
      </c>
      <c r="D1095" t="s">
        <v>2044</v>
      </c>
      <c r="E1095" t="s">
        <v>2055</v>
      </c>
      <c r="F1095" t="s">
        <v>2061</v>
      </c>
      <c r="G1095">
        <v>5</v>
      </c>
      <c r="H1095">
        <v>180</v>
      </c>
      <c r="I1095">
        <v>243</v>
      </c>
      <c r="J1095">
        <v>10.27</v>
      </c>
      <c r="K1095">
        <v>1090.23</v>
      </c>
      <c r="L1095">
        <v>190.23</v>
      </c>
      <c r="M1095">
        <v>12478.05</v>
      </c>
      <c r="N1095">
        <v>900</v>
      </c>
      <c r="O1095">
        <v>17.448611760821109</v>
      </c>
      <c r="P1095" t="s">
        <v>2081</v>
      </c>
      <c r="Q1095" t="s">
        <v>2092</v>
      </c>
    </row>
    <row r="1096" spans="1:17" x14ac:dyDescent="0.25">
      <c r="A1096" t="s">
        <v>518</v>
      </c>
      <c r="B1096" s="18">
        <v>45849</v>
      </c>
      <c r="C1096" t="s">
        <v>2022</v>
      </c>
      <c r="D1096" t="s">
        <v>2042</v>
      </c>
      <c r="E1096" t="s">
        <v>2053</v>
      </c>
      <c r="F1096" t="s">
        <v>2060</v>
      </c>
      <c r="G1096">
        <v>6</v>
      </c>
      <c r="H1096">
        <v>8500</v>
      </c>
      <c r="I1096">
        <v>9520</v>
      </c>
      <c r="J1096">
        <v>23.75</v>
      </c>
      <c r="K1096">
        <v>43556.77</v>
      </c>
      <c r="L1096">
        <v>-7443.23</v>
      </c>
      <c r="M1096">
        <v>1356600</v>
      </c>
      <c r="N1096">
        <v>51000</v>
      </c>
      <c r="O1096">
        <v>-17.088571994663514</v>
      </c>
      <c r="P1096" t="s">
        <v>2081</v>
      </c>
      <c r="Q1096" t="s">
        <v>2093</v>
      </c>
    </row>
    <row r="1097" spans="1:17" x14ac:dyDescent="0.25">
      <c r="A1097" t="s">
        <v>636</v>
      </c>
      <c r="B1097" s="18">
        <v>45849</v>
      </c>
      <c r="C1097" t="s">
        <v>2027</v>
      </c>
      <c r="D1097" t="s">
        <v>2047</v>
      </c>
      <c r="E1097" t="s">
        <v>2053</v>
      </c>
      <c r="F1097" t="s">
        <v>2062</v>
      </c>
      <c r="G1097">
        <v>9</v>
      </c>
      <c r="H1097">
        <v>1100</v>
      </c>
      <c r="I1097">
        <v>1298</v>
      </c>
      <c r="J1097">
        <v>17.59</v>
      </c>
      <c r="K1097">
        <v>9627.59</v>
      </c>
      <c r="L1097">
        <v>-272.41000000000003</v>
      </c>
      <c r="M1097">
        <v>205486.38</v>
      </c>
      <c r="N1097">
        <v>9900</v>
      </c>
      <c r="O1097">
        <v>-2.8294723809385318</v>
      </c>
      <c r="P1097" t="s">
        <v>2081</v>
      </c>
      <c r="Q1097" t="s">
        <v>2093</v>
      </c>
    </row>
    <row r="1098" spans="1:17" x14ac:dyDescent="0.25">
      <c r="A1098" t="s">
        <v>958</v>
      </c>
      <c r="B1098" s="18">
        <v>45849</v>
      </c>
      <c r="C1098" t="s">
        <v>2013</v>
      </c>
      <c r="D1098" t="s">
        <v>2033</v>
      </c>
      <c r="E1098" t="s">
        <v>2053</v>
      </c>
      <c r="F1098" t="s">
        <v>2062</v>
      </c>
      <c r="G1098">
        <v>5</v>
      </c>
      <c r="H1098">
        <v>6500</v>
      </c>
      <c r="I1098">
        <v>7150</v>
      </c>
      <c r="J1098">
        <v>15.81</v>
      </c>
      <c r="K1098">
        <v>30097.07</v>
      </c>
      <c r="L1098">
        <v>-2402.9299999999998</v>
      </c>
      <c r="M1098">
        <v>565207.5</v>
      </c>
      <c r="N1098">
        <v>32500</v>
      </c>
      <c r="O1098">
        <v>-7.9839333197550459</v>
      </c>
      <c r="P1098" t="s">
        <v>2081</v>
      </c>
      <c r="Q1098" t="s">
        <v>2093</v>
      </c>
    </row>
    <row r="1099" spans="1:17" x14ac:dyDescent="0.25">
      <c r="A1099" t="s">
        <v>977</v>
      </c>
      <c r="B1099" s="18">
        <v>45849</v>
      </c>
      <c r="C1099" t="s">
        <v>2021</v>
      </c>
      <c r="D1099" t="s">
        <v>2041</v>
      </c>
      <c r="E1099" t="s">
        <v>2056</v>
      </c>
      <c r="F1099" t="s">
        <v>2062</v>
      </c>
      <c r="G1099">
        <v>8</v>
      </c>
      <c r="H1099">
        <v>300</v>
      </c>
      <c r="I1099">
        <v>405</v>
      </c>
      <c r="J1099">
        <v>9.23</v>
      </c>
      <c r="K1099">
        <v>2940.97</v>
      </c>
      <c r="L1099">
        <v>540.97</v>
      </c>
      <c r="M1099">
        <v>29905.200000000001</v>
      </c>
      <c r="N1099">
        <v>2400</v>
      </c>
      <c r="O1099">
        <v>18.394271277843707</v>
      </c>
      <c r="P1099" t="s">
        <v>2081</v>
      </c>
      <c r="Q1099" t="s">
        <v>2092</v>
      </c>
    </row>
    <row r="1100" spans="1:17" x14ac:dyDescent="0.25">
      <c r="A1100" t="s">
        <v>1225</v>
      </c>
      <c r="B1100" s="18">
        <v>45849</v>
      </c>
      <c r="C1100" t="s">
        <v>2016</v>
      </c>
      <c r="D1100" t="s">
        <v>2036</v>
      </c>
      <c r="E1100" t="s">
        <v>2052</v>
      </c>
      <c r="F1100" t="s">
        <v>2059</v>
      </c>
      <c r="G1100">
        <v>2</v>
      </c>
      <c r="H1100">
        <v>900</v>
      </c>
      <c r="I1100">
        <v>1170</v>
      </c>
      <c r="J1100">
        <v>2.96</v>
      </c>
      <c r="K1100">
        <v>2270.7199999999998</v>
      </c>
      <c r="L1100">
        <v>470.72</v>
      </c>
      <c r="M1100">
        <v>6926.4</v>
      </c>
      <c r="N1100">
        <v>1800</v>
      </c>
      <c r="O1100">
        <v>20.729988726042844</v>
      </c>
      <c r="P1100" t="s">
        <v>2081</v>
      </c>
      <c r="Q1100" t="s">
        <v>2092</v>
      </c>
    </row>
    <row r="1101" spans="1:17" x14ac:dyDescent="0.25">
      <c r="A1101" t="s">
        <v>1922</v>
      </c>
      <c r="B1101" s="18">
        <v>45849</v>
      </c>
      <c r="C1101" t="s">
        <v>2028</v>
      </c>
      <c r="D1101" t="s">
        <v>2048</v>
      </c>
      <c r="E1101" t="s">
        <v>2057</v>
      </c>
      <c r="F1101" t="s">
        <v>2060</v>
      </c>
      <c r="G1101">
        <v>8</v>
      </c>
      <c r="H1101">
        <v>80</v>
      </c>
      <c r="I1101">
        <v>116</v>
      </c>
      <c r="J1101">
        <v>24.7</v>
      </c>
      <c r="K1101">
        <v>698.78</v>
      </c>
      <c r="L1101">
        <v>58.78</v>
      </c>
      <c r="M1101">
        <v>22921.599999999999</v>
      </c>
      <c r="N1101">
        <v>640</v>
      </c>
      <c r="O1101">
        <v>8.4118034288331085</v>
      </c>
      <c r="P1101" t="s">
        <v>2081</v>
      </c>
      <c r="Q1101" t="s">
        <v>2091</v>
      </c>
    </row>
    <row r="1102" spans="1:17" x14ac:dyDescent="0.25">
      <c r="A1102" t="s">
        <v>1092</v>
      </c>
      <c r="B1102" s="18">
        <v>45850</v>
      </c>
      <c r="C1102" t="s">
        <v>2012</v>
      </c>
      <c r="D1102" t="s">
        <v>2032</v>
      </c>
      <c r="E1102" t="s">
        <v>2052</v>
      </c>
      <c r="F1102" t="s">
        <v>2060</v>
      </c>
      <c r="G1102">
        <v>9</v>
      </c>
      <c r="H1102">
        <v>6500</v>
      </c>
      <c r="I1102">
        <v>8125</v>
      </c>
      <c r="J1102">
        <v>10.9</v>
      </c>
      <c r="K1102">
        <v>65156.75</v>
      </c>
      <c r="L1102">
        <v>6656.75</v>
      </c>
      <c r="M1102">
        <v>797062.5</v>
      </c>
      <c r="N1102">
        <v>58500</v>
      </c>
      <c r="O1102">
        <v>10.216516324095355</v>
      </c>
      <c r="P1102" t="s">
        <v>2081</v>
      </c>
      <c r="Q1102" t="s">
        <v>2092</v>
      </c>
    </row>
    <row r="1103" spans="1:17" x14ac:dyDescent="0.25">
      <c r="A1103" t="s">
        <v>1768</v>
      </c>
      <c r="B1103" s="18">
        <v>45850</v>
      </c>
      <c r="C1103" t="s">
        <v>2029</v>
      </c>
      <c r="D1103" t="s">
        <v>2049</v>
      </c>
      <c r="E1103" t="s">
        <v>2055</v>
      </c>
      <c r="F1103" t="s">
        <v>2060</v>
      </c>
      <c r="G1103">
        <v>5</v>
      </c>
      <c r="H1103">
        <v>1200</v>
      </c>
      <c r="I1103">
        <v>1464</v>
      </c>
      <c r="J1103">
        <v>12.46</v>
      </c>
      <c r="K1103">
        <v>6407.66</v>
      </c>
      <c r="L1103">
        <v>407.66</v>
      </c>
      <c r="M1103">
        <v>91207.200000000012</v>
      </c>
      <c r="N1103">
        <v>6000</v>
      </c>
      <c r="O1103">
        <v>6.3620728940049887</v>
      </c>
      <c r="P1103" t="s">
        <v>2081</v>
      </c>
      <c r="Q1103" t="s">
        <v>2091</v>
      </c>
    </row>
    <row r="1104" spans="1:17" x14ac:dyDescent="0.25">
      <c r="A1104" t="s">
        <v>1944</v>
      </c>
      <c r="B1104" s="18">
        <v>45850</v>
      </c>
      <c r="C1104" t="s">
        <v>2024</v>
      </c>
      <c r="D1104" t="s">
        <v>2044</v>
      </c>
      <c r="E1104" t="s">
        <v>2055</v>
      </c>
      <c r="F1104" t="s">
        <v>2060</v>
      </c>
      <c r="G1104">
        <v>2</v>
      </c>
      <c r="H1104">
        <v>180</v>
      </c>
      <c r="I1104">
        <v>243</v>
      </c>
      <c r="J1104">
        <v>19.12</v>
      </c>
      <c r="K1104">
        <v>393.08</v>
      </c>
      <c r="L1104">
        <v>33.08</v>
      </c>
      <c r="M1104">
        <v>9292.32</v>
      </c>
      <c r="N1104">
        <v>360</v>
      </c>
      <c r="O1104">
        <v>8.4155897018418635</v>
      </c>
      <c r="P1104" t="s">
        <v>2081</v>
      </c>
      <c r="Q1104" t="s">
        <v>2091</v>
      </c>
    </row>
    <row r="1105" spans="1:17" x14ac:dyDescent="0.25">
      <c r="A1105" t="s">
        <v>918</v>
      </c>
      <c r="B1105" s="18">
        <v>45851</v>
      </c>
      <c r="C1105" t="s">
        <v>2017</v>
      </c>
      <c r="D1105" t="s">
        <v>2037</v>
      </c>
      <c r="E1105" t="s">
        <v>2055</v>
      </c>
      <c r="F1105" t="s">
        <v>2061</v>
      </c>
      <c r="G1105">
        <v>8</v>
      </c>
      <c r="H1105">
        <v>2500</v>
      </c>
      <c r="I1105">
        <v>2875</v>
      </c>
      <c r="J1105">
        <v>16.75</v>
      </c>
      <c r="K1105">
        <v>19147.29</v>
      </c>
      <c r="L1105">
        <v>-852.71</v>
      </c>
      <c r="M1105">
        <v>385250</v>
      </c>
      <c r="N1105">
        <v>20000</v>
      </c>
      <c r="O1105">
        <v>-4.4534239571239587</v>
      </c>
      <c r="P1105" t="s">
        <v>2081</v>
      </c>
      <c r="Q1105" t="s">
        <v>2093</v>
      </c>
    </row>
    <row r="1106" spans="1:17" x14ac:dyDescent="0.25">
      <c r="A1106" t="s">
        <v>1267</v>
      </c>
      <c r="B1106" s="18">
        <v>45851</v>
      </c>
      <c r="C1106" t="s">
        <v>2021</v>
      </c>
      <c r="D1106" t="s">
        <v>2041</v>
      </c>
      <c r="E1106" t="s">
        <v>2056</v>
      </c>
      <c r="F1106" t="s">
        <v>2060</v>
      </c>
      <c r="G1106">
        <v>1</v>
      </c>
      <c r="H1106">
        <v>300</v>
      </c>
      <c r="I1106">
        <v>405</v>
      </c>
      <c r="J1106">
        <v>4.01</v>
      </c>
      <c r="K1106">
        <v>388.75</v>
      </c>
      <c r="L1106">
        <v>88.75</v>
      </c>
      <c r="M1106">
        <v>1624.05</v>
      </c>
      <c r="N1106">
        <v>300</v>
      </c>
      <c r="O1106">
        <v>22.829581993569132</v>
      </c>
      <c r="P1106" t="s">
        <v>2081</v>
      </c>
      <c r="Q1106" t="s">
        <v>2092</v>
      </c>
    </row>
    <row r="1107" spans="1:17" x14ac:dyDescent="0.25">
      <c r="A1107" t="s">
        <v>1301</v>
      </c>
      <c r="B1107" s="18">
        <v>45851</v>
      </c>
      <c r="C1107" t="s">
        <v>2019</v>
      </c>
      <c r="D1107" t="s">
        <v>2039</v>
      </c>
      <c r="E1107" t="s">
        <v>2053</v>
      </c>
      <c r="F1107" t="s">
        <v>2061</v>
      </c>
      <c r="G1107">
        <v>5</v>
      </c>
      <c r="H1107">
        <v>900</v>
      </c>
      <c r="I1107">
        <v>1152</v>
      </c>
      <c r="J1107">
        <v>8.84</v>
      </c>
      <c r="K1107">
        <v>5250.93</v>
      </c>
      <c r="L1107">
        <v>750.93</v>
      </c>
      <c r="M1107">
        <v>50918.400000000001</v>
      </c>
      <c r="N1107">
        <v>4500</v>
      </c>
      <c r="O1107">
        <v>14.300895269980746</v>
      </c>
      <c r="P1107" t="s">
        <v>2081</v>
      </c>
      <c r="Q1107" t="s">
        <v>2092</v>
      </c>
    </row>
    <row r="1108" spans="1:17" x14ac:dyDescent="0.25">
      <c r="A1108" t="s">
        <v>1895</v>
      </c>
      <c r="B1108" s="18">
        <v>45851</v>
      </c>
      <c r="C1108" t="s">
        <v>2018</v>
      </c>
      <c r="D1108" t="s">
        <v>2038</v>
      </c>
      <c r="E1108" t="s">
        <v>2053</v>
      </c>
      <c r="F1108" t="s">
        <v>2059</v>
      </c>
      <c r="G1108">
        <v>10</v>
      </c>
      <c r="H1108">
        <v>500</v>
      </c>
      <c r="I1108">
        <v>610</v>
      </c>
      <c r="J1108">
        <v>24.68</v>
      </c>
      <c r="K1108">
        <v>4594.41</v>
      </c>
      <c r="L1108">
        <v>-405.59</v>
      </c>
      <c r="M1108">
        <v>150548</v>
      </c>
      <c r="N1108">
        <v>5000</v>
      </c>
      <c r="O1108">
        <v>-8.8279017327578515</v>
      </c>
      <c r="P1108" t="s">
        <v>2081</v>
      </c>
      <c r="Q1108" t="s">
        <v>2093</v>
      </c>
    </row>
    <row r="1109" spans="1:17" x14ac:dyDescent="0.25">
      <c r="A1109" t="s">
        <v>1071</v>
      </c>
      <c r="B1109" s="18">
        <v>45852</v>
      </c>
      <c r="C1109" t="s">
        <v>2019</v>
      </c>
      <c r="D1109" t="s">
        <v>2039</v>
      </c>
      <c r="E1109" t="s">
        <v>2053</v>
      </c>
      <c r="F1109" t="s">
        <v>2062</v>
      </c>
      <c r="G1109">
        <v>1</v>
      </c>
      <c r="H1109">
        <v>900</v>
      </c>
      <c r="I1109">
        <v>1152</v>
      </c>
      <c r="J1109">
        <v>6.58</v>
      </c>
      <c r="K1109">
        <v>1076.21</v>
      </c>
      <c r="L1109">
        <v>176.21</v>
      </c>
      <c r="M1109">
        <v>7580.16</v>
      </c>
      <c r="N1109">
        <v>900</v>
      </c>
      <c r="O1109">
        <v>16.373198539318533</v>
      </c>
      <c r="P1109" t="s">
        <v>2081</v>
      </c>
      <c r="Q1109" t="s">
        <v>2092</v>
      </c>
    </row>
    <row r="1110" spans="1:17" x14ac:dyDescent="0.25">
      <c r="A1110" t="s">
        <v>1567</v>
      </c>
      <c r="B1110" s="18">
        <v>45852</v>
      </c>
      <c r="C1110" t="s">
        <v>2025</v>
      </c>
      <c r="D1110" t="s">
        <v>2045</v>
      </c>
      <c r="E1110" t="s">
        <v>2057</v>
      </c>
      <c r="F1110" t="s">
        <v>2062</v>
      </c>
      <c r="G1110">
        <v>5</v>
      </c>
      <c r="H1110">
        <v>45</v>
      </c>
      <c r="I1110">
        <v>63</v>
      </c>
      <c r="J1110">
        <v>0.33</v>
      </c>
      <c r="K1110">
        <v>313.95999999999998</v>
      </c>
      <c r="L1110">
        <v>88.96</v>
      </c>
      <c r="M1110">
        <v>103.95</v>
      </c>
      <c r="N1110">
        <v>225</v>
      </c>
      <c r="O1110">
        <v>28.334819722257613</v>
      </c>
      <c r="P1110" t="s">
        <v>2081</v>
      </c>
      <c r="Q1110" t="s">
        <v>2092</v>
      </c>
    </row>
    <row r="1111" spans="1:17" x14ac:dyDescent="0.25">
      <c r="A1111" t="s">
        <v>1805</v>
      </c>
      <c r="B1111" s="18">
        <v>45852</v>
      </c>
      <c r="C1111" t="s">
        <v>2023</v>
      </c>
      <c r="D1111" t="s">
        <v>2043</v>
      </c>
      <c r="E1111" t="s">
        <v>2053</v>
      </c>
      <c r="F1111" t="s">
        <v>2062</v>
      </c>
      <c r="G1111">
        <v>3</v>
      </c>
      <c r="H1111">
        <v>550</v>
      </c>
      <c r="I1111">
        <v>742.5</v>
      </c>
      <c r="J1111">
        <v>10.09</v>
      </c>
      <c r="K1111">
        <v>2002.83</v>
      </c>
      <c r="L1111">
        <v>352.83</v>
      </c>
      <c r="M1111">
        <v>22475.474999999999</v>
      </c>
      <c r="N1111">
        <v>1650</v>
      </c>
      <c r="O1111">
        <v>17.616572549841976</v>
      </c>
      <c r="P1111" t="s">
        <v>2081</v>
      </c>
      <c r="Q1111" t="s">
        <v>2092</v>
      </c>
    </row>
    <row r="1112" spans="1:17" x14ac:dyDescent="0.25">
      <c r="A1112" t="s">
        <v>69</v>
      </c>
      <c r="B1112" s="18">
        <v>45853</v>
      </c>
      <c r="C1112" t="s">
        <v>2021</v>
      </c>
      <c r="D1112" t="s">
        <v>2041</v>
      </c>
      <c r="E1112" t="s">
        <v>2056</v>
      </c>
      <c r="F1112" t="s">
        <v>2061</v>
      </c>
      <c r="G1112">
        <v>3</v>
      </c>
      <c r="H1112">
        <v>300</v>
      </c>
      <c r="I1112">
        <v>405</v>
      </c>
      <c r="J1112">
        <v>17.04</v>
      </c>
      <c r="K1112">
        <v>1007.97</v>
      </c>
      <c r="L1112">
        <v>107.97</v>
      </c>
      <c r="M1112">
        <v>20703.599999999999</v>
      </c>
      <c r="N1112">
        <v>900</v>
      </c>
      <c r="O1112">
        <v>10.711628322271496</v>
      </c>
      <c r="P1112" t="s">
        <v>2081</v>
      </c>
      <c r="Q1112" t="s">
        <v>2092</v>
      </c>
    </row>
    <row r="1113" spans="1:17" x14ac:dyDescent="0.25">
      <c r="A1113" t="s">
        <v>209</v>
      </c>
      <c r="B1113" s="18">
        <v>45853</v>
      </c>
      <c r="C1113" t="s">
        <v>2013</v>
      </c>
      <c r="D1113" t="s">
        <v>2033</v>
      </c>
      <c r="E1113" t="s">
        <v>2053</v>
      </c>
      <c r="F1113" t="s">
        <v>2062</v>
      </c>
      <c r="G1113">
        <v>7</v>
      </c>
      <c r="H1113">
        <v>6500</v>
      </c>
      <c r="I1113">
        <v>7150</v>
      </c>
      <c r="J1113">
        <v>19.77</v>
      </c>
      <c r="K1113">
        <v>40153.78</v>
      </c>
      <c r="L1113">
        <v>-5346.22</v>
      </c>
      <c r="M1113">
        <v>989488.5</v>
      </c>
      <c r="N1113">
        <v>45500</v>
      </c>
      <c r="O1113">
        <v>-13.314362931709045</v>
      </c>
      <c r="P1113" t="s">
        <v>2081</v>
      </c>
      <c r="Q1113" t="s">
        <v>2093</v>
      </c>
    </row>
    <row r="1114" spans="1:17" x14ac:dyDescent="0.25">
      <c r="A1114" t="s">
        <v>569</v>
      </c>
      <c r="B1114" s="18">
        <v>45853</v>
      </c>
      <c r="C1114" t="s">
        <v>2027</v>
      </c>
      <c r="D1114" t="s">
        <v>2047</v>
      </c>
      <c r="E1114" t="s">
        <v>2053</v>
      </c>
      <c r="F1114" t="s">
        <v>2059</v>
      </c>
      <c r="G1114">
        <v>5</v>
      </c>
      <c r="H1114">
        <v>1100</v>
      </c>
      <c r="I1114">
        <v>1298</v>
      </c>
      <c r="J1114">
        <v>3.03</v>
      </c>
      <c r="K1114">
        <v>6293.67</v>
      </c>
      <c r="L1114">
        <v>793.67</v>
      </c>
      <c r="M1114">
        <v>19664.699999999997</v>
      </c>
      <c r="N1114">
        <v>5500</v>
      </c>
      <c r="O1114">
        <v>12.61060716561243</v>
      </c>
      <c r="P1114" t="s">
        <v>2081</v>
      </c>
      <c r="Q1114" t="s">
        <v>2092</v>
      </c>
    </row>
    <row r="1115" spans="1:17" x14ac:dyDescent="0.25">
      <c r="A1115" t="s">
        <v>597</v>
      </c>
      <c r="B1115" s="18">
        <v>45853</v>
      </c>
      <c r="C1115" t="s">
        <v>2024</v>
      </c>
      <c r="D1115" t="s">
        <v>2044</v>
      </c>
      <c r="E1115" t="s">
        <v>2055</v>
      </c>
      <c r="F1115" t="s">
        <v>2062</v>
      </c>
      <c r="G1115">
        <v>3</v>
      </c>
      <c r="H1115">
        <v>180</v>
      </c>
      <c r="I1115">
        <v>243</v>
      </c>
      <c r="J1115">
        <v>16.46</v>
      </c>
      <c r="K1115">
        <v>608.99</v>
      </c>
      <c r="L1115">
        <v>68.989999999999995</v>
      </c>
      <c r="M1115">
        <v>11999.34</v>
      </c>
      <c r="N1115">
        <v>540</v>
      </c>
      <c r="O1115">
        <v>11.328593244552456</v>
      </c>
      <c r="P1115" t="s">
        <v>2081</v>
      </c>
      <c r="Q1115" t="s">
        <v>2092</v>
      </c>
    </row>
    <row r="1116" spans="1:17" x14ac:dyDescent="0.25">
      <c r="A1116" t="s">
        <v>729</v>
      </c>
      <c r="B1116" s="18">
        <v>45853</v>
      </c>
      <c r="C1116" t="s">
        <v>2024</v>
      </c>
      <c r="D1116" t="s">
        <v>2044</v>
      </c>
      <c r="E1116" t="s">
        <v>2055</v>
      </c>
      <c r="F1116" t="s">
        <v>2061</v>
      </c>
      <c r="G1116">
        <v>8</v>
      </c>
      <c r="H1116">
        <v>180</v>
      </c>
      <c r="I1116">
        <v>243</v>
      </c>
      <c r="J1116">
        <v>12.94</v>
      </c>
      <c r="K1116">
        <v>1692.54</v>
      </c>
      <c r="L1116">
        <v>252.54</v>
      </c>
      <c r="M1116">
        <v>25155.360000000001</v>
      </c>
      <c r="N1116">
        <v>1440</v>
      </c>
      <c r="O1116">
        <v>14.920769967031799</v>
      </c>
      <c r="P1116" t="s">
        <v>2081</v>
      </c>
      <c r="Q1116" t="s">
        <v>2092</v>
      </c>
    </row>
    <row r="1117" spans="1:17" x14ac:dyDescent="0.25">
      <c r="A1117" t="s">
        <v>858</v>
      </c>
      <c r="B1117" s="18">
        <v>45853</v>
      </c>
      <c r="C1117" t="s">
        <v>2023</v>
      </c>
      <c r="D1117" t="s">
        <v>2043</v>
      </c>
      <c r="E1117" t="s">
        <v>2053</v>
      </c>
      <c r="F1117" t="s">
        <v>2061</v>
      </c>
      <c r="G1117">
        <v>3</v>
      </c>
      <c r="H1117">
        <v>550</v>
      </c>
      <c r="I1117">
        <v>742.5</v>
      </c>
      <c r="J1117">
        <v>9.9</v>
      </c>
      <c r="K1117">
        <v>2006.99</v>
      </c>
      <c r="L1117">
        <v>356.99</v>
      </c>
      <c r="M1117">
        <v>22052.25</v>
      </c>
      <c r="N1117">
        <v>1650</v>
      </c>
      <c r="O1117">
        <v>17.787333270220579</v>
      </c>
      <c r="P1117" t="s">
        <v>2081</v>
      </c>
      <c r="Q1117" t="s">
        <v>2092</v>
      </c>
    </row>
    <row r="1118" spans="1:17" x14ac:dyDescent="0.25">
      <c r="A1118" t="s">
        <v>1089</v>
      </c>
      <c r="B1118" s="18">
        <v>45853</v>
      </c>
      <c r="C1118" t="s">
        <v>2030</v>
      </c>
      <c r="D1118" t="s">
        <v>2050</v>
      </c>
      <c r="E1118" t="s">
        <v>2058</v>
      </c>
      <c r="F1118" t="s">
        <v>2062</v>
      </c>
      <c r="G1118">
        <v>2</v>
      </c>
      <c r="H1118">
        <v>1800</v>
      </c>
      <c r="I1118">
        <v>2124</v>
      </c>
      <c r="J1118">
        <v>16.66</v>
      </c>
      <c r="K1118">
        <v>3540.32</v>
      </c>
      <c r="L1118">
        <v>-59.68</v>
      </c>
      <c r="M1118">
        <v>70771.680000000008</v>
      </c>
      <c r="N1118">
        <v>3600</v>
      </c>
      <c r="O1118">
        <v>-1.6857233244452479</v>
      </c>
      <c r="P1118" t="s">
        <v>2081</v>
      </c>
      <c r="Q1118" t="s">
        <v>2093</v>
      </c>
    </row>
    <row r="1119" spans="1:17" x14ac:dyDescent="0.25">
      <c r="A1119" t="s">
        <v>1136</v>
      </c>
      <c r="B1119" s="18">
        <v>45853</v>
      </c>
      <c r="C1119" t="s">
        <v>2030</v>
      </c>
      <c r="D1119" t="s">
        <v>2050</v>
      </c>
      <c r="E1119" t="s">
        <v>2058</v>
      </c>
      <c r="F1119" t="s">
        <v>2062</v>
      </c>
      <c r="G1119">
        <v>7</v>
      </c>
      <c r="H1119">
        <v>1800</v>
      </c>
      <c r="I1119">
        <v>2124</v>
      </c>
      <c r="J1119">
        <v>4</v>
      </c>
      <c r="K1119">
        <v>14273.28</v>
      </c>
      <c r="L1119">
        <v>1673.28</v>
      </c>
      <c r="M1119">
        <v>59472</v>
      </c>
      <c r="N1119">
        <v>12600</v>
      </c>
      <c r="O1119">
        <v>11.723163841807908</v>
      </c>
      <c r="P1119" t="s">
        <v>2081</v>
      </c>
      <c r="Q1119" t="s">
        <v>2092</v>
      </c>
    </row>
    <row r="1120" spans="1:17" x14ac:dyDescent="0.25">
      <c r="A1120" t="s">
        <v>670</v>
      </c>
      <c r="B1120" s="18">
        <v>45854</v>
      </c>
      <c r="C1120" t="s">
        <v>2015</v>
      </c>
      <c r="D1120" t="s">
        <v>2035</v>
      </c>
      <c r="E1120" t="s">
        <v>2054</v>
      </c>
      <c r="F1120" t="s">
        <v>2059</v>
      </c>
      <c r="G1120">
        <v>8</v>
      </c>
      <c r="H1120">
        <v>900</v>
      </c>
      <c r="I1120">
        <v>1170</v>
      </c>
      <c r="J1120">
        <v>0</v>
      </c>
      <c r="K1120">
        <v>9360</v>
      </c>
      <c r="L1120">
        <v>2160</v>
      </c>
      <c r="M1120">
        <v>0</v>
      </c>
      <c r="N1120">
        <v>7200</v>
      </c>
      <c r="O1120">
        <v>23.076923076923077</v>
      </c>
      <c r="P1120" t="s">
        <v>2081</v>
      </c>
      <c r="Q1120" t="s">
        <v>2092</v>
      </c>
    </row>
    <row r="1121" spans="1:17" x14ac:dyDescent="0.25">
      <c r="A1121" t="s">
        <v>1774</v>
      </c>
      <c r="B1121" s="18">
        <v>45854</v>
      </c>
      <c r="C1121" t="s">
        <v>2022</v>
      </c>
      <c r="D1121" t="s">
        <v>2042</v>
      </c>
      <c r="E1121" t="s">
        <v>2053</v>
      </c>
      <c r="F1121" t="s">
        <v>2060</v>
      </c>
      <c r="G1121">
        <v>9</v>
      </c>
      <c r="H1121">
        <v>8500</v>
      </c>
      <c r="I1121">
        <v>9520</v>
      </c>
      <c r="J1121">
        <v>10.53</v>
      </c>
      <c r="K1121">
        <v>76655.210000000006</v>
      </c>
      <c r="L1121">
        <v>155.21</v>
      </c>
      <c r="M1121">
        <v>902210.39999999991</v>
      </c>
      <c r="N1121">
        <v>76500</v>
      </c>
      <c r="O1121">
        <v>0.20247808335532574</v>
      </c>
      <c r="P1121" t="s">
        <v>2081</v>
      </c>
      <c r="Q1121" t="s">
        <v>2091</v>
      </c>
    </row>
    <row r="1122" spans="1:17" x14ac:dyDescent="0.25">
      <c r="A1122" t="s">
        <v>1990</v>
      </c>
      <c r="B1122" s="18">
        <v>45854</v>
      </c>
      <c r="C1122" t="s">
        <v>2012</v>
      </c>
      <c r="D1122" t="s">
        <v>2032</v>
      </c>
      <c r="E1122" t="s">
        <v>2052</v>
      </c>
      <c r="F1122" t="s">
        <v>2059</v>
      </c>
      <c r="G1122">
        <v>4</v>
      </c>
      <c r="H1122">
        <v>6500</v>
      </c>
      <c r="I1122">
        <v>8125</v>
      </c>
      <c r="J1122">
        <v>10.95</v>
      </c>
      <c r="K1122">
        <v>28942.36</v>
      </c>
      <c r="L1122">
        <v>2942.36</v>
      </c>
      <c r="M1122">
        <v>355875</v>
      </c>
      <c r="N1122">
        <v>26000</v>
      </c>
      <c r="O1122">
        <v>10.166275314107073</v>
      </c>
      <c r="P1122" t="s">
        <v>2081</v>
      </c>
      <c r="Q1122" t="s">
        <v>2092</v>
      </c>
    </row>
    <row r="1123" spans="1:17" x14ac:dyDescent="0.25">
      <c r="A1123" t="s">
        <v>483</v>
      </c>
      <c r="B1123" s="18">
        <v>45855</v>
      </c>
      <c r="C1123" t="s">
        <v>2024</v>
      </c>
      <c r="D1123" t="s">
        <v>2044</v>
      </c>
      <c r="E1123" t="s">
        <v>2055</v>
      </c>
      <c r="F1123" t="s">
        <v>2061</v>
      </c>
      <c r="G1123">
        <v>2</v>
      </c>
      <c r="H1123">
        <v>180</v>
      </c>
      <c r="I1123">
        <v>243</v>
      </c>
      <c r="J1123">
        <v>12.94</v>
      </c>
      <c r="K1123">
        <v>423.11</v>
      </c>
      <c r="L1123">
        <v>63.11</v>
      </c>
      <c r="M1123">
        <v>6288.84</v>
      </c>
      <c r="N1123">
        <v>360</v>
      </c>
      <c r="O1123">
        <v>14.915742951005647</v>
      </c>
      <c r="P1123" t="s">
        <v>2081</v>
      </c>
      <c r="Q1123" t="s">
        <v>2092</v>
      </c>
    </row>
    <row r="1124" spans="1:17" x14ac:dyDescent="0.25">
      <c r="A1124" t="s">
        <v>488</v>
      </c>
      <c r="B1124" s="18">
        <v>45855</v>
      </c>
      <c r="C1124" t="s">
        <v>2021</v>
      </c>
      <c r="D1124" t="s">
        <v>2041</v>
      </c>
      <c r="E1124" t="s">
        <v>2056</v>
      </c>
      <c r="F1124" t="s">
        <v>2061</v>
      </c>
      <c r="G1124">
        <v>7</v>
      </c>
      <c r="H1124">
        <v>300</v>
      </c>
      <c r="I1124">
        <v>405</v>
      </c>
      <c r="J1124">
        <v>13.1</v>
      </c>
      <c r="K1124">
        <v>2463.64</v>
      </c>
      <c r="L1124">
        <v>363.64</v>
      </c>
      <c r="M1124">
        <v>37138.5</v>
      </c>
      <c r="N1124">
        <v>2100</v>
      </c>
      <c r="O1124">
        <v>14.760273416570602</v>
      </c>
      <c r="P1124" t="s">
        <v>2081</v>
      </c>
      <c r="Q1124" t="s">
        <v>2092</v>
      </c>
    </row>
    <row r="1125" spans="1:17" x14ac:dyDescent="0.25">
      <c r="A1125" t="s">
        <v>506</v>
      </c>
      <c r="B1125" s="18">
        <v>45855</v>
      </c>
      <c r="C1125" t="s">
        <v>2030</v>
      </c>
      <c r="D1125" t="s">
        <v>2050</v>
      </c>
      <c r="E1125" t="s">
        <v>2058</v>
      </c>
      <c r="F1125" t="s">
        <v>2062</v>
      </c>
      <c r="G1125">
        <v>6</v>
      </c>
      <c r="H1125">
        <v>1800</v>
      </c>
      <c r="I1125">
        <v>2124</v>
      </c>
      <c r="J1125">
        <v>14.78</v>
      </c>
      <c r="K1125">
        <v>10860.66</v>
      </c>
      <c r="L1125">
        <v>60.66</v>
      </c>
      <c r="M1125">
        <v>188356.31999999998</v>
      </c>
      <c r="N1125">
        <v>10800</v>
      </c>
      <c r="O1125">
        <v>0.55852959212423559</v>
      </c>
      <c r="P1125" t="s">
        <v>2081</v>
      </c>
      <c r="Q1125" t="s">
        <v>2091</v>
      </c>
    </row>
    <row r="1126" spans="1:17" x14ac:dyDescent="0.25">
      <c r="A1126" t="s">
        <v>613</v>
      </c>
      <c r="B1126" s="18">
        <v>45855</v>
      </c>
      <c r="C1126" t="s">
        <v>2029</v>
      </c>
      <c r="D1126" t="s">
        <v>2049</v>
      </c>
      <c r="E1126" t="s">
        <v>2055</v>
      </c>
      <c r="F1126" t="s">
        <v>2060</v>
      </c>
      <c r="G1126">
        <v>5</v>
      </c>
      <c r="H1126">
        <v>1200</v>
      </c>
      <c r="I1126">
        <v>1464</v>
      </c>
      <c r="J1126">
        <v>9.99</v>
      </c>
      <c r="K1126">
        <v>6589.03</v>
      </c>
      <c r="L1126">
        <v>589.03</v>
      </c>
      <c r="M1126">
        <v>73126.8</v>
      </c>
      <c r="N1126">
        <v>6000</v>
      </c>
      <c r="O1126">
        <v>8.9395555946778202</v>
      </c>
      <c r="P1126" t="s">
        <v>2081</v>
      </c>
      <c r="Q1126" t="s">
        <v>2091</v>
      </c>
    </row>
    <row r="1127" spans="1:17" x14ac:dyDescent="0.25">
      <c r="A1127" t="s">
        <v>1417</v>
      </c>
      <c r="B1127" s="18">
        <v>45855</v>
      </c>
      <c r="C1127" t="s">
        <v>2015</v>
      </c>
      <c r="D1127" t="s">
        <v>2035</v>
      </c>
      <c r="E1127" t="s">
        <v>2054</v>
      </c>
      <c r="F1127" t="s">
        <v>2059</v>
      </c>
      <c r="G1127">
        <v>3</v>
      </c>
      <c r="H1127">
        <v>900</v>
      </c>
      <c r="I1127">
        <v>1170</v>
      </c>
      <c r="J1127">
        <v>15.03</v>
      </c>
      <c r="K1127">
        <v>2982.28</v>
      </c>
      <c r="L1127">
        <v>282.27999999999997</v>
      </c>
      <c r="M1127">
        <v>52755.299999999996</v>
      </c>
      <c r="N1127">
        <v>2700</v>
      </c>
      <c r="O1127">
        <v>9.465241358960256</v>
      </c>
      <c r="P1127" t="s">
        <v>2081</v>
      </c>
      <c r="Q1127" t="s">
        <v>2091</v>
      </c>
    </row>
    <row r="1128" spans="1:17" x14ac:dyDescent="0.25">
      <c r="A1128" t="s">
        <v>1899</v>
      </c>
      <c r="B1128" s="18">
        <v>45855</v>
      </c>
      <c r="C1128" t="s">
        <v>2031</v>
      </c>
      <c r="D1128" t="s">
        <v>2051</v>
      </c>
      <c r="E1128" t="s">
        <v>2058</v>
      </c>
      <c r="F1128" t="s">
        <v>2059</v>
      </c>
      <c r="G1128">
        <v>4</v>
      </c>
      <c r="H1128">
        <v>3200</v>
      </c>
      <c r="I1128">
        <v>3840</v>
      </c>
      <c r="J1128">
        <v>13.4</v>
      </c>
      <c r="K1128">
        <v>13301.83</v>
      </c>
      <c r="L1128">
        <v>501.83</v>
      </c>
      <c r="M1128">
        <v>205824</v>
      </c>
      <c r="N1128">
        <v>12800</v>
      </c>
      <c r="O1128">
        <v>3.7726388023302055</v>
      </c>
      <c r="P1128" t="s">
        <v>2081</v>
      </c>
      <c r="Q1128" t="s">
        <v>2091</v>
      </c>
    </row>
    <row r="1129" spans="1:17" x14ac:dyDescent="0.25">
      <c r="A1129" t="s">
        <v>579</v>
      </c>
      <c r="B1129" s="18">
        <v>45856</v>
      </c>
      <c r="C1129" t="s">
        <v>2014</v>
      </c>
      <c r="D1129" t="s">
        <v>2034</v>
      </c>
      <c r="E1129" t="s">
        <v>2052</v>
      </c>
      <c r="F1129" t="s">
        <v>2060</v>
      </c>
      <c r="G1129">
        <v>7</v>
      </c>
      <c r="H1129">
        <v>4500</v>
      </c>
      <c r="I1129">
        <v>5220</v>
      </c>
      <c r="J1129">
        <v>10.8</v>
      </c>
      <c r="K1129">
        <v>32593.72</v>
      </c>
      <c r="L1129">
        <v>1093.72</v>
      </c>
      <c r="M1129">
        <v>394632</v>
      </c>
      <c r="N1129">
        <v>31500</v>
      </c>
      <c r="O1129">
        <v>3.3556157443826602</v>
      </c>
      <c r="P1129" t="s">
        <v>2081</v>
      </c>
      <c r="Q1129" t="s">
        <v>2091</v>
      </c>
    </row>
    <row r="1130" spans="1:17" x14ac:dyDescent="0.25">
      <c r="A1130" t="s">
        <v>1591</v>
      </c>
      <c r="B1130" s="18">
        <v>45856</v>
      </c>
      <c r="C1130" t="s">
        <v>2015</v>
      </c>
      <c r="D1130" t="s">
        <v>2035</v>
      </c>
      <c r="E1130" t="s">
        <v>2054</v>
      </c>
      <c r="F1130" t="s">
        <v>2059</v>
      </c>
      <c r="G1130">
        <v>10</v>
      </c>
      <c r="H1130">
        <v>900</v>
      </c>
      <c r="I1130">
        <v>1170</v>
      </c>
      <c r="J1130">
        <v>21.44</v>
      </c>
      <c r="K1130">
        <v>9192</v>
      </c>
      <c r="L1130">
        <v>192</v>
      </c>
      <c r="M1130">
        <v>250848.00000000003</v>
      </c>
      <c r="N1130">
        <v>9000</v>
      </c>
      <c r="O1130">
        <v>2.0887728459530028</v>
      </c>
      <c r="P1130" t="s">
        <v>2081</v>
      </c>
      <c r="Q1130" t="s">
        <v>2091</v>
      </c>
    </row>
    <row r="1131" spans="1:17" x14ac:dyDescent="0.25">
      <c r="A1131" t="s">
        <v>1784</v>
      </c>
      <c r="B1131" s="18">
        <v>45856</v>
      </c>
      <c r="C1131" t="s">
        <v>2024</v>
      </c>
      <c r="D1131" t="s">
        <v>2044</v>
      </c>
      <c r="E1131" t="s">
        <v>2055</v>
      </c>
      <c r="F1131" t="s">
        <v>2060</v>
      </c>
      <c r="G1131">
        <v>3</v>
      </c>
      <c r="H1131">
        <v>180</v>
      </c>
      <c r="I1131">
        <v>243</v>
      </c>
      <c r="J1131">
        <v>12.07</v>
      </c>
      <c r="K1131">
        <v>641.01</v>
      </c>
      <c r="L1131">
        <v>101.01</v>
      </c>
      <c r="M1131">
        <v>8799.0300000000007</v>
      </c>
      <c r="N1131">
        <v>540</v>
      </c>
      <c r="O1131">
        <v>15.757944493845653</v>
      </c>
      <c r="P1131" t="s">
        <v>2081</v>
      </c>
      <c r="Q1131" t="s">
        <v>2092</v>
      </c>
    </row>
    <row r="1132" spans="1:17" x14ac:dyDescent="0.25">
      <c r="A1132" t="s">
        <v>244</v>
      </c>
      <c r="B1132" s="18">
        <v>45857</v>
      </c>
      <c r="C1132" t="s">
        <v>2026</v>
      </c>
      <c r="D1132" t="s">
        <v>2046</v>
      </c>
      <c r="E1132" t="s">
        <v>2052</v>
      </c>
      <c r="F1132" t="s">
        <v>2059</v>
      </c>
      <c r="G1132">
        <v>5</v>
      </c>
      <c r="H1132">
        <v>3000</v>
      </c>
      <c r="I1132">
        <v>3600</v>
      </c>
      <c r="J1132">
        <v>14.96</v>
      </c>
      <c r="K1132">
        <v>15306.78</v>
      </c>
      <c r="L1132">
        <v>306.77999999999997</v>
      </c>
      <c r="M1132">
        <v>269280</v>
      </c>
      <c r="N1132">
        <v>15000</v>
      </c>
      <c r="O1132">
        <v>2.0042098991427326</v>
      </c>
      <c r="P1132" t="s">
        <v>2081</v>
      </c>
      <c r="Q1132" t="s">
        <v>2091</v>
      </c>
    </row>
    <row r="1133" spans="1:17" x14ac:dyDescent="0.25">
      <c r="A1133" t="s">
        <v>254</v>
      </c>
      <c r="B1133" s="18">
        <v>45857</v>
      </c>
      <c r="C1133" t="s">
        <v>2016</v>
      </c>
      <c r="D1133" t="s">
        <v>2036</v>
      </c>
      <c r="E1133" t="s">
        <v>2052</v>
      </c>
      <c r="F1133" t="s">
        <v>2061</v>
      </c>
      <c r="G1133">
        <v>3</v>
      </c>
      <c r="H1133">
        <v>900</v>
      </c>
      <c r="I1133">
        <v>1170</v>
      </c>
      <c r="J1133">
        <v>23.35</v>
      </c>
      <c r="K1133">
        <v>2690.25</v>
      </c>
      <c r="L1133">
        <v>-9.75</v>
      </c>
      <c r="M1133">
        <v>81958.5</v>
      </c>
      <c r="N1133">
        <v>2700</v>
      </c>
      <c r="O1133">
        <v>-0.36241984945637024</v>
      </c>
      <c r="P1133" t="s">
        <v>2081</v>
      </c>
      <c r="Q1133" t="s">
        <v>2093</v>
      </c>
    </row>
    <row r="1134" spans="1:17" x14ac:dyDescent="0.25">
      <c r="A1134" t="s">
        <v>777</v>
      </c>
      <c r="B1134" s="18">
        <v>45858</v>
      </c>
      <c r="C1134" t="s">
        <v>2031</v>
      </c>
      <c r="D1134" t="s">
        <v>2051</v>
      </c>
      <c r="E1134" t="s">
        <v>2058</v>
      </c>
      <c r="F1134" t="s">
        <v>2061</v>
      </c>
      <c r="G1134">
        <v>10</v>
      </c>
      <c r="H1134">
        <v>3200</v>
      </c>
      <c r="I1134">
        <v>3840</v>
      </c>
      <c r="J1134">
        <v>6.54</v>
      </c>
      <c r="K1134">
        <v>35887.620000000003</v>
      </c>
      <c r="L1134">
        <v>3887.62</v>
      </c>
      <c r="M1134">
        <v>251136</v>
      </c>
      <c r="N1134">
        <v>32000</v>
      </c>
      <c r="O1134">
        <v>10.832760712468533</v>
      </c>
      <c r="P1134" t="s">
        <v>2081</v>
      </c>
      <c r="Q1134" t="s">
        <v>2092</v>
      </c>
    </row>
    <row r="1135" spans="1:17" x14ac:dyDescent="0.25">
      <c r="A1135" t="s">
        <v>831</v>
      </c>
      <c r="B1135" s="18">
        <v>45858</v>
      </c>
      <c r="C1135" t="s">
        <v>2013</v>
      </c>
      <c r="D1135" t="s">
        <v>2033</v>
      </c>
      <c r="E1135" t="s">
        <v>2053</v>
      </c>
      <c r="F1135" t="s">
        <v>2059</v>
      </c>
      <c r="G1135">
        <v>1</v>
      </c>
      <c r="H1135">
        <v>6500</v>
      </c>
      <c r="I1135">
        <v>7150</v>
      </c>
      <c r="J1135">
        <v>4.3600000000000003</v>
      </c>
      <c r="K1135">
        <v>6838.42</v>
      </c>
      <c r="L1135">
        <v>338.42</v>
      </c>
      <c r="M1135">
        <v>31174.000000000004</v>
      </c>
      <c r="N1135">
        <v>6500</v>
      </c>
      <c r="O1135">
        <v>4.9488039634886425</v>
      </c>
      <c r="P1135" t="s">
        <v>2081</v>
      </c>
      <c r="Q1135" t="s">
        <v>2091</v>
      </c>
    </row>
    <row r="1136" spans="1:17" x14ac:dyDescent="0.25">
      <c r="A1136" t="s">
        <v>885</v>
      </c>
      <c r="B1136" s="18">
        <v>45858</v>
      </c>
      <c r="C1136" t="s">
        <v>2019</v>
      </c>
      <c r="D1136" t="s">
        <v>2039</v>
      </c>
      <c r="E1136" t="s">
        <v>2053</v>
      </c>
      <c r="F1136" t="s">
        <v>2059</v>
      </c>
      <c r="G1136">
        <v>1</v>
      </c>
      <c r="H1136">
        <v>900</v>
      </c>
      <c r="I1136">
        <v>1152</v>
      </c>
      <c r="J1136">
        <v>6.06</v>
      </c>
      <c r="K1136">
        <v>1082.23</v>
      </c>
      <c r="L1136">
        <v>182.23</v>
      </c>
      <c r="M1136">
        <v>6981.12</v>
      </c>
      <c r="N1136">
        <v>900</v>
      </c>
      <c r="O1136">
        <v>16.838380011642627</v>
      </c>
      <c r="P1136" t="s">
        <v>2081</v>
      </c>
      <c r="Q1136" t="s">
        <v>2092</v>
      </c>
    </row>
    <row r="1137" spans="1:17" x14ac:dyDescent="0.25">
      <c r="A1137" t="s">
        <v>1032</v>
      </c>
      <c r="B1137" s="18">
        <v>45858</v>
      </c>
      <c r="C1137" t="s">
        <v>2013</v>
      </c>
      <c r="D1137" t="s">
        <v>2033</v>
      </c>
      <c r="E1137" t="s">
        <v>2053</v>
      </c>
      <c r="F1137" t="s">
        <v>2060</v>
      </c>
      <c r="G1137">
        <v>8</v>
      </c>
      <c r="H1137">
        <v>6500</v>
      </c>
      <c r="I1137">
        <v>7150</v>
      </c>
      <c r="J1137">
        <v>16.66</v>
      </c>
      <c r="K1137">
        <v>47671.13</v>
      </c>
      <c r="L1137">
        <v>-4328.87</v>
      </c>
      <c r="M1137">
        <v>952952</v>
      </c>
      <c r="N1137">
        <v>52000</v>
      </c>
      <c r="O1137">
        <v>-9.0806951712703263</v>
      </c>
      <c r="P1137" t="s">
        <v>2081</v>
      </c>
      <c r="Q1137" t="s">
        <v>2093</v>
      </c>
    </row>
    <row r="1138" spans="1:17" x14ac:dyDescent="0.25">
      <c r="A1138" t="s">
        <v>1138</v>
      </c>
      <c r="B1138" s="18">
        <v>45858</v>
      </c>
      <c r="C1138" t="s">
        <v>2031</v>
      </c>
      <c r="D1138" t="s">
        <v>2051</v>
      </c>
      <c r="E1138" t="s">
        <v>2058</v>
      </c>
      <c r="F1138" t="s">
        <v>2061</v>
      </c>
      <c r="G1138">
        <v>2</v>
      </c>
      <c r="H1138">
        <v>3200</v>
      </c>
      <c r="I1138">
        <v>3840</v>
      </c>
      <c r="J1138">
        <v>25.01</v>
      </c>
      <c r="K1138">
        <v>5758.93</v>
      </c>
      <c r="L1138">
        <v>-641.07000000000005</v>
      </c>
      <c r="M1138">
        <v>192076.80000000002</v>
      </c>
      <c r="N1138">
        <v>6400</v>
      </c>
      <c r="O1138">
        <v>-11.131755378169208</v>
      </c>
      <c r="P1138" t="s">
        <v>2081</v>
      </c>
      <c r="Q1138" t="s">
        <v>2093</v>
      </c>
    </row>
    <row r="1139" spans="1:17" x14ac:dyDescent="0.25">
      <c r="A1139" t="s">
        <v>1296</v>
      </c>
      <c r="B1139" s="18">
        <v>45858</v>
      </c>
      <c r="C1139" t="s">
        <v>2012</v>
      </c>
      <c r="D1139" t="s">
        <v>2032</v>
      </c>
      <c r="E1139" t="s">
        <v>2052</v>
      </c>
      <c r="F1139" t="s">
        <v>2061</v>
      </c>
      <c r="G1139">
        <v>8</v>
      </c>
      <c r="H1139">
        <v>6500</v>
      </c>
      <c r="I1139">
        <v>8125</v>
      </c>
      <c r="J1139">
        <v>19.46</v>
      </c>
      <c r="K1139">
        <v>52350.63</v>
      </c>
      <c r="L1139">
        <v>350.63</v>
      </c>
      <c r="M1139">
        <v>1264900</v>
      </c>
      <c r="N1139">
        <v>52000</v>
      </c>
      <c r="O1139">
        <v>0.66977226444075266</v>
      </c>
      <c r="P1139" t="s">
        <v>2081</v>
      </c>
      <c r="Q1139" t="s">
        <v>2091</v>
      </c>
    </row>
    <row r="1140" spans="1:17" x14ac:dyDescent="0.25">
      <c r="A1140" t="s">
        <v>1438</v>
      </c>
      <c r="B1140" s="18">
        <v>45858</v>
      </c>
      <c r="C1140" t="s">
        <v>2020</v>
      </c>
      <c r="D1140" t="s">
        <v>2040</v>
      </c>
      <c r="E1140" t="s">
        <v>2053</v>
      </c>
      <c r="F1140" t="s">
        <v>2060</v>
      </c>
      <c r="G1140">
        <v>7</v>
      </c>
      <c r="H1140">
        <v>350</v>
      </c>
      <c r="I1140">
        <v>455</v>
      </c>
      <c r="J1140">
        <v>2.56</v>
      </c>
      <c r="K1140">
        <v>3103.6</v>
      </c>
      <c r="L1140">
        <v>653.6</v>
      </c>
      <c r="M1140">
        <v>8153.6</v>
      </c>
      <c r="N1140">
        <v>2450</v>
      </c>
      <c r="O1140">
        <v>21.059414873050653</v>
      </c>
      <c r="P1140" t="s">
        <v>2081</v>
      </c>
      <c r="Q1140" t="s">
        <v>2092</v>
      </c>
    </row>
    <row r="1141" spans="1:17" x14ac:dyDescent="0.25">
      <c r="A1141" t="s">
        <v>428</v>
      </c>
      <c r="B1141" s="18">
        <v>45859</v>
      </c>
      <c r="C1141" t="s">
        <v>2023</v>
      </c>
      <c r="D1141" t="s">
        <v>2043</v>
      </c>
      <c r="E1141" t="s">
        <v>2053</v>
      </c>
      <c r="F1141" t="s">
        <v>2062</v>
      </c>
      <c r="G1141">
        <v>4</v>
      </c>
      <c r="H1141">
        <v>550</v>
      </c>
      <c r="I1141">
        <v>742.5</v>
      </c>
      <c r="J1141">
        <v>1.25</v>
      </c>
      <c r="K1141">
        <v>2932.85</v>
      </c>
      <c r="L1141">
        <v>732.85</v>
      </c>
      <c r="M1141">
        <v>3712.5</v>
      </c>
      <c r="N1141">
        <v>2200</v>
      </c>
      <c r="O1141">
        <v>24.987640008865096</v>
      </c>
      <c r="P1141" t="s">
        <v>2081</v>
      </c>
      <c r="Q1141" t="s">
        <v>2092</v>
      </c>
    </row>
    <row r="1142" spans="1:17" x14ac:dyDescent="0.25">
      <c r="A1142" t="s">
        <v>1025</v>
      </c>
      <c r="B1142" s="18">
        <v>45859</v>
      </c>
      <c r="C1142" t="s">
        <v>2029</v>
      </c>
      <c r="D1142" t="s">
        <v>2049</v>
      </c>
      <c r="E1142" t="s">
        <v>2055</v>
      </c>
      <c r="F1142" t="s">
        <v>2059</v>
      </c>
      <c r="G1142">
        <v>3</v>
      </c>
      <c r="H1142">
        <v>1200</v>
      </c>
      <c r="I1142">
        <v>1464</v>
      </c>
      <c r="J1142">
        <v>0</v>
      </c>
      <c r="K1142">
        <v>4392</v>
      </c>
      <c r="L1142">
        <v>792</v>
      </c>
      <c r="M1142">
        <v>0</v>
      </c>
      <c r="N1142">
        <v>3600</v>
      </c>
      <c r="O1142">
        <v>18.032786885245901</v>
      </c>
      <c r="P1142" t="s">
        <v>2081</v>
      </c>
      <c r="Q1142" t="s">
        <v>2092</v>
      </c>
    </row>
    <row r="1143" spans="1:17" x14ac:dyDescent="0.25">
      <c r="A1143" t="s">
        <v>1097</v>
      </c>
      <c r="B1143" s="18">
        <v>45859</v>
      </c>
      <c r="C1143" t="s">
        <v>2026</v>
      </c>
      <c r="D1143" t="s">
        <v>2046</v>
      </c>
      <c r="E1143" t="s">
        <v>2052</v>
      </c>
      <c r="F1143" t="s">
        <v>2061</v>
      </c>
      <c r="G1143">
        <v>4</v>
      </c>
      <c r="H1143">
        <v>3000</v>
      </c>
      <c r="I1143">
        <v>3600</v>
      </c>
      <c r="J1143">
        <v>15.78</v>
      </c>
      <c r="K1143">
        <v>12127.56</v>
      </c>
      <c r="L1143">
        <v>127.56</v>
      </c>
      <c r="M1143">
        <v>227232</v>
      </c>
      <c r="N1143">
        <v>12000</v>
      </c>
      <c r="O1143">
        <v>1.0518191623047011</v>
      </c>
      <c r="P1143" t="s">
        <v>2081</v>
      </c>
      <c r="Q1143" t="s">
        <v>2091</v>
      </c>
    </row>
    <row r="1144" spans="1:17" x14ac:dyDescent="0.25">
      <c r="A1144" t="s">
        <v>1635</v>
      </c>
      <c r="B1144" s="18">
        <v>45859</v>
      </c>
      <c r="C1144" t="s">
        <v>2028</v>
      </c>
      <c r="D1144" t="s">
        <v>2048</v>
      </c>
      <c r="E1144" t="s">
        <v>2057</v>
      </c>
      <c r="F1144" t="s">
        <v>2062</v>
      </c>
      <c r="G1144">
        <v>9</v>
      </c>
      <c r="H1144">
        <v>80</v>
      </c>
      <c r="I1144">
        <v>116</v>
      </c>
      <c r="J1144">
        <v>13.91</v>
      </c>
      <c r="K1144">
        <v>898.73</v>
      </c>
      <c r="L1144">
        <v>178.73</v>
      </c>
      <c r="M1144">
        <v>14522.04</v>
      </c>
      <c r="N1144">
        <v>720</v>
      </c>
      <c r="O1144">
        <v>19.886951587239771</v>
      </c>
      <c r="P1144" t="s">
        <v>2081</v>
      </c>
      <c r="Q1144" t="s">
        <v>2092</v>
      </c>
    </row>
    <row r="1145" spans="1:17" x14ac:dyDescent="0.25">
      <c r="A1145" t="s">
        <v>1870</v>
      </c>
      <c r="B1145" s="18">
        <v>45859</v>
      </c>
      <c r="C1145" t="s">
        <v>2021</v>
      </c>
      <c r="D1145" t="s">
        <v>2041</v>
      </c>
      <c r="E1145" t="s">
        <v>2056</v>
      </c>
      <c r="F1145" t="s">
        <v>2060</v>
      </c>
      <c r="G1145">
        <v>6</v>
      </c>
      <c r="H1145">
        <v>300</v>
      </c>
      <c r="I1145">
        <v>405</v>
      </c>
      <c r="J1145">
        <v>17.75</v>
      </c>
      <c r="K1145">
        <v>1998.72</v>
      </c>
      <c r="L1145">
        <v>198.72</v>
      </c>
      <c r="M1145">
        <v>43132.5</v>
      </c>
      <c r="N1145">
        <v>1800</v>
      </c>
      <c r="O1145">
        <v>9.9423631123919307</v>
      </c>
      <c r="P1145" t="s">
        <v>2081</v>
      </c>
      <c r="Q1145" t="s">
        <v>2091</v>
      </c>
    </row>
    <row r="1146" spans="1:17" x14ac:dyDescent="0.25">
      <c r="A1146" t="s">
        <v>2008</v>
      </c>
      <c r="B1146" s="18">
        <v>45859</v>
      </c>
      <c r="C1146" t="s">
        <v>2022</v>
      </c>
      <c r="D1146" t="s">
        <v>2042</v>
      </c>
      <c r="E1146" t="s">
        <v>2053</v>
      </c>
      <c r="F1146" t="s">
        <v>2062</v>
      </c>
      <c r="G1146">
        <v>1</v>
      </c>
      <c r="H1146">
        <v>8500</v>
      </c>
      <c r="I1146">
        <v>9520</v>
      </c>
      <c r="J1146">
        <v>16.75</v>
      </c>
      <c r="K1146">
        <v>7925.35</v>
      </c>
      <c r="L1146">
        <v>-574.65</v>
      </c>
      <c r="M1146">
        <v>159460</v>
      </c>
      <c r="N1146">
        <v>8500</v>
      </c>
      <c r="O1146">
        <v>-7.250783877052748</v>
      </c>
      <c r="P1146" t="s">
        <v>2081</v>
      </c>
      <c r="Q1146" t="s">
        <v>2093</v>
      </c>
    </row>
    <row r="1147" spans="1:17" x14ac:dyDescent="0.25">
      <c r="A1147" t="s">
        <v>239</v>
      </c>
      <c r="B1147" s="18">
        <v>45860</v>
      </c>
      <c r="C1147" t="s">
        <v>2028</v>
      </c>
      <c r="D1147" t="s">
        <v>2048</v>
      </c>
      <c r="E1147" t="s">
        <v>2057</v>
      </c>
      <c r="F1147" t="s">
        <v>2061</v>
      </c>
      <c r="G1147">
        <v>4</v>
      </c>
      <c r="H1147">
        <v>80</v>
      </c>
      <c r="I1147">
        <v>116</v>
      </c>
      <c r="J1147">
        <v>16.559999999999999</v>
      </c>
      <c r="K1147">
        <v>387.18</v>
      </c>
      <c r="L1147">
        <v>67.180000000000007</v>
      </c>
      <c r="M1147">
        <v>7683.8399999999992</v>
      </c>
      <c r="N1147">
        <v>320</v>
      </c>
      <c r="O1147">
        <v>17.351102846221398</v>
      </c>
      <c r="P1147" t="s">
        <v>2081</v>
      </c>
      <c r="Q1147" t="s">
        <v>2092</v>
      </c>
    </row>
    <row r="1148" spans="1:17" x14ac:dyDescent="0.25">
      <c r="A1148" t="s">
        <v>343</v>
      </c>
      <c r="B1148" s="18">
        <v>45860</v>
      </c>
      <c r="C1148" t="s">
        <v>2014</v>
      </c>
      <c r="D1148" t="s">
        <v>2034</v>
      </c>
      <c r="E1148" t="s">
        <v>2052</v>
      </c>
      <c r="F1148" t="s">
        <v>2061</v>
      </c>
      <c r="G1148">
        <v>6</v>
      </c>
      <c r="H1148">
        <v>4500</v>
      </c>
      <c r="I1148">
        <v>5220</v>
      </c>
      <c r="J1148">
        <v>10.45</v>
      </c>
      <c r="K1148">
        <v>28048.33</v>
      </c>
      <c r="L1148">
        <v>1048.33</v>
      </c>
      <c r="M1148">
        <v>327294</v>
      </c>
      <c r="N1148">
        <v>27000</v>
      </c>
      <c r="O1148">
        <v>3.7375843766812493</v>
      </c>
      <c r="P1148" t="s">
        <v>2081</v>
      </c>
      <c r="Q1148" t="s">
        <v>2091</v>
      </c>
    </row>
    <row r="1149" spans="1:17" x14ac:dyDescent="0.25">
      <c r="A1149" t="s">
        <v>576</v>
      </c>
      <c r="B1149" s="18">
        <v>45860</v>
      </c>
      <c r="C1149" t="s">
        <v>2028</v>
      </c>
      <c r="D1149" t="s">
        <v>2048</v>
      </c>
      <c r="E1149" t="s">
        <v>2057</v>
      </c>
      <c r="F1149" t="s">
        <v>2059</v>
      </c>
      <c r="G1149">
        <v>4</v>
      </c>
      <c r="H1149">
        <v>80</v>
      </c>
      <c r="I1149">
        <v>116</v>
      </c>
      <c r="J1149">
        <v>18.52</v>
      </c>
      <c r="K1149">
        <v>378.06</v>
      </c>
      <c r="L1149">
        <v>58.06</v>
      </c>
      <c r="M1149">
        <v>8593.2800000000007</v>
      </c>
      <c r="N1149">
        <v>320</v>
      </c>
      <c r="O1149">
        <v>15.357350685076444</v>
      </c>
      <c r="P1149" t="s">
        <v>2081</v>
      </c>
      <c r="Q1149" t="s">
        <v>2092</v>
      </c>
    </row>
    <row r="1150" spans="1:17" x14ac:dyDescent="0.25">
      <c r="A1150" t="s">
        <v>852</v>
      </c>
      <c r="B1150" s="18">
        <v>45860</v>
      </c>
      <c r="C1150" t="s">
        <v>2021</v>
      </c>
      <c r="D1150" t="s">
        <v>2041</v>
      </c>
      <c r="E1150" t="s">
        <v>2056</v>
      </c>
      <c r="F1150" t="s">
        <v>2059</v>
      </c>
      <c r="G1150">
        <v>9</v>
      </c>
      <c r="H1150">
        <v>300</v>
      </c>
      <c r="I1150">
        <v>405</v>
      </c>
      <c r="J1150">
        <v>12.96</v>
      </c>
      <c r="K1150">
        <v>3172.6</v>
      </c>
      <c r="L1150">
        <v>472.6</v>
      </c>
      <c r="M1150">
        <v>47239.200000000004</v>
      </c>
      <c r="N1150">
        <v>2700</v>
      </c>
      <c r="O1150">
        <v>14.896299565025531</v>
      </c>
      <c r="P1150" t="s">
        <v>2081</v>
      </c>
      <c r="Q1150" t="s">
        <v>2092</v>
      </c>
    </row>
    <row r="1151" spans="1:17" x14ac:dyDescent="0.25">
      <c r="A1151" t="s">
        <v>1224</v>
      </c>
      <c r="B1151" s="18">
        <v>45860</v>
      </c>
      <c r="C1151" t="s">
        <v>2017</v>
      </c>
      <c r="D1151" t="s">
        <v>2037</v>
      </c>
      <c r="E1151" t="s">
        <v>2055</v>
      </c>
      <c r="F1151" t="s">
        <v>2059</v>
      </c>
      <c r="G1151">
        <v>2</v>
      </c>
      <c r="H1151">
        <v>2500</v>
      </c>
      <c r="I1151">
        <v>2875</v>
      </c>
      <c r="J1151">
        <v>6.99</v>
      </c>
      <c r="K1151">
        <v>5348.2</v>
      </c>
      <c r="L1151">
        <v>348.2</v>
      </c>
      <c r="M1151">
        <v>40192.5</v>
      </c>
      <c r="N1151">
        <v>5000</v>
      </c>
      <c r="O1151">
        <v>6.5106016977674734</v>
      </c>
      <c r="P1151" t="s">
        <v>2081</v>
      </c>
      <c r="Q1151" t="s">
        <v>2091</v>
      </c>
    </row>
    <row r="1152" spans="1:17" x14ac:dyDescent="0.25">
      <c r="A1152" t="s">
        <v>1765</v>
      </c>
      <c r="B1152" s="18">
        <v>45860</v>
      </c>
      <c r="C1152" t="s">
        <v>2031</v>
      </c>
      <c r="D1152" t="s">
        <v>2051</v>
      </c>
      <c r="E1152" t="s">
        <v>2058</v>
      </c>
      <c r="F1152" t="s">
        <v>2062</v>
      </c>
      <c r="G1152">
        <v>1</v>
      </c>
      <c r="H1152">
        <v>3200</v>
      </c>
      <c r="I1152">
        <v>3840</v>
      </c>
      <c r="J1152">
        <v>23.86</v>
      </c>
      <c r="K1152">
        <v>2923.68</v>
      </c>
      <c r="L1152">
        <v>-276.32</v>
      </c>
      <c r="M1152">
        <v>91622.399999999994</v>
      </c>
      <c r="N1152">
        <v>3200</v>
      </c>
      <c r="O1152">
        <v>-9.451102719859902</v>
      </c>
      <c r="P1152" t="s">
        <v>2081</v>
      </c>
      <c r="Q1152" t="s">
        <v>2093</v>
      </c>
    </row>
    <row r="1153" spans="1:17" x14ac:dyDescent="0.25">
      <c r="A1153" t="s">
        <v>1105</v>
      </c>
      <c r="B1153" s="18">
        <v>45861</v>
      </c>
      <c r="C1153" t="s">
        <v>2013</v>
      </c>
      <c r="D1153" t="s">
        <v>2033</v>
      </c>
      <c r="E1153" t="s">
        <v>2053</v>
      </c>
      <c r="F1153" t="s">
        <v>2061</v>
      </c>
      <c r="G1153">
        <v>9</v>
      </c>
      <c r="H1153">
        <v>6500</v>
      </c>
      <c r="I1153">
        <v>7150</v>
      </c>
      <c r="J1153">
        <v>17.47</v>
      </c>
      <c r="K1153">
        <v>53106.35</v>
      </c>
      <c r="L1153">
        <v>-5393.65</v>
      </c>
      <c r="M1153">
        <v>1124194.5</v>
      </c>
      <c r="N1153">
        <v>58500</v>
      </c>
      <c r="O1153">
        <v>-10.1563184063676</v>
      </c>
      <c r="P1153" t="s">
        <v>2081</v>
      </c>
      <c r="Q1153" t="s">
        <v>2093</v>
      </c>
    </row>
    <row r="1154" spans="1:17" x14ac:dyDescent="0.25">
      <c r="A1154" t="s">
        <v>1266</v>
      </c>
      <c r="B1154" s="18">
        <v>45861</v>
      </c>
      <c r="C1154" t="s">
        <v>2016</v>
      </c>
      <c r="D1154" t="s">
        <v>2036</v>
      </c>
      <c r="E1154" t="s">
        <v>2052</v>
      </c>
      <c r="F1154" t="s">
        <v>2060</v>
      </c>
      <c r="G1154">
        <v>8</v>
      </c>
      <c r="H1154">
        <v>900</v>
      </c>
      <c r="I1154">
        <v>1170</v>
      </c>
      <c r="J1154">
        <v>17.43</v>
      </c>
      <c r="K1154">
        <v>7728.23</v>
      </c>
      <c r="L1154">
        <v>528.23</v>
      </c>
      <c r="M1154">
        <v>163144.79999999999</v>
      </c>
      <c r="N1154">
        <v>7200</v>
      </c>
      <c r="O1154">
        <v>6.8350709023929159</v>
      </c>
      <c r="P1154" t="s">
        <v>2081</v>
      </c>
      <c r="Q1154" t="s">
        <v>2091</v>
      </c>
    </row>
    <row r="1155" spans="1:17" x14ac:dyDescent="0.25">
      <c r="A1155" t="s">
        <v>1385</v>
      </c>
      <c r="B1155" s="18">
        <v>45861</v>
      </c>
      <c r="C1155" t="s">
        <v>2027</v>
      </c>
      <c r="D1155" t="s">
        <v>2047</v>
      </c>
      <c r="E1155" t="s">
        <v>2053</v>
      </c>
      <c r="F1155" t="s">
        <v>2062</v>
      </c>
      <c r="G1155">
        <v>8</v>
      </c>
      <c r="H1155">
        <v>1100</v>
      </c>
      <c r="I1155">
        <v>1298</v>
      </c>
      <c r="J1155">
        <v>20.28</v>
      </c>
      <c r="K1155">
        <v>8278.2999999999993</v>
      </c>
      <c r="L1155">
        <v>-521.70000000000005</v>
      </c>
      <c r="M1155">
        <v>210587.52000000002</v>
      </c>
      <c r="N1155">
        <v>8800</v>
      </c>
      <c r="O1155">
        <v>-6.3020185303745953</v>
      </c>
      <c r="P1155" t="s">
        <v>2081</v>
      </c>
      <c r="Q1155" t="s">
        <v>2093</v>
      </c>
    </row>
    <row r="1156" spans="1:17" x14ac:dyDescent="0.25">
      <c r="A1156" t="s">
        <v>1951</v>
      </c>
      <c r="B1156" s="18">
        <v>45861</v>
      </c>
      <c r="C1156" t="s">
        <v>2027</v>
      </c>
      <c r="D1156" t="s">
        <v>2047</v>
      </c>
      <c r="E1156" t="s">
        <v>2053</v>
      </c>
      <c r="F1156" t="s">
        <v>2062</v>
      </c>
      <c r="G1156">
        <v>8</v>
      </c>
      <c r="H1156">
        <v>1100</v>
      </c>
      <c r="I1156">
        <v>1298</v>
      </c>
      <c r="J1156">
        <v>6.65</v>
      </c>
      <c r="K1156">
        <v>9693.0499999999993</v>
      </c>
      <c r="L1156">
        <v>893.05</v>
      </c>
      <c r="M1156">
        <v>69053.600000000006</v>
      </c>
      <c r="N1156">
        <v>8800</v>
      </c>
      <c r="O1156">
        <v>9.2133023145449577</v>
      </c>
      <c r="P1156" t="s">
        <v>2081</v>
      </c>
      <c r="Q1156" t="s">
        <v>2091</v>
      </c>
    </row>
    <row r="1157" spans="1:17" x14ac:dyDescent="0.25">
      <c r="A1157" t="s">
        <v>556</v>
      </c>
      <c r="B1157" s="18">
        <v>45862</v>
      </c>
      <c r="C1157" t="s">
        <v>2023</v>
      </c>
      <c r="D1157" t="s">
        <v>2043</v>
      </c>
      <c r="E1157" t="s">
        <v>2053</v>
      </c>
      <c r="F1157" t="s">
        <v>2060</v>
      </c>
      <c r="G1157">
        <v>1</v>
      </c>
      <c r="H1157">
        <v>550</v>
      </c>
      <c r="I1157">
        <v>742.5</v>
      </c>
      <c r="J1157">
        <v>6.38</v>
      </c>
      <c r="K1157">
        <v>695.15</v>
      </c>
      <c r="L1157">
        <v>145.15</v>
      </c>
      <c r="M1157">
        <v>4737.1499999999996</v>
      </c>
      <c r="N1157">
        <v>550</v>
      </c>
      <c r="O1157">
        <v>20.880385528303243</v>
      </c>
      <c r="P1157" t="s">
        <v>2081</v>
      </c>
      <c r="Q1157" t="s">
        <v>2092</v>
      </c>
    </row>
    <row r="1158" spans="1:17" x14ac:dyDescent="0.25">
      <c r="A1158" t="s">
        <v>1373</v>
      </c>
      <c r="B1158" s="18">
        <v>45862</v>
      </c>
      <c r="C1158" t="s">
        <v>2014</v>
      </c>
      <c r="D1158" t="s">
        <v>2034</v>
      </c>
      <c r="E1158" t="s">
        <v>2052</v>
      </c>
      <c r="F1158" t="s">
        <v>2062</v>
      </c>
      <c r="G1158">
        <v>10</v>
      </c>
      <c r="H1158">
        <v>4500</v>
      </c>
      <c r="I1158">
        <v>5220</v>
      </c>
      <c r="J1158">
        <v>8.76</v>
      </c>
      <c r="K1158">
        <v>47627.55</v>
      </c>
      <c r="L1158">
        <v>2627.55</v>
      </c>
      <c r="M1158">
        <v>457272</v>
      </c>
      <c r="N1158">
        <v>45000</v>
      </c>
      <c r="O1158">
        <v>5.5168699628681299</v>
      </c>
      <c r="P1158" t="s">
        <v>2081</v>
      </c>
      <c r="Q1158" t="s">
        <v>2091</v>
      </c>
    </row>
    <row r="1159" spans="1:17" x14ac:dyDescent="0.25">
      <c r="A1159" t="s">
        <v>1571</v>
      </c>
      <c r="B1159" s="18">
        <v>45862</v>
      </c>
      <c r="C1159" t="s">
        <v>2020</v>
      </c>
      <c r="D1159" t="s">
        <v>2040</v>
      </c>
      <c r="E1159" t="s">
        <v>2053</v>
      </c>
      <c r="F1159" t="s">
        <v>2061</v>
      </c>
      <c r="G1159">
        <v>5</v>
      </c>
      <c r="H1159">
        <v>350</v>
      </c>
      <c r="I1159">
        <v>455</v>
      </c>
      <c r="J1159">
        <v>10.5</v>
      </c>
      <c r="K1159">
        <v>2036.06</v>
      </c>
      <c r="L1159">
        <v>286.06</v>
      </c>
      <c r="M1159">
        <v>23887.5</v>
      </c>
      <c r="N1159">
        <v>1750</v>
      </c>
      <c r="O1159">
        <v>14.049684193982495</v>
      </c>
      <c r="P1159" t="s">
        <v>2081</v>
      </c>
      <c r="Q1159" t="s">
        <v>2092</v>
      </c>
    </row>
    <row r="1160" spans="1:17" x14ac:dyDescent="0.25">
      <c r="A1160" t="s">
        <v>97</v>
      </c>
      <c r="B1160" s="18">
        <v>45863</v>
      </c>
      <c r="C1160" t="s">
        <v>2019</v>
      </c>
      <c r="D1160" t="s">
        <v>2039</v>
      </c>
      <c r="E1160" t="s">
        <v>2053</v>
      </c>
      <c r="F1160" t="s">
        <v>2060</v>
      </c>
      <c r="G1160">
        <v>4</v>
      </c>
      <c r="H1160">
        <v>900</v>
      </c>
      <c r="I1160">
        <v>1152</v>
      </c>
      <c r="J1160">
        <v>13.11</v>
      </c>
      <c r="K1160">
        <v>4003.75</v>
      </c>
      <c r="L1160">
        <v>403.75</v>
      </c>
      <c r="M1160">
        <v>60410.879999999997</v>
      </c>
      <c r="N1160">
        <v>3600</v>
      </c>
      <c r="O1160">
        <v>10.084295972525757</v>
      </c>
      <c r="P1160" t="s">
        <v>2081</v>
      </c>
      <c r="Q1160" t="s">
        <v>2092</v>
      </c>
    </row>
    <row r="1161" spans="1:17" x14ac:dyDescent="0.25">
      <c r="A1161" t="s">
        <v>835</v>
      </c>
      <c r="B1161" s="18">
        <v>45863</v>
      </c>
      <c r="C1161" t="s">
        <v>2021</v>
      </c>
      <c r="D1161" t="s">
        <v>2041</v>
      </c>
      <c r="E1161" t="s">
        <v>2056</v>
      </c>
      <c r="F1161" t="s">
        <v>2060</v>
      </c>
      <c r="G1161">
        <v>1</v>
      </c>
      <c r="H1161">
        <v>300</v>
      </c>
      <c r="I1161">
        <v>405</v>
      </c>
      <c r="J1161">
        <v>17.18</v>
      </c>
      <c r="K1161">
        <v>335.41</v>
      </c>
      <c r="L1161">
        <v>35.409999999999997</v>
      </c>
      <c r="M1161">
        <v>6957.9</v>
      </c>
      <c r="N1161">
        <v>300</v>
      </c>
      <c r="O1161">
        <v>10.557228466652752</v>
      </c>
      <c r="P1161" t="s">
        <v>2081</v>
      </c>
      <c r="Q1161" t="s">
        <v>2092</v>
      </c>
    </row>
    <row r="1162" spans="1:17" x14ac:dyDescent="0.25">
      <c r="A1162" t="s">
        <v>1746</v>
      </c>
      <c r="B1162" s="18">
        <v>45863</v>
      </c>
      <c r="C1162" t="s">
        <v>2027</v>
      </c>
      <c r="D1162" t="s">
        <v>2047</v>
      </c>
      <c r="E1162" t="s">
        <v>2053</v>
      </c>
      <c r="F1162" t="s">
        <v>2062</v>
      </c>
      <c r="G1162">
        <v>9</v>
      </c>
      <c r="H1162">
        <v>1100</v>
      </c>
      <c r="I1162">
        <v>1298</v>
      </c>
      <c r="J1162">
        <v>3.96</v>
      </c>
      <c r="K1162">
        <v>11219.85</v>
      </c>
      <c r="L1162">
        <v>1319.85</v>
      </c>
      <c r="M1162">
        <v>46260.72</v>
      </c>
      <c r="N1162">
        <v>9900</v>
      </c>
      <c r="O1162">
        <v>11.763526250350939</v>
      </c>
      <c r="P1162" t="s">
        <v>2081</v>
      </c>
      <c r="Q1162" t="s">
        <v>2092</v>
      </c>
    </row>
    <row r="1163" spans="1:17" x14ac:dyDescent="0.25">
      <c r="A1163" t="s">
        <v>1856</v>
      </c>
      <c r="B1163" s="18">
        <v>45863</v>
      </c>
      <c r="C1163" t="s">
        <v>2021</v>
      </c>
      <c r="D1163" t="s">
        <v>2041</v>
      </c>
      <c r="E1163" t="s">
        <v>2056</v>
      </c>
      <c r="F1163" t="s">
        <v>2061</v>
      </c>
      <c r="G1163">
        <v>9</v>
      </c>
      <c r="H1163">
        <v>300</v>
      </c>
      <c r="I1163">
        <v>405</v>
      </c>
      <c r="J1163">
        <v>12.09</v>
      </c>
      <c r="K1163">
        <v>3204.15</v>
      </c>
      <c r="L1163">
        <v>504.15</v>
      </c>
      <c r="M1163">
        <v>44068.05</v>
      </c>
      <c r="N1163">
        <v>2700</v>
      </c>
      <c r="O1163">
        <v>15.734282102897804</v>
      </c>
      <c r="P1163" t="s">
        <v>2081</v>
      </c>
      <c r="Q1163" t="s">
        <v>2092</v>
      </c>
    </row>
    <row r="1164" spans="1:17" x14ac:dyDescent="0.25">
      <c r="A1164" t="s">
        <v>1963</v>
      </c>
      <c r="B1164" s="18">
        <v>45863</v>
      </c>
      <c r="C1164" t="s">
        <v>2029</v>
      </c>
      <c r="D1164" t="s">
        <v>2049</v>
      </c>
      <c r="E1164" t="s">
        <v>2055</v>
      </c>
      <c r="F1164" t="s">
        <v>2061</v>
      </c>
      <c r="G1164">
        <v>4</v>
      </c>
      <c r="H1164">
        <v>1200</v>
      </c>
      <c r="I1164">
        <v>1464</v>
      </c>
      <c r="J1164">
        <v>10.66</v>
      </c>
      <c r="K1164">
        <v>5231.7</v>
      </c>
      <c r="L1164">
        <v>431.7</v>
      </c>
      <c r="M1164">
        <v>62424.959999999999</v>
      </c>
      <c r="N1164">
        <v>4800</v>
      </c>
      <c r="O1164">
        <v>8.2516199323355703</v>
      </c>
      <c r="P1164" t="s">
        <v>2081</v>
      </c>
      <c r="Q1164" t="s">
        <v>2091</v>
      </c>
    </row>
    <row r="1165" spans="1:17" x14ac:dyDescent="0.25">
      <c r="A1165" t="s">
        <v>801</v>
      </c>
      <c r="B1165" s="18">
        <v>45864</v>
      </c>
      <c r="C1165" t="s">
        <v>2026</v>
      </c>
      <c r="D1165" t="s">
        <v>2046</v>
      </c>
      <c r="E1165" t="s">
        <v>2052</v>
      </c>
      <c r="F1165" t="s">
        <v>2060</v>
      </c>
      <c r="G1165">
        <v>3</v>
      </c>
      <c r="H1165">
        <v>3000</v>
      </c>
      <c r="I1165">
        <v>3600</v>
      </c>
      <c r="J1165">
        <v>10.119999999999999</v>
      </c>
      <c r="K1165">
        <v>9706.5</v>
      </c>
      <c r="L1165">
        <v>706.5</v>
      </c>
      <c r="M1165">
        <v>109295.99999999999</v>
      </c>
      <c r="N1165">
        <v>9000</v>
      </c>
      <c r="O1165">
        <v>7.2786277236903105</v>
      </c>
      <c r="P1165" t="s">
        <v>2081</v>
      </c>
      <c r="Q1165" t="s">
        <v>2091</v>
      </c>
    </row>
    <row r="1166" spans="1:17" x14ac:dyDescent="0.25">
      <c r="A1166" t="s">
        <v>22</v>
      </c>
      <c r="B1166" s="18">
        <v>45865</v>
      </c>
      <c r="C1166" t="s">
        <v>2016</v>
      </c>
      <c r="D1166" t="s">
        <v>2036</v>
      </c>
      <c r="E1166" t="s">
        <v>2052</v>
      </c>
      <c r="F1166" t="s">
        <v>2061</v>
      </c>
      <c r="G1166">
        <v>4</v>
      </c>
      <c r="H1166">
        <v>900</v>
      </c>
      <c r="I1166">
        <v>1170</v>
      </c>
      <c r="J1166">
        <v>18.690000000000001</v>
      </c>
      <c r="K1166">
        <v>3805.32</v>
      </c>
      <c r="L1166">
        <v>205.32</v>
      </c>
      <c r="M1166">
        <v>87469.200000000012</v>
      </c>
      <c r="N1166">
        <v>3600</v>
      </c>
      <c r="O1166">
        <v>5.3956040490681465</v>
      </c>
      <c r="P1166" t="s">
        <v>2081</v>
      </c>
      <c r="Q1166" t="s">
        <v>2091</v>
      </c>
    </row>
    <row r="1167" spans="1:17" x14ac:dyDescent="0.25">
      <c r="A1167" t="s">
        <v>1254</v>
      </c>
      <c r="B1167" s="18">
        <v>45865</v>
      </c>
      <c r="C1167" t="s">
        <v>2029</v>
      </c>
      <c r="D1167" t="s">
        <v>2049</v>
      </c>
      <c r="E1167" t="s">
        <v>2055</v>
      </c>
      <c r="F1167" t="s">
        <v>2060</v>
      </c>
      <c r="G1167">
        <v>10</v>
      </c>
      <c r="H1167">
        <v>1200</v>
      </c>
      <c r="I1167">
        <v>1464</v>
      </c>
      <c r="J1167">
        <v>14.04</v>
      </c>
      <c r="K1167">
        <v>12584.1</v>
      </c>
      <c r="L1167">
        <v>584.1</v>
      </c>
      <c r="M1167">
        <v>205545.59999999998</v>
      </c>
      <c r="N1167">
        <v>12000</v>
      </c>
      <c r="O1167">
        <v>4.6415715069015668</v>
      </c>
      <c r="P1167" t="s">
        <v>2081</v>
      </c>
      <c r="Q1167" t="s">
        <v>2091</v>
      </c>
    </row>
    <row r="1168" spans="1:17" x14ac:dyDescent="0.25">
      <c r="A1168" t="s">
        <v>1551</v>
      </c>
      <c r="B1168" s="18">
        <v>45865</v>
      </c>
      <c r="C1168" t="s">
        <v>2015</v>
      </c>
      <c r="D1168" t="s">
        <v>2035</v>
      </c>
      <c r="E1168" t="s">
        <v>2054</v>
      </c>
      <c r="F1168" t="s">
        <v>2062</v>
      </c>
      <c r="G1168">
        <v>3</v>
      </c>
      <c r="H1168">
        <v>900</v>
      </c>
      <c r="I1168">
        <v>1170</v>
      </c>
      <c r="J1168">
        <v>10.61</v>
      </c>
      <c r="K1168">
        <v>3137.68</v>
      </c>
      <c r="L1168">
        <v>437.68</v>
      </c>
      <c r="M1168">
        <v>37241.1</v>
      </c>
      <c r="N1168">
        <v>2700</v>
      </c>
      <c r="O1168">
        <v>13.949159888835064</v>
      </c>
      <c r="P1168" t="s">
        <v>2081</v>
      </c>
      <c r="Q1168" t="s">
        <v>2092</v>
      </c>
    </row>
    <row r="1169" spans="1:17" x14ac:dyDescent="0.25">
      <c r="A1169" t="s">
        <v>405</v>
      </c>
      <c r="B1169" s="18">
        <v>45866</v>
      </c>
      <c r="C1169" t="s">
        <v>2018</v>
      </c>
      <c r="D1169" t="s">
        <v>2038</v>
      </c>
      <c r="E1169" t="s">
        <v>2053</v>
      </c>
      <c r="F1169" t="s">
        <v>2062</v>
      </c>
      <c r="G1169">
        <v>1</v>
      </c>
      <c r="H1169">
        <v>500</v>
      </c>
      <c r="I1169">
        <v>610</v>
      </c>
      <c r="J1169">
        <v>6.23</v>
      </c>
      <c r="K1169">
        <v>572.02</v>
      </c>
      <c r="L1169">
        <v>72.02</v>
      </c>
      <c r="M1169">
        <v>3800.3</v>
      </c>
      <c r="N1169">
        <v>500</v>
      </c>
      <c r="O1169">
        <v>12.590468864725009</v>
      </c>
      <c r="P1169" t="s">
        <v>2081</v>
      </c>
      <c r="Q1169" t="s">
        <v>2092</v>
      </c>
    </row>
    <row r="1170" spans="1:17" x14ac:dyDescent="0.25">
      <c r="A1170" t="s">
        <v>1395</v>
      </c>
      <c r="B1170" s="18">
        <v>45866</v>
      </c>
      <c r="C1170" t="s">
        <v>2019</v>
      </c>
      <c r="D1170" t="s">
        <v>2039</v>
      </c>
      <c r="E1170" t="s">
        <v>2053</v>
      </c>
      <c r="F1170" t="s">
        <v>2059</v>
      </c>
      <c r="G1170">
        <v>4</v>
      </c>
      <c r="H1170">
        <v>900</v>
      </c>
      <c r="I1170">
        <v>1152</v>
      </c>
      <c r="J1170">
        <v>20.66</v>
      </c>
      <c r="K1170">
        <v>3656.22</v>
      </c>
      <c r="L1170">
        <v>56.22</v>
      </c>
      <c r="M1170">
        <v>95201.279999999999</v>
      </c>
      <c r="N1170">
        <v>3600</v>
      </c>
      <c r="O1170">
        <v>1.5376536422862959</v>
      </c>
      <c r="P1170" t="s">
        <v>2081</v>
      </c>
      <c r="Q1170" t="s">
        <v>2091</v>
      </c>
    </row>
    <row r="1171" spans="1:17" x14ac:dyDescent="0.25">
      <c r="A1171" t="s">
        <v>1646</v>
      </c>
      <c r="B1171" s="18">
        <v>45866</v>
      </c>
      <c r="C1171" t="s">
        <v>2027</v>
      </c>
      <c r="D1171" t="s">
        <v>2047</v>
      </c>
      <c r="E1171" t="s">
        <v>2053</v>
      </c>
      <c r="F1171" t="s">
        <v>2061</v>
      </c>
      <c r="G1171">
        <v>10</v>
      </c>
      <c r="H1171">
        <v>1100</v>
      </c>
      <c r="I1171">
        <v>1298</v>
      </c>
      <c r="J1171">
        <v>5.94</v>
      </c>
      <c r="K1171">
        <v>12209.62</v>
      </c>
      <c r="L1171">
        <v>1209.6199999999999</v>
      </c>
      <c r="M1171">
        <v>77101.200000000012</v>
      </c>
      <c r="N1171">
        <v>11000</v>
      </c>
      <c r="O1171">
        <v>9.9071060360600889</v>
      </c>
      <c r="P1171" t="s">
        <v>2081</v>
      </c>
      <c r="Q1171" t="s">
        <v>2091</v>
      </c>
    </row>
    <row r="1172" spans="1:17" x14ac:dyDescent="0.25">
      <c r="A1172" t="s">
        <v>684</v>
      </c>
      <c r="B1172" s="18">
        <v>45867</v>
      </c>
      <c r="C1172" t="s">
        <v>2023</v>
      </c>
      <c r="D1172" t="s">
        <v>2043</v>
      </c>
      <c r="E1172" t="s">
        <v>2053</v>
      </c>
      <c r="F1172" t="s">
        <v>2060</v>
      </c>
      <c r="G1172">
        <v>6</v>
      </c>
      <c r="H1172">
        <v>550</v>
      </c>
      <c r="I1172">
        <v>742.5</v>
      </c>
      <c r="J1172">
        <v>5.72</v>
      </c>
      <c r="K1172">
        <v>4200.37</v>
      </c>
      <c r="L1172">
        <v>900.37</v>
      </c>
      <c r="M1172">
        <v>25482.6</v>
      </c>
      <c r="N1172">
        <v>3300</v>
      </c>
      <c r="O1172">
        <v>21.435492587557764</v>
      </c>
      <c r="P1172" t="s">
        <v>2081</v>
      </c>
      <c r="Q1172" t="s">
        <v>2092</v>
      </c>
    </row>
    <row r="1173" spans="1:17" x14ac:dyDescent="0.25">
      <c r="A1173" t="s">
        <v>802</v>
      </c>
      <c r="B1173" s="18">
        <v>45867</v>
      </c>
      <c r="C1173" t="s">
        <v>2018</v>
      </c>
      <c r="D1173" t="s">
        <v>2038</v>
      </c>
      <c r="E1173" t="s">
        <v>2053</v>
      </c>
      <c r="F1173" t="s">
        <v>2061</v>
      </c>
      <c r="G1173">
        <v>7</v>
      </c>
      <c r="H1173">
        <v>500</v>
      </c>
      <c r="I1173">
        <v>610</v>
      </c>
      <c r="J1173">
        <v>14.01</v>
      </c>
      <c r="K1173">
        <v>3671.75</v>
      </c>
      <c r="L1173">
        <v>171.75</v>
      </c>
      <c r="M1173">
        <v>59822.7</v>
      </c>
      <c r="N1173">
        <v>3500</v>
      </c>
      <c r="O1173">
        <v>4.6776060461632731</v>
      </c>
      <c r="P1173" t="s">
        <v>2081</v>
      </c>
      <c r="Q1173" t="s">
        <v>2091</v>
      </c>
    </row>
    <row r="1174" spans="1:17" x14ac:dyDescent="0.25">
      <c r="A1174" t="s">
        <v>928</v>
      </c>
      <c r="B1174" s="18">
        <v>45867</v>
      </c>
      <c r="C1174" t="s">
        <v>2022</v>
      </c>
      <c r="D1174" t="s">
        <v>2042</v>
      </c>
      <c r="E1174" t="s">
        <v>2053</v>
      </c>
      <c r="F1174" t="s">
        <v>2060</v>
      </c>
      <c r="G1174">
        <v>9</v>
      </c>
      <c r="H1174">
        <v>8500</v>
      </c>
      <c r="I1174">
        <v>9520</v>
      </c>
      <c r="J1174">
        <v>4</v>
      </c>
      <c r="K1174">
        <v>82252.800000000003</v>
      </c>
      <c r="L1174">
        <v>5752.8</v>
      </c>
      <c r="M1174">
        <v>342720</v>
      </c>
      <c r="N1174">
        <v>76500</v>
      </c>
      <c r="O1174">
        <v>6.9940476190476195</v>
      </c>
      <c r="P1174" t="s">
        <v>2081</v>
      </c>
      <c r="Q1174" t="s">
        <v>2091</v>
      </c>
    </row>
    <row r="1175" spans="1:17" x14ac:dyDescent="0.25">
      <c r="A1175" t="s">
        <v>1029</v>
      </c>
      <c r="B1175" s="18">
        <v>45867</v>
      </c>
      <c r="C1175" t="s">
        <v>2013</v>
      </c>
      <c r="D1175" t="s">
        <v>2033</v>
      </c>
      <c r="E1175" t="s">
        <v>2053</v>
      </c>
      <c r="F1175" t="s">
        <v>2062</v>
      </c>
      <c r="G1175">
        <v>9</v>
      </c>
      <c r="H1175">
        <v>6500</v>
      </c>
      <c r="I1175">
        <v>7150</v>
      </c>
      <c r="J1175">
        <v>14.13</v>
      </c>
      <c r="K1175">
        <v>55257.73</v>
      </c>
      <c r="L1175">
        <v>-3242.27</v>
      </c>
      <c r="M1175">
        <v>909265.5</v>
      </c>
      <c r="N1175">
        <v>58500</v>
      </c>
      <c r="O1175">
        <v>-5.8675410662001495</v>
      </c>
      <c r="P1175" t="s">
        <v>2081</v>
      </c>
      <c r="Q1175" t="s">
        <v>2093</v>
      </c>
    </row>
    <row r="1176" spans="1:17" x14ac:dyDescent="0.25">
      <c r="A1176" t="s">
        <v>1458</v>
      </c>
      <c r="B1176" s="18">
        <v>45867</v>
      </c>
      <c r="C1176" t="s">
        <v>2025</v>
      </c>
      <c r="D1176" t="s">
        <v>2045</v>
      </c>
      <c r="E1176" t="s">
        <v>2057</v>
      </c>
      <c r="F1176" t="s">
        <v>2060</v>
      </c>
      <c r="G1176">
        <v>7</v>
      </c>
      <c r="H1176">
        <v>45</v>
      </c>
      <c r="I1176">
        <v>63</v>
      </c>
      <c r="J1176">
        <v>14</v>
      </c>
      <c r="K1176">
        <v>379.26</v>
      </c>
      <c r="L1176">
        <v>64.260000000000005</v>
      </c>
      <c r="M1176">
        <v>6174</v>
      </c>
      <c r="N1176">
        <v>315</v>
      </c>
      <c r="O1176">
        <v>16.943521594684388</v>
      </c>
      <c r="P1176" t="s">
        <v>2081</v>
      </c>
      <c r="Q1176" t="s">
        <v>2092</v>
      </c>
    </row>
    <row r="1177" spans="1:17" x14ac:dyDescent="0.25">
      <c r="A1177" t="s">
        <v>1633</v>
      </c>
      <c r="B1177" s="18">
        <v>45867</v>
      </c>
      <c r="C1177" t="s">
        <v>2017</v>
      </c>
      <c r="D1177" t="s">
        <v>2037</v>
      </c>
      <c r="E1177" t="s">
        <v>2055</v>
      </c>
      <c r="F1177" t="s">
        <v>2062</v>
      </c>
      <c r="G1177">
        <v>9</v>
      </c>
      <c r="H1177">
        <v>2500</v>
      </c>
      <c r="I1177">
        <v>2875</v>
      </c>
      <c r="J1177">
        <v>3.45</v>
      </c>
      <c r="K1177">
        <v>24982.58</v>
      </c>
      <c r="L1177">
        <v>2482.58</v>
      </c>
      <c r="M1177">
        <v>89268.75</v>
      </c>
      <c r="N1177">
        <v>22500</v>
      </c>
      <c r="O1177">
        <v>9.9372442718085949</v>
      </c>
      <c r="P1177" t="s">
        <v>2081</v>
      </c>
      <c r="Q1177" t="s">
        <v>2091</v>
      </c>
    </row>
    <row r="1178" spans="1:17" x14ac:dyDescent="0.25">
      <c r="A1178" t="s">
        <v>1968</v>
      </c>
      <c r="B1178" s="18">
        <v>45867</v>
      </c>
      <c r="C1178" t="s">
        <v>2024</v>
      </c>
      <c r="D1178" t="s">
        <v>2044</v>
      </c>
      <c r="E1178" t="s">
        <v>2055</v>
      </c>
      <c r="F1178" t="s">
        <v>2061</v>
      </c>
      <c r="G1178">
        <v>7</v>
      </c>
      <c r="H1178">
        <v>180</v>
      </c>
      <c r="I1178">
        <v>243</v>
      </c>
      <c r="J1178">
        <v>9.99</v>
      </c>
      <c r="K1178">
        <v>1531.06</v>
      </c>
      <c r="L1178">
        <v>271.06</v>
      </c>
      <c r="M1178">
        <v>16992.990000000002</v>
      </c>
      <c r="N1178">
        <v>1260</v>
      </c>
      <c r="O1178">
        <v>17.704074301464345</v>
      </c>
      <c r="P1178" t="s">
        <v>2081</v>
      </c>
      <c r="Q1178" t="s">
        <v>2092</v>
      </c>
    </row>
    <row r="1179" spans="1:17" x14ac:dyDescent="0.25">
      <c r="A1179" t="s">
        <v>267</v>
      </c>
      <c r="B1179" s="18">
        <v>45868</v>
      </c>
      <c r="C1179" t="s">
        <v>2023</v>
      </c>
      <c r="D1179" t="s">
        <v>2043</v>
      </c>
      <c r="E1179" t="s">
        <v>2053</v>
      </c>
      <c r="F1179" t="s">
        <v>2062</v>
      </c>
      <c r="G1179">
        <v>8</v>
      </c>
      <c r="H1179">
        <v>550</v>
      </c>
      <c r="I1179">
        <v>742.5</v>
      </c>
      <c r="J1179">
        <v>19.78</v>
      </c>
      <c r="K1179">
        <v>4765.16</v>
      </c>
      <c r="L1179">
        <v>365.16</v>
      </c>
      <c r="M1179">
        <v>117493.20000000001</v>
      </c>
      <c r="N1179">
        <v>4400</v>
      </c>
      <c r="O1179">
        <v>7.6631214901493339</v>
      </c>
      <c r="P1179" t="s">
        <v>2081</v>
      </c>
      <c r="Q1179" t="s">
        <v>2091</v>
      </c>
    </row>
    <row r="1180" spans="1:17" x14ac:dyDescent="0.25">
      <c r="A1180" t="s">
        <v>414</v>
      </c>
      <c r="B1180" s="18">
        <v>45868</v>
      </c>
      <c r="C1180" t="s">
        <v>2017</v>
      </c>
      <c r="D1180" t="s">
        <v>2037</v>
      </c>
      <c r="E1180" t="s">
        <v>2055</v>
      </c>
      <c r="F1180" t="s">
        <v>2059</v>
      </c>
      <c r="G1180">
        <v>4</v>
      </c>
      <c r="H1180">
        <v>2500</v>
      </c>
      <c r="I1180">
        <v>2875</v>
      </c>
      <c r="J1180">
        <v>9.0399999999999991</v>
      </c>
      <c r="K1180">
        <v>10460.23</v>
      </c>
      <c r="L1180">
        <v>460.23</v>
      </c>
      <c r="M1180">
        <v>103959.99999999999</v>
      </c>
      <c r="N1180">
        <v>10000</v>
      </c>
      <c r="O1180">
        <v>4.3998076524129974</v>
      </c>
      <c r="P1180" t="s">
        <v>2081</v>
      </c>
      <c r="Q1180" t="s">
        <v>2091</v>
      </c>
    </row>
    <row r="1181" spans="1:17" x14ac:dyDescent="0.25">
      <c r="A1181" t="s">
        <v>456</v>
      </c>
      <c r="B1181" s="18">
        <v>45868</v>
      </c>
      <c r="C1181" t="s">
        <v>2031</v>
      </c>
      <c r="D1181" t="s">
        <v>2051</v>
      </c>
      <c r="E1181" t="s">
        <v>2058</v>
      </c>
      <c r="F1181" t="s">
        <v>2062</v>
      </c>
      <c r="G1181">
        <v>3</v>
      </c>
      <c r="H1181">
        <v>3200</v>
      </c>
      <c r="I1181">
        <v>3840</v>
      </c>
      <c r="J1181">
        <v>15.56</v>
      </c>
      <c r="K1181">
        <v>9727.2999999999993</v>
      </c>
      <c r="L1181">
        <v>127.3</v>
      </c>
      <c r="M1181">
        <v>179251.20000000001</v>
      </c>
      <c r="N1181">
        <v>9600</v>
      </c>
      <c r="O1181">
        <v>1.3086879195665808</v>
      </c>
      <c r="P1181" t="s">
        <v>2081</v>
      </c>
      <c r="Q1181" t="s">
        <v>2091</v>
      </c>
    </row>
    <row r="1182" spans="1:17" x14ac:dyDescent="0.25">
      <c r="A1182" t="s">
        <v>737</v>
      </c>
      <c r="B1182" s="18">
        <v>45868</v>
      </c>
      <c r="C1182" t="s">
        <v>2024</v>
      </c>
      <c r="D1182" t="s">
        <v>2044</v>
      </c>
      <c r="E1182" t="s">
        <v>2055</v>
      </c>
      <c r="F1182" t="s">
        <v>2061</v>
      </c>
      <c r="G1182">
        <v>6</v>
      </c>
      <c r="H1182">
        <v>180</v>
      </c>
      <c r="I1182">
        <v>243</v>
      </c>
      <c r="J1182">
        <v>13.75</v>
      </c>
      <c r="K1182">
        <v>1257.5899999999999</v>
      </c>
      <c r="L1182">
        <v>177.59</v>
      </c>
      <c r="M1182">
        <v>20047.5</v>
      </c>
      <c r="N1182">
        <v>1080</v>
      </c>
      <c r="O1182">
        <v>14.121454528105346</v>
      </c>
      <c r="P1182" t="s">
        <v>2081</v>
      </c>
      <c r="Q1182" t="s">
        <v>2092</v>
      </c>
    </row>
    <row r="1183" spans="1:17" x14ac:dyDescent="0.25">
      <c r="A1183" t="s">
        <v>1441</v>
      </c>
      <c r="B1183" s="18">
        <v>45868</v>
      </c>
      <c r="C1183" t="s">
        <v>2026</v>
      </c>
      <c r="D1183" t="s">
        <v>2046</v>
      </c>
      <c r="E1183" t="s">
        <v>2052</v>
      </c>
      <c r="F1183" t="s">
        <v>2061</v>
      </c>
      <c r="G1183">
        <v>9</v>
      </c>
      <c r="H1183">
        <v>3000</v>
      </c>
      <c r="I1183">
        <v>3600</v>
      </c>
      <c r="J1183">
        <v>20.41</v>
      </c>
      <c r="K1183">
        <v>25788.73</v>
      </c>
      <c r="L1183">
        <v>-1211.27</v>
      </c>
      <c r="M1183">
        <v>661284</v>
      </c>
      <c r="N1183">
        <v>27000</v>
      </c>
      <c r="O1183">
        <v>-4.6968966676528856</v>
      </c>
      <c r="P1183" t="s">
        <v>2081</v>
      </c>
      <c r="Q1183" t="s">
        <v>2093</v>
      </c>
    </row>
    <row r="1184" spans="1:17" x14ac:dyDescent="0.25">
      <c r="A1184" t="s">
        <v>771</v>
      </c>
      <c r="B1184" s="18">
        <v>45869</v>
      </c>
      <c r="C1184" t="s">
        <v>2031</v>
      </c>
      <c r="D1184" t="s">
        <v>2051</v>
      </c>
      <c r="E1184" t="s">
        <v>2058</v>
      </c>
      <c r="F1184" t="s">
        <v>2060</v>
      </c>
      <c r="G1184">
        <v>8</v>
      </c>
      <c r="H1184">
        <v>3200</v>
      </c>
      <c r="I1184">
        <v>3840</v>
      </c>
      <c r="J1184">
        <v>16.760000000000002</v>
      </c>
      <c r="K1184">
        <v>25571.09</v>
      </c>
      <c r="L1184">
        <v>-28.91</v>
      </c>
      <c r="M1184">
        <v>514867.20000000007</v>
      </c>
      <c r="N1184">
        <v>25600</v>
      </c>
      <c r="O1184">
        <v>-0.11305736282653575</v>
      </c>
      <c r="P1184" t="s">
        <v>2081</v>
      </c>
      <c r="Q1184" t="s">
        <v>2093</v>
      </c>
    </row>
    <row r="1185" spans="1:17" x14ac:dyDescent="0.25">
      <c r="A1185" t="s">
        <v>1839</v>
      </c>
      <c r="B1185" s="18">
        <v>45869</v>
      </c>
      <c r="C1185" t="s">
        <v>2019</v>
      </c>
      <c r="D1185" t="s">
        <v>2039</v>
      </c>
      <c r="E1185" t="s">
        <v>2053</v>
      </c>
      <c r="F1185" t="s">
        <v>2061</v>
      </c>
      <c r="G1185">
        <v>4</v>
      </c>
      <c r="H1185">
        <v>900</v>
      </c>
      <c r="I1185">
        <v>1152</v>
      </c>
      <c r="J1185">
        <v>18.239999999999998</v>
      </c>
      <c r="K1185">
        <v>3767.64</v>
      </c>
      <c r="L1185">
        <v>167.64</v>
      </c>
      <c r="M1185">
        <v>84049.919999999998</v>
      </c>
      <c r="N1185">
        <v>3600</v>
      </c>
      <c r="O1185">
        <v>4.4494696945568046</v>
      </c>
      <c r="P1185" t="s">
        <v>2081</v>
      </c>
      <c r="Q1185" t="s">
        <v>2091</v>
      </c>
    </row>
    <row r="1186" spans="1:17" x14ac:dyDescent="0.25">
      <c r="A1186" t="s">
        <v>194</v>
      </c>
      <c r="B1186" s="18">
        <v>45870</v>
      </c>
      <c r="C1186" t="s">
        <v>2015</v>
      </c>
      <c r="D1186" t="s">
        <v>2035</v>
      </c>
      <c r="E1186" t="s">
        <v>2054</v>
      </c>
      <c r="F1186" t="s">
        <v>2060</v>
      </c>
      <c r="G1186">
        <v>3</v>
      </c>
      <c r="H1186">
        <v>900</v>
      </c>
      <c r="I1186">
        <v>1170</v>
      </c>
      <c r="J1186">
        <v>10</v>
      </c>
      <c r="K1186">
        <v>3158.83</v>
      </c>
      <c r="L1186">
        <v>458.83</v>
      </c>
      <c r="M1186">
        <v>35100</v>
      </c>
      <c r="N1186">
        <v>2700</v>
      </c>
      <c r="O1186">
        <v>14.525314752614102</v>
      </c>
      <c r="P1186" t="s">
        <v>2082</v>
      </c>
      <c r="Q1186" t="s">
        <v>2092</v>
      </c>
    </row>
    <row r="1187" spans="1:17" x14ac:dyDescent="0.25">
      <c r="A1187" t="s">
        <v>196</v>
      </c>
      <c r="B1187" s="18">
        <v>45870</v>
      </c>
      <c r="C1187" t="s">
        <v>2022</v>
      </c>
      <c r="D1187" t="s">
        <v>2042</v>
      </c>
      <c r="E1187" t="s">
        <v>2053</v>
      </c>
      <c r="F1187" t="s">
        <v>2060</v>
      </c>
      <c r="G1187">
        <v>5</v>
      </c>
      <c r="H1187">
        <v>8500</v>
      </c>
      <c r="I1187">
        <v>9520</v>
      </c>
      <c r="J1187">
        <v>25.7</v>
      </c>
      <c r="K1187">
        <v>35366.29</v>
      </c>
      <c r="L1187">
        <v>-7133.71</v>
      </c>
      <c r="M1187">
        <v>1223320</v>
      </c>
      <c r="N1187">
        <v>42500</v>
      </c>
      <c r="O1187">
        <v>-20.170931132442789</v>
      </c>
      <c r="P1187" t="s">
        <v>2082</v>
      </c>
      <c r="Q1187" t="s">
        <v>2093</v>
      </c>
    </row>
    <row r="1188" spans="1:17" x14ac:dyDescent="0.25">
      <c r="A1188" t="s">
        <v>320</v>
      </c>
      <c r="B1188" s="18">
        <v>45870</v>
      </c>
      <c r="C1188" t="s">
        <v>2020</v>
      </c>
      <c r="D1188" t="s">
        <v>2040</v>
      </c>
      <c r="E1188" t="s">
        <v>2053</v>
      </c>
      <c r="F1188" t="s">
        <v>2059</v>
      </c>
      <c r="G1188">
        <v>7</v>
      </c>
      <c r="H1188">
        <v>350</v>
      </c>
      <c r="I1188">
        <v>455</v>
      </c>
      <c r="J1188">
        <v>7.54</v>
      </c>
      <c r="K1188">
        <v>2944.89</v>
      </c>
      <c r="L1188">
        <v>494.89</v>
      </c>
      <c r="M1188">
        <v>24014.9</v>
      </c>
      <c r="N1188">
        <v>2450</v>
      </c>
      <c r="O1188">
        <v>16.805041954028844</v>
      </c>
      <c r="P1188" t="s">
        <v>2082</v>
      </c>
      <c r="Q1188" t="s">
        <v>2092</v>
      </c>
    </row>
    <row r="1189" spans="1:17" x14ac:dyDescent="0.25">
      <c r="A1189" t="s">
        <v>355</v>
      </c>
      <c r="B1189" s="18">
        <v>45870</v>
      </c>
      <c r="C1189" t="s">
        <v>2016</v>
      </c>
      <c r="D1189" t="s">
        <v>2036</v>
      </c>
      <c r="E1189" t="s">
        <v>2052</v>
      </c>
      <c r="F1189" t="s">
        <v>2059</v>
      </c>
      <c r="G1189">
        <v>2</v>
      </c>
      <c r="H1189">
        <v>900</v>
      </c>
      <c r="I1189">
        <v>1170</v>
      </c>
      <c r="J1189">
        <v>4.0999999999999996</v>
      </c>
      <c r="K1189">
        <v>2243.98</v>
      </c>
      <c r="L1189">
        <v>443.98</v>
      </c>
      <c r="M1189">
        <v>9594</v>
      </c>
      <c r="N1189">
        <v>1800</v>
      </c>
      <c r="O1189">
        <v>19.785381331384418</v>
      </c>
      <c r="P1189" t="s">
        <v>2082</v>
      </c>
      <c r="Q1189" t="s">
        <v>2092</v>
      </c>
    </row>
    <row r="1190" spans="1:17" x14ac:dyDescent="0.25">
      <c r="A1190" t="s">
        <v>543</v>
      </c>
      <c r="B1190" s="18">
        <v>45870</v>
      </c>
      <c r="C1190" t="s">
        <v>2021</v>
      </c>
      <c r="D1190" t="s">
        <v>2041</v>
      </c>
      <c r="E1190" t="s">
        <v>2056</v>
      </c>
      <c r="F1190" t="s">
        <v>2061</v>
      </c>
      <c r="G1190">
        <v>1</v>
      </c>
      <c r="H1190">
        <v>300</v>
      </c>
      <c r="I1190">
        <v>405</v>
      </c>
      <c r="J1190">
        <v>5.86</v>
      </c>
      <c r="K1190">
        <v>381.26</v>
      </c>
      <c r="L1190">
        <v>81.260000000000005</v>
      </c>
      <c r="M1190">
        <v>2373.3000000000002</v>
      </c>
      <c r="N1190">
        <v>300</v>
      </c>
      <c r="O1190">
        <v>21.313539317001524</v>
      </c>
      <c r="P1190" t="s">
        <v>2082</v>
      </c>
      <c r="Q1190" t="s">
        <v>2092</v>
      </c>
    </row>
    <row r="1191" spans="1:17" x14ac:dyDescent="0.25">
      <c r="A1191" t="s">
        <v>648</v>
      </c>
      <c r="B1191" s="18">
        <v>45870</v>
      </c>
      <c r="C1191" t="s">
        <v>2031</v>
      </c>
      <c r="D1191" t="s">
        <v>2051</v>
      </c>
      <c r="E1191" t="s">
        <v>2058</v>
      </c>
      <c r="F1191" t="s">
        <v>2060</v>
      </c>
      <c r="G1191">
        <v>1</v>
      </c>
      <c r="H1191">
        <v>3200</v>
      </c>
      <c r="I1191">
        <v>3840</v>
      </c>
      <c r="J1191">
        <v>12.84</v>
      </c>
      <c r="K1191">
        <v>3346.75</v>
      </c>
      <c r="L1191">
        <v>146.75</v>
      </c>
      <c r="M1191">
        <v>49305.599999999999</v>
      </c>
      <c r="N1191">
        <v>3200</v>
      </c>
      <c r="O1191">
        <v>4.3848509748263247</v>
      </c>
      <c r="P1191" t="s">
        <v>2082</v>
      </c>
      <c r="Q1191" t="s">
        <v>2091</v>
      </c>
    </row>
    <row r="1192" spans="1:17" x14ac:dyDescent="0.25">
      <c r="A1192" t="s">
        <v>741</v>
      </c>
      <c r="B1192" s="18">
        <v>45870</v>
      </c>
      <c r="C1192" t="s">
        <v>2024</v>
      </c>
      <c r="D1192" t="s">
        <v>2044</v>
      </c>
      <c r="E1192" t="s">
        <v>2055</v>
      </c>
      <c r="F1192" t="s">
        <v>2062</v>
      </c>
      <c r="G1192">
        <v>2</v>
      </c>
      <c r="H1192">
        <v>180</v>
      </c>
      <c r="I1192">
        <v>243</v>
      </c>
      <c r="J1192">
        <v>17.32</v>
      </c>
      <c r="K1192">
        <v>401.84</v>
      </c>
      <c r="L1192">
        <v>41.84</v>
      </c>
      <c r="M1192">
        <v>8417.52</v>
      </c>
      <c r="N1192">
        <v>360</v>
      </c>
      <c r="O1192">
        <v>10.412104320127415</v>
      </c>
      <c r="P1192" t="s">
        <v>2082</v>
      </c>
      <c r="Q1192" t="s">
        <v>2092</v>
      </c>
    </row>
    <row r="1193" spans="1:17" x14ac:dyDescent="0.25">
      <c r="A1193" t="s">
        <v>1052</v>
      </c>
      <c r="B1193" s="18">
        <v>45870</v>
      </c>
      <c r="C1193" t="s">
        <v>2024</v>
      </c>
      <c r="D1193" t="s">
        <v>2044</v>
      </c>
      <c r="E1193" t="s">
        <v>2055</v>
      </c>
      <c r="F1193" t="s">
        <v>2059</v>
      </c>
      <c r="G1193">
        <v>10</v>
      </c>
      <c r="H1193">
        <v>180</v>
      </c>
      <c r="I1193">
        <v>243</v>
      </c>
      <c r="J1193">
        <v>14.31</v>
      </c>
      <c r="K1193">
        <v>2082.1799999999998</v>
      </c>
      <c r="L1193">
        <v>282.18</v>
      </c>
      <c r="M1193">
        <v>34773.300000000003</v>
      </c>
      <c r="N1193">
        <v>1800</v>
      </c>
      <c r="O1193">
        <v>13.552142466069217</v>
      </c>
      <c r="P1193" t="s">
        <v>2082</v>
      </c>
      <c r="Q1193" t="s">
        <v>2092</v>
      </c>
    </row>
    <row r="1194" spans="1:17" x14ac:dyDescent="0.25">
      <c r="A1194" t="s">
        <v>1428</v>
      </c>
      <c r="B1194" s="18">
        <v>45870</v>
      </c>
      <c r="C1194" t="s">
        <v>2031</v>
      </c>
      <c r="D1194" t="s">
        <v>2051</v>
      </c>
      <c r="E1194" t="s">
        <v>2058</v>
      </c>
      <c r="F1194" t="s">
        <v>2060</v>
      </c>
      <c r="G1194">
        <v>6</v>
      </c>
      <c r="H1194">
        <v>3200</v>
      </c>
      <c r="I1194">
        <v>3840</v>
      </c>
      <c r="J1194">
        <v>5.87</v>
      </c>
      <c r="K1194">
        <v>21688.17</v>
      </c>
      <c r="L1194">
        <v>2488.17</v>
      </c>
      <c r="M1194">
        <v>135244.79999999999</v>
      </c>
      <c r="N1194">
        <v>19200</v>
      </c>
      <c r="O1194">
        <v>11.472475547729477</v>
      </c>
      <c r="P1194" t="s">
        <v>2082</v>
      </c>
      <c r="Q1194" t="s">
        <v>2092</v>
      </c>
    </row>
    <row r="1195" spans="1:17" x14ac:dyDescent="0.25">
      <c r="A1195" t="s">
        <v>1863</v>
      </c>
      <c r="B1195" s="18">
        <v>45870</v>
      </c>
      <c r="C1195" t="s">
        <v>2018</v>
      </c>
      <c r="D1195" t="s">
        <v>2038</v>
      </c>
      <c r="E1195" t="s">
        <v>2053</v>
      </c>
      <c r="F1195" t="s">
        <v>2062</v>
      </c>
      <c r="G1195">
        <v>5</v>
      </c>
      <c r="H1195">
        <v>500</v>
      </c>
      <c r="I1195">
        <v>610</v>
      </c>
      <c r="J1195">
        <v>7.01</v>
      </c>
      <c r="K1195">
        <v>2836.25</v>
      </c>
      <c r="L1195">
        <v>336.25</v>
      </c>
      <c r="M1195">
        <v>21380.5</v>
      </c>
      <c r="N1195">
        <v>2500</v>
      </c>
      <c r="O1195">
        <v>11.855442926399295</v>
      </c>
      <c r="P1195" t="s">
        <v>2082</v>
      </c>
      <c r="Q1195" t="s">
        <v>2092</v>
      </c>
    </row>
    <row r="1196" spans="1:17" x14ac:dyDescent="0.25">
      <c r="A1196" t="s">
        <v>243</v>
      </c>
      <c r="B1196" s="18">
        <v>45871</v>
      </c>
      <c r="C1196" t="s">
        <v>2026</v>
      </c>
      <c r="D1196" t="s">
        <v>2046</v>
      </c>
      <c r="E1196" t="s">
        <v>2052</v>
      </c>
      <c r="F1196" t="s">
        <v>2060</v>
      </c>
      <c r="G1196">
        <v>8</v>
      </c>
      <c r="H1196">
        <v>3000</v>
      </c>
      <c r="I1196">
        <v>3600</v>
      </c>
      <c r="J1196">
        <v>21.03</v>
      </c>
      <c r="K1196">
        <v>22744.34</v>
      </c>
      <c r="L1196">
        <v>-1255.6600000000001</v>
      </c>
      <c r="M1196">
        <v>605664</v>
      </c>
      <c r="N1196">
        <v>24000</v>
      </c>
      <c r="O1196">
        <v>-5.5207581314735892</v>
      </c>
      <c r="P1196" t="s">
        <v>2082</v>
      </c>
      <c r="Q1196" t="s">
        <v>2093</v>
      </c>
    </row>
    <row r="1197" spans="1:17" x14ac:dyDescent="0.25">
      <c r="A1197" t="s">
        <v>645</v>
      </c>
      <c r="B1197" s="18">
        <v>45871</v>
      </c>
      <c r="C1197" t="s">
        <v>2023</v>
      </c>
      <c r="D1197" t="s">
        <v>2043</v>
      </c>
      <c r="E1197" t="s">
        <v>2053</v>
      </c>
      <c r="F1197" t="s">
        <v>2062</v>
      </c>
      <c r="G1197">
        <v>2</v>
      </c>
      <c r="H1197">
        <v>550</v>
      </c>
      <c r="I1197">
        <v>742.5</v>
      </c>
      <c r="J1197">
        <v>1.08</v>
      </c>
      <c r="K1197">
        <v>1469.04</v>
      </c>
      <c r="L1197">
        <v>369.04</v>
      </c>
      <c r="M1197">
        <v>1603.8000000000002</v>
      </c>
      <c r="N1197">
        <v>1100</v>
      </c>
      <c r="O1197">
        <v>25.121167565212659</v>
      </c>
      <c r="P1197" t="s">
        <v>2082</v>
      </c>
      <c r="Q1197" t="s">
        <v>2092</v>
      </c>
    </row>
    <row r="1198" spans="1:17" x14ac:dyDescent="0.25">
      <c r="A1198" t="s">
        <v>650</v>
      </c>
      <c r="B1198" s="18">
        <v>45871</v>
      </c>
      <c r="C1198" t="s">
        <v>2023</v>
      </c>
      <c r="D1198" t="s">
        <v>2043</v>
      </c>
      <c r="E1198" t="s">
        <v>2053</v>
      </c>
      <c r="F1198" t="s">
        <v>2059</v>
      </c>
      <c r="G1198">
        <v>7</v>
      </c>
      <c r="H1198">
        <v>550</v>
      </c>
      <c r="I1198">
        <v>742.5</v>
      </c>
      <c r="J1198">
        <v>17.98</v>
      </c>
      <c r="K1198">
        <v>4262.88</v>
      </c>
      <c r="L1198">
        <v>412.88</v>
      </c>
      <c r="M1198">
        <v>93451.05</v>
      </c>
      <c r="N1198">
        <v>3850</v>
      </c>
      <c r="O1198">
        <v>9.6854708553841533</v>
      </c>
      <c r="P1198" t="s">
        <v>2082</v>
      </c>
      <c r="Q1198" t="s">
        <v>2091</v>
      </c>
    </row>
    <row r="1199" spans="1:17" x14ac:dyDescent="0.25">
      <c r="A1199" t="s">
        <v>926</v>
      </c>
      <c r="B1199" s="18">
        <v>45871</v>
      </c>
      <c r="C1199" t="s">
        <v>2012</v>
      </c>
      <c r="D1199" t="s">
        <v>2032</v>
      </c>
      <c r="E1199" t="s">
        <v>2052</v>
      </c>
      <c r="F1199" t="s">
        <v>2059</v>
      </c>
      <c r="G1199">
        <v>6</v>
      </c>
      <c r="H1199">
        <v>6500</v>
      </c>
      <c r="I1199">
        <v>8125</v>
      </c>
      <c r="J1199">
        <v>4.63</v>
      </c>
      <c r="K1199">
        <v>46492.73</v>
      </c>
      <c r="L1199">
        <v>7492.73</v>
      </c>
      <c r="M1199">
        <v>225712.5</v>
      </c>
      <c r="N1199">
        <v>39000</v>
      </c>
      <c r="O1199">
        <v>16.115917477850836</v>
      </c>
      <c r="P1199" t="s">
        <v>2082</v>
      </c>
      <c r="Q1199" t="s">
        <v>2092</v>
      </c>
    </row>
    <row r="1200" spans="1:17" x14ac:dyDescent="0.25">
      <c r="A1200" t="s">
        <v>1177</v>
      </c>
      <c r="B1200" s="18">
        <v>45871</v>
      </c>
      <c r="C1200" t="s">
        <v>2019</v>
      </c>
      <c r="D1200" t="s">
        <v>2039</v>
      </c>
      <c r="E1200" t="s">
        <v>2053</v>
      </c>
      <c r="F1200" t="s">
        <v>2060</v>
      </c>
      <c r="G1200">
        <v>6</v>
      </c>
      <c r="H1200">
        <v>900</v>
      </c>
      <c r="I1200">
        <v>1152</v>
      </c>
      <c r="J1200">
        <v>8.33</v>
      </c>
      <c r="K1200">
        <v>6336.32</v>
      </c>
      <c r="L1200">
        <v>936.32</v>
      </c>
      <c r="M1200">
        <v>57576.959999999999</v>
      </c>
      <c r="N1200">
        <v>5400</v>
      </c>
      <c r="O1200">
        <v>14.777031463057423</v>
      </c>
      <c r="P1200" t="s">
        <v>2082</v>
      </c>
      <c r="Q1200" t="s">
        <v>2092</v>
      </c>
    </row>
    <row r="1201" spans="1:17" x14ac:dyDescent="0.25">
      <c r="A1201" t="s">
        <v>1258</v>
      </c>
      <c r="B1201" s="18">
        <v>45871</v>
      </c>
      <c r="C1201" t="s">
        <v>2030</v>
      </c>
      <c r="D1201" t="s">
        <v>2050</v>
      </c>
      <c r="E1201" t="s">
        <v>2058</v>
      </c>
      <c r="F1201" t="s">
        <v>2060</v>
      </c>
      <c r="G1201">
        <v>1</v>
      </c>
      <c r="H1201">
        <v>1800</v>
      </c>
      <c r="I1201">
        <v>2124</v>
      </c>
      <c r="J1201">
        <v>23.7</v>
      </c>
      <c r="K1201">
        <v>1620.6</v>
      </c>
      <c r="L1201">
        <v>-179.4</v>
      </c>
      <c r="M1201">
        <v>50338.799999999996</v>
      </c>
      <c r="N1201">
        <v>1800</v>
      </c>
      <c r="O1201">
        <v>-11.069974083672715</v>
      </c>
      <c r="P1201" t="s">
        <v>2082</v>
      </c>
      <c r="Q1201" t="s">
        <v>2093</v>
      </c>
    </row>
    <row r="1202" spans="1:17" x14ac:dyDescent="0.25">
      <c r="A1202" t="s">
        <v>1353</v>
      </c>
      <c r="B1202" s="18">
        <v>45871</v>
      </c>
      <c r="C1202" t="s">
        <v>2024</v>
      </c>
      <c r="D1202" t="s">
        <v>2044</v>
      </c>
      <c r="E1202" t="s">
        <v>2055</v>
      </c>
      <c r="F1202" t="s">
        <v>2060</v>
      </c>
      <c r="G1202">
        <v>8</v>
      </c>
      <c r="H1202">
        <v>180</v>
      </c>
      <c r="I1202">
        <v>243</v>
      </c>
      <c r="J1202">
        <v>2.21</v>
      </c>
      <c r="K1202">
        <v>1901.05</v>
      </c>
      <c r="L1202">
        <v>461.05</v>
      </c>
      <c r="M1202">
        <v>4296.24</v>
      </c>
      <c r="N1202">
        <v>1440</v>
      </c>
      <c r="O1202">
        <v>24.252386838852214</v>
      </c>
      <c r="P1202" t="s">
        <v>2082</v>
      </c>
      <c r="Q1202" t="s">
        <v>2092</v>
      </c>
    </row>
    <row r="1203" spans="1:17" x14ac:dyDescent="0.25">
      <c r="A1203" t="s">
        <v>1393</v>
      </c>
      <c r="B1203" s="18">
        <v>45871</v>
      </c>
      <c r="C1203" t="s">
        <v>2031</v>
      </c>
      <c r="D1203" t="s">
        <v>2051</v>
      </c>
      <c r="E1203" t="s">
        <v>2058</v>
      </c>
      <c r="F1203" t="s">
        <v>2061</v>
      </c>
      <c r="G1203">
        <v>9</v>
      </c>
      <c r="H1203">
        <v>3200</v>
      </c>
      <c r="I1203">
        <v>3840</v>
      </c>
      <c r="J1203">
        <v>9.1999999999999993</v>
      </c>
      <c r="K1203">
        <v>31380.61</v>
      </c>
      <c r="L1203">
        <v>2580.61</v>
      </c>
      <c r="M1203">
        <v>317952</v>
      </c>
      <c r="N1203">
        <v>28800</v>
      </c>
      <c r="O1203">
        <v>8.223581377162521</v>
      </c>
      <c r="P1203" t="s">
        <v>2082</v>
      </c>
      <c r="Q1203" t="s">
        <v>2091</v>
      </c>
    </row>
    <row r="1204" spans="1:17" x14ac:dyDescent="0.25">
      <c r="A1204" t="s">
        <v>1563</v>
      </c>
      <c r="B1204" s="18">
        <v>45871</v>
      </c>
      <c r="C1204" t="s">
        <v>2014</v>
      </c>
      <c r="D1204" t="s">
        <v>2034</v>
      </c>
      <c r="E1204" t="s">
        <v>2052</v>
      </c>
      <c r="F1204" t="s">
        <v>2062</v>
      </c>
      <c r="G1204">
        <v>6</v>
      </c>
      <c r="H1204">
        <v>4500</v>
      </c>
      <c r="I1204">
        <v>5220</v>
      </c>
      <c r="J1204">
        <v>7.36</v>
      </c>
      <c r="K1204">
        <v>29014.91</v>
      </c>
      <c r="L1204">
        <v>2014.91</v>
      </c>
      <c r="M1204">
        <v>230515.20000000001</v>
      </c>
      <c r="N1204">
        <v>27000</v>
      </c>
      <c r="O1204">
        <v>6.9443951402916646</v>
      </c>
      <c r="P1204" t="s">
        <v>2082</v>
      </c>
      <c r="Q1204" t="s">
        <v>2091</v>
      </c>
    </row>
    <row r="1205" spans="1:17" x14ac:dyDescent="0.25">
      <c r="A1205" t="s">
        <v>1878</v>
      </c>
      <c r="B1205" s="18">
        <v>45871</v>
      </c>
      <c r="C1205" t="s">
        <v>2015</v>
      </c>
      <c r="D1205" t="s">
        <v>2035</v>
      </c>
      <c r="E1205" t="s">
        <v>2054</v>
      </c>
      <c r="F1205" t="s">
        <v>2061</v>
      </c>
      <c r="G1205">
        <v>10</v>
      </c>
      <c r="H1205">
        <v>900</v>
      </c>
      <c r="I1205">
        <v>1170</v>
      </c>
      <c r="J1205">
        <v>7.25</v>
      </c>
      <c r="K1205">
        <v>10851.44</v>
      </c>
      <c r="L1205">
        <v>1851.44</v>
      </c>
      <c r="M1205">
        <v>84825</v>
      </c>
      <c r="N1205">
        <v>9000</v>
      </c>
      <c r="O1205">
        <v>17.061698723856004</v>
      </c>
      <c r="P1205" t="s">
        <v>2082</v>
      </c>
      <c r="Q1205" t="s">
        <v>2092</v>
      </c>
    </row>
    <row r="1206" spans="1:17" x14ac:dyDescent="0.25">
      <c r="A1206" t="s">
        <v>1989</v>
      </c>
      <c r="B1206" s="18">
        <v>45871</v>
      </c>
      <c r="C1206" t="s">
        <v>2028</v>
      </c>
      <c r="D1206" t="s">
        <v>2048</v>
      </c>
      <c r="E1206" t="s">
        <v>2057</v>
      </c>
      <c r="F1206" t="s">
        <v>2060</v>
      </c>
      <c r="G1206">
        <v>8</v>
      </c>
      <c r="H1206">
        <v>80</v>
      </c>
      <c r="I1206">
        <v>116</v>
      </c>
      <c r="J1206">
        <v>9.19</v>
      </c>
      <c r="K1206">
        <v>842.69</v>
      </c>
      <c r="L1206">
        <v>202.69</v>
      </c>
      <c r="M1206">
        <v>8528.32</v>
      </c>
      <c r="N1206">
        <v>640</v>
      </c>
      <c r="O1206">
        <v>24.052735881522267</v>
      </c>
      <c r="P1206" t="s">
        <v>2082</v>
      </c>
      <c r="Q1206" t="s">
        <v>2092</v>
      </c>
    </row>
    <row r="1207" spans="1:17" x14ac:dyDescent="0.25">
      <c r="A1207" t="s">
        <v>826</v>
      </c>
      <c r="B1207" s="18">
        <v>45872</v>
      </c>
      <c r="C1207" t="s">
        <v>2021</v>
      </c>
      <c r="D1207" t="s">
        <v>2041</v>
      </c>
      <c r="E1207" t="s">
        <v>2056</v>
      </c>
      <c r="F1207" t="s">
        <v>2061</v>
      </c>
      <c r="G1207">
        <v>3</v>
      </c>
      <c r="H1207">
        <v>300</v>
      </c>
      <c r="I1207">
        <v>405</v>
      </c>
      <c r="J1207">
        <v>0.72</v>
      </c>
      <c r="K1207">
        <v>1206.21</v>
      </c>
      <c r="L1207">
        <v>306.20999999999998</v>
      </c>
      <c r="M1207">
        <v>874.8</v>
      </c>
      <c r="N1207">
        <v>900</v>
      </c>
      <c r="O1207">
        <v>25.386126793841868</v>
      </c>
      <c r="P1207" t="s">
        <v>2082</v>
      </c>
      <c r="Q1207" t="s">
        <v>2092</v>
      </c>
    </row>
    <row r="1208" spans="1:17" x14ac:dyDescent="0.25">
      <c r="A1208" t="s">
        <v>1003</v>
      </c>
      <c r="B1208" s="18">
        <v>45872</v>
      </c>
      <c r="C1208" t="s">
        <v>2028</v>
      </c>
      <c r="D1208" t="s">
        <v>2048</v>
      </c>
      <c r="E1208" t="s">
        <v>2057</v>
      </c>
      <c r="F1208" t="s">
        <v>2061</v>
      </c>
      <c r="G1208">
        <v>3</v>
      </c>
      <c r="H1208">
        <v>80</v>
      </c>
      <c r="I1208">
        <v>116</v>
      </c>
      <c r="J1208">
        <v>9.61</v>
      </c>
      <c r="K1208">
        <v>314.57</v>
      </c>
      <c r="L1208">
        <v>74.569999999999993</v>
      </c>
      <c r="M1208">
        <v>3344.2799999999997</v>
      </c>
      <c r="N1208">
        <v>240</v>
      </c>
      <c r="O1208">
        <v>23.705375592078074</v>
      </c>
      <c r="P1208" t="s">
        <v>2082</v>
      </c>
      <c r="Q1208" t="s">
        <v>2092</v>
      </c>
    </row>
    <row r="1209" spans="1:17" x14ac:dyDescent="0.25">
      <c r="A1209" t="s">
        <v>1335</v>
      </c>
      <c r="B1209" s="18">
        <v>45872</v>
      </c>
      <c r="C1209" t="s">
        <v>2015</v>
      </c>
      <c r="D1209" t="s">
        <v>2035</v>
      </c>
      <c r="E1209" t="s">
        <v>2054</v>
      </c>
      <c r="F1209" t="s">
        <v>2059</v>
      </c>
      <c r="G1209">
        <v>1</v>
      </c>
      <c r="H1209">
        <v>900</v>
      </c>
      <c r="I1209">
        <v>1170</v>
      </c>
      <c r="J1209">
        <v>1.32</v>
      </c>
      <c r="K1209">
        <v>1154.52</v>
      </c>
      <c r="L1209">
        <v>254.52</v>
      </c>
      <c r="M1209">
        <v>1544.4</v>
      </c>
      <c r="N1209">
        <v>900</v>
      </c>
      <c r="O1209">
        <v>22.045525413158717</v>
      </c>
      <c r="P1209" t="s">
        <v>2082</v>
      </c>
      <c r="Q1209" t="s">
        <v>2092</v>
      </c>
    </row>
    <row r="1210" spans="1:17" x14ac:dyDescent="0.25">
      <c r="A1210" t="s">
        <v>1998</v>
      </c>
      <c r="B1210" s="18">
        <v>45872</v>
      </c>
      <c r="C1210" t="s">
        <v>2022</v>
      </c>
      <c r="D1210" t="s">
        <v>2042</v>
      </c>
      <c r="E1210" t="s">
        <v>2053</v>
      </c>
      <c r="F1210" t="s">
        <v>2061</v>
      </c>
      <c r="G1210">
        <v>4</v>
      </c>
      <c r="H1210">
        <v>8500</v>
      </c>
      <c r="I1210">
        <v>9520</v>
      </c>
      <c r="J1210">
        <v>4</v>
      </c>
      <c r="K1210">
        <v>36556.800000000003</v>
      </c>
      <c r="L1210">
        <v>2556.8000000000002</v>
      </c>
      <c r="M1210">
        <v>152320</v>
      </c>
      <c r="N1210">
        <v>34000</v>
      </c>
      <c r="O1210">
        <v>6.9940476190476195</v>
      </c>
      <c r="P1210" t="s">
        <v>2082</v>
      </c>
      <c r="Q1210" t="s">
        <v>2091</v>
      </c>
    </row>
    <row r="1211" spans="1:17" x14ac:dyDescent="0.25">
      <c r="A1211" t="s">
        <v>2000</v>
      </c>
      <c r="B1211" s="18">
        <v>45872</v>
      </c>
      <c r="C1211" t="s">
        <v>2029</v>
      </c>
      <c r="D1211" t="s">
        <v>2049</v>
      </c>
      <c r="E1211" t="s">
        <v>2055</v>
      </c>
      <c r="F1211" t="s">
        <v>2062</v>
      </c>
      <c r="G1211">
        <v>8</v>
      </c>
      <c r="H1211">
        <v>1200</v>
      </c>
      <c r="I1211">
        <v>1464</v>
      </c>
      <c r="J1211">
        <v>15.5</v>
      </c>
      <c r="K1211">
        <v>9896.6200000000008</v>
      </c>
      <c r="L1211">
        <v>296.62</v>
      </c>
      <c r="M1211">
        <v>181536</v>
      </c>
      <c r="N1211">
        <v>9600</v>
      </c>
      <c r="O1211">
        <v>2.9971848974700452</v>
      </c>
      <c r="P1211" t="s">
        <v>2082</v>
      </c>
      <c r="Q1211" t="s">
        <v>2091</v>
      </c>
    </row>
    <row r="1212" spans="1:17" x14ac:dyDescent="0.25">
      <c r="A1212" t="s">
        <v>85</v>
      </c>
      <c r="B1212" s="18">
        <v>45873</v>
      </c>
      <c r="C1212" t="s">
        <v>2014</v>
      </c>
      <c r="D1212" t="s">
        <v>2034</v>
      </c>
      <c r="E1212" t="s">
        <v>2052</v>
      </c>
      <c r="F1212" t="s">
        <v>2060</v>
      </c>
      <c r="G1212">
        <v>10</v>
      </c>
      <c r="H1212">
        <v>4500</v>
      </c>
      <c r="I1212">
        <v>5220</v>
      </c>
      <c r="J1212">
        <v>5.27</v>
      </c>
      <c r="K1212">
        <v>49449.25</v>
      </c>
      <c r="L1212">
        <v>4449.25</v>
      </c>
      <c r="M1212">
        <v>275094</v>
      </c>
      <c r="N1212">
        <v>45000</v>
      </c>
      <c r="O1212">
        <v>8.9976086593831042</v>
      </c>
      <c r="P1212" t="s">
        <v>2082</v>
      </c>
      <c r="Q1212" t="s">
        <v>2091</v>
      </c>
    </row>
    <row r="1213" spans="1:17" x14ac:dyDescent="0.25">
      <c r="A1213" t="s">
        <v>441</v>
      </c>
      <c r="B1213" s="18">
        <v>45873</v>
      </c>
      <c r="C1213" t="s">
        <v>2021</v>
      </c>
      <c r="D1213" t="s">
        <v>2041</v>
      </c>
      <c r="E1213" t="s">
        <v>2056</v>
      </c>
      <c r="F1213" t="s">
        <v>2062</v>
      </c>
      <c r="G1213">
        <v>9</v>
      </c>
      <c r="H1213">
        <v>300</v>
      </c>
      <c r="I1213">
        <v>405</v>
      </c>
      <c r="J1213">
        <v>12.76</v>
      </c>
      <c r="K1213">
        <v>3179.95</v>
      </c>
      <c r="L1213">
        <v>479.95</v>
      </c>
      <c r="M1213">
        <v>46510.2</v>
      </c>
      <c r="N1213">
        <v>2700</v>
      </c>
      <c r="O1213">
        <v>15.093004606990675</v>
      </c>
      <c r="P1213" t="s">
        <v>2082</v>
      </c>
      <c r="Q1213" t="s">
        <v>2092</v>
      </c>
    </row>
    <row r="1214" spans="1:17" x14ac:dyDescent="0.25">
      <c r="A1214" t="s">
        <v>742</v>
      </c>
      <c r="B1214" s="18">
        <v>45873</v>
      </c>
      <c r="C1214" t="s">
        <v>2019</v>
      </c>
      <c r="D1214" t="s">
        <v>2039</v>
      </c>
      <c r="E1214" t="s">
        <v>2053</v>
      </c>
      <c r="F1214" t="s">
        <v>2062</v>
      </c>
      <c r="G1214">
        <v>2</v>
      </c>
      <c r="H1214">
        <v>900</v>
      </c>
      <c r="I1214">
        <v>1152</v>
      </c>
      <c r="J1214">
        <v>7.62</v>
      </c>
      <c r="K1214">
        <v>2128.33</v>
      </c>
      <c r="L1214">
        <v>328.33</v>
      </c>
      <c r="M1214">
        <v>17556.48</v>
      </c>
      <c r="N1214">
        <v>1800</v>
      </c>
      <c r="O1214">
        <v>15.426649062880285</v>
      </c>
      <c r="P1214" t="s">
        <v>2082</v>
      </c>
      <c r="Q1214" t="s">
        <v>2092</v>
      </c>
    </row>
    <row r="1215" spans="1:17" x14ac:dyDescent="0.25">
      <c r="A1215" t="s">
        <v>888</v>
      </c>
      <c r="B1215" s="18">
        <v>45873</v>
      </c>
      <c r="C1215" t="s">
        <v>2017</v>
      </c>
      <c r="D1215" t="s">
        <v>2037</v>
      </c>
      <c r="E1215" t="s">
        <v>2055</v>
      </c>
      <c r="F1215" t="s">
        <v>2060</v>
      </c>
      <c r="G1215">
        <v>5</v>
      </c>
      <c r="H1215">
        <v>2500</v>
      </c>
      <c r="I1215">
        <v>2875</v>
      </c>
      <c r="J1215">
        <v>2.2200000000000002</v>
      </c>
      <c r="K1215">
        <v>14056.29</v>
      </c>
      <c r="L1215">
        <v>1556.29</v>
      </c>
      <c r="M1215">
        <v>31912.500000000004</v>
      </c>
      <c r="N1215">
        <v>12500</v>
      </c>
      <c r="O1215">
        <v>11.071840435847582</v>
      </c>
      <c r="P1215" t="s">
        <v>2082</v>
      </c>
      <c r="Q1215" t="s">
        <v>2092</v>
      </c>
    </row>
    <row r="1216" spans="1:17" x14ac:dyDescent="0.25">
      <c r="A1216" t="s">
        <v>1223</v>
      </c>
      <c r="B1216" s="18">
        <v>45873</v>
      </c>
      <c r="C1216" t="s">
        <v>2026</v>
      </c>
      <c r="D1216" t="s">
        <v>2046</v>
      </c>
      <c r="E1216" t="s">
        <v>2052</v>
      </c>
      <c r="F1216" t="s">
        <v>2059</v>
      </c>
      <c r="G1216">
        <v>10</v>
      </c>
      <c r="H1216">
        <v>3000</v>
      </c>
      <c r="I1216">
        <v>3600</v>
      </c>
      <c r="J1216">
        <v>13.44</v>
      </c>
      <c r="K1216">
        <v>31161.75</v>
      </c>
      <c r="L1216">
        <v>1161.75</v>
      </c>
      <c r="M1216">
        <v>483840</v>
      </c>
      <c r="N1216">
        <v>30000</v>
      </c>
      <c r="O1216">
        <v>3.7281282341331918</v>
      </c>
      <c r="P1216" t="s">
        <v>2082</v>
      </c>
      <c r="Q1216" t="s">
        <v>2091</v>
      </c>
    </row>
    <row r="1217" spans="1:17" x14ac:dyDescent="0.25">
      <c r="A1217" t="s">
        <v>1473</v>
      </c>
      <c r="B1217" s="18">
        <v>45873</v>
      </c>
      <c r="C1217" t="s">
        <v>2014</v>
      </c>
      <c r="D1217" t="s">
        <v>2034</v>
      </c>
      <c r="E1217" t="s">
        <v>2052</v>
      </c>
      <c r="F1217" t="s">
        <v>2061</v>
      </c>
      <c r="G1217">
        <v>1</v>
      </c>
      <c r="H1217">
        <v>4500</v>
      </c>
      <c r="I1217">
        <v>5220</v>
      </c>
      <c r="J1217">
        <v>12.07</v>
      </c>
      <c r="K1217">
        <v>4590.13</v>
      </c>
      <c r="L1217">
        <v>90.13</v>
      </c>
      <c r="M1217">
        <v>63005.4</v>
      </c>
      <c r="N1217">
        <v>4500</v>
      </c>
      <c r="O1217">
        <v>1.9635609448969853</v>
      </c>
      <c r="P1217" t="s">
        <v>2082</v>
      </c>
      <c r="Q1217" t="s">
        <v>2091</v>
      </c>
    </row>
    <row r="1218" spans="1:17" x14ac:dyDescent="0.25">
      <c r="A1218" t="s">
        <v>1607</v>
      </c>
      <c r="B1218" s="18">
        <v>45873</v>
      </c>
      <c r="C1218" t="s">
        <v>2015</v>
      </c>
      <c r="D1218" t="s">
        <v>2035</v>
      </c>
      <c r="E1218" t="s">
        <v>2054</v>
      </c>
      <c r="F1218" t="s">
        <v>2061</v>
      </c>
      <c r="G1218">
        <v>10</v>
      </c>
      <c r="H1218">
        <v>900</v>
      </c>
      <c r="I1218">
        <v>1170</v>
      </c>
      <c r="J1218">
        <v>7.96</v>
      </c>
      <c r="K1218">
        <v>10768.11</v>
      </c>
      <c r="L1218">
        <v>1768.11</v>
      </c>
      <c r="M1218">
        <v>93132</v>
      </c>
      <c r="N1218">
        <v>9000</v>
      </c>
      <c r="O1218">
        <v>16.419873125367403</v>
      </c>
      <c r="P1218" t="s">
        <v>2082</v>
      </c>
      <c r="Q1218" t="s">
        <v>2092</v>
      </c>
    </row>
    <row r="1219" spans="1:17" x14ac:dyDescent="0.25">
      <c r="A1219" t="s">
        <v>1710</v>
      </c>
      <c r="B1219" s="18">
        <v>45873</v>
      </c>
      <c r="C1219" t="s">
        <v>2025</v>
      </c>
      <c r="D1219" t="s">
        <v>2045</v>
      </c>
      <c r="E1219" t="s">
        <v>2057</v>
      </c>
      <c r="F1219" t="s">
        <v>2062</v>
      </c>
      <c r="G1219">
        <v>7</v>
      </c>
      <c r="H1219">
        <v>45</v>
      </c>
      <c r="I1219">
        <v>63</v>
      </c>
      <c r="J1219">
        <v>8.73</v>
      </c>
      <c r="K1219">
        <v>402.51</v>
      </c>
      <c r="L1219">
        <v>87.51</v>
      </c>
      <c r="M1219">
        <v>3849.9300000000003</v>
      </c>
      <c r="N1219">
        <v>315</v>
      </c>
      <c r="O1219">
        <v>21.741074755906688</v>
      </c>
      <c r="P1219" t="s">
        <v>2082</v>
      </c>
      <c r="Q1219" t="s">
        <v>2092</v>
      </c>
    </row>
    <row r="1220" spans="1:17" x14ac:dyDescent="0.25">
      <c r="A1220" t="s">
        <v>1939</v>
      </c>
      <c r="B1220" s="18">
        <v>45873</v>
      </c>
      <c r="C1220" t="s">
        <v>2025</v>
      </c>
      <c r="D1220" t="s">
        <v>2045</v>
      </c>
      <c r="E1220" t="s">
        <v>2057</v>
      </c>
      <c r="F1220" t="s">
        <v>2061</v>
      </c>
      <c r="G1220">
        <v>7</v>
      </c>
      <c r="H1220">
        <v>45</v>
      </c>
      <c r="I1220">
        <v>63</v>
      </c>
      <c r="J1220">
        <v>11.1</v>
      </c>
      <c r="K1220">
        <v>392.03</v>
      </c>
      <c r="L1220">
        <v>77.03</v>
      </c>
      <c r="M1220">
        <v>4895.0999999999995</v>
      </c>
      <c r="N1220">
        <v>315</v>
      </c>
      <c r="O1220">
        <v>19.649006453587738</v>
      </c>
      <c r="P1220" t="s">
        <v>2082</v>
      </c>
      <c r="Q1220" t="s">
        <v>2092</v>
      </c>
    </row>
    <row r="1221" spans="1:17" x14ac:dyDescent="0.25">
      <c r="A1221" t="s">
        <v>292</v>
      </c>
      <c r="B1221" s="18">
        <v>45874</v>
      </c>
      <c r="C1221" t="s">
        <v>2026</v>
      </c>
      <c r="D1221" t="s">
        <v>2046</v>
      </c>
      <c r="E1221" t="s">
        <v>2052</v>
      </c>
      <c r="F1221" t="s">
        <v>2061</v>
      </c>
      <c r="G1221">
        <v>10</v>
      </c>
      <c r="H1221">
        <v>3000</v>
      </c>
      <c r="I1221">
        <v>3600</v>
      </c>
      <c r="J1221">
        <v>18.059999999999999</v>
      </c>
      <c r="K1221">
        <v>29498.15</v>
      </c>
      <c r="L1221">
        <v>-501.85</v>
      </c>
      <c r="M1221">
        <v>650160</v>
      </c>
      <c r="N1221">
        <v>30000</v>
      </c>
      <c r="O1221">
        <v>-1.7012931319421727</v>
      </c>
      <c r="P1221" t="s">
        <v>2082</v>
      </c>
      <c r="Q1221" t="s">
        <v>2093</v>
      </c>
    </row>
    <row r="1222" spans="1:17" x14ac:dyDescent="0.25">
      <c r="A1222" t="s">
        <v>555</v>
      </c>
      <c r="B1222" s="18">
        <v>45874</v>
      </c>
      <c r="C1222" t="s">
        <v>2012</v>
      </c>
      <c r="D1222" t="s">
        <v>2032</v>
      </c>
      <c r="E1222" t="s">
        <v>2052</v>
      </c>
      <c r="F1222" t="s">
        <v>2061</v>
      </c>
      <c r="G1222">
        <v>10</v>
      </c>
      <c r="H1222">
        <v>6500</v>
      </c>
      <c r="I1222">
        <v>8125</v>
      </c>
      <c r="J1222">
        <v>11.84</v>
      </c>
      <c r="K1222">
        <v>71626.19</v>
      </c>
      <c r="L1222">
        <v>6626.19</v>
      </c>
      <c r="M1222">
        <v>962000</v>
      </c>
      <c r="N1222">
        <v>65000</v>
      </c>
      <c r="O1222">
        <v>9.2510714307154966</v>
      </c>
      <c r="P1222" t="s">
        <v>2082</v>
      </c>
      <c r="Q1222" t="s">
        <v>2091</v>
      </c>
    </row>
    <row r="1223" spans="1:17" x14ac:dyDescent="0.25">
      <c r="A1223" t="s">
        <v>1424</v>
      </c>
      <c r="B1223" s="18">
        <v>45874</v>
      </c>
      <c r="C1223" t="s">
        <v>2029</v>
      </c>
      <c r="D1223" t="s">
        <v>2049</v>
      </c>
      <c r="E1223" t="s">
        <v>2055</v>
      </c>
      <c r="F1223" t="s">
        <v>2061</v>
      </c>
      <c r="G1223">
        <v>2</v>
      </c>
      <c r="H1223">
        <v>1200</v>
      </c>
      <c r="I1223">
        <v>1464</v>
      </c>
      <c r="J1223">
        <v>21.42</v>
      </c>
      <c r="K1223">
        <v>2300.96</v>
      </c>
      <c r="L1223">
        <v>-99.04</v>
      </c>
      <c r="M1223">
        <v>62717.760000000002</v>
      </c>
      <c r="N1223">
        <v>2400</v>
      </c>
      <c r="O1223">
        <v>-4.3042903831444264</v>
      </c>
      <c r="P1223" t="s">
        <v>2082</v>
      </c>
      <c r="Q1223" t="s">
        <v>2093</v>
      </c>
    </row>
    <row r="1224" spans="1:17" x14ac:dyDescent="0.25">
      <c r="A1224" t="s">
        <v>1561</v>
      </c>
      <c r="B1224" s="18">
        <v>45874</v>
      </c>
      <c r="C1224" t="s">
        <v>2021</v>
      </c>
      <c r="D1224" t="s">
        <v>2041</v>
      </c>
      <c r="E1224" t="s">
        <v>2056</v>
      </c>
      <c r="F1224" t="s">
        <v>2061</v>
      </c>
      <c r="G1224">
        <v>7</v>
      </c>
      <c r="H1224">
        <v>300</v>
      </c>
      <c r="I1224">
        <v>405</v>
      </c>
      <c r="J1224">
        <v>3.74</v>
      </c>
      <c r="K1224">
        <v>2728.84</v>
      </c>
      <c r="L1224">
        <v>628.84</v>
      </c>
      <c r="M1224">
        <v>10602.900000000001</v>
      </c>
      <c r="N1224">
        <v>2100</v>
      </c>
      <c r="O1224">
        <v>23.044223919321031</v>
      </c>
      <c r="P1224" t="s">
        <v>2082</v>
      </c>
      <c r="Q1224" t="s">
        <v>2092</v>
      </c>
    </row>
    <row r="1225" spans="1:17" x14ac:dyDescent="0.25">
      <c r="A1225" t="s">
        <v>1890</v>
      </c>
      <c r="B1225" s="18">
        <v>45874</v>
      </c>
      <c r="C1225" t="s">
        <v>2014</v>
      </c>
      <c r="D1225" t="s">
        <v>2034</v>
      </c>
      <c r="E1225" t="s">
        <v>2052</v>
      </c>
      <c r="F1225" t="s">
        <v>2061</v>
      </c>
      <c r="G1225">
        <v>7</v>
      </c>
      <c r="H1225">
        <v>4500</v>
      </c>
      <c r="I1225">
        <v>5220</v>
      </c>
      <c r="J1225">
        <v>11.69</v>
      </c>
      <c r="K1225">
        <v>32269.040000000001</v>
      </c>
      <c r="L1225">
        <v>769.04</v>
      </c>
      <c r="M1225">
        <v>427152.6</v>
      </c>
      <c r="N1225">
        <v>31500</v>
      </c>
      <c r="O1225">
        <v>2.3832131355627557</v>
      </c>
      <c r="P1225" t="s">
        <v>2082</v>
      </c>
      <c r="Q1225" t="s">
        <v>2091</v>
      </c>
    </row>
    <row r="1226" spans="1:17" x14ac:dyDescent="0.25">
      <c r="A1226" t="s">
        <v>590</v>
      </c>
      <c r="B1226" s="18">
        <v>45875</v>
      </c>
      <c r="C1226" t="s">
        <v>2016</v>
      </c>
      <c r="D1226" t="s">
        <v>2036</v>
      </c>
      <c r="E1226" t="s">
        <v>2052</v>
      </c>
      <c r="F1226" t="s">
        <v>2059</v>
      </c>
      <c r="G1226">
        <v>2</v>
      </c>
      <c r="H1226">
        <v>900</v>
      </c>
      <c r="I1226">
        <v>1170</v>
      </c>
      <c r="J1226">
        <v>5.46</v>
      </c>
      <c r="K1226">
        <v>2212.2800000000002</v>
      </c>
      <c r="L1226">
        <v>412.28</v>
      </c>
      <c r="M1226">
        <v>12776.4</v>
      </c>
      <c r="N1226">
        <v>1800</v>
      </c>
      <c r="O1226">
        <v>18.635977362720809</v>
      </c>
      <c r="P1226" t="s">
        <v>2082</v>
      </c>
      <c r="Q1226" t="s">
        <v>2092</v>
      </c>
    </row>
    <row r="1227" spans="1:17" x14ac:dyDescent="0.25">
      <c r="A1227" t="s">
        <v>750</v>
      </c>
      <c r="B1227" s="18">
        <v>45875</v>
      </c>
      <c r="C1227" t="s">
        <v>2030</v>
      </c>
      <c r="D1227" t="s">
        <v>2050</v>
      </c>
      <c r="E1227" t="s">
        <v>2058</v>
      </c>
      <c r="F1227" t="s">
        <v>2061</v>
      </c>
      <c r="G1227">
        <v>9</v>
      </c>
      <c r="H1227">
        <v>1800</v>
      </c>
      <c r="I1227">
        <v>2124</v>
      </c>
      <c r="J1227">
        <v>14.05</v>
      </c>
      <c r="K1227">
        <v>16429.599999999999</v>
      </c>
      <c r="L1227">
        <v>229.6</v>
      </c>
      <c r="M1227">
        <v>268579.8</v>
      </c>
      <c r="N1227">
        <v>16200</v>
      </c>
      <c r="O1227">
        <v>1.397477723133856</v>
      </c>
      <c r="P1227" t="s">
        <v>2082</v>
      </c>
      <c r="Q1227" t="s">
        <v>2091</v>
      </c>
    </row>
    <row r="1228" spans="1:17" x14ac:dyDescent="0.25">
      <c r="A1228" t="s">
        <v>932</v>
      </c>
      <c r="B1228" s="18">
        <v>45875</v>
      </c>
      <c r="C1228" t="s">
        <v>2018</v>
      </c>
      <c r="D1228" t="s">
        <v>2038</v>
      </c>
      <c r="E1228" t="s">
        <v>2053</v>
      </c>
      <c r="F1228" t="s">
        <v>2059</v>
      </c>
      <c r="G1228">
        <v>3</v>
      </c>
      <c r="H1228">
        <v>500</v>
      </c>
      <c r="I1228">
        <v>610</v>
      </c>
      <c r="J1228">
        <v>14.3</v>
      </c>
      <c r="K1228">
        <v>1568.33</v>
      </c>
      <c r="L1228">
        <v>68.33</v>
      </c>
      <c r="M1228">
        <v>26169</v>
      </c>
      <c r="N1228">
        <v>1500</v>
      </c>
      <c r="O1228">
        <v>4.3568636702734764</v>
      </c>
      <c r="P1228" t="s">
        <v>2082</v>
      </c>
      <c r="Q1228" t="s">
        <v>2091</v>
      </c>
    </row>
    <row r="1229" spans="1:17" x14ac:dyDescent="0.25">
      <c r="A1229" t="s">
        <v>1422</v>
      </c>
      <c r="B1229" s="18">
        <v>45875</v>
      </c>
      <c r="C1229" t="s">
        <v>2015</v>
      </c>
      <c r="D1229" t="s">
        <v>2035</v>
      </c>
      <c r="E1229" t="s">
        <v>2054</v>
      </c>
      <c r="F1229" t="s">
        <v>2061</v>
      </c>
      <c r="G1229">
        <v>10</v>
      </c>
      <c r="H1229">
        <v>900</v>
      </c>
      <c r="I1229">
        <v>1170</v>
      </c>
      <c r="J1229">
        <v>14.6</v>
      </c>
      <c r="K1229">
        <v>9992.17</v>
      </c>
      <c r="L1229">
        <v>992.17</v>
      </c>
      <c r="M1229">
        <v>170820</v>
      </c>
      <c r="N1229">
        <v>9000</v>
      </c>
      <c r="O1229">
        <v>9.9294747787517625</v>
      </c>
      <c r="P1229" t="s">
        <v>2082</v>
      </c>
      <c r="Q1229" t="s">
        <v>2091</v>
      </c>
    </row>
    <row r="1230" spans="1:17" x14ac:dyDescent="0.25">
      <c r="A1230" t="s">
        <v>1574</v>
      </c>
      <c r="B1230" s="18">
        <v>45875</v>
      </c>
      <c r="C1230" t="s">
        <v>2028</v>
      </c>
      <c r="D1230" t="s">
        <v>2048</v>
      </c>
      <c r="E1230" t="s">
        <v>2057</v>
      </c>
      <c r="F1230" t="s">
        <v>2059</v>
      </c>
      <c r="G1230">
        <v>3</v>
      </c>
      <c r="H1230">
        <v>80</v>
      </c>
      <c r="I1230">
        <v>116</v>
      </c>
      <c r="J1230">
        <v>0</v>
      </c>
      <c r="K1230">
        <v>348</v>
      </c>
      <c r="L1230">
        <v>108</v>
      </c>
      <c r="M1230">
        <v>0</v>
      </c>
      <c r="N1230">
        <v>240</v>
      </c>
      <c r="O1230">
        <v>31.03448275862069</v>
      </c>
      <c r="P1230" t="s">
        <v>2082</v>
      </c>
      <c r="Q1230" t="s">
        <v>2092</v>
      </c>
    </row>
    <row r="1231" spans="1:17" x14ac:dyDescent="0.25">
      <c r="A1231" t="s">
        <v>2011</v>
      </c>
      <c r="B1231" s="18">
        <v>45875</v>
      </c>
      <c r="C1231" t="s">
        <v>2020</v>
      </c>
      <c r="D1231" t="s">
        <v>2040</v>
      </c>
      <c r="E1231" t="s">
        <v>2053</v>
      </c>
      <c r="F1231" t="s">
        <v>2060</v>
      </c>
      <c r="G1231">
        <v>2</v>
      </c>
      <c r="H1231">
        <v>350</v>
      </c>
      <c r="I1231">
        <v>455</v>
      </c>
      <c r="J1231">
        <v>10.32</v>
      </c>
      <c r="K1231">
        <v>816.11</v>
      </c>
      <c r="L1231">
        <v>116.11</v>
      </c>
      <c r="M1231">
        <v>9391.2000000000007</v>
      </c>
      <c r="N1231">
        <v>700</v>
      </c>
      <c r="O1231">
        <v>14.227248777738295</v>
      </c>
      <c r="P1231" t="s">
        <v>2082</v>
      </c>
      <c r="Q1231" t="s">
        <v>2092</v>
      </c>
    </row>
    <row r="1232" spans="1:17" x14ac:dyDescent="0.25">
      <c r="A1232" t="s">
        <v>185</v>
      </c>
      <c r="B1232" s="18">
        <v>45876</v>
      </c>
      <c r="C1232" t="s">
        <v>2020</v>
      </c>
      <c r="D1232" t="s">
        <v>2040</v>
      </c>
      <c r="E1232" t="s">
        <v>2053</v>
      </c>
      <c r="F1232" t="s">
        <v>2060</v>
      </c>
      <c r="G1232">
        <v>5</v>
      </c>
      <c r="H1232">
        <v>350</v>
      </c>
      <c r="I1232">
        <v>455</v>
      </c>
      <c r="J1232">
        <v>21.33</v>
      </c>
      <c r="K1232">
        <v>1789.66</v>
      </c>
      <c r="L1232">
        <v>39.659999999999997</v>
      </c>
      <c r="M1232">
        <v>48525.749999999993</v>
      </c>
      <c r="N1232">
        <v>1750</v>
      </c>
      <c r="O1232">
        <v>2.2160633863415393</v>
      </c>
      <c r="P1232" t="s">
        <v>2082</v>
      </c>
      <c r="Q1232" t="s">
        <v>2091</v>
      </c>
    </row>
    <row r="1233" spans="1:17" x14ac:dyDescent="0.25">
      <c r="A1233" t="s">
        <v>395</v>
      </c>
      <c r="B1233" s="18">
        <v>45876</v>
      </c>
      <c r="C1233" t="s">
        <v>2027</v>
      </c>
      <c r="D1233" t="s">
        <v>2047</v>
      </c>
      <c r="E1233" t="s">
        <v>2053</v>
      </c>
      <c r="F1233" t="s">
        <v>2061</v>
      </c>
      <c r="G1233">
        <v>2</v>
      </c>
      <c r="H1233">
        <v>1100</v>
      </c>
      <c r="I1233">
        <v>1298</v>
      </c>
      <c r="J1233">
        <v>16.55</v>
      </c>
      <c r="K1233">
        <v>2166.3000000000002</v>
      </c>
      <c r="L1233">
        <v>-33.700000000000003</v>
      </c>
      <c r="M1233">
        <v>42963.8</v>
      </c>
      <c r="N1233">
        <v>2200</v>
      </c>
      <c r="O1233">
        <v>-1.5556478788718091</v>
      </c>
      <c r="P1233" t="s">
        <v>2082</v>
      </c>
      <c r="Q1233" t="s">
        <v>2093</v>
      </c>
    </row>
    <row r="1234" spans="1:17" x14ac:dyDescent="0.25">
      <c r="A1234" t="s">
        <v>807</v>
      </c>
      <c r="B1234" s="18">
        <v>45876</v>
      </c>
      <c r="C1234" t="s">
        <v>2016</v>
      </c>
      <c r="D1234" t="s">
        <v>2036</v>
      </c>
      <c r="E1234" t="s">
        <v>2052</v>
      </c>
      <c r="F1234" t="s">
        <v>2061</v>
      </c>
      <c r="G1234">
        <v>6</v>
      </c>
      <c r="H1234">
        <v>900</v>
      </c>
      <c r="I1234">
        <v>1170</v>
      </c>
      <c r="J1234">
        <v>9.51</v>
      </c>
      <c r="K1234">
        <v>6352.06</v>
      </c>
      <c r="L1234">
        <v>952.06</v>
      </c>
      <c r="M1234">
        <v>66760.2</v>
      </c>
      <c r="N1234">
        <v>5400</v>
      </c>
      <c r="O1234">
        <v>14.98820854966735</v>
      </c>
      <c r="P1234" t="s">
        <v>2082</v>
      </c>
      <c r="Q1234" t="s">
        <v>2092</v>
      </c>
    </row>
    <row r="1235" spans="1:17" x14ac:dyDescent="0.25">
      <c r="A1235" t="s">
        <v>1229</v>
      </c>
      <c r="B1235" s="18">
        <v>45876</v>
      </c>
      <c r="C1235" t="s">
        <v>2022</v>
      </c>
      <c r="D1235" t="s">
        <v>2042</v>
      </c>
      <c r="E1235" t="s">
        <v>2053</v>
      </c>
      <c r="F1235" t="s">
        <v>2060</v>
      </c>
      <c r="G1235">
        <v>5</v>
      </c>
      <c r="H1235">
        <v>8500</v>
      </c>
      <c r="I1235">
        <v>9520</v>
      </c>
      <c r="J1235">
        <v>18.559999999999999</v>
      </c>
      <c r="K1235">
        <v>38767.129999999997</v>
      </c>
      <c r="L1235">
        <v>-3732.87</v>
      </c>
      <c r="M1235">
        <v>883455.99999999988</v>
      </c>
      <c r="N1235">
        <v>42500</v>
      </c>
      <c r="O1235">
        <v>-9.6289562833255911</v>
      </c>
      <c r="P1235" t="s">
        <v>2082</v>
      </c>
      <c r="Q1235" t="s">
        <v>2093</v>
      </c>
    </row>
    <row r="1236" spans="1:17" x14ac:dyDescent="0.25">
      <c r="A1236" t="s">
        <v>279</v>
      </c>
      <c r="B1236" s="18">
        <v>45877</v>
      </c>
      <c r="C1236" t="s">
        <v>2021</v>
      </c>
      <c r="D1236" t="s">
        <v>2041</v>
      </c>
      <c r="E1236" t="s">
        <v>2056</v>
      </c>
      <c r="F1236" t="s">
        <v>2061</v>
      </c>
      <c r="G1236">
        <v>2</v>
      </c>
      <c r="H1236">
        <v>300</v>
      </c>
      <c r="I1236">
        <v>405</v>
      </c>
      <c r="J1236">
        <v>4.91</v>
      </c>
      <c r="K1236">
        <v>770.24</v>
      </c>
      <c r="L1236">
        <v>170.24</v>
      </c>
      <c r="M1236">
        <v>3977.1</v>
      </c>
      <c r="N1236">
        <v>600</v>
      </c>
      <c r="O1236">
        <v>22.102201911092649</v>
      </c>
      <c r="P1236" t="s">
        <v>2082</v>
      </c>
      <c r="Q1236" t="s">
        <v>2092</v>
      </c>
    </row>
    <row r="1237" spans="1:17" x14ac:dyDescent="0.25">
      <c r="A1237" t="s">
        <v>547</v>
      </c>
      <c r="B1237" s="18">
        <v>45877</v>
      </c>
      <c r="C1237" t="s">
        <v>2012</v>
      </c>
      <c r="D1237" t="s">
        <v>2032</v>
      </c>
      <c r="E1237" t="s">
        <v>2052</v>
      </c>
      <c r="F1237" t="s">
        <v>2061</v>
      </c>
      <c r="G1237">
        <v>6</v>
      </c>
      <c r="H1237">
        <v>6500</v>
      </c>
      <c r="I1237">
        <v>8125</v>
      </c>
      <c r="J1237">
        <v>26.73</v>
      </c>
      <c r="K1237">
        <v>35721.040000000001</v>
      </c>
      <c r="L1237">
        <v>-3278.96</v>
      </c>
      <c r="M1237">
        <v>1303087.5</v>
      </c>
      <c r="N1237">
        <v>39000</v>
      </c>
      <c r="O1237">
        <v>-9.1793520009495797</v>
      </c>
      <c r="P1237" t="s">
        <v>2082</v>
      </c>
      <c r="Q1237" t="s">
        <v>2093</v>
      </c>
    </row>
    <row r="1238" spans="1:17" x14ac:dyDescent="0.25">
      <c r="A1238" t="s">
        <v>549</v>
      </c>
      <c r="B1238" s="18">
        <v>45877</v>
      </c>
      <c r="C1238" t="s">
        <v>2031</v>
      </c>
      <c r="D1238" t="s">
        <v>2051</v>
      </c>
      <c r="E1238" t="s">
        <v>2058</v>
      </c>
      <c r="F1238" t="s">
        <v>2060</v>
      </c>
      <c r="G1238">
        <v>8</v>
      </c>
      <c r="H1238">
        <v>3200</v>
      </c>
      <c r="I1238">
        <v>3840</v>
      </c>
      <c r="J1238">
        <v>15.03</v>
      </c>
      <c r="K1238">
        <v>26103.27</v>
      </c>
      <c r="L1238">
        <v>503.27</v>
      </c>
      <c r="M1238">
        <v>461721.59999999998</v>
      </c>
      <c r="N1238">
        <v>25600</v>
      </c>
      <c r="O1238">
        <v>1.9279959943715861</v>
      </c>
      <c r="P1238" t="s">
        <v>2082</v>
      </c>
      <c r="Q1238" t="s">
        <v>2091</v>
      </c>
    </row>
    <row r="1239" spans="1:17" x14ac:dyDescent="0.25">
      <c r="A1239" t="s">
        <v>696</v>
      </c>
      <c r="B1239" s="18">
        <v>45877</v>
      </c>
      <c r="C1239" t="s">
        <v>2027</v>
      </c>
      <c r="D1239" t="s">
        <v>2047</v>
      </c>
      <c r="E1239" t="s">
        <v>2053</v>
      </c>
      <c r="F1239" t="s">
        <v>2059</v>
      </c>
      <c r="G1239">
        <v>9</v>
      </c>
      <c r="H1239">
        <v>1100</v>
      </c>
      <c r="I1239">
        <v>1298</v>
      </c>
      <c r="J1239">
        <v>12.92</v>
      </c>
      <c r="K1239">
        <v>10172.83</v>
      </c>
      <c r="L1239">
        <v>272.83</v>
      </c>
      <c r="M1239">
        <v>150931.44</v>
      </c>
      <c r="N1239">
        <v>9900</v>
      </c>
      <c r="O1239">
        <v>2.6819478945386876</v>
      </c>
      <c r="P1239" t="s">
        <v>2082</v>
      </c>
      <c r="Q1239" t="s">
        <v>2091</v>
      </c>
    </row>
    <row r="1240" spans="1:17" x14ac:dyDescent="0.25">
      <c r="A1240" t="s">
        <v>166</v>
      </c>
      <c r="B1240" s="18">
        <v>45878</v>
      </c>
      <c r="C1240" t="s">
        <v>2017</v>
      </c>
      <c r="D1240" t="s">
        <v>2037</v>
      </c>
      <c r="E1240" t="s">
        <v>2055</v>
      </c>
      <c r="F1240" t="s">
        <v>2062</v>
      </c>
      <c r="G1240">
        <v>6</v>
      </c>
      <c r="H1240">
        <v>2500</v>
      </c>
      <c r="I1240">
        <v>2875</v>
      </c>
      <c r="J1240">
        <v>0.79</v>
      </c>
      <c r="K1240">
        <v>17113.07</v>
      </c>
      <c r="L1240">
        <v>2113.0700000000002</v>
      </c>
      <c r="M1240">
        <v>13627.5</v>
      </c>
      <c r="N1240">
        <v>15000</v>
      </c>
      <c r="O1240">
        <v>12.347696818864179</v>
      </c>
      <c r="P1240" t="s">
        <v>2082</v>
      </c>
      <c r="Q1240" t="s">
        <v>2092</v>
      </c>
    </row>
    <row r="1241" spans="1:17" x14ac:dyDescent="0.25">
      <c r="A1241" t="s">
        <v>218</v>
      </c>
      <c r="B1241" s="18">
        <v>45878</v>
      </c>
      <c r="C1241" t="s">
        <v>2023</v>
      </c>
      <c r="D1241" t="s">
        <v>2043</v>
      </c>
      <c r="E1241" t="s">
        <v>2053</v>
      </c>
      <c r="F1241" t="s">
        <v>2062</v>
      </c>
      <c r="G1241">
        <v>1</v>
      </c>
      <c r="H1241">
        <v>550</v>
      </c>
      <c r="I1241">
        <v>742.5</v>
      </c>
      <c r="J1241">
        <v>6.03</v>
      </c>
      <c r="K1241">
        <v>697.7</v>
      </c>
      <c r="L1241">
        <v>147.69999999999999</v>
      </c>
      <c r="M1241">
        <v>4477.2750000000005</v>
      </c>
      <c r="N1241">
        <v>550</v>
      </c>
      <c r="O1241">
        <v>21.169557116239069</v>
      </c>
      <c r="P1241" t="s">
        <v>2082</v>
      </c>
      <c r="Q1241" t="s">
        <v>2092</v>
      </c>
    </row>
    <row r="1242" spans="1:17" x14ac:dyDescent="0.25">
      <c r="A1242" t="s">
        <v>438</v>
      </c>
      <c r="B1242" s="18">
        <v>45878</v>
      </c>
      <c r="C1242" t="s">
        <v>2015</v>
      </c>
      <c r="D1242" t="s">
        <v>2035</v>
      </c>
      <c r="E1242" t="s">
        <v>2054</v>
      </c>
      <c r="F1242" t="s">
        <v>2059</v>
      </c>
      <c r="G1242">
        <v>8</v>
      </c>
      <c r="H1242">
        <v>900</v>
      </c>
      <c r="I1242">
        <v>1170</v>
      </c>
      <c r="J1242">
        <v>14.56</v>
      </c>
      <c r="K1242">
        <v>7997.24</v>
      </c>
      <c r="L1242">
        <v>797.24</v>
      </c>
      <c r="M1242">
        <v>136281.60000000001</v>
      </c>
      <c r="N1242">
        <v>7200</v>
      </c>
      <c r="O1242">
        <v>9.9689392840529987</v>
      </c>
      <c r="P1242" t="s">
        <v>2082</v>
      </c>
      <c r="Q1242" t="s">
        <v>2091</v>
      </c>
    </row>
    <row r="1243" spans="1:17" x14ac:dyDescent="0.25">
      <c r="A1243" t="s">
        <v>1340</v>
      </c>
      <c r="B1243" s="18">
        <v>45878</v>
      </c>
      <c r="C1243" t="s">
        <v>2022</v>
      </c>
      <c r="D1243" t="s">
        <v>2042</v>
      </c>
      <c r="E1243" t="s">
        <v>2053</v>
      </c>
      <c r="F1243" t="s">
        <v>2061</v>
      </c>
      <c r="G1243">
        <v>6</v>
      </c>
      <c r="H1243">
        <v>8500</v>
      </c>
      <c r="I1243">
        <v>9520</v>
      </c>
      <c r="J1243">
        <v>21.3</v>
      </c>
      <c r="K1243">
        <v>44952.62</v>
      </c>
      <c r="L1243">
        <v>-6047.38</v>
      </c>
      <c r="M1243">
        <v>1216656</v>
      </c>
      <c r="N1243">
        <v>51000</v>
      </c>
      <c r="O1243">
        <v>-13.45278651166495</v>
      </c>
      <c r="P1243" t="s">
        <v>2082</v>
      </c>
      <c r="Q1243" t="s">
        <v>2093</v>
      </c>
    </row>
    <row r="1244" spans="1:17" x14ac:dyDescent="0.25">
      <c r="A1244" t="s">
        <v>1772</v>
      </c>
      <c r="B1244" s="18">
        <v>45878</v>
      </c>
      <c r="C1244" t="s">
        <v>2023</v>
      </c>
      <c r="D1244" t="s">
        <v>2043</v>
      </c>
      <c r="E1244" t="s">
        <v>2053</v>
      </c>
      <c r="F1244" t="s">
        <v>2061</v>
      </c>
      <c r="G1244">
        <v>9</v>
      </c>
      <c r="H1244">
        <v>550</v>
      </c>
      <c r="I1244">
        <v>742.5</v>
      </c>
      <c r="J1244">
        <v>0.67</v>
      </c>
      <c r="K1244">
        <v>6638.02</v>
      </c>
      <c r="L1244">
        <v>1688.02</v>
      </c>
      <c r="M1244">
        <v>4477.2750000000005</v>
      </c>
      <c r="N1244">
        <v>4950</v>
      </c>
      <c r="O1244">
        <v>25.429570866011247</v>
      </c>
      <c r="P1244" t="s">
        <v>2082</v>
      </c>
      <c r="Q1244" t="s">
        <v>2092</v>
      </c>
    </row>
    <row r="1245" spans="1:17" x14ac:dyDescent="0.25">
      <c r="A1245" t="s">
        <v>1797</v>
      </c>
      <c r="B1245" s="18">
        <v>45878</v>
      </c>
      <c r="C1245" t="s">
        <v>2030</v>
      </c>
      <c r="D1245" t="s">
        <v>2050</v>
      </c>
      <c r="E1245" t="s">
        <v>2058</v>
      </c>
      <c r="F1245" t="s">
        <v>2059</v>
      </c>
      <c r="G1245">
        <v>4</v>
      </c>
      <c r="H1245">
        <v>1800</v>
      </c>
      <c r="I1245">
        <v>2124</v>
      </c>
      <c r="J1245">
        <v>9.48</v>
      </c>
      <c r="K1245">
        <v>7690.5</v>
      </c>
      <c r="L1245">
        <v>490.5</v>
      </c>
      <c r="M1245">
        <v>80542.080000000002</v>
      </c>
      <c r="N1245">
        <v>7200</v>
      </c>
      <c r="O1245">
        <v>6.3779988297249863</v>
      </c>
      <c r="P1245" t="s">
        <v>2082</v>
      </c>
      <c r="Q1245" t="s">
        <v>2091</v>
      </c>
    </row>
    <row r="1246" spans="1:17" x14ac:dyDescent="0.25">
      <c r="A1246" t="s">
        <v>327</v>
      </c>
      <c r="B1246" s="18">
        <v>45879</v>
      </c>
      <c r="C1246" t="s">
        <v>2012</v>
      </c>
      <c r="D1246" t="s">
        <v>2032</v>
      </c>
      <c r="E1246" t="s">
        <v>2052</v>
      </c>
      <c r="F1246" t="s">
        <v>2062</v>
      </c>
      <c r="G1246">
        <v>9</v>
      </c>
      <c r="H1246">
        <v>6500</v>
      </c>
      <c r="I1246">
        <v>8125</v>
      </c>
      <c r="J1246">
        <v>19.68</v>
      </c>
      <c r="K1246">
        <v>58734.34</v>
      </c>
      <c r="L1246">
        <v>234.34</v>
      </c>
      <c r="M1246">
        <v>1439100</v>
      </c>
      <c r="N1246">
        <v>58500</v>
      </c>
      <c r="O1246">
        <v>0.3989829459222663</v>
      </c>
      <c r="P1246" t="s">
        <v>2082</v>
      </c>
      <c r="Q1246" t="s">
        <v>2091</v>
      </c>
    </row>
    <row r="1247" spans="1:17" x14ac:dyDescent="0.25">
      <c r="A1247" t="s">
        <v>856</v>
      </c>
      <c r="B1247" s="18">
        <v>45879</v>
      </c>
      <c r="C1247" t="s">
        <v>2020</v>
      </c>
      <c r="D1247" t="s">
        <v>2040</v>
      </c>
      <c r="E1247" t="s">
        <v>2053</v>
      </c>
      <c r="F1247" t="s">
        <v>2062</v>
      </c>
      <c r="G1247">
        <v>10</v>
      </c>
      <c r="H1247">
        <v>350</v>
      </c>
      <c r="I1247">
        <v>455</v>
      </c>
      <c r="J1247">
        <v>2.64</v>
      </c>
      <c r="K1247">
        <v>4429.92</v>
      </c>
      <c r="L1247">
        <v>929.92</v>
      </c>
      <c r="M1247">
        <v>12012</v>
      </c>
      <c r="N1247">
        <v>3500</v>
      </c>
      <c r="O1247">
        <v>20.991801206342327</v>
      </c>
      <c r="P1247" t="s">
        <v>2082</v>
      </c>
      <c r="Q1247" t="s">
        <v>2092</v>
      </c>
    </row>
    <row r="1248" spans="1:17" x14ac:dyDescent="0.25">
      <c r="A1248" t="s">
        <v>1274</v>
      </c>
      <c r="B1248" s="18">
        <v>45879</v>
      </c>
      <c r="C1248" t="s">
        <v>2023</v>
      </c>
      <c r="D1248" t="s">
        <v>2043</v>
      </c>
      <c r="E1248" t="s">
        <v>2053</v>
      </c>
      <c r="F1248" t="s">
        <v>2059</v>
      </c>
      <c r="G1248">
        <v>6</v>
      </c>
      <c r="H1248">
        <v>550</v>
      </c>
      <c r="I1248">
        <v>742.5</v>
      </c>
      <c r="J1248">
        <v>11.65</v>
      </c>
      <c r="K1248">
        <v>3936.13</v>
      </c>
      <c r="L1248">
        <v>636.13</v>
      </c>
      <c r="M1248">
        <v>51900.75</v>
      </c>
      <c r="N1248">
        <v>3300</v>
      </c>
      <c r="O1248">
        <v>16.161305647933375</v>
      </c>
      <c r="P1248" t="s">
        <v>2082</v>
      </c>
      <c r="Q1248" t="s">
        <v>2092</v>
      </c>
    </row>
    <row r="1249" spans="1:17" x14ac:dyDescent="0.25">
      <c r="A1249" t="s">
        <v>1537</v>
      </c>
      <c r="B1249" s="18">
        <v>45879</v>
      </c>
      <c r="C1249" t="s">
        <v>2028</v>
      </c>
      <c r="D1249" t="s">
        <v>2048</v>
      </c>
      <c r="E1249" t="s">
        <v>2057</v>
      </c>
      <c r="F1249" t="s">
        <v>2061</v>
      </c>
      <c r="G1249">
        <v>2</v>
      </c>
      <c r="H1249">
        <v>80</v>
      </c>
      <c r="I1249">
        <v>116</v>
      </c>
      <c r="J1249">
        <v>22.18</v>
      </c>
      <c r="K1249">
        <v>180.55</v>
      </c>
      <c r="L1249">
        <v>20.55</v>
      </c>
      <c r="M1249">
        <v>5145.76</v>
      </c>
      <c r="N1249">
        <v>160</v>
      </c>
      <c r="O1249">
        <v>11.381888673497647</v>
      </c>
      <c r="P1249" t="s">
        <v>2082</v>
      </c>
      <c r="Q1249" t="s">
        <v>2092</v>
      </c>
    </row>
    <row r="1250" spans="1:17" x14ac:dyDescent="0.25">
      <c r="A1250" t="s">
        <v>1638</v>
      </c>
      <c r="B1250" s="18">
        <v>45879</v>
      </c>
      <c r="C1250" t="s">
        <v>2017</v>
      </c>
      <c r="D1250" t="s">
        <v>2037</v>
      </c>
      <c r="E1250" t="s">
        <v>2055</v>
      </c>
      <c r="F1250" t="s">
        <v>2061</v>
      </c>
      <c r="G1250">
        <v>6</v>
      </c>
      <c r="H1250">
        <v>2500</v>
      </c>
      <c r="I1250">
        <v>2875</v>
      </c>
      <c r="J1250">
        <v>12.86</v>
      </c>
      <c r="K1250">
        <v>15031.28</v>
      </c>
      <c r="L1250">
        <v>31.28</v>
      </c>
      <c r="M1250">
        <v>221835</v>
      </c>
      <c r="N1250">
        <v>15000</v>
      </c>
      <c r="O1250">
        <v>0.20809937676631662</v>
      </c>
      <c r="P1250" t="s">
        <v>2082</v>
      </c>
      <c r="Q1250" t="s">
        <v>2091</v>
      </c>
    </row>
    <row r="1251" spans="1:17" x14ac:dyDescent="0.25">
      <c r="A1251" t="s">
        <v>281</v>
      </c>
      <c r="B1251" s="18">
        <v>45880</v>
      </c>
      <c r="C1251" t="s">
        <v>2030</v>
      </c>
      <c r="D1251" t="s">
        <v>2050</v>
      </c>
      <c r="E1251" t="s">
        <v>2058</v>
      </c>
      <c r="F1251" t="s">
        <v>2061</v>
      </c>
      <c r="G1251">
        <v>6</v>
      </c>
      <c r="H1251">
        <v>1800</v>
      </c>
      <c r="I1251">
        <v>2124</v>
      </c>
      <c r="J1251">
        <v>14.85</v>
      </c>
      <c r="K1251">
        <v>10851.45</v>
      </c>
      <c r="L1251">
        <v>51.45</v>
      </c>
      <c r="M1251">
        <v>189248.4</v>
      </c>
      <c r="N1251">
        <v>10800</v>
      </c>
      <c r="O1251">
        <v>0.47413018536693252</v>
      </c>
      <c r="P1251" t="s">
        <v>2082</v>
      </c>
      <c r="Q1251" t="s">
        <v>2091</v>
      </c>
    </row>
    <row r="1252" spans="1:17" x14ac:dyDescent="0.25">
      <c r="A1252" t="s">
        <v>411</v>
      </c>
      <c r="B1252" s="18">
        <v>45880</v>
      </c>
      <c r="C1252" t="s">
        <v>2020</v>
      </c>
      <c r="D1252" t="s">
        <v>2040</v>
      </c>
      <c r="E1252" t="s">
        <v>2053</v>
      </c>
      <c r="F1252" t="s">
        <v>2060</v>
      </c>
      <c r="G1252">
        <v>1</v>
      </c>
      <c r="H1252">
        <v>350</v>
      </c>
      <c r="I1252">
        <v>455</v>
      </c>
      <c r="J1252">
        <v>0</v>
      </c>
      <c r="K1252">
        <v>455</v>
      </c>
      <c r="L1252">
        <v>105</v>
      </c>
      <c r="M1252">
        <v>0</v>
      </c>
      <c r="N1252">
        <v>350</v>
      </c>
      <c r="O1252">
        <v>23.076923076923077</v>
      </c>
      <c r="P1252" t="s">
        <v>2082</v>
      </c>
      <c r="Q1252" t="s">
        <v>2092</v>
      </c>
    </row>
    <row r="1253" spans="1:17" x14ac:dyDescent="0.25">
      <c r="A1253" t="s">
        <v>720</v>
      </c>
      <c r="B1253" s="18">
        <v>45880</v>
      </c>
      <c r="C1253" t="s">
        <v>2029</v>
      </c>
      <c r="D1253" t="s">
        <v>2049</v>
      </c>
      <c r="E1253" t="s">
        <v>2055</v>
      </c>
      <c r="F1253" t="s">
        <v>2062</v>
      </c>
      <c r="G1253">
        <v>1</v>
      </c>
      <c r="H1253">
        <v>1200</v>
      </c>
      <c r="I1253">
        <v>1464</v>
      </c>
      <c r="J1253">
        <v>11.91</v>
      </c>
      <c r="K1253">
        <v>1289.67</v>
      </c>
      <c r="L1253">
        <v>89.67</v>
      </c>
      <c r="M1253">
        <v>17436.240000000002</v>
      </c>
      <c r="N1253">
        <v>1200</v>
      </c>
      <c r="O1253">
        <v>6.9529414501384075</v>
      </c>
      <c r="P1253" t="s">
        <v>2082</v>
      </c>
      <c r="Q1253" t="s">
        <v>2091</v>
      </c>
    </row>
    <row r="1254" spans="1:17" x14ac:dyDescent="0.25">
      <c r="A1254" t="s">
        <v>1056</v>
      </c>
      <c r="B1254" s="18">
        <v>45880</v>
      </c>
      <c r="C1254" t="s">
        <v>2018</v>
      </c>
      <c r="D1254" t="s">
        <v>2038</v>
      </c>
      <c r="E1254" t="s">
        <v>2053</v>
      </c>
      <c r="F1254" t="s">
        <v>2060</v>
      </c>
      <c r="G1254">
        <v>10</v>
      </c>
      <c r="H1254">
        <v>500</v>
      </c>
      <c r="I1254">
        <v>610</v>
      </c>
      <c r="J1254">
        <v>10.44</v>
      </c>
      <c r="K1254">
        <v>5462.99</v>
      </c>
      <c r="L1254">
        <v>462.99</v>
      </c>
      <c r="M1254">
        <v>63684</v>
      </c>
      <c r="N1254">
        <v>5000</v>
      </c>
      <c r="O1254">
        <v>8.4750292422281568</v>
      </c>
      <c r="P1254" t="s">
        <v>2082</v>
      </c>
      <c r="Q1254" t="s">
        <v>2091</v>
      </c>
    </row>
    <row r="1255" spans="1:17" x14ac:dyDescent="0.25">
      <c r="A1255" t="s">
        <v>1637</v>
      </c>
      <c r="B1255" s="18">
        <v>45880</v>
      </c>
      <c r="C1255" t="s">
        <v>2025</v>
      </c>
      <c r="D1255" t="s">
        <v>2045</v>
      </c>
      <c r="E1255" t="s">
        <v>2057</v>
      </c>
      <c r="F1255" t="s">
        <v>2060</v>
      </c>
      <c r="G1255">
        <v>7</v>
      </c>
      <c r="H1255">
        <v>45</v>
      </c>
      <c r="I1255">
        <v>63</v>
      </c>
      <c r="J1255">
        <v>16.8</v>
      </c>
      <c r="K1255">
        <v>366.91</v>
      </c>
      <c r="L1255">
        <v>51.91</v>
      </c>
      <c r="M1255">
        <v>7408.8</v>
      </c>
      <c r="N1255">
        <v>315</v>
      </c>
      <c r="O1255">
        <v>14.147883677196042</v>
      </c>
      <c r="P1255" t="s">
        <v>2082</v>
      </c>
      <c r="Q1255" t="s">
        <v>2092</v>
      </c>
    </row>
    <row r="1256" spans="1:17" x14ac:dyDescent="0.25">
      <c r="A1256" t="s">
        <v>342</v>
      </c>
      <c r="B1256" s="18">
        <v>45881</v>
      </c>
      <c r="C1256" t="s">
        <v>2017</v>
      </c>
      <c r="D1256" t="s">
        <v>2037</v>
      </c>
      <c r="E1256" t="s">
        <v>2055</v>
      </c>
      <c r="F1256" t="s">
        <v>2060</v>
      </c>
      <c r="G1256">
        <v>2</v>
      </c>
      <c r="H1256">
        <v>2500</v>
      </c>
      <c r="I1256">
        <v>2875</v>
      </c>
      <c r="J1256">
        <v>7.75</v>
      </c>
      <c r="K1256">
        <v>5304.6</v>
      </c>
      <c r="L1256">
        <v>304.60000000000002</v>
      </c>
      <c r="M1256">
        <v>44562.5</v>
      </c>
      <c r="N1256">
        <v>5000</v>
      </c>
      <c r="O1256">
        <v>5.7421860272216563</v>
      </c>
      <c r="P1256" t="s">
        <v>2082</v>
      </c>
      <c r="Q1256" t="s">
        <v>2091</v>
      </c>
    </row>
    <row r="1257" spans="1:17" x14ac:dyDescent="0.25">
      <c r="A1257" t="s">
        <v>388</v>
      </c>
      <c r="B1257" s="18">
        <v>45881</v>
      </c>
      <c r="C1257" t="s">
        <v>2027</v>
      </c>
      <c r="D1257" t="s">
        <v>2047</v>
      </c>
      <c r="E1257" t="s">
        <v>2053</v>
      </c>
      <c r="F1257" t="s">
        <v>2062</v>
      </c>
      <c r="G1257">
        <v>10</v>
      </c>
      <c r="H1257">
        <v>1100</v>
      </c>
      <c r="I1257">
        <v>1298</v>
      </c>
      <c r="J1257">
        <v>7.1</v>
      </c>
      <c r="K1257">
        <v>12058.72</v>
      </c>
      <c r="L1257">
        <v>1058.72</v>
      </c>
      <c r="M1257">
        <v>92158</v>
      </c>
      <c r="N1257">
        <v>11000</v>
      </c>
      <c r="O1257">
        <v>8.7797046452691507</v>
      </c>
      <c r="P1257" t="s">
        <v>2082</v>
      </c>
      <c r="Q1257" t="s">
        <v>2091</v>
      </c>
    </row>
    <row r="1258" spans="1:17" x14ac:dyDescent="0.25">
      <c r="A1258" t="s">
        <v>1144</v>
      </c>
      <c r="B1258" s="18">
        <v>45881</v>
      </c>
      <c r="C1258" t="s">
        <v>2025</v>
      </c>
      <c r="D1258" t="s">
        <v>2045</v>
      </c>
      <c r="E1258" t="s">
        <v>2057</v>
      </c>
      <c r="F1258" t="s">
        <v>2061</v>
      </c>
      <c r="G1258">
        <v>1</v>
      </c>
      <c r="H1258">
        <v>45</v>
      </c>
      <c r="I1258">
        <v>63</v>
      </c>
      <c r="J1258">
        <v>0.01</v>
      </c>
      <c r="K1258">
        <v>62.99</v>
      </c>
      <c r="L1258">
        <v>17.989999999999998</v>
      </c>
      <c r="M1258">
        <v>0.63</v>
      </c>
      <c r="N1258">
        <v>45</v>
      </c>
      <c r="O1258">
        <v>28.560088903000473</v>
      </c>
      <c r="P1258" t="s">
        <v>2082</v>
      </c>
      <c r="Q1258" t="s">
        <v>2092</v>
      </c>
    </row>
    <row r="1259" spans="1:17" x14ac:dyDescent="0.25">
      <c r="A1259" t="s">
        <v>1541</v>
      </c>
      <c r="B1259" s="18">
        <v>45881</v>
      </c>
      <c r="C1259" t="s">
        <v>2016</v>
      </c>
      <c r="D1259" t="s">
        <v>2036</v>
      </c>
      <c r="E1259" t="s">
        <v>2052</v>
      </c>
      <c r="F1259" t="s">
        <v>2060</v>
      </c>
      <c r="G1259">
        <v>1</v>
      </c>
      <c r="H1259">
        <v>900</v>
      </c>
      <c r="I1259">
        <v>1170</v>
      </c>
      <c r="J1259">
        <v>0</v>
      </c>
      <c r="K1259">
        <v>1170</v>
      </c>
      <c r="L1259">
        <v>270</v>
      </c>
      <c r="M1259">
        <v>0</v>
      </c>
      <c r="N1259">
        <v>900</v>
      </c>
      <c r="O1259">
        <v>23.076923076923077</v>
      </c>
      <c r="P1259" t="s">
        <v>2082</v>
      </c>
      <c r="Q1259" t="s">
        <v>2092</v>
      </c>
    </row>
    <row r="1260" spans="1:17" x14ac:dyDescent="0.25">
      <c r="A1260" t="s">
        <v>1625</v>
      </c>
      <c r="B1260" s="18">
        <v>45881</v>
      </c>
      <c r="C1260" t="s">
        <v>2018</v>
      </c>
      <c r="D1260" t="s">
        <v>2038</v>
      </c>
      <c r="E1260" t="s">
        <v>2053</v>
      </c>
      <c r="F1260" t="s">
        <v>2060</v>
      </c>
      <c r="G1260">
        <v>4</v>
      </c>
      <c r="H1260">
        <v>500</v>
      </c>
      <c r="I1260">
        <v>610</v>
      </c>
      <c r="J1260">
        <v>6.61</v>
      </c>
      <c r="K1260">
        <v>2278.63</v>
      </c>
      <c r="L1260">
        <v>278.63</v>
      </c>
      <c r="M1260">
        <v>16128.400000000001</v>
      </c>
      <c r="N1260">
        <v>2000</v>
      </c>
      <c r="O1260">
        <v>12.227961538292744</v>
      </c>
      <c r="P1260" t="s">
        <v>2082</v>
      </c>
      <c r="Q1260" t="s">
        <v>2092</v>
      </c>
    </row>
    <row r="1261" spans="1:17" x14ac:dyDescent="0.25">
      <c r="A1261" t="s">
        <v>804</v>
      </c>
      <c r="B1261" s="18">
        <v>45882</v>
      </c>
      <c r="C1261" t="s">
        <v>2028</v>
      </c>
      <c r="D1261" t="s">
        <v>2048</v>
      </c>
      <c r="E1261" t="s">
        <v>2057</v>
      </c>
      <c r="F1261" t="s">
        <v>2060</v>
      </c>
      <c r="G1261">
        <v>6</v>
      </c>
      <c r="H1261">
        <v>80</v>
      </c>
      <c r="I1261">
        <v>116</v>
      </c>
      <c r="J1261">
        <v>14.53</v>
      </c>
      <c r="K1261">
        <v>594.88</v>
      </c>
      <c r="L1261">
        <v>114.88</v>
      </c>
      <c r="M1261">
        <v>10112.879999999999</v>
      </c>
      <c r="N1261">
        <v>480</v>
      </c>
      <c r="O1261">
        <v>19.311457772996235</v>
      </c>
      <c r="P1261" t="s">
        <v>2082</v>
      </c>
      <c r="Q1261" t="s">
        <v>2092</v>
      </c>
    </row>
    <row r="1262" spans="1:17" x14ac:dyDescent="0.25">
      <c r="A1262" t="s">
        <v>1017</v>
      </c>
      <c r="B1262" s="18">
        <v>45882</v>
      </c>
      <c r="C1262" t="s">
        <v>2021</v>
      </c>
      <c r="D1262" t="s">
        <v>2041</v>
      </c>
      <c r="E1262" t="s">
        <v>2056</v>
      </c>
      <c r="F1262" t="s">
        <v>2061</v>
      </c>
      <c r="G1262">
        <v>6</v>
      </c>
      <c r="H1262">
        <v>300</v>
      </c>
      <c r="I1262">
        <v>405</v>
      </c>
      <c r="J1262">
        <v>14.27</v>
      </c>
      <c r="K1262">
        <v>2083.2600000000002</v>
      </c>
      <c r="L1262">
        <v>283.26</v>
      </c>
      <c r="M1262">
        <v>34676.1</v>
      </c>
      <c r="N1262">
        <v>1800</v>
      </c>
      <c r="O1262">
        <v>13.596958612943174</v>
      </c>
      <c r="P1262" t="s">
        <v>2082</v>
      </c>
      <c r="Q1262" t="s">
        <v>2092</v>
      </c>
    </row>
    <row r="1263" spans="1:17" x14ac:dyDescent="0.25">
      <c r="A1263" t="s">
        <v>1243</v>
      </c>
      <c r="B1263" s="18">
        <v>45882</v>
      </c>
      <c r="C1263" t="s">
        <v>2014</v>
      </c>
      <c r="D1263" t="s">
        <v>2034</v>
      </c>
      <c r="E1263" t="s">
        <v>2052</v>
      </c>
      <c r="F1263" t="s">
        <v>2060</v>
      </c>
      <c r="G1263">
        <v>7</v>
      </c>
      <c r="H1263">
        <v>4500</v>
      </c>
      <c r="I1263">
        <v>5220</v>
      </c>
      <c r="J1263">
        <v>21.18</v>
      </c>
      <c r="K1263">
        <v>28799.73</v>
      </c>
      <c r="L1263">
        <v>-2700.27</v>
      </c>
      <c r="M1263">
        <v>773917.2</v>
      </c>
      <c r="N1263">
        <v>31500</v>
      </c>
      <c r="O1263">
        <v>-9.3760254002381274</v>
      </c>
      <c r="P1263" t="s">
        <v>2082</v>
      </c>
      <c r="Q1263" t="s">
        <v>2093</v>
      </c>
    </row>
    <row r="1264" spans="1:17" x14ac:dyDescent="0.25">
      <c r="A1264" t="s">
        <v>1560</v>
      </c>
      <c r="B1264" s="18">
        <v>45882</v>
      </c>
      <c r="C1264" t="s">
        <v>2024</v>
      </c>
      <c r="D1264" t="s">
        <v>2044</v>
      </c>
      <c r="E1264" t="s">
        <v>2055</v>
      </c>
      <c r="F1264" t="s">
        <v>2061</v>
      </c>
      <c r="G1264">
        <v>6</v>
      </c>
      <c r="H1264">
        <v>180</v>
      </c>
      <c r="I1264">
        <v>243</v>
      </c>
      <c r="J1264">
        <v>9.9600000000000009</v>
      </c>
      <c r="K1264">
        <v>1312.75</v>
      </c>
      <c r="L1264">
        <v>232.75</v>
      </c>
      <c r="M1264">
        <v>14521.680000000002</v>
      </c>
      <c r="N1264">
        <v>1080</v>
      </c>
      <c r="O1264">
        <v>17.72995619881927</v>
      </c>
      <c r="P1264" t="s">
        <v>2082</v>
      </c>
      <c r="Q1264" t="s">
        <v>2092</v>
      </c>
    </row>
    <row r="1265" spans="1:17" x14ac:dyDescent="0.25">
      <c r="A1265" t="s">
        <v>53</v>
      </c>
      <c r="B1265" s="18">
        <v>45883</v>
      </c>
      <c r="C1265" t="s">
        <v>2012</v>
      </c>
      <c r="D1265" t="s">
        <v>2032</v>
      </c>
      <c r="E1265" t="s">
        <v>2052</v>
      </c>
      <c r="F1265" t="s">
        <v>2059</v>
      </c>
      <c r="G1265">
        <v>6</v>
      </c>
      <c r="H1265">
        <v>6500</v>
      </c>
      <c r="I1265">
        <v>8125</v>
      </c>
      <c r="J1265">
        <v>11.35</v>
      </c>
      <c r="K1265">
        <v>43215.7</v>
      </c>
      <c r="L1265">
        <v>4215.7</v>
      </c>
      <c r="M1265">
        <v>553312.5</v>
      </c>
      <c r="N1265">
        <v>39000</v>
      </c>
      <c r="O1265">
        <v>9.7550195877886985</v>
      </c>
      <c r="P1265" t="s">
        <v>2082</v>
      </c>
      <c r="Q1265" t="s">
        <v>2091</v>
      </c>
    </row>
    <row r="1266" spans="1:17" x14ac:dyDescent="0.25">
      <c r="A1266" t="s">
        <v>308</v>
      </c>
      <c r="B1266" s="18">
        <v>45883</v>
      </c>
      <c r="C1266" t="s">
        <v>2013</v>
      </c>
      <c r="D1266" t="s">
        <v>2033</v>
      </c>
      <c r="E1266" t="s">
        <v>2053</v>
      </c>
      <c r="F1266" t="s">
        <v>2060</v>
      </c>
      <c r="G1266">
        <v>6</v>
      </c>
      <c r="H1266">
        <v>6500</v>
      </c>
      <c r="I1266">
        <v>7150</v>
      </c>
      <c r="J1266">
        <v>10.19</v>
      </c>
      <c r="K1266">
        <v>38529.199999999997</v>
      </c>
      <c r="L1266">
        <v>-470.8</v>
      </c>
      <c r="M1266">
        <v>437151</v>
      </c>
      <c r="N1266">
        <v>39000</v>
      </c>
      <c r="O1266">
        <v>-1.2219303800753716</v>
      </c>
      <c r="P1266" t="s">
        <v>2082</v>
      </c>
      <c r="Q1266" t="s">
        <v>2093</v>
      </c>
    </row>
    <row r="1267" spans="1:17" x14ac:dyDescent="0.25">
      <c r="A1267" t="s">
        <v>743</v>
      </c>
      <c r="B1267" s="18">
        <v>45883</v>
      </c>
      <c r="C1267" t="s">
        <v>2013</v>
      </c>
      <c r="D1267" t="s">
        <v>2033</v>
      </c>
      <c r="E1267" t="s">
        <v>2053</v>
      </c>
      <c r="F1267" t="s">
        <v>2060</v>
      </c>
      <c r="G1267">
        <v>5</v>
      </c>
      <c r="H1267">
        <v>6500</v>
      </c>
      <c r="I1267">
        <v>7150</v>
      </c>
      <c r="J1267">
        <v>12.96</v>
      </c>
      <c r="K1267">
        <v>31115.22</v>
      </c>
      <c r="L1267">
        <v>-1384.78</v>
      </c>
      <c r="M1267">
        <v>463320.00000000006</v>
      </c>
      <c r="N1267">
        <v>32500</v>
      </c>
      <c r="O1267">
        <v>-4.4504907887522567</v>
      </c>
      <c r="P1267" t="s">
        <v>2082</v>
      </c>
      <c r="Q1267" t="s">
        <v>2093</v>
      </c>
    </row>
    <row r="1268" spans="1:17" x14ac:dyDescent="0.25">
      <c r="A1268" t="s">
        <v>1570</v>
      </c>
      <c r="B1268" s="18">
        <v>45883</v>
      </c>
      <c r="C1268" t="s">
        <v>2023</v>
      </c>
      <c r="D1268" t="s">
        <v>2043</v>
      </c>
      <c r="E1268" t="s">
        <v>2053</v>
      </c>
      <c r="F1268" t="s">
        <v>2059</v>
      </c>
      <c r="G1268">
        <v>7</v>
      </c>
      <c r="H1268">
        <v>550</v>
      </c>
      <c r="I1268">
        <v>742.5</v>
      </c>
      <c r="J1268">
        <v>1.68</v>
      </c>
      <c r="K1268">
        <v>5110.03</v>
      </c>
      <c r="L1268">
        <v>1260.03</v>
      </c>
      <c r="M1268">
        <v>8731.7999999999993</v>
      </c>
      <c r="N1268">
        <v>3850</v>
      </c>
      <c r="O1268">
        <v>24.657976567652245</v>
      </c>
      <c r="P1268" t="s">
        <v>2082</v>
      </c>
      <c r="Q1268" t="s">
        <v>2092</v>
      </c>
    </row>
    <row r="1269" spans="1:17" x14ac:dyDescent="0.25">
      <c r="A1269" t="s">
        <v>1623</v>
      </c>
      <c r="B1269" s="18">
        <v>45883</v>
      </c>
      <c r="C1269" t="s">
        <v>2017</v>
      </c>
      <c r="D1269" t="s">
        <v>2037</v>
      </c>
      <c r="E1269" t="s">
        <v>2055</v>
      </c>
      <c r="F1269" t="s">
        <v>2062</v>
      </c>
      <c r="G1269">
        <v>7</v>
      </c>
      <c r="H1269">
        <v>2500</v>
      </c>
      <c r="I1269">
        <v>2875</v>
      </c>
      <c r="J1269">
        <v>13.42</v>
      </c>
      <c r="K1269">
        <v>17424.68</v>
      </c>
      <c r="L1269">
        <v>-75.319999999999993</v>
      </c>
      <c r="M1269">
        <v>270077.5</v>
      </c>
      <c r="N1269">
        <v>17500</v>
      </c>
      <c r="O1269">
        <v>-0.43226044897237709</v>
      </c>
      <c r="P1269" t="s">
        <v>2082</v>
      </c>
      <c r="Q1269" t="s">
        <v>2093</v>
      </c>
    </row>
    <row r="1270" spans="1:17" x14ac:dyDescent="0.25">
      <c r="A1270" t="s">
        <v>216</v>
      </c>
      <c r="B1270" s="18">
        <v>45884</v>
      </c>
      <c r="C1270" t="s">
        <v>2013</v>
      </c>
      <c r="D1270" t="s">
        <v>2033</v>
      </c>
      <c r="E1270" t="s">
        <v>2053</v>
      </c>
      <c r="F1270" t="s">
        <v>2060</v>
      </c>
      <c r="G1270">
        <v>7</v>
      </c>
      <c r="H1270">
        <v>6500</v>
      </c>
      <c r="I1270">
        <v>7150</v>
      </c>
      <c r="J1270">
        <v>4</v>
      </c>
      <c r="K1270">
        <v>48048</v>
      </c>
      <c r="L1270">
        <v>2548</v>
      </c>
      <c r="M1270">
        <v>200200</v>
      </c>
      <c r="N1270">
        <v>45500</v>
      </c>
      <c r="O1270">
        <v>5.3030303030303028</v>
      </c>
      <c r="P1270" t="s">
        <v>2082</v>
      </c>
      <c r="Q1270" t="s">
        <v>2091</v>
      </c>
    </row>
    <row r="1271" spans="1:17" x14ac:dyDescent="0.25">
      <c r="A1271" t="s">
        <v>422</v>
      </c>
      <c r="B1271" s="18">
        <v>45884</v>
      </c>
      <c r="C1271" t="s">
        <v>2024</v>
      </c>
      <c r="D1271" t="s">
        <v>2044</v>
      </c>
      <c r="E1271" t="s">
        <v>2055</v>
      </c>
      <c r="F1271" t="s">
        <v>2060</v>
      </c>
      <c r="G1271">
        <v>7</v>
      </c>
      <c r="H1271">
        <v>180</v>
      </c>
      <c r="I1271">
        <v>243</v>
      </c>
      <c r="J1271">
        <v>8.3800000000000008</v>
      </c>
      <c r="K1271">
        <v>1558.5</v>
      </c>
      <c r="L1271">
        <v>298.5</v>
      </c>
      <c r="M1271">
        <v>14254.380000000001</v>
      </c>
      <c r="N1271">
        <v>1260</v>
      </c>
      <c r="O1271">
        <v>19.153031761308949</v>
      </c>
      <c r="P1271" t="s">
        <v>2082</v>
      </c>
      <c r="Q1271" t="s">
        <v>2092</v>
      </c>
    </row>
    <row r="1272" spans="1:17" x14ac:dyDescent="0.25">
      <c r="A1272" t="s">
        <v>664</v>
      </c>
      <c r="B1272" s="18">
        <v>45884</v>
      </c>
      <c r="C1272" t="s">
        <v>2026</v>
      </c>
      <c r="D1272" t="s">
        <v>2046</v>
      </c>
      <c r="E1272" t="s">
        <v>2052</v>
      </c>
      <c r="F1272" t="s">
        <v>2060</v>
      </c>
      <c r="G1272">
        <v>3</v>
      </c>
      <c r="H1272">
        <v>3000</v>
      </c>
      <c r="I1272">
        <v>3600</v>
      </c>
      <c r="J1272">
        <v>16.84</v>
      </c>
      <c r="K1272">
        <v>8981.2800000000007</v>
      </c>
      <c r="L1272">
        <v>-18.72</v>
      </c>
      <c r="M1272">
        <v>181872</v>
      </c>
      <c r="N1272">
        <v>9000</v>
      </c>
      <c r="O1272">
        <v>-0.20843354176687509</v>
      </c>
      <c r="P1272" t="s">
        <v>2082</v>
      </c>
      <c r="Q1272" t="s">
        <v>2093</v>
      </c>
    </row>
    <row r="1273" spans="1:17" x14ac:dyDescent="0.25">
      <c r="A1273" t="s">
        <v>733</v>
      </c>
      <c r="B1273" s="18">
        <v>45884</v>
      </c>
      <c r="C1273" t="s">
        <v>2014</v>
      </c>
      <c r="D1273" t="s">
        <v>2034</v>
      </c>
      <c r="E1273" t="s">
        <v>2052</v>
      </c>
      <c r="F1273" t="s">
        <v>2062</v>
      </c>
      <c r="G1273">
        <v>1</v>
      </c>
      <c r="H1273">
        <v>4500</v>
      </c>
      <c r="I1273">
        <v>5220</v>
      </c>
      <c r="J1273">
        <v>21.98</v>
      </c>
      <c r="K1273">
        <v>4072.79</v>
      </c>
      <c r="L1273">
        <v>-427.21</v>
      </c>
      <c r="M1273">
        <v>114735.6</v>
      </c>
      <c r="N1273">
        <v>4500</v>
      </c>
      <c r="O1273">
        <v>-10.489369694975679</v>
      </c>
      <c r="P1273" t="s">
        <v>2082</v>
      </c>
      <c r="Q1273" t="s">
        <v>2093</v>
      </c>
    </row>
    <row r="1274" spans="1:17" x14ac:dyDescent="0.25">
      <c r="A1274" t="s">
        <v>792</v>
      </c>
      <c r="B1274" s="18">
        <v>45884</v>
      </c>
      <c r="C1274" t="s">
        <v>2022</v>
      </c>
      <c r="D1274" t="s">
        <v>2042</v>
      </c>
      <c r="E1274" t="s">
        <v>2053</v>
      </c>
      <c r="F1274" t="s">
        <v>2059</v>
      </c>
      <c r="G1274">
        <v>1</v>
      </c>
      <c r="H1274">
        <v>8500</v>
      </c>
      <c r="I1274">
        <v>9520</v>
      </c>
      <c r="J1274">
        <v>9.15</v>
      </c>
      <c r="K1274">
        <v>8648.82</v>
      </c>
      <c r="L1274">
        <v>148.82</v>
      </c>
      <c r="M1274">
        <v>87108</v>
      </c>
      <c r="N1274">
        <v>8500</v>
      </c>
      <c r="O1274">
        <v>1.7206971586875435</v>
      </c>
      <c r="P1274" t="s">
        <v>2082</v>
      </c>
      <c r="Q1274" t="s">
        <v>2091</v>
      </c>
    </row>
    <row r="1275" spans="1:17" x14ac:dyDescent="0.25">
      <c r="A1275" t="s">
        <v>854</v>
      </c>
      <c r="B1275" s="18">
        <v>45884</v>
      </c>
      <c r="C1275" t="s">
        <v>2031</v>
      </c>
      <c r="D1275" t="s">
        <v>2051</v>
      </c>
      <c r="E1275" t="s">
        <v>2058</v>
      </c>
      <c r="F1275" t="s">
        <v>2061</v>
      </c>
      <c r="G1275">
        <v>4</v>
      </c>
      <c r="H1275">
        <v>3200</v>
      </c>
      <c r="I1275">
        <v>3840</v>
      </c>
      <c r="J1275">
        <v>12.41</v>
      </c>
      <c r="K1275">
        <v>13454.35</v>
      </c>
      <c r="L1275">
        <v>654.35</v>
      </c>
      <c r="M1275">
        <v>190617.60000000001</v>
      </c>
      <c r="N1275">
        <v>12800</v>
      </c>
      <c r="O1275">
        <v>4.8634828141084485</v>
      </c>
      <c r="P1275" t="s">
        <v>2082</v>
      </c>
      <c r="Q1275" t="s">
        <v>2091</v>
      </c>
    </row>
    <row r="1276" spans="1:17" x14ac:dyDescent="0.25">
      <c r="A1276" t="s">
        <v>1454</v>
      </c>
      <c r="B1276" s="18">
        <v>45884</v>
      </c>
      <c r="C1276" t="s">
        <v>2018</v>
      </c>
      <c r="D1276" t="s">
        <v>2038</v>
      </c>
      <c r="E1276" t="s">
        <v>2053</v>
      </c>
      <c r="F1276" t="s">
        <v>2061</v>
      </c>
      <c r="G1276">
        <v>4</v>
      </c>
      <c r="H1276">
        <v>500</v>
      </c>
      <c r="I1276">
        <v>610</v>
      </c>
      <c r="J1276">
        <v>11.3</v>
      </c>
      <c r="K1276">
        <v>2164.38</v>
      </c>
      <c r="L1276">
        <v>164.38</v>
      </c>
      <c r="M1276">
        <v>27572</v>
      </c>
      <c r="N1276">
        <v>2000</v>
      </c>
      <c r="O1276">
        <v>7.5947846496456251</v>
      </c>
      <c r="P1276" t="s">
        <v>2082</v>
      </c>
      <c r="Q1276" t="s">
        <v>2091</v>
      </c>
    </row>
    <row r="1277" spans="1:17" x14ac:dyDescent="0.25">
      <c r="A1277" t="s">
        <v>1489</v>
      </c>
      <c r="B1277" s="18">
        <v>45884</v>
      </c>
      <c r="C1277" t="s">
        <v>2020</v>
      </c>
      <c r="D1277" t="s">
        <v>2040</v>
      </c>
      <c r="E1277" t="s">
        <v>2053</v>
      </c>
      <c r="F1277" t="s">
        <v>2059</v>
      </c>
      <c r="G1277">
        <v>7</v>
      </c>
      <c r="H1277">
        <v>350</v>
      </c>
      <c r="I1277">
        <v>455</v>
      </c>
      <c r="J1277">
        <v>0</v>
      </c>
      <c r="K1277">
        <v>3185</v>
      </c>
      <c r="L1277">
        <v>735</v>
      </c>
      <c r="M1277">
        <v>0</v>
      </c>
      <c r="N1277">
        <v>2450</v>
      </c>
      <c r="O1277">
        <v>23.076923076923077</v>
      </c>
      <c r="P1277" t="s">
        <v>2082</v>
      </c>
      <c r="Q1277" t="s">
        <v>2092</v>
      </c>
    </row>
    <row r="1278" spans="1:17" x14ac:dyDescent="0.25">
      <c r="A1278" t="s">
        <v>265</v>
      </c>
      <c r="B1278" s="18">
        <v>45885</v>
      </c>
      <c r="C1278" t="s">
        <v>2028</v>
      </c>
      <c r="D1278" t="s">
        <v>2048</v>
      </c>
      <c r="E1278" t="s">
        <v>2057</v>
      </c>
      <c r="F1278" t="s">
        <v>2060</v>
      </c>
      <c r="G1278">
        <v>3</v>
      </c>
      <c r="H1278">
        <v>80</v>
      </c>
      <c r="I1278">
        <v>116</v>
      </c>
      <c r="J1278">
        <v>5.95</v>
      </c>
      <c r="K1278">
        <v>327.27999999999997</v>
      </c>
      <c r="L1278">
        <v>87.28</v>
      </c>
      <c r="M1278">
        <v>2070.6</v>
      </c>
      <c r="N1278">
        <v>240</v>
      </c>
      <c r="O1278">
        <v>26.668296260083114</v>
      </c>
      <c r="P1278" t="s">
        <v>2082</v>
      </c>
      <c r="Q1278" t="s">
        <v>2092</v>
      </c>
    </row>
    <row r="1279" spans="1:17" x14ac:dyDescent="0.25">
      <c r="A1279" t="s">
        <v>467</v>
      </c>
      <c r="B1279" s="18">
        <v>45885</v>
      </c>
      <c r="C1279" t="s">
        <v>2018</v>
      </c>
      <c r="D1279" t="s">
        <v>2038</v>
      </c>
      <c r="E1279" t="s">
        <v>2053</v>
      </c>
      <c r="F1279" t="s">
        <v>2060</v>
      </c>
      <c r="G1279">
        <v>6</v>
      </c>
      <c r="H1279">
        <v>500</v>
      </c>
      <c r="I1279">
        <v>610</v>
      </c>
      <c r="J1279">
        <v>17.62</v>
      </c>
      <c r="K1279">
        <v>3015.08</v>
      </c>
      <c r="L1279">
        <v>15.08</v>
      </c>
      <c r="M1279">
        <v>64489.200000000004</v>
      </c>
      <c r="N1279">
        <v>3000</v>
      </c>
      <c r="O1279">
        <v>0.50015256643273154</v>
      </c>
      <c r="P1279" t="s">
        <v>2082</v>
      </c>
      <c r="Q1279" t="s">
        <v>2091</v>
      </c>
    </row>
    <row r="1280" spans="1:17" x14ac:dyDescent="0.25">
      <c r="A1280" t="s">
        <v>561</v>
      </c>
      <c r="B1280" s="18">
        <v>45885</v>
      </c>
      <c r="C1280" t="s">
        <v>2022</v>
      </c>
      <c r="D1280" t="s">
        <v>2042</v>
      </c>
      <c r="E1280" t="s">
        <v>2053</v>
      </c>
      <c r="F1280" t="s">
        <v>2059</v>
      </c>
      <c r="G1280">
        <v>8</v>
      </c>
      <c r="H1280">
        <v>8500</v>
      </c>
      <c r="I1280">
        <v>9520</v>
      </c>
      <c r="J1280">
        <v>16.7</v>
      </c>
      <c r="K1280">
        <v>63438.93</v>
      </c>
      <c r="L1280">
        <v>-4561.07</v>
      </c>
      <c r="M1280">
        <v>1271872</v>
      </c>
      <c r="N1280">
        <v>68000</v>
      </c>
      <c r="O1280">
        <v>-7.1897019700679063</v>
      </c>
      <c r="P1280" t="s">
        <v>2082</v>
      </c>
      <c r="Q1280" t="s">
        <v>2093</v>
      </c>
    </row>
    <row r="1281" spans="1:17" x14ac:dyDescent="0.25">
      <c r="A1281" t="s">
        <v>1220</v>
      </c>
      <c r="B1281" s="18">
        <v>45885</v>
      </c>
      <c r="C1281" t="s">
        <v>2024</v>
      </c>
      <c r="D1281" t="s">
        <v>2044</v>
      </c>
      <c r="E1281" t="s">
        <v>2055</v>
      </c>
      <c r="F1281" t="s">
        <v>2062</v>
      </c>
      <c r="G1281">
        <v>5</v>
      </c>
      <c r="H1281">
        <v>180</v>
      </c>
      <c r="I1281">
        <v>243</v>
      </c>
      <c r="J1281">
        <v>10</v>
      </c>
      <c r="K1281">
        <v>1093.46</v>
      </c>
      <c r="L1281">
        <v>193.46</v>
      </c>
      <c r="M1281">
        <v>12150</v>
      </c>
      <c r="N1281">
        <v>900</v>
      </c>
      <c r="O1281">
        <v>17.692462458617602</v>
      </c>
      <c r="P1281" t="s">
        <v>2082</v>
      </c>
      <c r="Q1281" t="s">
        <v>2092</v>
      </c>
    </row>
    <row r="1282" spans="1:17" x14ac:dyDescent="0.25">
      <c r="A1282" t="s">
        <v>1519</v>
      </c>
      <c r="B1282" s="18">
        <v>45885</v>
      </c>
      <c r="C1282" t="s">
        <v>2016</v>
      </c>
      <c r="D1282" t="s">
        <v>2036</v>
      </c>
      <c r="E1282" t="s">
        <v>2052</v>
      </c>
      <c r="F1282" t="s">
        <v>2060</v>
      </c>
      <c r="G1282">
        <v>3</v>
      </c>
      <c r="H1282">
        <v>900</v>
      </c>
      <c r="I1282">
        <v>1170</v>
      </c>
      <c r="J1282">
        <v>20.68</v>
      </c>
      <c r="K1282">
        <v>2783.98</v>
      </c>
      <c r="L1282">
        <v>83.98</v>
      </c>
      <c r="M1282">
        <v>72586.8</v>
      </c>
      <c r="N1282">
        <v>2700</v>
      </c>
      <c r="O1282">
        <v>3.0165446590851945</v>
      </c>
      <c r="P1282" t="s">
        <v>2082</v>
      </c>
      <c r="Q1282" t="s">
        <v>2091</v>
      </c>
    </row>
    <row r="1283" spans="1:17" x14ac:dyDescent="0.25">
      <c r="A1283" t="s">
        <v>1554</v>
      </c>
      <c r="B1283" s="18">
        <v>45885</v>
      </c>
      <c r="C1283" t="s">
        <v>2022</v>
      </c>
      <c r="D1283" t="s">
        <v>2042</v>
      </c>
      <c r="E1283" t="s">
        <v>2053</v>
      </c>
      <c r="F1283" t="s">
        <v>2062</v>
      </c>
      <c r="G1283">
        <v>5</v>
      </c>
      <c r="H1283">
        <v>8500</v>
      </c>
      <c r="I1283">
        <v>9520</v>
      </c>
      <c r="J1283">
        <v>9.99</v>
      </c>
      <c r="K1283">
        <v>42846.18</v>
      </c>
      <c r="L1283">
        <v>346.18</v>
      </c>
      <c r="M1283">
        <v>475524</v>
      </c>
      <c r="N1283">
        <v>42500</v>
      </c>
      <c r="O1283">
        <v>0.80796000950376434</v>
      </c>
      <c r="P1283" t="s">
        <v>2082</v>
      </c>
      <c r="Q1283" t="s">
        <v>2091</v>
      </c>
    </row>
    <row r="1284" spans="1:17" x14ac:dyDescent="0.25">
      <c r="A1284" t="s">
        <v>1725</v>
      </c>
      <c r="B1284" s="18">
        <v>45885</v>
      </c>
      <c r="C1284" t="s">
        <v>2027</v>
      </c>
      <c r="D1284" t="s">
        <v>2047</v>
      </c>
      <c r="E1284" t="s">
        <v>2053</v>
      </c>
      <c r="F1284" t="s">
        <v>2062</v>
      </c>
      <c r="G1284">
        <v>3</v>
      </c>
      <c r="H1284">
        <v>1100</v>
      </c>
      <c r="I1284">
        <v>1298</v>
      </c>
      <c r="J1284">
        <v>11.35</v>
      </c>
      <c r="K1284">
        <v>3452</v>
      </c>
      <c r="L1284">
        <v>152</v>
      </c>
      <c r="M1284">
        <v>44196.9</v>
      </c>
      <c r="N1284">
        <v>3300</v>
      </c>
      <c r="O1284">
        <v>4.4032444959443797</v>
      </c>
      <c r="P1284" t="s">
        <v>2082</v>
      </c>
      <c r="Q1284" t="s">
        <v>2091</v>
      </c>
    </row>
    <row r="1285" spans="1:17" x14ac:dyDescent="0.25">
      <c r="A1285" t="s">
        <v>1859</v>
      </c>
      <c r="B1285" s="18">
        <v>45885</v>
      </c>
      <c r="C1285" t="s">
        <v>2026</v>
      </c>
      <c r="D1285" t="s">
        <v>2046</v>
      </c>
      <c r="E1285" t="s">
        <v>2052</v>
      </c>
      <c r="F1285" t="s">
        <v>2059</v>
      </c>
      <c r="G1285">
        <v>5</v>
      </c>
      <c r="H1285">
        <v>3000</v>
      </c>
      <c r="I1285">
        <v>3600</v>
      </c>
      <c r="J1285">
        <v>6.03</v>
      </c>
      <c r="K1285">
        <v>16914</v>
      </c>
      <c r="L1285">
        <v>1914</v>
      </c>
      <c r="M1285">
        <v>108540</v>
      </c>
      <c r="N1285">
        <v>15000</v>
      </c>
      <c r="O1285">
        <v>11.31606952820149</v>
      </c>
      <c r="P1285" t="s">
        <v>2082</v>
      </c>
      <c r="Q1285" t="s">
        <v>2092</v>
      </c>
    </row>
    <row r="1286" spans="1:17" x14ac:dyDescent="0.25">
      <c r="A1286" t="s">
        <v>180</v>
      </c>
      <c r="B1286" s="18">
        <v>45886</v>
      </c>
      <c r="C1286" t="s">
        <v>2027</v>
      </c>
      <c r="D1286" t="s">
        <v>2047</v>
      </c>
      <c r="E1286" t="s">
        <v>2053</v>
      </c>
      <c r="F1286" t="s">
        <v>2060</v>
      </c>
      <c r="G1286">
        <v>9</v>
      </c>
      <c r="H1286">
        <v>1100</v>
      </c>
      <c r="I1286">
        <v>1298</v>
      </c>
      <c r="J1286">
        <v>15.04</v>
      </c>
      <c r="K1286">
        <v>9924.4599999999991</v>
      </c>
      <c r="L1286">
        <v>24.46</v>
      </c>
      <c r="M1286">
        <v>175697.28</v>
      </c>
      <c r="N1286">
        <v>9900</v>
      </c>
      <c r="O1286">
        <v>0.24646177222740584</v>
      </c>
      <c r="P1286" t="s">
        <v>2082</v>
      </c>
      <c r="Q1286" t="s">
        <v>2091</v>
      </c>
    </row>
    <row r="1287" spans="1:17" x14ac:dyDescent="0.25">
      <c r="A1287" t="s">
        <v>376</v>
      </c>
      <c r="B1287" s="18">
        <v>45886</v>
      </c>
      <c r="C1287" t="s">
        <v>2028</v>
      </c>
      <c r="D1287" t="s">
        <v>2048</v>
      </c>
      <c r="E1287" t="s">
        <v>2057</v>
      </c>
      <c r="F1287" t="s">
        <v>2059</v>
      </c>
      <c r="G1287">
        <v>6</v>
      </c>
      <c r="H1287">
        <v>80</v>
      </c>
      <c r="I1287">
        <v>116</v>
      </c>
      <c r="J1287">
        <v>11.28</v>
      </c>
      <c r="K1287">
        <v>617.48</v>
      </c>
      <c r="L1287">
        <v>137.47999999999999</v>
      </c>
      <c r="M1287">
        <v>7850.8799999999992</v>
      </c>
      <c r="N1287">
        <v>480</v>
      </c>
      <c r="O1287">
        <v>22.264688734857806</v>
      </c>
      <c r="P1287" t="s">
        <v>2082</v>
      </c>
      <c r="Q1287" t="s">
        <v>2092</v>
      </c>
    </row>
    <row r="1288" spans="1:17" x14ac:dyDescent="0.25">
      <c r="A1288" t="s">
        <v>442</v>
      </c>
      <c r="B1288" s="18">
        <v>45886</v>
      </c>
      <c r="C1288" t="s">
        <v>2030</v>
      </c>
      <c r="D1288" t="s">
        <v>2050</v>
      </c>
      <c r="E1288" t="s">
        <v>2058</v>
      </c>
      <c r="F1288" t="s">
        <v>2061</v>
      </c>
      <c r="G1288">
        <v>8</v>
      </c>
      <c r="H1288">
        <v>1800</v>
      </c>
      <c r="I1288">
        <v>2124</v>
      </c>
      <c r="J1288">
        <v>16.059999999999999</v>
      </c>
      <c r="K1288">
        <v>14263.02</v>
      </c>
      <c r="L1288">
        <v>-136.97999999999999</v>
      </c>
      <c r="M1288">
        <v>272891.51999999996</v>
      </c>
      <c r="N1288">
        <v>14400</v>
      </c>
      <c r="O1288">
        <v>-0.96038566867325414</v>
      </c>
      <c r="P1288" t="s">
        <v>2082</v>
      </c>
      <c r="Q1288" t="s">
        <v>2093</v>
      </c>
    </row>
    <row r="1289" spans="1:17" x14ac:dyDescent="0.25">
      <c r="A1289" t="s">
        <v>1459</v>
      </c>
      <c r="B1289" s="18">
        <v>45886</v>
      </c>
      <c r="C1289" t="s">
        <v>2023</v>
      </c>
      <c r="D1289" t="s">
        <v>2043</v>
      </c>
      <c r="E1289" t="s">
        <v>2053</v>
      </c>
      <c r="F1289" t="s">
        <v>2062</v>
      </c>
      <c r="G1289">
        <v>10</v>
      </c>
      <c r="H1289">
        <v>550</v>
      </c>
      <c r="I1289">
        <v>742.5</v>
      </c>
      <c r="J1289">
        <v>9.75</v>
      </c>
      <c r="K1289">
        <v>6700.78</v>
      </c>
      <c r="L1289">
        <v>1200.78</v>
      </c>
      <c r="M1289">
        <v>72393.75</v>
      </c>
      <c r="N1289">
        <v>5500</v>
      </c>
      <c r="O1289">
        <v>17.920003342894407</v>
      </c>
      <c r="P1289" t="s">
        <v>2082</v>
      </c>
      <c r="Q1289" t="s">
        <v>2092</v>
      </c>
    </row>
    <row r="1290" spans="1:17" x14ac:dyDescent="0.25">
      <c r="A1290" t="s">
        <v>187</v>
      </c>
      <c r="B1290" s="18">
        <v>45887</v>
      </c>
      <c r="C1290" t="s">
        <v>2023</v>
      </c>
      <c r="D1290" t="s">
        <v>2043</v>
      </c>
      <c r="E1290" t="s">
        <v>2053</v>
      </c>
      <c r="F1290" t="s">
        <v>2062</v>
      </c>
      <c r="G1290">
        <v>10</v>
      </c>
      <c r="H1290">
        <v>550</v>
      </c>
      <c r="I1290">
        <v>742.5</v>
      </c>
      <c r="J1290">
        <v>15.6</v>
      </c>
      <c r="K1290">
        <v>6266.58</v>
      </c>
      <c r="L1290">
        <v>766.58</v>
      </c>
      <c r="M1290">
        <v>115830</v>
      </c>
      <c r="N1290">
        <v>5500</v>
      </c>
      <c r="O1290">
        <v>12.232828751886995</v>
      </c>
      <c r="P1290" t="s">
        <v>2082</v>
      </c>
      <c r="Q1290" t="s">
        <v>2092</v>
      </c>
    </row>
    <row r="1291" spans="1:17" x14ac:dyDescent="0.25">
      <c r="A1291" t="s">
        <v>425</v>
      </c>
      <c r="B1291" s="18">
        <v>45887</v>
      </c>
      <c r="C1291" t="s">
        <v>2029</v>
      </c>
      <c r="D1291" t="s">
        <v>2049</v>
      </c>
      <c r="E1291" t="s">
        <v>2055</v>
      </c>
      <c r="F1291" t="s">
        <v>2061</v>
      </c>
      <c r="G1291">
        <v>4</v>
      </c>
      <c r="H1291">
        <v>1200</v>
      </c>
      <c r="I1291">
        <v>1464</v>
      </c>
      <c r="J1291">
        <v>9.64</v>
      </c>
      <c r="K1291">
        <v>5291.66</v>
      </c>
      <c r="L1291">
        <v>491.66</v>
      </c>
      <c r="M1291">
        <v>56451.840000000004</v>
      </c>
      <c r="N1291">
        <v>4800</v>
      </c>
      <c r="O1291">
        <v>9.2912243039046363</v>
      </c>
      <c r="P1291" t="s">
        <v>2082</v>
      </c>
      <c r="Q1291" t="s">
        <v>2091</v>
      </c>
    </row>
    <row r="1292" spans="1:17" x14ac:dyDescent="0.25">
      <c r="A1292" t="s">
        <v>1522</v>
      </c>
      <c r="B1292" s="18">
        <v>45887</v>
      </c>
      <c r="C1292" t="s">
        <v>2029</v>
      </c>
      <c r="D1292" t="s">
        <v>2049</v>
      </c>
      <c r="E1292" t="s">
        <v>2055</v>
      </c>
      <c r="F1292" t="s">
        <v>2061</v>
      </c>
      <c r="G1292">
        <v>4</v>
      </c>
      <c r="H1292">
        <v>1200</v>
      </c>
      <c r="I1292">
        <v>1464</v>
      </c>
      <c r="J1292">
        <v>12.12</v>
      </c>
      <c r="K1292">
        <v>5146.32</v>
      </c>
      <c r="L1292">
        <v>346.32</v>
      </c>
      <c r="M1292">
        <v>70974.720000000001</v>
      </c>
      <c r="N1292">
        <v>4800</v>
      </c>
      <c r="O1292">
        <v>6.7294688243249547</v>
      </c>
      <c r="P1292" t="s">
        <v>2082</v>
      </c>
      <c r="Q1292" t="s">
        <v>2091</v>
      </c>
    </row>
    <row r="1293" spans="1:17" x14ac:dyDescent="0.25">
      <c r="A1293" t="s">
        <v>48</v>
      </c>
      <c r="B1293" s="18">
        <v>45888</v>
      </c>
      <c r="C1293" t="s">
        <v>2029</v>
      </c>
      <c r="D1293" t="s">
        <v>2049</v>
      </c>
      <c r="E1293" t="s">
        <v>2055</v>
      </c>
      <c r="F1293" t="s">
        <v>2061</v>
      </c>
      <c r="G1293">
        <v>2</v>
      </c>
      <c r="H1293">
        <v>1200</v>
      </c>
      <c r="I1293">
        <v>1464</v>
      </c>
      <c r="J1293">
        <v>3.17</v>
      </c>
      <c r="K1293">
        <v>2835.15</v>
      </c>
      <c r="L1293">
        <v>435.15</v>
      </c>
      <c r="M1293">
        <v>9281.76</v>
      </c>
      <c r="N1293">
        <v>2400</v>
      </c>
      <c r="O1293">
        <v>15.34839426485371</v>
      </c>
      <c r="P1293" t="s">
        <v>2082</v>
      </c>
      <c r="Q1293" t="s">
        <v>2092</v>
      </c>
    </row>
    <row r="1294" spans="1:17" x14ac:dyDescent="0.25">
      <c r="A1294" t="s">
        <v>169</v>
      </c>
      <c r="B1294" s="18">
        <v>45888</v>
      </c>
      <c r="C1294" t="s">
        <v>2014</v>
      </c>
      <c r="D1294" t="s">
        <v>2034</v>
      </c>
      <c r="E1294" t="s">
        <v>2052</v>
      </c>
      <c r="F1294" t="s">
        <v>2060</v>
      </c>
      <c r="G1294">
        <v>4</v>
      </c>
      <c r="H1294">
        <v>4500</v>
      </c>
      <c r="I1294">
        <v>5220</v>
      </c>
      <c r="J1294">
        <v>12.97</v>
      </c>
      <c r="K1294">
        <v>18172.830000000002</v>
      </c>
      <c r="L1294">
        <v>172.83</v>
      </c>
      <c r="M1294">
        <v>270813.60000000003</v>
      </c>
      <c r="N1294">
        <v>18000</v>
      </c>
      <c r="O1294">
        <v>0.95103514422354685</v>
      </c>
      <c r="P1294" t="s">
        <v>2082</v>
      </c>
      <c r="Q1294" t="s">
        <v>2091</v>
      </c>
    </row>
    <row r="1295" spans="1:17" x14ac:dyDescent="0.25">
      <c r="A1295" t="s">
        <v>394</v>
      </c>
      <c r="B1295" s="18">
        <v>45888</v>
      </c>
      <c r="C1295" t="s">
        <v>2030</v>
      </c>
      <c r="D1295" t="s">
        <v>2050</v>
      </c>
      <c r="E1295" t="s">
        <v>2058</v>
      </c>
      <c r="F1295" t="s">
        <v>2061</v>
      </c>
      <c r="G1295">
        <v>8</v>
      </c>
      <c r="H1295">
        <v>1800</v>
      </c>
      <c r="I1295">
        <v>2124</v>
      </c>
      <c r="J1295">
        <v>7.17</v>
      </c>
      <c r="K1295">
        <v>15773.28</v>
      </c>
      <c r="L1295">
        <v>1373.28</v>
      </c>
      <c r="M1295">
        <v>121832.64</v>
      </c>
      <c r="N1295">
        <v>14400</v>
      </c>
      <c r="O1295">
        <v>8.7063692523051639</v>
      </c>
      <c r="P1295" t="s">
        <v>2082</v>
      </c>
      <c r="Q1295" t="s">
        <v>2091</v>
      </c>
    </row>
    <row r="1296" spans="1:17" x14ac:dyDescent="0.25">
      <c r="A1296" t="s">
        <v>525</v>
      </c>
      <c r="B1296" s="18">
        <v>45888</v>
      </c>
      <c r="C1296" t="s">
        <v>2029</v>
      </c>
      <c r="D1296" t="s">
        <v>2049</v>
      </c>
      <c r="E1296" t="s">
        <v>2055</v>
      </c>
      <c r="F1296" t="s">
        <v>2061</v>
      </c>
      <c r="G1296">
        <v>6</v>
      </c>
      <c r="H1296">
        <v>1200</v>
      </c>
      <c r="I1296">
        <v>1464</v>
      </c>
      <c r="J1296">
        <v>10.83</v>
      </c>
      <c r="K1296">
        <v>7833.13</v>
      </c>
      <c r="L1296">
        <v>633.13</v>
      </c>
      <c r="M1296">
        <v>95130.72</v>
      </c>
      <c r="N1296">
        <v>7200</v>
      </c>
      <c r="O1296">
        <v>8.0827204450838934</v>
      </c>
      <c r="P1296" t="s">
        <v>2082</v>
      </c>
      <c r="Q1296" t="s">
        <v>2091</v>
      </c>
    </row>
    <row r="1297" spans="1:17" x14ac:dyDescent="0.25">
      <c r="A1297" t="s">
        <v>1341</v>
      </c>
      <c r="B1297" s="18">
        <v>45888</v>
      </c>
      <c r="C1297" t="s">
        <v>2027</v>
      </c>
      <c r="D1297" t="s">
        <v>2047</v>
      </c>
      <c r="E1297" t="s">
        <v>2053</v>
      </c>
      <c r="F1297" t="s">
        <v>2061</v>
      </c>
      <c r="G1297">
        <v>2</v>
      </c>
      <c r="H1297">
        <v>1100</v>
      </c>
      <c r="I1297">
        <v>1298</v>
      </c>
      <c r="J1297">
        <v>19.54</v>
      </c>
      <c r="K1297">
        <v>2088.8200000000002</v>
      </c>
      <c r="L1297">
        <v>-111.18</v>
      </c>
      <c r="M1297">
        <v>50725.84</v>
      </c>
      <c r="N1297">
        <v>2200</v>
      </c>
      <c r="O1297">
        <v>-5.322622341800634</v>
      </c>
      <c r="P1297" t="s">
        <v>2082</v>
      </c>
      <c r="Q1297" t="s">
        <v>2093</v>
      </c>
    </row>
    <row r="1298" spans="1:17" x14ac:dyDescent="0.25">
      <c r="A1298" t="s">
        <v>215</v>
      </c>
      <c r="B1298" s="18">
        <v>45889</v>
      </c>
      <c r="C1298" t="s">
        <v>2012</v>
      </c>
      <c r="D1298" t="s">
        <v>2032</v>
      </c>
      <c r="E1298" t="s">
        <v>2052</v>
      </c>
      <c r="F1298" t="s">
        <v>2060</v>
      </c>
      <c r="G1298">
        <v>10</v>
      </c>
      <c r="H1298">
        <v>6500</v>
      </c>
      <c r="I1298">
        <v>8125</v>
      </c>
      <c r="J1298">
        <v>17.16</v>
      </c>
      <c r="K1298">
        <v>67310.75</v>
      </c>
      <c r="L1298">
        <v>2310.75</v>
      </c>
      <c r="M1298">
        <v>1394250</v>
      </c>
      <c r="N1298">
        <v>65000</v>
      </c>
      <c r="O1298">
        <v>3.4329583313215202</v>
      </c>
      <c r="P1298" t="s">
        <v>2082</v>
      </c>
      <c r="Q1298" t="s">
        <v>2091</v>
      </c>
    </row>
    <row r="1299" spans="1:17" x14ac:dyDescent="0.25">
      <c r="A1299" t="s">
        <v>236</v>
      </c>
      <c r="B1299" s="18">
        <v>45889</v>
      </c>
      <c r="C1299" t="s">
        <v>2021</v>
      </c>
      <c r="D1299" t="s">
        <v>2041</v>
      </c>
      <c r="E1299" t="s">
        <v>2056</v>
      </c>
      <c r="F1299" t="s">
        <v>2061</v>
      </c>
      <c r="G1299">
        <v>9</v>
      </c>
      <c r="H1299">
        <v>300</v>
      </c>
      <c r="I1299">
        <v>405</v>
      </c>
      <c r="J1299">
        <v>21.18</v>
      </c>
      <c r="K1299">
        <v>2872.99</v>
      </c>
      <c r="L1299">
        <v>172.99</v>
      </c>
      <c r="M1299">
        <v>77201.100000000006</v>
      </c>
      <c r="N1299">
        <v>2700</v>
      </c>
      <c r="O1299">
        <v>6.0212531195722931</v>
      </c>
      <c r="P1299" t="s">
        <v>2082</v>
      </c>
      <c r="Q1299" t="s">
        <v>2091</v>
      </c>
    </row>
    <row r="1300" spans="1:17" x14ac:dyDescent="0.25">
      <c r="A1300" t="s">
        <v>263</v>
      </c>
      <c r="B1300" s="18">
        <v>45889</v>
      </c>
      <c r="C1300" t="s">
        <v>2019</v>
      </c>
      <c r="D1300" t="s">
        <v>2039</v>
      </c>
      <c r="E1300" t="s">
        <v>2053</v>
      </c>
      <c r="F1300" t="s">
        <v>2062</v>
      </c>
      <c r="G1300">
        <v>7</v>
      </c>
      <c r="H1300">
        <v>900</v>
      </c>
      <c r="I1300">
        <v>1152</v>
      </c>
      <c r="J1300">
        <v>17.59</v>
      </c>
      <c r="K1300">
        <v>6645.46</v>
      </c>
      <c r="L1300">
        <v>345.46</v>
      </c>
      <c r="M1300">
        <v>141845.76000000001</v>
      </c>
      <c r="N1300">
        <v>6300</v>
      </c>
      <c r="O1300">
        <v>5.1984362256337411</v>
      </c>
      <c r="P1300" t="s">
        <v>2082</v>
      </c>
      <c r="Q1300" t="s">
        <v>2091</v>
      </c>
    </row>
    <row r="1301" spans="1:17" x14ac:dyDescent="0.25">
      <c r="A1301" t="s">
        <v>647</v>
      </c>
      <c r="B1301" s="18">
        <v>45889</v>
      </c>
      <c r="C1301" t="s">
        <v>2031</v>
      </c>
      <c r="D1301" t="s">
        <v>2051</v>
      </c>
      <c r="E1301" t="s">
        <v>2058</v>
      </c>
      <c r="F1301" t="s">
        <v>2059</v>
      </c>
      <c r="G1301">
        <v>8</v>
      </c>
      <c r="H1301">
        <v>3200</v>
      </c>
      <c r="I1301">
        <v>3840</v>
      </c>
      <c r="J1301">
        <v>10.34</v>
      </c>
      <c r="K1301">
        <v>27543.98</v>
      </c>
      <c r="L1301">
        <v>1943.98</v>
      </c>
      <c r="M1301">
        <v>317644.79999999999</v>
      </c>
      <c r="N1301">
        <v>25600</v>
      </c>
      <c r="O1301">
        <v>7.0577309452010937</v>
      </c>
      <c r="P1301" t="s">
        <v>2082</v>
      </c>
      <c r="Q1301" t="s">
        <v>2091</v>
      </c>
    </row>
    <row r="1302" spans="1:17" x14ac:dyDescent="0.25">
      <c r="A1302" t="s">
        <v>903</v>
      </c>
      <c r="B1302" s="18">
        <v>45889</v>
      </c>
      <c r="C1302" t="s">
        <v>2023</v>
      </c>
      <c r="D1302" t="s">
        <v>2043</v>
      </c>
      <c r="E1302" t="s">
        <v>2053</v>
      </c>
      <c r="F1302" t="s">
        <v>2062</v>
      </c>
      <c r="G1302">
        <v>7</v>
      </c>
      <c r="H1302">
        <v>550</v>
      </c>
      <c r="I1302">
        <v>742.5</v>
      </c>
      <c r="J1302">
        <v>0</v>
      </c>
      <c r="K1302">
        <v>5197.5</v>
      </c>
      <c r="L1302">
        <v>1347.5</v>
      </c>
      <c r="M1302">
        <v>0</v>
      </c>
      <c r="N1302">
        <v>3850</v>
      </c>
      <c r="O1302">
        <v>25.925925925925924</v>
      </c>
      <c r="P1302" t="s">
        <v>2082</v>
      </c>
      <c r="Q1302" t="s">
        <v>2092</v>
      </c>
    </row>
    <row r="1303" spans="1:17" x14ac:dyDescent="0.25">
      <c r="A1303" t="s">
        <v>1292</v>
      </c>
      <c r="B1303" s="18">
        <v>45889</v>
      </c>
      <c r="C1303" t="s">
        <v>2026</v>
      </c>
      <c r="D1303" t="s">
        <v>2046</v>
      </c>
      <c r="E1303" t="s">
        <v>2052</v>
      </c>
      <c r="F1303" t="s">
        <v>2060</v>
      </c>
      <c r="G1303">
        <v>2</v>
      </c>
      <c r="H1303">
        <v>3000</v>
      </c>
      <c r="I1303">
        <v>3600</v>
      </c>
      <c r="J1303">
        <v>4</v>
      </c>
      <c r="K1303">
        <v>6912</v>
      </c>
      <c r="L1303">
        <v>912</v>
      </c>
      <c r="M1303">
        <v>28800</v>
      </c>
      <c r="N1303">
        <v>6000</v>
      </c>
      <c r="O1303">
        <v>13.194444444444445</v>
      </c>
      <c r="P1303" t="s">
        <v>2082</v>
      </c>
      <c r="Q1303" t="s">
        <v>2092</v>
      </c>
    </row>
    <row r="1304" spans="1:17" x14ac:dyDescent="0.25">
      <c r="A1304" t="s">
        <v>217</v>
      </c>
      <c r="B1304" s="18">
        <v>45890</v>
      </c>
      <c r="C1304" t="s">
        <v>2028</v>
      </c>
      <c r="D1304" t="s">
        <v>2048</v>
      </c>
      <c r="E1304" t="s">
        <v>2057</v>
      </c>
      <c r="F1304" t="s">
        <v>2060</v>
      </c>
      <c r="G1304">
        <v>1</v>
      </c>
      <c r="H1304">
        <v>80</v>
      </c>
      <c r="I1304">
        <v>116</v>
      </c>
      <c r="J1304">
        <v>17.34</v>
      </c>
      <c r="K1304">
        <v>95.88</v>
      </c>
      <c r="L1304">
        <v>15.88</v>
      </c>
      <c r="M1304">
        <v>2011.44</v>
      </c>
      <c r="N1304">
        <v>80</v>
      </c>
      <c r="O1304">
        <v>16.562369628702548</v>
      </c>
      <c r="P1304" t="s">
        <v>2082</v>
      </c>
      <c r="Q1304" t="s">
        <v>2092</v>
      </c>
    </row>
    <row r="1305" spans="1:17" x14ac:dyDescent="0.25">
      <c r="A1305" t="s">
        <v>331</v>
      </c>
      <c r="B1305" s="18">
        <v>45890</v>
      </c>
      <c r="C1305" t="s">
        <v>2031</v>
      </c>
      <c r="D1305" t="s">
        <v>2051</v>
      </c>
      <c r="E1305" t="s">
        <v>2058</v>
      </c>
      <c r="F1305" t="s">
        <v>2061</v>
      </c>
      <c r="G1305">
        <v>2</v>
      </c>
      <c r="H1305">
        <v>3200</v>
      </c>
      <c r="I1305">
        <v>3840</v>
      </c>
      <c r="J1305">
        <v>10.81</v>
      </c>
      <c r="K1305">
        <v>6849.63</v>
      </c>
      <c r="L1305">
        <v>449.63</v>
      </c>
      <c r="M1305">
        <v>83020.800000000003</v>
      </c>
      <c r="N1305">
        <v>6400</v>
      </c>
      <c r="O1305">
        <v>6.5642961736619352</v>
      </c>
      <c r="P1305" t="s">
        <v>2082</v>
      </c>
      <c r="Q1305" t="s">
        <v>2091</v>
      </c>
    </row>
    <row r="1306" spans="1:17" x14ac:dyDescent="0.25">
      <c r="A1306" t="s">
        <v>963</v>
      </c>
      <c r="B1306" s="18">
        <v>45890</v>
      </c>
      <c r="C1306" t="s">
        <v>2022</v>
      </c>
      <c r="D1306" t="s">
        <v>2042</v>
      </c>
      <c r="E1306" t="s">
        <v>2053</v>
      </c>
      <c r="F1306" t="s">
        <v>2062</v>
      </c>
      <c r="G1306">
        <v>8</v>
      </c>
      <c r="H1306">
        <v>8500</v>
      </c>
      <c r="I1306">
        <v>9520</v>
      </c>
      <c r="J1306">
        <v>9.07</v>
      </c>
      <c r="K1306">
        <v>69255.77</v>
      </c>
      <c r="L1306">
        <v>1255.77</v>
      </c>
      <c r="M1306">
        <v>690771.20000000007</v>
      </c>
      <c r="N1306">
        <v>68000</v>
      </c>
      <c r="O1306">
        <v>1.8132352004749928</v>
      </c>
      <c r="P1306" t="s">
        <v>2082</v>
      </c>
      <c r="Q1306" t="s">
        <v>2091</v>
      </c>
    </row>
    <row r="1307" spans="1:17" x14ac:dyDescent="0.25">
      <c r="A1307" t="s">
        <v>1345</v>
      </c>
      <c r="B1307" s="18">
        <v>45890</v>
      </c>
      <c r="C1307" t="s">
        <v>2028</v>
      </c>
      <c r="D1307" t="s">
        <v>2048</v>
      </c>
      <c r="E1307" t="s">
        <v>2057</v>
      </c>
      <c r="F1307" t="s">
        <v>2061</v>
      </c>
      <c r="G1307">
        <v>8</v>
      </c>
      <c r="H1307">
        <v>80</v>
      </c>
      <c r="I1307">
        <v>116</v>
      </c>
      <c r="J1307">
        <v>10.029999999999999</v>
      </c>
      <c r="K1307">
        <v>834.92</v>
      </c>
      <c r="L1307">
        <v>194.92</v>
      </c>
      <c r="M1307">
        <v>9307.84</v>
      </c>
      <c r="N1307">
        <v>640</v>
      </c>
      <c r="O1307">
        <v>23.345949312508981</v>
      </c>
      <c r="P1307" t="s">
        <v>2082</v>
      </c>
      <c r="Q1307" t="s">
        <v>2092</v>
      </c>
    </row>
    <row r="1308" spans="1:17" x14ac:dyDescent="0.25">
      <c r="A1308" t="s">
        <v>1538</v>
      </c>
      <c r="B1308" s="18">
        <v>45890</v>
      </c>
      <c r="C1308" t="s">
        <v>2022</v>
      </c>
      <c r="D1308" t="s">
        <v>2042</v>
      </c>
      <c r="E1308" t="s">
        <v>2053</v>
      </c>
      <c r="F1308" t="s">
        <v>2059</v>
      </c>
      <c r="G1308">
        <v>10</v>
      </c>
      <c r="H1308">
        <v>8500</v>
      </c>
      <c r="I1308">
        <v>9520</v>
      </c>
      <c r="J1308">
        <v>4.59</v>
      </c>
      <c r="K1308">
        <v>90825.56</v>
      </c>
      <c r="L1308">
        <v>5825.56</v>
      </c>
      <c r="M1308">
        <v>436968</v>
      </c>
      <c r="N1308">
        <v>85000</v>
      </c>
      <c r="O1308">
        <v>6.4140094484416075</v>
      </c>
      <c r="P1308" t="s">
        <v>2082</v>
      </c>
      <c r="Q1308" t="s">
        <v>2091</v>
      </c>
    </row>
    <row r="1309" spans="1:17" x14ac:dyDescent="0.25">
      <c r="A1309" t="s">
        <v>1587</v>
      </c>
      <c r="B1309" s="18">
        <v>45890</v>
      </c>
      <c r="C1309" t="s">
        <v>2025</v>
      </c>
      <c r="D1309" t="s">
        <v>2045</v>
      </c>
      <c r="E1309" t="s">
        <v>2057</v>
      </c>
      <c r="F1309" t="s">
        <v>2060</v>
      </c>
      <c r="G1309">
        <v>8</v>
      </c>
      <c r="H1309">
        <v>45</v>
      </c>
      <c r="I1309">
        <v>63</v>
      </c>
      <c r="J1309">
        <v>26.84</v>
      </c>
      <c r="K1309">
        <v>368.71</v>
      </c>
      <c r="L1309">
        <v>8.7100000000000009</v>
      </c>
      <c r="M1309">
        <v>13527.36</v>
      </c>
      <c r="N1309">
        <v>360</v>
      </c>
      <c r="O1309">
        <v>2.3622901467277808</v>
      </c>
      <c r="P1309" t="s">
        <v>2082</v>
      </c>
      <c r="Q1309" t="s">
        <v>2091</v>
      </c>
    </row>
    <row r="1310" spans="1:17" x14ac:dyDescent="0.25">
      <c r="A1310" t="s">
        <v>400</v>
      </c>
      <c r="B1310" s="18">
        <v>45891</v>
      </c>
      <c r="C1310" t="s">
        <v>2027</v>
      </c>
      <c r="D1310" t="s">
        <v>2047</v>
      </c>
      <c r="E1310" t="s">
        <v>2053</v>
      </c>
      <c r="F1310" t="s">
        <v>2060</v>
      </c>
      <c r="G1310">
        <v>2</v>
      </c>
      <c r="H1310">
        <v>1100</v>
      </c>
      <c r="I1310">
        <v>1298</v>
      </c>
      <c r="J1310">
        <v>0</v>
      </c>
      <c r="K1310">
        <v>2596</v>
      </c>
      <c r="L1310">
        <v>396</v>
      </c>
      <c r="M1310">
        <v>0</v>
      </c>
      <c r="N1310">
        <v>2200</v>
      </c>
      <c r="O1310">
        <v>15.254237288135593</v>
      </c>
      <c r="P1310" t="s">
        <v>2082</v>
      </c>
      <c r="Q1310" t="s">
        <v>2092</v>
      </c>
    </row>
    <row r="1311" spans="1:17" x14ac:dyDescent="0.25">
      <c r="A1311" t="s">
        <v>1119</v>
      </c>
      <c r="B1311" s="18">
        <v>45891</v>
      </c>
      <c r="C1311" t="s">
        <v>2013</v>
      </c>
      <c r="D1311" t="s">
        <v>2033</v>
      </c>
      <c r="E1311" t="s">
        <v>2053</v>
      </c>
      <c r="F1311" t="s">
        <v>2061</v>
      </c>
      <c r="G1311">
        <v>7</v>
      </c>
      <c r="H1311">
        <v>6500</v>
      </c>
      <c r="I1311">
        <v>7150</v>
      </c>
      <c r="J1311">
        <v>7.53</v>
      </c>
      <c r="K1311">
        <v>46281.26</v>
      </c>
      <c r="L1311">
        <v>781.26</v>
      </c>
      <c r="M1311">
        <v>376876.5</v>
      </c>
      <c r="N1311">
        <v>45500</v>
      </c>
      <c r="O1311">
        <v>1.6880698580807867</v>
      </c>
      <c r="P1311" t="s">
        <v>2082</v>
      </c>
      <c r="Q1311" t="s">
        <v>2091</v>
      </c>
    </row>
    <row r="1312" spans="1:17" x14ac:dyDescent="0.25">
      <c r="A1312" t="s">
        <v>1325</v>
      </c>
      <c r="B1312" s="18">
        <v>45891</v>
      </c>
      <c r="C1312" t="s">
        <v>2020</v>
      </c>
      <c r="D1312" t="s">
        <v>2040</v>
      </c>
      <c r="E1312" t="s">
        <v>2053</v>
      </c>
      <c r="F1312" t="s">
        <v>2062</v>
      </c>
      <c r="G1312">
        <v>6</v>
      </c>
      <c r="H1312">
        <v>350</v>
      </c>
      <c r="I1312">
        <v>455</v>
      </c>
      <c r="J1312">
        <v>16.27</v>
      </c>
      <c r="K1312">
        <v>2285.6999999999998</v>
      </c>
      <c r="L1312">
        <v>185.7</v>
      </c>
      <c r="M1312">
        <v>44417.1</v>
      </c>
      <c r="N1312">
        <v>2100</v>
      </c>
      <c r="O1312">
        <v>8.1244257776611111</v>
      </c>
      <c r="P1312" t="s">
        <v>2082</v>
      </c>
      <c r="Q1312" t="s">
        <v>2091</v>
      </c>
    </row>
    <row r="1313" spans="1:17" x14ac:dyDescent="0.25">
      <c r="A1313" t="s">
        <v>347</v>
      </c>
      <c r="B1313" s="18">
        <v>45892</v>
      </c>
      <c r="C1313" t="s">
        <v>2024</v>
      </c>
      <c r="D1313" t="s">
        <v>2044</v>
      </c>
      <c r="E1313" t="s">
        <v>2055</v>
      </c>
      <c r="F1313" t="s">
        <v>2060</v>
      </c>
      <c r="G1313">
        <v>3</v>
      </c>
      <c r="H1313">
        <v>180</v>
      </c>
      <c r="I1313">
        <v>243</v>
      </c>
      <c r="J1313">
        <v>12.65</v>
      </c>
      <c r="K1313">
        <v>636.80999999999995</v>
      </c>
      <c r="L1313">
        <v>96.81</v>
      </c>
      <c r="M1313">
        <v>9221.85</v>
      </c>
      <c r="N1313">
        <v>540</v>
      </c>
      <c r="O1313">
        <v>15.202336646723513</v>
      </c>
      <c r="P1313" t="s">
        <v>2082</v>
      </c>
      <c r="Q1313" t="s">
        <v>2092</v>
      </c>
    </row>
    <row r="1314" spans="1:17" x14ac:dyDescent="0.25">
      <c r="A1314" t="s">
        <v>1047</v>
      </c>
      <c r="B1314" s="18">
        <v>45892</v>
      </c>
      <c r="C1314" t="s">
        <v>2030</v>
      </c>
      <c r="D1314" t="s">
        <v>2050</v>
      </c>
      <c r="E1314" t="s">
        <v>2058</v>
      </c>
      <c r="F1314" t="s">
        <v>2062</v>
      </c>
      <c r="G1314">
        <v>2</v>
      </c>
      <c r="H1314">
        <v>1800</v>
      </c>
      <c r="I1314">
        <v>2124</v>
      </c>
      <c r="J1314">
        <v>15.36</v>
      </c>
      <c r="K1314">
        <v>3595.35</v>
      </c>
      <c r="L1314">
        <v>-4.6500000000000004</v>
      </c>
      <c r="M1314">
        <v>65249.279999999999</v>
      </c>
      <c r="N1314">
        <v>3600</v>
      </c>
      <c r="O1314">
        <v>-0.12933372272518673</v>
      </c>
      <c r="P1314" t="s">
        <v>2082</v>
      </c>
      <c r="Q1314" t="s">
        <v>2093</v>
      </c>
    </row>
    <row r="1315" spans="1:17" x14ac:dyDescent="0.25">
      <c r="A1315" t="s">
        <v>1429</v>
      </c>
      <c r="B1315" s="18">
        <v>45892</v>
      </c>
      <c r="C1315" t="s">
        <v>2021</v>
      </c>
      <c r="D1315" t="s">
        <v>2041</v>
      </c>
      <c r="E1315" t="s">
        <v>2056</v>
      </c>
      <c r="F1315" t="s">
        <v>2061</v>
      </c>
      <c r="G1315">
        <v>1</v>
      </c>
      <c r="H1315">
        <v>300</v>
      </c>
      <c r="I1315">
        <v>405</v>
      </c>
      <c r="J1315">
        <v>0</v>
      </c>
      <c r="K1315">
        <v>405</v>
      </c>
      <c r="L1315">
        <v>105</v>
      </c>
      <c r="M1315">
        <v>0</v>
      </c>
      <c r="N1315">
        <v>300</v>
      </c>
      <c r="O1315">
        <v>25.925925925925924</v>
      </c>
      <c r="P1315" t="s">
        <v>2082</v>
      </c>
      <c r="Q1315" t="s">
        <v>2092</v>
      </c>
    </row>
    <row r="1316" spans="1:17" x14ac:dyDescent="0.25">
      <c r="A1316" t="s">
        <v>1488</v>
      </c>
      <c r="B1316" s="18">
        <v>45892</v>
      </c>
      <c r="C1316" t="s">
        <v>2013</v>
      </c>
      <c r="D1316" t="s">
        <v>2033</v>
      </c>
      <c r="E1316" t="s">
        <v>2053</v>
      </c>
      <c r="F1316" t="s">
        <v>2061</v>
      </c>
      <c r="G1316">
        <v>10</v>
      </c>
      <c r="H1316">
        <v>6500</v>
      </c>
      <c r="I1316">
        <v>7150</v>
      </c>
      <c r="J1316">
        <v>17.079999999999998</v>
      </c>
      <c r="K1316">
        <v>59288.67</v>
      </c>
      <c r="L1316">
        <v>-5711.33</v>
      </c>
      <c r="M1316">
        <v>1221219.9999999998</v>
      </c>
      <c r="N1316">
        <v>65000</v>
      </c>
      <c r="O1316">
        <v>-9.6330884130138177</v>
      </c>
      <c r="P1316" t="s">
        <v>2082</v>
      </c>
      <c r="Q1316" t="s">
        <v>2093</v>
      </c>
    </row>
    <row r="1317" spans="1:17" x14ac:dyDescent="0.25">
      <c r="A1317" t="s">
        <v>1643</v>
      </c>
      <c r="B1317" s="18">
        <v>45892</v>
      </c>
      <c r="C1317" t="s">
        <v>2021</v>
      </c>
      <c r="D1317" t="s">
        <v>2041</v>
      </c>
      <c r="E1317" t="s">
        <v>2056</v>
      </c>
      <c r="F1317" t="s">
        <v>2062</v>
      </c>
      <c r="G1317">
        <v>1</v>
      </c>
      <c r="H1317">
        <v>300</v>
      </c>
      <c r="I1317">
        <v>405</v>
      </c>
      <c r="J1317">
        <v>14.66</v>
      </c>
      <c r="K1317">
        <v>345.63</v>
      </c>
      <c r="L1317">
        <v>45.63</v>
      </c>
      <c r="M1317">
        <v>5937.3</v>
      </c>
      <c r="N1317">
        <v>300</v>
      </c>
      <c r="O1317">
        <v>13.201978994878919</v>
      </c>
      <c r="P1317" t="s">
        <v>2082</v>
      </c>
      <c r="Q1317" t="s">
        <v>2092</v>
      </c>
    </row>
    <row r="1318" spans="1:17" x14ac:dyDescent="0.25">
      <c r="A1318" t="s">
        <v>341</v>
      </c>
      <c r="B1318" s="18">
        <v>45893</v>
      </c>
      <c r="C1318" t="s">
        <v>2021</v>
      </c>
      <c r="D1318" t="s">
        <v>2041</v>
      </c>
      <c r="E1318" t="s">
        <v>2056</v>
      </c>
      <c r="F1318" t="s">
        <v>2060</v>
      </c>
      <c r="G1318">
        <v>2</v>
      </c>
      <c r="H1318">
        <v>300</v>
      </c>
      <c r="I1318">
        <v>405</v>
      </c>
      <c r="J1318">
        <v>8.9600000000000009</v>
      </c>
      <c r="K1318">
        <v>737.45</v>
      </c>
      <c r="L1318">
        <v>137.44999999999999</v>
      </c>
      <c r="M1318">
        <v>7257.6</v>
      </c>
      <c r="N1318">
        <v>600</v>
      </c>
      <c r="O1318">
        <v>18.638551766221436</v>
      </c>
      <c r="P1318" t="s">
        <v>2082</v>
      </c>
      <c r="Q1318" t="s">
        <v>2092</v>
      </c>
    </row>
    <row r="1319" spans="1:17" x14ac:dyDescent="0.25">
      <c r="A1319" t="s">
        <v>1214</v>
      </c>
      <c r="B1319" s="18">
        <v>45893</v>
      </c>
      <c r="C1319" t="s">
        <v>2017</v>
      </c>
      <c r="D1319" t="s">
        <v>2037</v>
      </c>
      <c r="E1319" t="s">
        <v>2055</v>
      </c>
      <c r="F1319" t="s">
        <v>2059</v>
      </c>
      <c r="G1319">
        <v>3</v>
      </c>
      <c r="H1319">
        <v>2500</v>
      </c>
      <c r="I1319">
        <v>2875</v>
      </c>
      <c r="J1319">
        <v>6.55</v>
      </c>
      <c r="K1319">
        <v>8059.68</v>
      </c>
      <c r="L1319">
        <v>559.67999999999995</v>
      </c>
      <c r="M1319">
        <v>56493.75</v>
      </c>
      <c r="N1319">
        <v>7500</v>
      </c>
      <c r="O1319">
        <v>6.9441962956345655</v>
      </c>
      <c r="P1319" t="s">
        <v>2082</v>
      </c>
      <c r="Q1319" t="s">
        <v>2091</v>
      </c>
    </row>
    <row r="1320" spans="1:17" x14ac:dyDescent="0.25">
      <c r="A1320" t="s">
        <v>1455</v>
      </c>
      <c r="B1320" s="18">
        <v>45893</v>
      </c>
      <c r="C1320" t="s">
        <v>2024</v>
      </c>
      <c r="D1320" t="s">
        <v>2044</v>
      </c>
      <c r="E1320" t="s">
        <v>2055</v>
      </c>
      <c r="F1320" t="s">
        <v>2061</v>
      </c>
      <c r="G1320">
        <v>6</v>
      </c>
      <c r="H1320">
        <v>180</v>
      </c>
      <c r="I1320">
        <v>243</v>
      </c>
      <c r="J1320">
        <v>0</v>
      </c>
      <c r="K1320">
        <v>1458</v>
      </c>
      <c r="L1320">
        <v>378</v>
      </c>
      <c r="M1320">
        <v>0</v>
      </c>
      <c r="N1320">
        <v>1080</v>
      </c>
      <c r="O1320">
        <v>25.925925925925924</v>
      </c>
      <c r="P1320" t="s">
        <v>2082</v>
      </c>
      <c r="Q1320" t="s">
        <v>2092</v>
      </c>
    </row>
    <row r="1321" spans="1:17" x14ac:dyDescent="0.25">
      <c r="A1321" t="s">
        <v>33</v>
      </c>
      <c r="B1321" s="18">
        <v>45894</v>
      </c>
      <c r="C1321" t="s">
        <v>2026</v>
      </c>
      <c r="D1321" t="s">
        <v>2046</v>
      </c>
      <c r="E1321" t="s">
        <v>2052</v>
      </c>
      <c r="F1321" t="s">
        <v>2060</v>
      </c>
      <c r="G1321">
        <v>8</v>
      </c>
      <c r="H1321">
        <v>3000</v>
      </c>
      <c r="I1321">
        <v>3600</v>
      </c>
      <c r="J1321">
        <v>32.54</v>
      </c>
      <c r="K1321">
        <v>19429.34</v>
      </c>
      <c r="L1321">
        <v>-4570.66</v>
      </c>
      <c r="M1321">
        <v>937152</v>
      </c>
      <c r="N1321">
        <v>24000</v>
      </c>
      <c r="O1321">
        <v>-23.524525279808785</v>
      </c>
      <c r="P1321" t="s">
        <v>2082</v>
      </c>
      <c r="Q1321" t="s">
        <v>2093</v>
      </c>
    </row>
    <row r="1322" spans="1:17" x14ac:dyDescent="0.25">
      <c r="A1322" t="s">
        <v>58</v>
      </c>
      <c r="B1322" s="18">
        <v>45894</v>
      </c>
      <c r="C1322" t="s">
        <v>2030</v>
      </c>
      <c r="D1322" t="s">
        <v>2050</v>
      </c>
      <c r="E1322" t="s">
        <v>2058</v>
      </c>
      <c r="F1322" t="s">
        <v>2059</v>
      </c>
      <c r="G1322">
        <v>9</v>
      </c>
      <c r="H1322">
        <v>1800</v>
      </c>
      <c r="I1322">
        <v>2124</v>
      </c>
      <c r="J1322">
        <v>25.63</v>
      </c>
      <c r="K1322">
        <v>14215.79</v>
      </c>
      <c r="L1322">
        <v>-1984.21</v>
      </c>
      <c r="M1322">
        <v>489943.07999999996</v>
      </c>
      <c r="N1322">
        <v>16200</v>
      </c>
      <c r="O1322">
        <v>-13.957789190751974</v>
      </c>
      <c r="P1322" t="s">
        <v>2082</v>
      </c>
      <c r="Q1322" t="s">
        <v>2093</v>
      </c>
    </row>
    <row r="1323" spans="1:17" x14ac:dyDescent="0.25">
      <c r="A1323" t="s">
        <v>942</v>
      </c>
      <c r="B1323" s="18">
        <v>45894</v>
      </c>
      <c r="C1323" t="s">
        <v>2031</v>
      </c>
      <c r="D1323" t="s">
        <v>2051</v>
      </c>
      <c r="E1323" t="s">
        <v>2058</v>
      </c>
      <c r="F1323" t="s">
        <v>2062</v>
      </c>
      <c r="G1323">
        <v>8</v>
      </c>
      <c r="H1323">
        <v>3200</v>
      </c>
      <c r="I1323">
        <v>3840</v>
      </c>
      <c r="J1323">
        <v>9.6</v>
      </c>
      <c r="K1323">
        <v>27772.39</v>
      </c>
      <c r="L1323">
        <v>2172.39</v>
      </c>
      <c r="M1323">
        <v>294912</v>
      </c>
      <c r="N1323">
        <v>25600</v>
      </c>
      <c r="O1323">
        <v>7.8221211786238056</v>
      </c>
      <c r="P1323" t="s">
        <v>2082</v>
      </c>
      <c r="Q1323" t="s">
        <v>2091</v>
      </c>
    </row>
    <row r="1324" spans="1:17" x14ac:dyDescent="0.25">
      <c r="A1324" t="s">
        <v>1471</v>
      </c>
      <c r="B1324" s="18">
        <v>45894</v>
      </c>
      <c r="C1324" t="s">
        <v>2023</v>
      </c>
      <c r="D1324" t="s">
        <v>2043</v>
      </c>
      <c r="E1324" t="s">
        <v>2053</v>
      </c>
      <c r="F1324" t="s">
        <v>2061</v>
      </c>
      <c r="G1324">
        <v>4</v>
      </c>
      <c r="H1324">
        <v>550</v>
      </c>
      <c r="I1324">
        <v>742.5</v>
      </c>
      <c r="J1324">
        <v>17.75</v>
      </c>
      <c r="K1324">
        <v>2442.7600000000002</v>
      </c>
      <c r="L1324">
        <v>242.76</v>
      </c>
      <c r="M1324">
        <v>52717.5</v>
      </c>
      <c r="N1324">
        <v>2200</v>
      </c>
      <c r="O1324">
        <v>9.9379390525471187</v>
      </c>
      <c r="P1324" t="s">
        <v>2082</v>
      </c>
      <c r="Q1324" t="s">
        <v>2091</v>
      </c>
    </row>
    <row r="1325" spans="1:17" x14ac:dyDescent="0.25">
      <c r="A1325" t="s">
        <v>1771</v>
      </c>
      <c r="B1325" s="18">
        <v>45894</v>
      </c>
      <c r="C1325" t="s">
        <v>2029</v>
      </c>
      <c r="D1325" t="s">
        <v>2049</v>
      </c>
      <c r="E1325" t="s">
        <v>2055</v>
      </c>
      <c r="F1325" t="s">
        <v>2061</v>
      </c>
      <c r="G1325">
        <v>1</v>
      </c>
      <c r="H1325">
        <v>1200</v>
      </c>
      <c r="I1325">
        <v>1464</v>
      </c>
      <c r="J1325">
        <v>15.32</v>
      </c>
      <c r="K1325">
        <v>1239.6600000000001</v>
      </c>
      <c r="L1325">
        <v>39.659999999999997</v>
      </c>
      <c r="M1325">
        <v>22428.48</v>
      </c>
      <c r="N1325">
        <v>1200</v>
      </c>
      <c r="O1325">
        <v>3.1992643144087887</v>
      </c>
      <c r="P1325" t="s">
        <v>2082</v>
      </c>
      <c r="Q1325" t="s">
        <v>2091</v>
      </c>
    </row>
    <row r="1326" spans="1:17" x14ac:dyDescent="0.25">
      <c r="A1326" t="s">
        <v>113</v>
      </c>
      <c r="B1326" s="18">
        <v>45895</v>
      </c>
      <c r="C1326" t="s">
        <v>2021</v>
      </c>
      <c r="D1326" t="s">
        <v>2041</v>
      </c>
      <c r="E1326" t="s">
        <v>2056</v>
      </c>
      <c r="F1326" t="s">
        <v>2059</v>
      </c>
      <c r="G1326">
        <v>1</v>
      </c>
      <c r="H1326">
        <v>300</v>
      </c>
      <c r="I1326">
        <v>405</v>
      </c>
      <c r="J1326">
        <v>15.28</v>
      </c>
      <c r="K1326">
        <v>343.13</v>
      </c>
      <c r="L1326">
        <v>43.13</v>
      </c>
      <c r="M1326">
        <v>6188.4</v>
      </c>
      <c r="N1326">
        <v>300</v>
      </c>
      <c r="O1326">
        <v>12.569580042549472</v>
      </c>
      <c r="P1326" t="s">
        <v>2082</v>
      </c>
      <c r="Q1326" t="s">
        <v>2092</v>
      </c>
    </row>
    <row r="1327" spans="1:17" x14ac:dyDescent="0.25">
      <c r="A1327" t="s">
        <v>338</v>
      </c>
      <c r="B1327" s="18">
        <v>45895</v>
      </c>
      <c r="C1327" t="s">
        <v>2030</v>
      </c>
      <c r="D1327" t="s">
        <v>2050</v>
      </c>
      <c r="E1327" t="s">
        <v>2058</v>
      </c>
      <c r="F1327" t="s">
        <v>2061</v>
      </c>
      <c r="G1327">
        <v>4</v>
      </c>
      <c r="H1327">
        <v>1800</v>
      </c>
      <c r="I1327">
        <v>2124</v>
      </c>
      <c r="J1327">
        <v>18.91</v>
      </c>
      <c r="K1327">
        <v>6889.37</v>
      </c>
      <c r="L1327">
        <v>-310.63</v>
      </c>
      <c r="M1327">
        <v>160659.36000000002</v>
      </c>
      <c r="N1327">
        <v>7200</v>
      </c>
      <c r="O1327">
        <v>-4.5088302704020835</v>
      </c>
      <c r="P1327" t="s">
        <v>2082</v>
      </c>
      <c r="Q1327" t="s">
        <v>2093</v>
      </c>
    </row>
    <row r="1328" spans="1:17" x14ac:dyDescent="0.25">
      <c r="A1328" t="s">
        <v>682</v>
      </c>
      <c r="B1328" s="18">
        <v>45895</v>
      </c>
      <c r="C1328" t="s">
        <v>2013</v>
      </c>
      <c r="D1328" t="s">
        <v>2033</v>
      </c>
      <c r="E1328" t="s">
        <v>2053</v>
      </c>
      <c r="F1328" t="s">
        <v>2059</v>
      </c>
      <c r="G1328">
        <v>9</v>
      </c>
      <c r="H1328">
        <v>6500</v>
      </c>
      <c r="I1328">
        <v>7150</v>
      </c>
      <c r="J1328">
        <v>8.5399999999999991</v>
      </c>
      <c r="K1328">
        <v>58855.47</v>
      </c>
      <c r="L1328">
        <v>355.47</v>
      </c>
      <c r="M1328">
        <v>549549</v>
      </c>
      <c r="N1328">
        <v>58500</v>
      </c>
      <c r="O1328">
        <v>0.60397104975969096</v>
      </c>
      <c r="P1328" t="s">
        <v>2082</v>
      </c>
      <c r="Q1328" t="s">
        <v>2091</v>
      </c>
    </row>
    <row r="1329" spans="1:17" x14ac:dyDescent="0.25">
      <c r="A1329" t="s">
        <v>78</v>
      </c>
      <c r="B1329" s="18">
        <v>45896</v>
      </c>
      <c r="C1329" t="s">
        <v>2016</v>
      </c>
      <c r="D1329" t="s">
        <v>2036</v>
      </c>
      <c r="E1329" t="s">
        <v>2052</v>
      </c>
      <c r="F1329" t="s">
        <v>2061</v>
      </c>
      <c r="G1329">
        <v>4</v>
      </c>
      <c r="H1329">
        <v>900</v>
      </c>
      <c r="I1329">
        <v>1170</v>
      </c>
      <c r="J1329">
        <v>7.09</v>
      </c>
      <c r="K1329">
        <v>4348.0600000000004</v>
      </c>
      <c r="L1329">
        <v>748.06</v>
      </c>
      <c r="M1329">
        <v>33181.199999999997</v>
      </c>
      <c r="N1329">
        <v>3600</v>
      </c>
      <c r="O1329">
        <v>17.20445440035326</v>
      </c>
      <c r="P1329" t="s">
        <v>2082</v>
      </c>
      <c r="Q1329" t="s">
        <v>2092</v>
      </c>
    </row>
    <row r="1330" spans="1:17" x14ac:dyDescent="0.25">
      <c r="A1330" t="s">
        <v>1014</v>
      </c>
      <c r="B1330" s="18">
        <v>45896</v>
      </c>
      <c r="C1330" t="s">
        <v>2020</v>
      </c>
      <c r="D1330" t="s">
        <v>2040</v>
      </c>
      <c r="E1330" t="s">
        <v>2053</v>
      </c>
      <c r="F1330" t="s">
        <v>2059</v>
      </c>
      <c r="G1330">
        <v>1</v>
      </c>
      <c r="H1330">
        <v>350</v>
      </c>
      <c r="I1330">
        <v>455</v>
      </c>
      <c r="J1330">
        <v>1.99</v>
      </c>
      <c r="K1330">
        <v>445.94</v>
      </c>
      <c r="L1330">
        <v>95.94</v>
      </c>
      <c r="M1330">
        <v>905.45</v>
      </c>
      <c r="N1330">
        <v>350</v>
      </c>
      <c r="O1330">
        <v>21.514105036552003</v>
      </c>
      <c r="P1330" t="s">
        <v>2082</v>
      </c>
      <c r="Q1330" t="s">
        <v>2092</v>
      </c>
    </row>
    <row r="1331" spans="1:17" x14ac:dyDescent="0.25">
      <c r="A1331" t="s">
        <v>1233</v>
      </c>
      <c r="B1331" s="18">
        <v>45896</v>
      </c>
      <c r="C1331" t="s">
        <v>2014</v>
      </c>
      <c r="D1331" t="s">
        <v>2034</v>
      </c>
      <c r="E1331" t="s">
        <v>2052</v>
      </c>
      <c r="F1331" t="s">
        <v>2060</v>
      </c>
      <c r="G1331">
        <v>5</v>
      </c>
      <c r="H1331">
        <v>4500</v>
      </c>
      <c r="I1331">
        <v>5220</v>
      </c>
      <c r="J1331">
        <v>14.06</v>
      </c>
      <c r="K1331">
        <v>22429.34</v>
      </c>
      <c r="L1331">
        <v>-70.66</v>
      </c>
      <c r="M1331">
        <v>366966</v>
      </c>
      <c r="N1331">
        <v>22500</v>
      </c>
      <c r="O1331">
        <v>-0.31503379056182657</v>
      </c>
      <c r="P1331" t="s">
        <v>2082</v>
      </c>
      <c r="Q1331" t="s">
        <v>2093</v>
      </c>
    </row>
    <row r="1332" spans="1:17" x14ac:dyDescent="0.25">
      <c r="A1332" t="s">
        <v>1846</v>
      </c>
      <c r="B1332" s="18">
        <v>45896</v>
      </c>
      <c r="C1332" t="s">
        <v>2030</v>
      </c>
      <c r="D1332" t="s">
        <v>2050</v>
      </c>
      <c r="E1332" t="s">
        <v>2058</v>
      </c>
      <c r="F1332" t="s">
        <v>2059</v>
      </c>
      <c r="G1332">
        <v>5</v>
      </c>
      <c r="H1332">
        <v>1800</v>
      </c>
      <c r="I1332">
        <v>2124</v>
      </c>
      <c r="J1332">
        <v>20.14</v>
      </c>
      <c r="K1332">
        <v>8481.18</v>
      </c>
      <c r="L1332">
        <v>-518.82000000000005</v>
      </c>
      <c r="M1332">
        <v>213886.80000000002</v>
      </c>
      <c r="N1332">
        <v>9000</v>
      </c>
      <c r="O1332">
        <v>-6.1173091480194977</v>
      </c>
      <c r="P1332" t="s">
        <v>2082</v>
      </c>
      <c r="Q1332" t="s">
        <v>2093</v>
      </c>
    </row>
    <row r="1333" spans="1:17" x14ac:dyDescent="0.25">
      <c r="A1333" t="s">
        <v>486</v>
      </c>
      <c r="B1333" s="18">
        <v>45897</v>
      </c>
      <c r="C1333" t="s">
        <v>2028</v>
      </c>
      <c r="D1333" t="s">
        <v>2048</v>
      </c>
      <c r="E1333" t="s">
        <v>2057</v>
      </c>
      <c r="F1333" t="s">
        <v>2059</v>
      </c>
      <c r="G1333">
        <v>4</v>
      </c>
      <c r="H1333">
        <v>80</v>
      </c>
      <c r="I1333">
        <v>116</v>
      </c>
      <c r="J1333">
        <v>10.5</v>
      </c>
      <c r="K1333">
        <v>415.28</v>
      </c>
      <c r="L1333">
        <v>95.28</v>
      </c>
      <c r="M1333">
        <v>4872</v>
      </c>
      <c r="N1333">
        <v>320</v>
      </c>
      <c r="O1333">
        <v>22.943556154883453</v>
      </c>
      <c r="P1333" t="s">
        <v>2082</v>
      </c>
      <c r="Q1333" t="s">
        <v>2092</v>
      </c>
    </row>
    <row r="1334" spans="1:17" x14ac:dyDescent="0.25">
      <c r="A1334" t="s">
        <v>992</v>
      </c>
      <c r="B1334" s="18">
        <v>45897</v>
      </c>
      <c r="C1334" t="s">
        <v>2023</v>
      </c>
      <c r="D1334" t="s">
        <v>2043</v>
      </c>
      <c r="E1334" t="s">
        <v>2053</v>
      </c>
      <c r="F1334" t="s">
        <v>2061</v>
      </c>
      <c r="G1334">
        <v>6</v>
      </c>
      <c r="H1334">
        <v>550</v>
      </c>
      <c r="I1334">
        <v>742.5</v>
      </c>
      <c r="J1334">
        <v>11.26</v>
      </c>
      <c r="K1334">
        <v>3953.48</v>
      </c>
      <c r="L1334">
        <v>653.48</v>
      </c>
      <c r="M1334">
        <v>50163.299999999996</v>
      </c>
      <c r="N1334">
        <v>3300</v>
      </c>
      <c r="O1334">
        <v>16.529235003085891</v>
      </c>
      <c r="P1334" t="s">
        <v>2082</v>
      </c>
      <c r="Q1334" t="s">
        <v>2092</v>
      </c>
    </row>
    <row r="1335" spans="1:17" x14ac:dyDescent="0.25">
      <c r="A1335" t="s">
        <v>1647</v>
      </c>
      <c r="B1335" s="18">
        <v>45897</v>
      </c>
      <c r="C1335" t="s">
        <v>2018</v>
      </c>
      <c r="D1335" t="s">
        <v>2038</v>
      </c>
      <c r="E1335" t="s">
        <v>2053</v>
      </c>
      <c r="F1335" t="s">
        <v>2059</v>
      </c>
      <c r="G1335">
        <v>8</v>
      </c>
      <c r="H1335">
        <v>500</v>
      </c>
      <c r="I1335">
        <v>610</v>
      </c>
      <c r="J1335">
        <v>12.37</v>
      </c>
      <c r="K1335">
        <v>4276.3500000000004</v>
      </c>
      <c r="L1335">
        <v>276.35000000000002</v>
      </c>
      <c r="M1335">
        <v>60365.599999999999</v>
      </c>
      <c r="N1335">
        <v>4000</v>
      </c>
      <c r="O1335">
        <v>6.4622867632443555</v>
      </c>
      <c r="P1335" t="s">
        <v>2082</v>
      </c>
      <c r="Q1335" t="s">
        <v>2091</v>
      </c>
    </row>
    <row r="1336" spans="1:17" x14ac:dyDescent="0.25">
      <c r="A1336" t="s">
        <v>1948</v>
      </c>
      <c r="B1336" s="18">
        <v>45897</v>
      </c>
      <c r="C1336" t="s">
        <v>2023</v>
      </c>
      <c r="D1336" t="s">
        <v>2043</v>
      </c>
      <c r="E1336" t="s">
        <v>2053</v>
      </c>
      <c r="F1336" t="s">
        <v>2059</v>
      </c>
      <c r="G1336">
        <v>10</v>
      </c>
      <c r="H1336">
        <v>550</v>
      </c>
      <c r="I1336">
        <v>742.5</v>
      </c>
      <c r="J1336">
        <v>27.8</v>
      </c>
      <c r="K1336">
        <v>5360.54</v>
      </c>
      <c r="L1336">
        <v>-139.46</v>
      </c>
      <c r="M1336">
        <v>206415</v>
      </c>
      <c r="N1336">
        <v>5500</v>
      </c>
      <c r="O1336">
        <v>-2.6016035697896109</v>
      </c>
      <c r="P1336" t="s">
        <v>2082</v>
      </c>
      <c r="Q1336" t="s">
        <v>2093</v>
      </c>
    </row>
    <row r="1337" spans="1:17" x14ac:dyDescent="0.25">
      <c r="A1337" t="s">
        <v>938</v>
      </c>
      <c r="B1337" s="18">
        <v>45898</v>
      </c>
      <c r="C1337" t="s">
        <v>2022</v>
      </c>
      <c r="D1337" t="s">
        <v>2042</v>
      </c>
      <c r="E1337" t="s">
        <v>2053</v>
      </c>
      <c r="F1337" t="s">
        <v>2061</v>
      </c>
      <c r="G1337">
        <v>9</v>
      </c>
      <c r="H1337">
        <v>8500</v>
      </c>
      <c r="I1337">
        <v>9520</v>
      </c>
      <c r="J1337">
        <v>21.13</v>
      </c>
      <c r="K1337">
        <v>67577.990000000005</v>
      </c>
      <c r="L1337">
        <v>-8922.01</v>
      </c>
      <c r="M1337">
        <v>1810418.4</v>
      </c>
      <c r="N1337">
        <v>76500</v>
      </c>
      <c r="O1337">
        <v>-13.202538282064912</v>
      </c>
      <c r="P1337" t="s">
        <v>2082</v>
      </c>
      <c r="Q1337" t="s">
        <v>2093</v>
      </c>
    </row>
    <row r="1338" spans="1:17" x14ac:dyDescent="0.25">
      <c r="A1338" t="s">
        <v>1388</v>
      </c>
      <c r="B1338" s="18">
        <v>45898</v>
      </c>
      <c r="C1338" t="s">
        <v>2027</v>
      </c>
      <c r="D1338" t="s">
        <v>2047</v>
      </c>
      <c r="E1338" t="s">
        <v>2053</v>
      </c>
      <c r="F1338" t="s">
        <v>2059</v>
      </c>
      <c r="G1338">
        <v>3</v>
      </c>
      <c r="H1338">
        <v>1100</v>
      </c>
      <c r="I1338">
        <v>1298</v>
      </c>
      <c r="J1338">
        <v>14</v>
      </c>
      <c r="K1338">
        <v>3348.75</v>
      </c>
      <c r="L1338">
        <v>48.75</v>
      </c>
      <c r="M1338">
        <v>54516</v>
      </c>
      <c r="N1338">
        <v>3300</v>
      </c>
      <c r="O1338">
        <v>1.4557670772676372</v>
      </c>
      <c r="P1338" t="s">
        <v>2082</v>
      </c>
      <c r="Q1338" t="s">
        <v>2091</v>
      </c>
    </row>
    <row r="1339" spans="1:17" x14ac:dyDescent="0.25">
      <c r="A1339" t="s">
        <v>1615</v>
      </c>
      <c r="B1339" s="18">
        <v>45898</v>
      </c>
      <c r="C1339" t="s">
        <v>2030</v>
      </c>
      <c r="D1339" t="s">
        <v>2050</v>
      </c>
      <c r="E1339" t="s">
        <v>2058</v>
      </c>
      <c r="F1339" t="s">
        <v>2062</v>
      </c>
      <c r="G1339">
        <v>10</v>
      </c>
      <c r="H1339">
        <v>1800</v>
      </c>
      <c r="I1339">
        <v>2124</v>
      </c>
      <c r="J1339">
        <v>11.79</v>
      </c>
      <c r="K1339">
        <v>18735.73</v>
      </c>
      <c r="L1339">
        <v>735.73</v>
      </c>
      <c r="M1339">
        <v>250419.59999999998</v>
      </c>
      <c r="N1339">
        <v>18000</v>
      </c>
      <c r="O1339">
        <v>3.9268819522911573</v>
      </c>
      <c r="P1339" t="s">
        <v>2082</v>
      </c>
      <c r="Q1339" t="s">
        <v>2091</v>
      </c>
    </row>
    <row r="1340" spans="1:17" x14ac:dyDescent="0.25">
      <c r="A1340" t="s">
        <v>1736</v>
      </c>
      <c r="B1340" s="18">
        <v>45898</v>
      </c>
      <c r="C1340" t="s">
        <v>2029</v>
      </c>
      <c r="D1340" t="s">
        <v>2049</v>
      </c>
      <c r="E1340" t="s">
        <v>2055</v>
      </c>
      <c r="F1340" t="s">
        <v>2062</v>
      </c>
      <c r="G1340">
        <v>1</v>
      </c>
      <c r="H1340">
        <v>1200</v>
      </c>
      <c r="I1340">
        <v>1464</v>
      </c>
      <c r="J1340">
        <v>11.42</v>
      </c>
      <c r="K1340">
        <v>1296.83</v>
      </c>
      <c r="L1340">
        <v>96.83</v>
      </c>
      <c r="M1340">
        <v>16718.88</v>
      </c>
      <c r="N1340">
        <v>1200</v>
      </c>
      <c r="O1340">
        <v>7.4666687229629174</v>
      </c>
      <c r="P1340" t="s">
        <v>2082</v>
      </c>
      <c r="Q1340" t="s">
        <v>2091</v>
      </c>
    </row>
    <row r="1341" spans="1:17" x14ac:dyDescent="0.25">
      <c r="A1341" t="s">
        <v>1866</v>
      </c>
      <c r="B1341" s="18">
        <v>45898</v>
      </c>
      <c r="C1341" t="s">
        <v>2026</v>
      </c>
      <c r="D1341" t="s">
        <v>2046</v>
      </c>
      <c r="E1341" t="s">
        <v>2052</v>
      </c>
      <c r="F1341" t="s">
        <v>2060</v>
      </c>
      <c r="G1341">
        <v>9</v>
      </c>
      <c r="H1341">
        <v>3000</v>
      </c>
      <c r="I1341">
        <v>3600</v>
      </c>
      <c r="J1341">
        <v>15.24</v>
      </c>
      <c r="K1341">
        <v>27462.69</v>
      </c>
      <c r="L1341">
        <v>462.69</v>
      </c>
      <c r="M1341">
        <v>493776</v>
      </c>
      <c r="N1341">
        <v>27000</v>
      </c>
      <c r="O1341">
        <v>1.6847948980962899</v>
      </c>
      <c r="P1341" t="s">
        <v>2082</v>
      </c>
      <c r="Q1341" t="s">
        <v>2091</v>
      </c>
    </row>
    <row r="1342" spans="1:17" x14ac:dyDescent="0.25">
      <c r="A1342" t="s">
        <v>1887</v>
      </c>
      <c r="B1342" s="18">
        <v>45898</v>
      </c>
      <c r="C1342" t="s">
        <v>2026</v>
      </c>
      <c r="D1342" t="s">
        <v>2046</v>
      </c>
      <c r="E1342" t="s">
        <v>2052</v>
      </c>
      <c r="F1342" t="s">
        <v>2061</v>
      </c>
      <c r="G1342">
        <v>2</v>
      </c>
      <c r="H1342">
        <v>3000</v>
      </c>
      <c r="I1342">
        <v>3600</v>
      </c>
      <c r="J1342">
        <v>20.92</v>
      </c>
      <c r="K1342">
        <v>5693.98</v>
      </c>
      <c r="L1342">
        <v>-306.02</v>
      </c>
      <c r="M1342">
        <v>150624</v>
      </c>
      <c r="N1342">
        <v>6000</v>
      </c>
      <c r="O1342">
        <v>-5.3744481013280696</v>
      </c>
      <c r="P1342" t="s">
        <v>2082</v>
      </c>
      <c r="Q1342" t="s">
        <v>2093</v>
      </c>
    </row>
    <row r="1343" spans="1:17" x14ac:dyDescent="0.25">
      <c r="A1343" t="s">
        <v>195</v>
      </c>
      <c r="B1343" s="18">
        <v>45899</v>
      </c>
      <c r="C1343" t="s">
        <v>2024</v>
      </c>
      <c r="D1343" t="s">
        <v>2044</v>
      </c>
      <c r="E1343" t="s">
        <v>2055</v>
      </c>
      <c r="F1343" t="s">
        <v>2060</v>
      </c>
      <c r="G1343">
        <v>4</v>
      </c>
      <c r="H1343">
        <v>180</v>
      </c>
      <c r="I1343">
        <v>243</v>
      </c>
      <c r="J1343">
        <v>8.77</v>
      </c>
      <c r="K1343">
        <v>886.74</v>
      </c>
      <c r="L1343">
        <v>166.74</v>
      </c>
      <c r="M1343">
        <v>8524.4399999999987</v>
      </c>
      <c r="N1343">
        <v>720</v>
      </c>
      <c r="O1343">
        <v>18.803707964002978</v>
      </c>
      <c r="P1343" t="s">
        <v>2082</v>
      </c>
      <c r="Q1343" t="s">
        <v>2092</v>
      </c>
    </row>
    <row r="1344" spans="1:17" x14ac:dyDescent="0.25">
      <c r="A1344" t="s">
        <v>234</v>
      </c>
      <c r="B1344" s="18">
        <v>45899</v>
      </c>
      <c r="C1344" t="s">
        <v>2023</v>
      </c>
      <c r="D1344" t="s">
        <v>2043</v>
      </c>
      <c r="E1344" t="s">
        <v>2053</v>
      </c>
      <c r="F1344" t="s">
        <v>2061</v>
      </c>
      <c r="G1344">
        <v>9</v>
      </c>
      <c r="H1344">
        <v>550</v>
      </c>
      <c r="I1344">
        <v>742.5</v>
      </c>
      <c r="J1344">
        <v>10.54</v>
      </c>
      <c r="K1344">
        <v>5978.23</v>
      </c>
      <c r="L1344">
        <v>1028.23</v>
      </c>
      <c r="M1344">
        <v>70433.549999999988</v>
      </c>
      <c r="N1344">
        <v>4950</v>
      </c>
      <c r="O1344">
        <v>17.199572448701371</v>
      </c>
      <c r="P1344" t="s">
        <v>2082</v>
      </c>
      <c r="Q1344" t="s">
        <v>2092</v>
      </c>
    </row>
    <row r="1345" spans="1:17" x14ac:dyDescent="0.25">
      <c r="A1345" t="s">
        <v>1227</v>
      </c>
      <c r="B1345" s="18">
        <v>45899</v>
      </c>
      <c r="C1345" t="s">
        <v>2027</v>
      </c>
      <c r="D1345" t="s">
        <v>2047</v>
      </c>
      <c r="E1345" t="s">
        <v>2053</v>
      </c>
      <c r="F1345" t="s">
        <v>2059</v>
      </c>
      <c r="G1345">
        <v>1</v>
      </c>
      <c r="H1345">
        <v>1100</v>
      </c>
      <c r="I1345">
        <v>1298</v>
      </c>
      <c r="J1345">
        <v>0.52</v>
      </c>
      <c r="K1345">
        <v>1291.26</v>
      </c>
      <c r="L1345">
        <v>191.26</v>
      </c>
      <c r="M1345">
        <v>674.96</v>
      </c>
      <c r="N1345">
        <v>1100</v>
      </c>
      <c r="O1345">
        <v>14.811889162523425</v>
      </c>
      <c r="P1345" t="s">
        <v>2082</v>
      </c>
      <c r="Q1345" t="s">
        <v>2092</v>
      </c>
    </row>
    <row r="1346" spans="1:17" x14ac:dyDescent="0.25">
      <c r="A1346" t="s">
        <v>1613</v>
      </c>
      <c r="B1346" s="18">
        <v>45899</v>
      </c>
      <c r="C1346" t="s">
        <v>2028</v>
      </c>
      <c r="D1346" t="s">
        <v>2048</v>
      </c>
      <c r="E1346" t="s">
        <v>2057</v>
      </c>
      <c r="F1346" t="s">
        <v>2061</v>
      </c>
      <c r="G1346">
        <v>3</v>
      </c>
      <c r="H1346">
        <v>80</v>
      </c>
      <c r="I1346">
        <v>116</v>
      </c>
      <c r="J1346">
        <v>0</v>
      </c>
      <c r="K1346">
        <v>348</v>
      </c>
      <c r="L1346">
        <v>108</v>
      </c>
      <c r="M1346">
        <v>0</v>
      </c>
      <c r="N1346">
        <v>240</v>
      </c>
      <c r="O1346">
        <v>31.03448275862069</v>
      </c>
      <c r="P1346" t="s">
        <v>2082</v>
      </c>
      <c r="Q1346" t="s">
        <v>2092</v>
      </c>
    </row>
    <row r="1347" spans="1:17" x14ac:dyDescent="0.25">
      <c r="A1347" t="s">
        <v>1698</v>
      </c>
      <c r="B1347" s="18">
        <v>45899</v>
      </c>
      <c r="C1347" t="s">
        <v>2027</v>
      </c>
      <c r="D1347" t="s">
        <v>2047</v>
      </c>
      <c r="E1347" t="s">
        <v>2053</v>
      </c>
      <c r="F1347" t="s">
        <v>2062</v>
      </c>
      <c r="G1347">
        <v>6</v>
      </c>
      <c r="H1347">
        <v>1100</v>
      </c>
      <c r="I1347">
        <v>1298</v>
      </c>
      <c r="J1347">
        <v>11.03</v>
      </c>
      <c r="K1347">
        <v>6929.06</v>
      </c>
      <c r="L1347">
        <v>329.06</v>
      </c>
      <c r="M1347">
        <v>85901.64</v>
      </c>
      <c r="N1347">
        <v>6600</v>
      </c>
      <c r="O1347">
        <v>4.7489847107688483</v>
      </c>
      <c r="P1347" t="s">
        <v>2082</v>
      </c>
      <c r="Q1347" t="s">
        <v>2091</v>
      </c>
    </row>
    <row r="1348" spans="1:17" x14ac:dyDescent="0.25">
      <c r="A1348" t="s">
        <v>1794</v>
      </c>
      <c r="B1348" s="18">
        <v>45899</v>
      </c>
      <c r="C1348" t="s">
        <v>2023</v>
      </c>
      <c r="D1348" t="s">
        <v>2043</v>
      </c>
      <c r="E1348" t="s">
        <v>2053</v>
      </c>
      <c r="F1348" t="s">
        <v>2061</v>
      </c>
      <c r="G1348">
        <v>8</v>
      </c>
      <c r="H1348">
        <v>550</v>
      </c>
      <c r="I1348">
        <v>742.5</v>
      </c>
      <c r="J1348">
        <v>1.35</v>
      </c>
      <c r="K1348">
        <v>5859.63</v>
      </c>
      <c r="L1348">
        <v>1459.63</v>
      </c>
      <c r="M1348">
        <v>8019.0000000000009</v>
      </c>
      <c r="N1348">
        <v>4400</v>
      </c>
      <c r="O1348">
        <v>24.909934586313472</v>
      </c>
      <c r="P1348" t="s">
        <v>2082</v>
      </c>
      <c r="Q1348" t="s">
        <v>2092</v>
      </c>
    </row>
    <row r="1349" spans="1:17" x14ac:dyDescent="0.25">
      <c r="A1349" t="s">
        <v>410</v>
      </c>
      <c r="B1349" s="18">
        <v>45900</v>
      </c>
      <c r="C1349" t="s">
        <v>2018</v>
      </c>
      <c r="D1349" t="s">
        <v>2038</v>
      </c>
      <c r="E1349" t="s">
        <v>2053</v>
      </c>
      <c r="F1349" t="s">
        <v>2062</v>
      </c>
      <c r="G1349">
        <v>3</v>
      </c>
      <c r="H1349">
        <v>500</v>
      </c>
      <c r="I1349">
        <v>610</v>
      </c>
      <c r="J1349">
        <v>7.41</v>
      </c>
      <c r="K1349">
        <v>1694.46</v>
      </c>
      <c r="L1349">
        <v>194.46</v>
      </c>
      <c r="M1349">
        <v>13560.300000000001</v>
      </c>
      <c r="N1349">
        <v>1500</v>
      </c>
      <c r="O1349">
        <v>11.476222513367091</v>
      </c>
      <c r="P1349" t="s">
        <v>2082</v>
      </c>
      <c r="Q1349" t="s">
        <v>2092</v>
      </c>
    </row>
    <row r="1350" spans="1:17" x14ac:dyDescent="0.25">
      <c r="A1350" t="s">
        <v>637</v>
      </c>
      <c r="B1350" s="18">
        <v>45900</v>
      </c>
      <c r="C1350" t="s">
        <v>2027</v>
      </c>
      <c r="D1350" t="s">
        <v>2047</v>
      </c>
      <c r="E1350" t="s">
        <v>2053</v>
      </c>
      <c r="F1350" t="s">
        <v>2061</v>
      </c>
      <c r="G1350">
        <v>7</v>
      </c>
      <c r="H1350">
        <v>1100</v>
      </c>
      <c r="I1350">
        <v>1298</v>
      </c>
      <c r="J1350">
        <v>3.11</v>
      </c>
      <c r="K1350">
        <v>8803.39</v>
      </c>
      <c r="L1350">
        <v>1103.3900000000001</v>
      </c>
      <c r="M1350">
        <v>28257.46</v>
      </c>
      <c r="N1350">
        <v>7700</v>
      </c>
      <c r="O1350">
        <v>12.53369440635937</v>
      </c>
      <c r="P1350" t="s">
        <v>2082</v>
      </c>
      <c r="Q1350" t="s">
        <v>2092</v>
      </c>
    </row>
    <row r="1351" spans="1:17" x14ac:dyDescent="0.25">
      <c r="A1351" t="s">
        <v>1019</v>
      </c>
      <c r="B1351" s="18">
        <v>45900</v>
      </c>
      <c r="C1351" t="s">
        <v>2012</v>
      </c>
      <c r="D1351" t="s">
        <v>2032</v>
      </c>
      <c r="E1351" t="s">
        <v>2052</v>
      </c>
      <c r="F1351" t="s">
        <v>2059</v>
      </c>
      <c r="G1351">
        <v>5</v>
      </c>
      <c r="H1351">
        <v>6500</v>
      </c>
      <c r="I1351">
        <v>8125</v>
      </c>
      <c r="J1351">
        <v>14.31</v>
      </c>
      <c r="K1351">
        <v>34811.22</v>
      </c>
      <c r="L1351">
        <v>2311.2199999999998</v>
      </c>
      <c r="M1351">
        <v>581343.75</v>
      </c>
      <c r="N1351">
        <v>32500</v>
      </c>
      <c r="O1351">
        <v>6.6392961809439601</v>
      </c>
      <c r="P1351" t="s">
        <v>2082</v>
      </c>
      <c r="Q1351" t="s">
        <v>2091</v>
      </c>
    </row>
    <row r="1352" spans="1:17" x14ac:dyDescent="0.25">
      <c r="A1352" t="s">
        <v>76</v>
      </c>
      <c r="B1352" s="18">
        <v>45901</v>
      </c>
      <c r="C1352" t="s">
        <v>2016</v>
      </c>
      <c r="D1352" t="s">
        <v>2036</v>
      </c>
      <c r="E1352" t="s">
        <v>2052</v>
      </c>
      <c r="F1352" t="s">
        <v>2061</v>
      </c>
      <c r="G1352">
        <v>1</v>
      </c>
      <c r="H1352">
        <v>900</v>
      </c>
      <c r="I1352">
        <v>1170</v>
      </c>
      <c r="J1352">
        <v>11.79</v>
      </c>
      <c r="K1352">
        <v>1032.08</v>
      </c>
      <c r="L1352">
        <v>132.08000000000001</v>
      </c>
      <c r="M1352">
        <v>13794.3</v>
      </c>
      <c r="N1352">
        <v>900</v>
      </c>
      <c r="O1352">
        <v>12.797457561429349</v>
      </c>
      <c r="P1352" t="s">
        <v>2083</v>
      </c>
      <c r="Q1352" t="s">
        <v>2092</v>
      </c>
    </row>
    <row r="1353" spans="1:17" x14ac:dyDescent="0.25">
      <c r="A1353" t="s">
        <v>1546</v>
      </c>
      <c r="B1353" s="18">
        <v>45901</v>
      </c>
      <c r="C1353" t="s">
        <v>2029</v>
      </c>
      <c r="D1353" t="s">
        <v>2049</v>
      </c>
      <c r="E1353" t="s">
        <v>2055</v>
      </c>
      <c r="F1353" t="s">
        <v>2062</v>
      </c>
      <c r="G1353">
        <v>6</v>
      </c>
      <c r="H1353">
        <v>1200</v>
      </c>
      <c r="I1353">
        <v>1464</v>
      </c>
      <c r="J1353">
        <v>18.78</v>
      </c>
      <c r="K1353">
        <v>7134.62</v>
      </c>
      <c r="L1353">
        <v>-65.38</v>
      </c>
      <c r="M1353">
        <v>164963.52000000002</v>
      </c>
      <c r="N1353">
        <v>7200</v>
      </c>
      <c r="O1353">
        <v>-0.91637676568618931</v>
      </c>
      <c r="P1353" t="s">
        <v>2083</v>
      </c>
      <c r="Q1353" t="s">
        <v>2093</v>
      </c>
    </row>
    <row r="1354" spans="1:17" x14ac:dyDescent="0.25">
      <c r="A1354" t="s">
        <v>510</v>
      </c>
      <c r="B1354" s="18">
        <v>45902</v>
      </c>
      <c r="C1354" t="s">
        <v>2015</v>
      </c>
      <c r="D1354" t="s">
        <v>2035</v>
      </c>
      <c r="E1354" t="s">
        <v>2054</v>
      </c>
      <c r="F1354" t="s">
        <v>2062</v>
      </c>
      <c r="G1354">
        <v>5</v>
      </c>
      <c r="H1354">
        <v>900</v>
      </c>
      <c r="I1354">
        <v>1170</v>
      </c>
      <c r="J1354">
        <v>7.54</v>
      </c>
      <c r="K1354">
        <v>5408.69</v>
      </c>
      <c r="L1354">
        <v>908.69</v>
      </c>
      <c r="M1354">
        <v>44109</v>
      </c>
      <c r="N1354">
        <v>4500</v>
      </c>
      <c r="O1354">
        <v>16.80055614206028</v>
      </c>
      <c r="P1354" t="s">
        <v>2083</v>
      </c>
      <c r="Q1354" t="s">
        <v>2092</v>
      </c>
    </row>
    <row r="1355" spans="1:17" x14ac:dyDescent="0.25">
      <c r="A1355" t="s">
        <v>957</v>
      </c>
      <c r="B1355" s="18">
        <v>45902</v>
      </c>
      <c r="C1355" t="s">
        <v>2027</v>
      </c>
      <c r="D1355" t="s">
        <v>2047</v>
      </c>
      <c r="E1355" t="s">
        <v>2053</v>
      </c>
      <c r="F1355" t="s">
        <v>2061</v>
      </c>
      <c r="G1355">
        <v>10</v>
      </c>
      <c r="H1355">
        <v>1100</v>
      </c>
      <c r="I1355">
        <v>1298</v>
      </c>
      <c r="J1355">
        <v>10.91</v>
      </c>
      <c r="K1355">
        <v>11563.64</v>
      </c>
      <c r="L1355">
        <v>563.64</v>
      </c>
      <c r="M1355">
        <v>141611.79999999999</v>
      </c>
      <c r="N1355">
        <v>11000</v>
      </c>
      <c r="O1355">
        <v>4.8742437502378149</v>
      </c>
      <c r="P1355" t="s">
        <v>2083</v>
      </c>
      <c r="Q1355" t="s">
        <v>2091</v>
      </c>
    </row>
    <row r="1356" spans="1:17" x14ac:dyDescent="0.25">
      <c r="A1356" t="s">
        <v>1125</v>
      </c>
      <c r="B1356" s="18">
        <v>45902</v>
      </c>
      <c r="C1356" t="s">
        <v>2029</v>
      </c>
      <c r="D1356" t="s">
        <v>2049</v>
      </c>
      <c r="E1356" t="s">
        <v>2055</v>
      </c>
      <c r="F1356" t="s">
        <v>2059</v>
      </c>
      <c r="G1356">
        <v>6</v>
      </c>
      <c r="H1356">
        <v>1200</v>
      </c>
      <c r="I1356">
        <v>1464</v>
      </c>
      <c r="J1356">
        <v>3.27</v>
      </c>
      <c r="K1356">
        <v>8496.81</v>
      </c>
      <c r="L1356">
        <v>1296.81</v>
      </c>
      <c r="M1356">
        <v>28723.68</v>
      </c>
      <c r="N1356">
        <v>7200</v>
      </c>
      <c r="O1356">
        <v>15.262316092745396</v>
      </c>
      <c r="P1356" t="s">
        <v>2083</v>
      </c>
      <c r="Q1356" t="s">
        <v>2092</v>
      </c>
    </row>
    <row r="1357" spans="1:17" x14ac:dyDescent="0.25">
      <c r="A1357" t="s">
        <v>1683</v>
      </c>
      <c r="B1357" s="18">
        <v>45902</v>
      </c>
      <c r="C1357" t="s">
        <v>2027</v>
      </c>
      <c r="D1357" t="s">
        <v>2047</v>
      </c>
      <c r="E1357" t="s">
        <v>2053</v>
      </c>
      <c r="F1357" t="s">
        <v>2061</v>
      </c>
      <c r="G1357">
        <v>6</v>
      </c>
      <c r="H1357">
        <v>1100</v>
      </c>
      <c r="I1357">
        <v>1298</v>
      </c>
      <c r="J1357">
        <v>7.7</v>
      </c>
      <c r="K1357">
        <v>7187.98</v>
      </c>
      <c r="L1357">
        <v>587.98</v>
      </c>
      <c r="M1357">
        <v>59967.6</v>
      </c>
      <c r="N1357">
        <v>6600</v>
      </c>
      <c r="O1357">
        <v>8.1800450196021703</v>
      </c>
      <c r="P1357" t="s">
        <v>2083</v>
      </c>
      <c r="Q1357" t="s">
        <v>2091</v>
      </c>
    </row>
    <row r="1358" spans="1:17" x14ac:dyDescent="0.25">
      <c r="A1358" t="s">
        <v>1913</v>
      </c>
      <c r="B1358" s="18">
        <v>45902</v>
      </c>
      <c r="C1358" t="s">
        <v>2018</v>
      </c>
      <c r="D1358" t="s">
        <v>2038</v>
      </c>
      <c r="E1358" t="s">
        <v>2053</v>
      </c>
      <c r="F1358" t="s">
        <v>2061</v>
      </c>
      <c r="G1358">
        <v>6</v>
      </c>
      <c r="H1358">
        <v>500</v>
      </c>
      <c r="I1358">
        <v>610</v>
      </c>
      <c r="J1358">
        <v>21.12</v>
      </c>
      <c r="K1358">
        <v>2887.14</v>
      </c>
      <c r="L1358">
        <v>-112.86</v>
      </c>
      <c r="M1358">
        <v>77299.199999999997</v>
      </c>
      <c r="N1358">
        <v>3000</v>
      </c>
      <c r="O1358">
        <v>-3.9090587917454642</v>
      </c>
      <c r="P1358" t="s">
        <v>2083</v>
      </c>
      <c r="Q1358" t="s">
        <v>2093</v>
      </c>
    </row>
    <row r="1359" spans="1:17" x14ac:dyDescent="0.25">
      <c r="A1359" t="s">
        <v>186</v>
      </c>
      <c r="B1359" s="18">
        <v>45903</v>
      </c>
      <c r="C1359" t="s">
        <v>2027</v>
      </c>
      <c r="D1359" t="s">
        <v>2047</v>
      </c>
      <c r="E1359" t="s">
        <v>2053</v>
      </c>
      <c r="F1359" t="s">
        <v>2061</v>
      </c>
      <c r="G1359">
        <v>1</v>
      </c>
      <c r="H1359">
        <v>1100</v>
      </c>
      <c r="I1359">
        <v>1298</v>
      </c>
      <c r="J1359">
        <v>3.22</v>
      </c>
      <c r="K1359">
        <v>1256.18</v>
      </c>
      <c r="L1359">
        <v>156.18</v>
      </c>
      <c r="M1359">
        <v>4179.5600000000004</v>
      </c>
      <c r="N1359">
        <v>1100</v>
      </c>
      <c r="O1359">
        <v>12.432931586237641</v>
      </c>
      <c r="P1359" t="s">
        <v>2083</v>
      </c>
      <c r="Q1359" t="s">
        <v>2092</v>
      </c>
    </row>
    <row r="1360" spans="1:17" x14ac:dyDescent="0.25">
      <c r="A1360" t="s">
        <v>704</v>
      </c>
      <c r="B1360" s="18">
        <v>45903</v>
      </c>
      <c r="C1360" t="s">
        <v>2015</v>
      </c>
      <c r="D1360" t="s">
        <v>2035</v>
      </c>
      <c r="E1360" t="s">
        <v>2054</v>
      </c>
      <c r="F1360" t="s">
        <v>2060</v>
      </c>
      <c r="G1360">
        <v>9</v>
      </c>
      <c r="H1360">
        <v>900</v>
      </c>
      <c r="I1360">
        <v>1170</v>
      </c>
      <c r="J1360">
        <v>7.98</v>
      </c>
      <c r="K1360">
        <v>9690.19</v>
      </c>
      <c r="L1360">
        <v>1590.19</v>
      </c>
      <c r="M1360">
        <v>84029.400000000009</v>
      </c>
      <c r="N1360">
        <v>8100</v>
      </c>
      <c r="O1360">
        <v>16.410307744223797</v>
      </c>
      <c r="P1360" t="s">
        <v>2083</v>
      </c>
      <c r="Q1360" t="s">
        <v>2092</v>
      </c>
    </row>
    <row r="1361" spans="1:17" x14ac:dyDescent="0.25">
      <c r="A1361" t="s">
        <v>1200</v>
      </c>
      <c r="B1361" s="18">
        <v>45903</v>
      </c>
      <c r="C1361" t="s">
        <v>2015</v>
      </c>
      <c r="D1361" t="s">
        <v>2035</v>
      </c>
      <c r="E1361" t="s">
        <v>2054</v>
      </c>
      <c r="F1361" t="s">
        <v>2060</v>
      </c>
      <c r="G1361">
        <v>2</v>
      </c>
      <c r="H1361">
        <v>900</v>
      </c>
      <c r="I1361">
        <v>1170</v>
      </c>
      <c r="J1361">
        <v>17.25</v>
      </c>
      <c r="K1361">
        <v>1936.35</v>
      </c>
      <c r="L1361">
        <v>136.35</v>
      </c>
      <c r="M1361">
        <v>40365</v>
      </c>
      <c r="N1361">
        <v>1800</v>
      </c>
      <c r="O1361">
        <v>7.0415988844991864</v>
      </c>
      <c r="P1361" t="s">
        <v>2083</v>
      </c>
      <c r="Q1361" t="s">
        <v>2091</v>
      </c>
    </row>
    <row r="1362" spans="1:17" x14ac:dyDescent="0.25">
      <c r="A1362" t="s">
        <v>1202</v>
      </c>
      <c r="B1362" s="18">
        <v>45903</v>
      </c>
      <c r="C1362" t="s">
        <v>2025</v>
      </c>
      <c r="D1362" t="s">
        <v>2045</v>
      </c>
      <c r="E1362" t="s">
        <v>2057</v>
      </c>
      <c r="F1362" t="s">
        <v>2061</v>
      </c>
      <c r="G1362">
        <v>4</v>
      </c>
      <c r="H1362">
        <v>45</v>
      </c>
      <c r="I1362">
        <v>63</v>
      </c>
      <c r="J1362">
        <v>14.96</v>
      </c>
      <c r="K1362">
        <v>214.31</v>
      </c>
      <c r="L1362">
        <v>34.31</v>
      </c>
      <c r="M1362">
        <v>3769.92</v>
      </c>
      <c r="N1362">
        <v>180</v>
      </c>
      <c r="O1362">
        <v>16.009518921188935</v>
      </c>
      <c r="P1362" t="s">
        <v>2083</v>
      </c>
      <c r="Q1362" t="s">
        <v>2092</v>
      </c>
    </row>
    <row r="1363" spans="1:17" x14ac:dyDescent="0.25">
      <c r="A1363" t="s">
        <v>240</v>
      </c>
      <c r="B1363" s="18">
        <v>45904</v>
      </c>
      <c r="C1363" t="s">
        <v>2028</v>
      </c>
      <c r="D1363" t="s">
        <v>2048</v>
      </c>
      <c r="E1363" t="s">
        <v>2057</v>
      </c>
      <c r="F1363" t="s">
        <v>2062</v>
      </c>
      <c r="G1363">
        <v>7</v>
      </c>
      <c r="H1363">
        <v>80</v>
      </c>
      <c r="I1363">
        <v>116</v>
      </c>
      <c r="J1363">
        <v>10.3</v>
      </c>
      <c r="K1363">
        <v>728.39</v>
      </c>
      <c r="L1363">
        <v>168.39</v>
      </c>
      <c r="M1363">
        <v>8363.6</v>
      </c>
      <c r="N1363">
        <v>560</v>
      </c>
      <c r="O1363">
        <v>23.118109803813887</v>
      </c>
      <c r="P1363" t="s">
        <v>2083</v>
      </c>
      <c r="Q1363" t="s">
        <v>2092</v>
      </c>
    </row>
    <row r="1364" spans="1:17" x14ac:dyDescent="0.25">
      <c r="A1364" t="s">
        <v>722</v>
      </c>
      <c r="B1364" s="18">
        <v>45904</v>
      </c>
      <c r="C1364" t="s">
        <v>2022</v>
      </c>
      <c r="D1364" t="s">
        <v>2042</v>
      </c>
      <c r="E1364" t="s">
        <v>2053</v>
      </c>
      <c r="F1364" t="s">
        <v>2059</v>
      </c>
      <c r="G1364">
        <v>1</v>
      </c>
      <c r="H1364">
        <v>8500</v>
      </c>
      <c r="I1364">
        <v>9520</v>
      </c>
      <c r="J1364">
        <v>14.28</v>
      </c>
      <c r="K1364">
        <v>8160.98</v>
      </c>
      <c r="L1364">
        <v>-339.02</v>
      </c>
      <c r="M1364">
        <v>135945.60000000001</v>
      </c>
      <c r="N1364">
        <v>8500</v>
      </c>
      <c r="O1364">
        <v>-4.1541579565199278</v>
      </c>
      <c r="P1364" t="s">
        <v>2083</v>
      </c>
      <c r="Q1364" t="s">
        <v>2093</v>
      </c>
    </row>
    <row r="1365" spans="1:17" x14ac:dyDescent="0.25">
      <c r="A1365" t="s">
        <v>781</v>
      </c>
      <c r="B1365" s="18">
        <v>45904</v>
      </c>
      <c r="C1365" t="s">
        <v>2014</v>
      </c>
      <c r="D1365" t="s">
        <v>2034</v>
      </c>
      <c r="E1365" t="s">
        <v>2052</v>
      </c>
      <c r="F1365" t="s">
        <v>2060</v>
      </c>
      <c r="G1365">
        <v>7</v>
      </c>
      <c r="H1365">
        <v>4500</v>
      </c>
      <c r="I1365">
        <v>5220</v>
      </c>
      <c r="J1365">
        <v>17.440000000000001</v>
      </c>
      <c r="K1365">
        <v>30168.74</v>
      </c>
      <c r="L1365">
        <v>-1331.26</v>
      </c>
      <c r="M1365">
        <v>637257.60000000009</v>
      </c>
      <c r="N1365">
        <v>31500</v>
      </c>
      <c r="O1365">
        <v>-4.4127132919704302</v>
      </c>
      <c r="P1365" t="s">
        <v>2083</v>
      </c>
      <c r="Q1365" t="s">
        <v>2093</v>
      </c>
    </row>
    <row r="1366" spans="1:17" x14ac:dyDescent="0.25">
      <c r="A1366" t="s">
        <v>1685</v>
      </c>
      <c r="B1366" s="18">
        <v>45904</v>
      </c>
      <c r="C1366" t="s">
        <v>2031</v>
      </c>
      <c r="D1366" t="s">
        <v>2051</v>
      </c>
      <c r="E1366" t="s">
        <v>2058</v>
      </c>
      <c r="F1366" t="s">
        <v>2060</v>
      </c>
      <c r="G1366">
        <v>2</v>
      </c>
      <c r="H1366">
        <v>3200</v>
      </c>
      <c r="I1366">
        <v>3840</v>
      </c>
      <c r="J1366">
        <v>7.85</v>
      </c>
      <c r="K1366">
        <v>7076.96</v>
      </c>
      <c r="L1366">
        <v>676.96</v>
      </c>
      <c r="M1366">
        <v>60288</v>
      </c>
      <c r="N1366">
        <v>6400</v>
      </c>
      <c r="O1366">
        <v>9.5656892224910131</v>
      </c>
      <c r="P1366" t="s">
        <v>2083</v>
      </c>
      <c r="Q1366" t="s">
        <v>2091</v>
      </c>
    </row>
    <row r="1367" spans="1:17" x14ac:dyDescent="0.25">
      <c r="A1367" t="s">
        <v>1728</v>
      </c>
      <c r="B1367" s="18">
        <v>45904</v>
      </c>
      <c r="C1367" t="s">
        <v>2024</v>
      </c>
      <c r="D1367" t="s">
        <v>2044</v>
      </c>
      <c r="E1367" t="s">
        <v>2055</v>
      </c>
      <c r="F1367" t="s">
        <v>2060</v>
      </c>
      <c r="G1367">
        <v>7</v>
      </c>
      <c r="H1367">
        <v>180</v>
      </c>
      <c r="I1367">
        <v>243</v>
      </c>
      <c r="J1367">
        <v>20.84</v>
      </c>
      <c r="K1367">
        <v>1346.58</v>
      </c>
      <c r="L1367">
        <v>86.58</v>
      </c>
      <c r="M1367">
        <v>35448.839999999997</v>
      </c>
      <c r="N1367">
        <v>1260</v>
      </c>
      <c r="O1367">
        <v>6.4296217083277636</v>
      </c>
      <c r="P1367" t="s">
        <v>2083</v>
      </c>
      <c r="Q1367" t="s">
        <v>2091</v>
      </c>
    </row>
    <row r="1368" spans="1:17" x14ac:dyDescent="0.25">
      <c r="A1368" t="s">
        <v>1938</v>
      </c>
      <c r="B1368" s="18">
        <v>45904</v>
      </c>
      <c r="C1368" t="s">
        <v>2018</v>
      </c>
      <c r="D1368" t="s">
        <v>2038</v>
      </c>
      <c r="E1368" t="s">
        <v>2053</v>
      </c>
      <c r="F1368" t="s">
        <v>2062</v>
      </c>
      <c r="G1368">
        <v>9</v>
      </c>
      <c r="H1368">
        <v>500</v>
      </c>
      <c r="I1368">
        <v>610</v>
      </c>
      <c r="J1368">
        <v>4.5</v>
      </c>
      <c r="K1368">
        <v>5242.75</v>
      </c>
      <c r="L1368">
        <v>742.75</v>
      </c>
      <c r="M1368">
        <v>24705</v>
      </c>
      <c r="N1368">
        <v>4500</v>
      </c>
      <c r="O1368">
        <v>14.167183253063756</v>
      </c>
      <c r="P1368" t="s">
        <v>2083</v>
      </c>
      <c r="Q1368" t="s">
        <v>2092</v>
      </c>
    </row>
    <row r="1369" spans="1:17" x14ac:dyDescent="0.25">
      <c r="A1369" t="s">
        <v>41</v>
      </c>
      <c r="B1369" s="18">
        <v>45905</v>
      </c>
      <c r="C1369" t="s">
        <v>2017</v>
      </c>
      <c r="D1369" t="s">
        <v>2037</v>
      </c>
      <c r="E1369" t="s">
        <v>2055</v>
      </c>
      <c r="F1369" t="s">
        <v>2059</v>
      </c>
      <c r="G1369">
        <v>4</v>
      </c>
      <c r="H1369">
        <v>2500</v>
      </c>
      <c r="I1369">
        <v>2875</v>
      </c>
      <c r="J1369">
        <v>14.41</v>
      </c>
      <c r="K1369">
        <v>9842.5300000000007</v>
      </c>
      <c r="L1369">
        <v>-157.47</v>
      </c>
      <c r="M1369">
        <v>165715</v>
      </c>
      <c r="N1369">
        <v>10000</v>
      </c>
      <c r="O1369">
        <v>-1.5998935233115876</v>
      </c>
      <c r="P1369" t="s">
        <v>2083</v>
      </c>
      <c r="Q1369" t="s">
        <v>2093</v>
      </c>
    </row>
    <row r="1370" spans="1:17" x14ac:dyDescent="0.25">
      <c r="A1370" t="s">
        <v>575</v>
      </c>
      <c r="B1370" s="18">
        <v>45905</v>
      </c>
      <c r="C1370" t="s">
        <v>2014</v>
      </c>
      <c r="D1370" t="s">
        <v>2034</v>
      </c>
      <c r="E1370" t="s">
        <v>2052</v>
      </c>
      <c r="F1370" t="s">
        <v>2059</v>
      </c>
      <c r="G1370">
        <v>5</v>
      </c>
      <c r="H1370">
        <v>4500</v>
      </c>
      <c r="I1370">
        <v>5220</v>
      </c>
      <c r="J1370">
        <v>10.71</v>
      </c>
      <c r="K1370">
        <v>23303.97</v>
      </c>
      <c r="L1370">
        <v>803.97</v>
      </c>
      <c r="M1370">
        <v>279531</v>
      </c>
      <c r="N1370">
        <v>22500</v>
      </c>
      <c r="O1370">
        <v>3.4499272012451101</v>
      </c>
      <c r="P1370" t="s">
        <v>2083</v>
      </c>
      <c r="Q1370" t="s">
        <v>2091</v>
      </c>
    </row>
    <row r="1371" spans="1:17" x14ac:dyDescent="0.25">
      <c r="A1371" t="s">
        <v>659</v>
      </c>
      <c r="B1371" s="18">
        <v>45905</v>
      </c>
      <c r="C1371" t="s">
        <v>2021</v>
      </c>
      <c r="D1371" t="s">
        <v>2041</v>
      </c>
      <c r="E1371" t="s">
        <v>2056</v>
      </c>
      <c r="F1371" t="s">
        <v>2059</v>
      </c>
      <c r="G1371">
        <v>9</v>
      </c>
      <c r="H1371">
        <v>300</v>
      </c>
      <c r="I1371">
        <v>405</v>
      </c>
      <c r="J1371">
        <v>1.04</v>
      </c>
      <c r="K1371">
        <v>3607.04</v>
      </c>
      <c r="L1371">
        <v>907.04</v>
      </c>
      <c r="M1371">
        <v>3790.8</v>
      </c>
      <c r="N1371">
        <v>2700</v>
      </c>
      <c r="O1371">
        <v>25.146380411639456</v>
      </c>
      <c r="P1371" t="s">
        <v>2083</v>
      </c>
      <c r="Q1371" t="s">
        <v>2092</v>
      </c>
    </row>
    <row r="1372" spans="1:17" x14ac:dyDescent="0.25">
      <c r="A1372" t="s">
        <v>749</v>
      </c>
      <c r="B1372" s="18">
        <v>45905</v>
      </c>
      <c r="C1372" t="s">
        <v>2031</v>
      </c>
      <c r="D1372" t="s">
        <v>2051</v>
      </c>
      <c r="E1372" t="s">
        <v>2058</v>
      </c>
      <c r="F1372" t="s">
        <v>2062</v>
      </c>
      <c r="G1372">
        <v>4</v>
      </c>
      <c r="H1372">
        <v>3200</v>
      </c>
      <c r="I1372">
        <v>3840</v>
      </c>
      <c r="J1372">
        <v>13.87</v>
      </c>
      <c r="K1372">
        <v>13228.88</v>
      </c>
      <c r="L1372">
        <v>428.88</v>
      </c>
      <c r="M1372">
        <v>213043.19999999998</v>
      </c>
      <c r="N1372">
        <v>12800</v>
      </c>
      <c r="O1372">
        <v>3.2419978108502008</v>
      </c>
      <c r="P1372" t="s">
        <v>2083</v>
      </c>
      <c r="Q1372" t="s">
        <v>2091</v>
      </c>
    </row>
    <row r="1373" spans="1:17" x14ac:dyDescent="0.25">
      <c r="A1373" t="s">
        <v>774</v>
      </c>
      <c r="B1373" s="18">
        <v>45905</v>
      </c>
      <c r="C1373" t="s">
        <v>2025</v>
      </c>
      <c r="D1373" t="s">
        <v>2045</v>
      </c>
      <c r="E1373" t="s">
        <v>2057</v>
      </c>
      <c r="F1373" t="s">
        <v>2059</v>
      </c>
      <c r="G1373">
        <v>7</v>
      </c>
      <c r="H1373">
        <v>45</v>
      </c>
      <c r="I1373">
        <v>63</v>
      </c>
      <c r="J1373">
        <v>9.09</v>
      </c>
      <c r="K1373">
        <v>400.93</v>
      </c>
      <c r="L1373">
        <v>85.93</v>
      </c>
      <c r="M1373">
        <v>4008.69</v>
      </c>
      <c r="N1373">
        <v>315</v>
      </c>
      <c r="O1373">
        <v>21.432669044471606</v>
      </c>
      <c r="P1373" t="s">
        <v>2083</v>
      </c>
      <c r="Q1373" t="s">
        <v>2092</v>
      </c>
    </row>
    <row r="1374" spans="1:17" x14ac:dyDescent="0.25">
      <c r="A1374" t="s">
        <v>1380</v>
      </c>
      <c r="B1374" s="18">
        <v>45905</v>
      </c>
      <c r="C1374" t="s">
        <v>2016</v>
      </c>
      <c r="D1374" t="s">
        <v>2036</v>
      </c>
      <c r="E1374" t="s">
        <v>2052</v>
      </c>
      <c r="F1374" t="s">
        <v>2059</v>
      </c>
      <c r="G1374">
        <v>1</v>
      </c>
      <c r="H1374">
        <v>900</v>
      </c>
      <c r="I1374">
        <v>1170</v>
      </c>
      <c r="J1374">
        <v>7.25</v>
      </c>
      <c r="K1374">
        <v>1085.2</v>
      </c>
      <c r="L1374">
        <v>185.2</v>
      </c>
      <c r="M1374">
        <v>8482.5</v>
      </c>
      <c r="N1374">
        <v>900</v>
      </c>
      <c r="O1374">
        <v>17.065978621452267</v>
      </c>
      <c r="P1374" t="s">
        <v>2083</v>
      </c>
      <c r="Q1374" t="s">
        <v>2092</v>
      </c>
    </row>
    <row r="1375" spans="1:17" x14ac:dyDescent="0.25">
      <c r="A1375" t="s">
        <v>1620</v>
      </c>
      <c r="B1375" s="18">
        <v>45905</v>
      </c>
      <c r="C1375" t="s">
        <v>2031</v>
      </c>
      <c r="D1375" t="s">
        <v>2051</v>
      </c>
      <c r="E1375" t="s">
        <v>2058</v>
      </c>
      <c r="F1375" t="s">
        <v>2060</v>
      </c>
      <c r="G1375">
        <v>3</v>
      </c>
      <c r="H1375">
        <v>3200</v>
      </c>
      <c r="I1375">
        <v>3840</v>
      </c>
      <c r="J1375">
        <v>20.53</v>
      </c>
      <c r="K1375">
        <v>9155.25</v>
      </c>
      <c r="L1375">
        <v>-444.75</v>
      </c>
      <c r="M1375">
        <v>236505.60000000001</v>
      </c>
      <c r="N1375">
        <v>9600</v>
      </c>
      <c r="O1375">
        <v>-4.8578684361431961</v>
      </c>
      <c r="P1375" t="s">
        <v>2083</v>
      </c>
      <c r="Q1375" t="s">
        <v>2093</v>
      </c>
    </row>
    <row r="1376" spans="1:17" x14ac:dyDescent="0.25">
      <c r="A1376" t="s">
        <v>1727</v>
      </c>
      <c r="B1376" s="18">
        <v>45905</v>
      </c>
      <c r="C1376" t="s">
        <v>2027</v>
      </c>
      <c r="D1376" t="s">
        <v>2047</v>
      </c>
      <c r="E1376" t="s">
        <v>2053</v>
      </c>
      <c r="F1376" t="s">
        <v>2062</v>
      </c>
      <c r="G1376">
        <v>7</v>
      </c>
      <c r="H1376">
        <v>1100</v>
      </c>
      <c r="I1376">
        <v>1298</v>
      </c>
      <c r="J1376">
        <v>17.829999999999998</v>
      </c>
      <c r="K1376">
        <v>7466.06</v>
      </c>
      <c r="L1376">
        <v>-233.94</v>
      </c>
      <c r="M1376">
        <v>162003.37999999998</v>
      </c>
      <c r="N1376">
        <v>7700</v>
      </c>
      <c r="O1376">
        <v>-3.1333795870914511</v>
      </c>
      <c r="P1376" t="s">
        <v>2083</v>
      </c>
      <c r="Q1376" t="s">
        <v>2093</v>
      </c>
    </row>
    <row r="1377" spans="1:17" x14ac:dyDescent="0.25">
      <c r="A1377" t="s">
        <v>1817</v>
      </c>
      <c r="B1377" s="18">
        <v>45905</v>
      </c>
      <c r="C1377" t="s">
        <v>2018</v>
      </c>
      <c r="D1377" t="s">
        <v>2038</v>
      </c>
      <c r="E1377" t="s">
        <v>2053</v>
      </c>
      <c r="F1377" t="s">
        <v>2061</v>
      </c>
      <c r="G1377">
        <v>2</v>
      </c>
      <c r="H1377">
        <v>500</v>
      </c>
      <c r="I1377">
        <v>610</v>
      </c>
      <c r="J1377">
        <v>10.7</v>
      </c>
      <c r="K1377">
        <v>1089.51</v>
      </c>
      <c r="L1377">
        <v>89.51</v>
      </c>
      <c r="M1377">
        <v>13054</v>
      </c>
      <c r="N1377">
        <v>1000</v>
      </c>
      <c r="O1377">
        <v>8.2156198658112363</v>
      </c>
      <c r="P1377" t="s">
        <v>2083</v>
      </c>
      <c r="Q1377" t="s">
        <v>2091</v>
      </c>
    </row>
    <row r="1378" spans="1:17" x14ac:dyDescent="0.25">
      <c r="A1378" t="s">
        <v>2003</v>
      </c>
      <c r="B1378" s="18">
        <v>45905</v>
      </c>
      <c r="C1378" t="s">
        <v>2019</v>
      </c>
      <c r="D1378" t="s">
        <v>2039</v>
      </c>
      <c r="E1378" t="s">
        <v>2053</v>
      </c>
      <c r="F1378" t="s">
        <v>2062</v>
      </c>
      <c r="G1378">
        <v>2</v>
      </c>
      <c r="H1378">
        <v>900</v>
      </c>
      <c r="I1378">
        <v>1152</v>
      </c>
      <c r="J1378">
        <v>13.44</v>
      </c>
      <c r="K1378">
        <v>1994.3</v>
      </c>
      <c r="L1378">
        <v>194.3</v>
      </c>
      <c r="M1378">
        <v>30965.759999999998</v>
      </c>
      <c r="N1378">
        <v>1800</v>
      </c>
      <c r="O1378">
        <v>9.7427668856240288</v>
      </c>
      <c r="P1378" t="s">
        <v>2083</v>
      </c>
      <c r="Q1378" t="s">
        <v>2091</v>
      </c>
    </row>
    <row r="1379" spans="1:17" x14ac:dyDescent="0.25">
      <c r="A1379" t="s">
        <v>63</v>
      </c>
      <c r="B1379" s="18">
        <v>45906</v>
      </c>
      <c r="C1379" t="s">
        <v>2018</v>
      </c>
      <c r="D1379" t="s">
        <v>2038</v>
      </c>
      <c r="E1379" t="s">
        <v>2053</v>
      </c>
      <c r="F1379" t="s">
        <v>2062</v>
      </c>
      <c r="G1379">
        <v>3</v>
      </c>
      <c r="H1379">
        <v>500</v>
      </c>
      <c r="I1379">
        <v>610</v>
      </c>
      <c r="J1379">
        <v>13.01</v>
      </c>
      <c r="K1379">
        <v>1591.87</v>
      </c>
      <c r="L1379">
        <v>91.87</v>
      </c>
      <c r="M1379">
        <v>23808.3</v>
      </c>
      <c r="N1379">
        <v>1500</v>
      </c>
      <c r="O1379">
        <v>5.7711999095403526</v>
      </c>
      <c r="P1379" t="s">
        <v>2083</v>
      </c>
      <c r="Q1379" t="s">
        <v>2091</v>
      </c>
    </row>
    <row r="1380" spans="1:17" x14ac:dyDescent="0.25">
      <c r="A1380" t="s">
        <v>1178</v>
      </c>
      <c r="B1380" s="18">
        <v>45906</v>
      </c>
      <c r="C1380" t="s">
        <v>2020</v>
      </c>
      <c r="D1380" t="s">
        <v>2040</v>
      </c>
      <c r="E1380" t="s">
        <v>2053</v>
      </c>
      <c r="F1380" t="s">
        <v>2059</v>
      </c>
      <c r="G1380">
        <v>4</v>
      </c>
      <c r="H1380">
        <v>350</v>
      </c>
      <c r="I1380">
        <v>455</v>
      </c>
      <c r="J1380">
        <v>23.52</v>
      </c>
      <c r="K1380">
        <v>1391.98</v>
      </c>
      <c r="L1380">
        <v>-8.02</v>
      </c>
      <c r="M1380">
        <v>42806.400000000001</v>
      </c>
      <c r="N1380">
        <v>1400</v>
      </c>
      <c r="O1380">
        <v>-0.57615770341527894</v>
      </c>
      <c r="P1380" t="s">
        <v>2083</v>
      </c>
      <c r="Q1380" t="s">
        <v>2093</v>
      </c>
    </row>
    <row r="1381" spans="1:17" x14ac:dyDescent="0.25">
      <c r="A1381" t="s">
        <v>1226</v>
      </c>
      <c r="B1381" s="18">
        <v>45906</v>
      </c>
      <c r="C1381" t="s">
        <v>2024</v>
      </c>
      <c r="D1381" t="s">
        <v>2044</v>
      </c>
      <c r="E1381" t="s">
        <v>2055</v>
      </c>
      <c r="F1381" t="s">
        <v>2062</v>
      </c>
      <c r="G1381">
        <v>8</v>
      </c>
      <c r="H1381">
        <v>180</v>
      </c>
      <c r="I1381">
        <v>243</v>
      </c>
      <c r="J1381">
        <v>0</v>
      </c>
      <c r="K1381">
        <v>1944</v>
      </c>
      <c r="L1381">
        <v>504</v>
      </c>
      <c r="M1381">
        <v>0</v>
      </c>
      <c r="N1381">
        <v>1440</v>
      </c>
      <c r="O1381">
        <v>25.925925925925924</v>
      </c>
      <c r="P1381" t="s">
        <v>2083</v>
      </c>
      <c r="Q1381" t="s">
        <v>2092</v>
      </c>
    </row>
    <row r="1382" spans="1:17" x14ac:dyDescent="0.25">
      <c r="A1382" t="s">
        <v>1828</v>
      </c>
      <c r="B1382" s="18">
        <v>45906</v>
      </c>
      <c r="C1382" t="s">
        <v>2023</v>
      </c>
      <c r="D1382" t="s">
        <v>2043</v>
      </c>
      <c r="E1382" t="s">
        <v>2053</v>
      </c>
      <c r="F1382" t="s">
        <v>2060</v>
      </c>
      <c r="G1382">
        <v>9</v>
      </c>
      <c r="H1382">
        <v>550</v>
      </c>
      <c r="I1382">
        <v>742.5</v>
      </c>
      <c r="J1382">
        <v>7.19</v>
      </c>
      <c r="K1382">
        <v>6202.34</v>
      </c>
      <c r="L1382">
        <v>1252.3399999999999</v>
      </c>
      <c r="M1382">
        <v>48047.175000000003</v>
      </c>
      <c r="N1382">
        <v>4950</v>
      </c>
      <c r="O1382">
        <v>20.191411628514398</v>
      </c>
      <c r="P1382" t="s">
        <v>2083</v>
      </c>
      <c r="Q1382" t="s">
        <v>2092</v>
      </c>
    </row>
    <row r="1383" spans="1:17" x14ac:dyDescent="0.25">
      <c r="A1383" t="s">
        <v>566</v>
      </c>
      <c r="B1383" s="18">
        <v>45907</v>
      </c>
      <c r="C1383" t="s">
        <v>2014</v>
      </c>
      <c r="D1383" t="s">
        <v>2034</v>
      </c>
      <c r="E1383" t="s">
        <v>2052</v>
      </c>
      <c r="F1383" t="s">
        <v>2060</v>
      </c>
      <c r="G1383">
        <v>3</v>
      </c>
      <c r="H1383">
        <v>4500</v>
      </c>
      <c r="I1383">
        <v>5220</v>
      </c>
      <c r="J1383">
        <v>24.09</v>
      </c>
      <c r="K1383">
        <v>11886.87</v>
      </c>
      <c r="L1383">
        <v>-1613.13</v>
      </c>
      <c r="M1383">
        <v>377249.4</v>
      </c>
      <c r="N1383">
        <v>13500</v>
      </c>
      <c r="O1383">
        <v>-13.570687657894803</v>
      </c>
      <c r="P1383" t="s">
        <v>2083</v>
      </c>
      <c r="Q1383" t="s">
        <v>2093</v>
      </c>
    </row>
    <row r="1384" spans="1:17" x14ac:dyDescent="0.25">
      <c r="A1384" t="s">
        <v>996</v>
      </c>
      <c r="B1384" s="18">
        <v>45907</v>
      </c>
      <c r="C1384" t="s">
        <v>2018</v>
      </c>
      <c r="D1384" t="s">
        <v>2038</v>
      </c>
      <c r="E1384" t="s">
        <v>2053</v>
      </c>
      <c r="F1384" t="s">
        <v>2059</v>
      </c>
      <c r="G1384">
        <v>1</v>
      </c>
      <c r="H1384">
        <v>500</v>
      </c>
      <c r="I1384">
        <v>610</v>
      </c>
      <c r="J1384">
        <v>8.57</v>
      </c>
      <c r="K1384">
        <v>557.70000000000005</v>
      </c>
      <c r="L1384">
        <v>57.7</v>
      </c>
      <c r="M1384">
        <v>5227.7</v>
      </c>
      <c r="N1384">
        <v>500</v>
      </c>
      <c r="O1384">
        <v>10.346064192218037</v>
      </c>
      <c r="P1384" t="s">
        <v>2083</v>
      </c>
      <c r="Q1384" t="s">
        <v>2092</v>
      </c>
    </row>
    <row r="1385" spans="1:17" x14ac:dyDescent="0.25">
      <c r="A1385" t="s">
        <v>1159</v>
      </c>
      <c r="B1385" s="18">
        <v>45907</v>
      </c>
      <c r="C1385" t="s">
        <v>2012</v>
      </c>
      <c r="D1385" t="s">
        <v>2032</v>
      </c>
      <c r="E1385" t="s">
        <v>2052</v>
      </c>
      <c r="F1385" t="s">
        <v>2059</v>
      </c>
      <c r="G1385">
        <v>5</v>
      </c>
      <c r="H1385">
        <v>6500</v>
      </c>
      <c r="I1385">
        <v>8125</v>
      </c>
      <c r="J1385">
        <v>4</v>
      </c>
      <c r="K1385">
        <v>39000</v>
      </c>
      <c r="L1385">
        <v>6500</v>
      </c>
      <c r="M1385">
        <v>162500</v>
      </c>
      <c r="N1385">
        <v>32500</v>
      </c>
      <c r="O1385">
        <v>16.666666666666664</v>
      </c>
      <c r="P1385" t="s">
        <v>2083</v>
      </c>
      <c r="Q1385" t="s">
        <v>2092</v>
      </c>
    </row>
    <row r="1386" spans="1:17" x14ac:dyDescent="0.25">
      <c r="A1386" t="s">
        <v>1180</v>
      </c>
      <c r="B1386" s="18">
        <v>45907</v>
      </c>
      <c r="C1386" t="s">
        <v>2027</v>
      </c>
      <c r="D1386" t="s">
        <v>2047</v>
      </c>
      <c r="E1386" t="s">
        <v>2053</v>
      </c>
      <c r="F1386" t="s">
        <v>2061</v>
      </c>
      <c r="G1386">
        <v>7</v>
      </c>
      <c r="H1386">
        <v>1100</v>
      </c>
      <c r="I1386">
        <v>1298</v>
      </c>
      <c r="J1386">
        <v>7.35</v>
      </c>
      <c r="K1386">
        <v>8418.44</v>
      </c>
      <c r="L1386">
        <v>718.44</v>
      </c>
      <c r="M1386">
        <v>66782.099999999991</v>
      </c>
      <c r="N1386">
        <v>7700</v>
      </c>
      <c r="O1386">
        <v>8.5341227115712659</v>
      </c>
      <c r="P1386" t="s">
        <v>2083</v>
      </c>
      <c r="Q1386" t="s">
        <v>2091</v>
      </c>
    </row>
    <row r="1387" spans="1:17" x14ac:dyDescent="0.25">
      <c r="A1387" t="s">
        <v>1219</v>
      </c>
      <c r="B1387" s="18">
        <v>45907</v>
      </c>
      <c r="C1387" t="s">
        <v>2025</v>
      </c>
      <c r="D1387" t="s">
        <v>2045</v>
      </c>
      <c r="E1387" t="s">
        <v>2057</v>
      </c>
      <c r="F1387" t="s">
        <v>2061</v>
      </c>
      <c r="G1387">
        <v>3</v>
      </c>
      <c r="H1387">
        <v>45</v>
      </c>
      <c r="I1387">
        <v>63</v>
      </c>
      <c r="J1387">
        <v>22.28</v>
      </c>
      <c r="K1387">
        <v>146.88</v>
      </c>
      <c r="L1387">
        <v>11.88</v>
      </c>
      <c r="M1387">
        <v>4210.92</v>
      </c>
      <c r="N1387">
        <v>135</v>
      </c>
      <c r="O1387">
        <v>8.0882352941176467</v>
      </c>
      <c r="P1387" t="s">
        <v>2083</v>
      </c>
      <c r="Q1387" t="s">
        <v>2091</v>
      </c>
    </row>
    <row r="1388" spans="1:17" x14ac:dyDescent="0.25">
      <c r="A1388" t="s">
        <v>476</v>
      </c>
      <c r="B1388" s="18">
        <v>45908</v>
      </c>
      <c r="C1388" t="s">
        <v>2028</v>
      </c>
      <c r="D1388" t="s">
        <v>2048</v>
      </c>
      <c r="E1388" t="s">
        <v>2057</v>
      </c>
      <c r="F1388" t="s">
        <v>2059</v>
      </c>
      <c r="G1388">
        <v>5</v>
      </c>
      <c r="H1388">
        <v>80</v>
      </c>
      <c r="I1388">
        <v>116</v>
      </c>
      <c r="J1388">
        <v>8.44</v>
      </c>
      <c r="K1388">
        <v>531.07000000000005</v>
      </c>
      <c r="L1388">
        <v>131.07</v>
      </c>
      <c r="M1388">
        <v>4895.2</v>
      </c>
      <c r="N1388">
        <v>400</v>
      </c>
      <c r="O1388">
        <v>24.680362287457395</v>
      </c>
      <c r="P1388" t="s">
        <v>2083</v>
      </c>
      <c r="Q1388" t="s">
        <v>2092</v>
      </c>
    </row>
    <row r="1389" spans="1:17" x14ac:dyDescent="0.25">
      <c r="A1389" t="s">
        <v>477</v>
      </c>
      <c r="B1389" s="18">
        <v>45908</v>
      </c>
      <c r="C1389" t="s">
        <v>2024</v>
      </c>
      <c r="D1389" t="s">
        <v>2044</v>
      </c>
      <c r="E1389" t="s">
        <v>2055</v>
      </c>
      <c r="F1389" t="s">
        <v>2062</v>
      </c>
      <c r="G1389">
        <v>5</v>
      </c>
      <c r="H1389">
        <v>180</v>
      </c>
      <c r="I1389">
        <v>243</v>
      </c>
      <c r="J1389">
        <v>0</v>
      </c>
      <c r="K1389">
        <v>1215</v>
      </c>
      <c r="L1389">
        <v>315</v>
      </c>
      <c r="M1389">
        <v>0</v>
      </c>
      <c r="N1389">
        <v>900</v>
      </c>
      <c r="O1389">
        <v>25.925925925925924</v>
      </c>
      <c r="P1389" t="s">
        <v>2083</v>
      </c>
      <c r="Q1389" t="s">
        <v>2092</v>
      </c>
    </row>
    <row r="1390" spans="1:17" x14ac:dyDescent="0.25">
      <c r="A1390" t="s">
        <v>806</v>
      </c>
      <c r="B1390" s="18">
        <v>45908</v>
      </c>
      <c r="C1390" t="s">
        <v>2017</v>
      </c>
      <c r="D1390" t="s">
        <v>2037</v>
      </c>
      <c r="E1390" t="s">
        <v>2055</v>
      </c>
      <c r="F1390" t="s">
        <v>2059</v>
      </c>
      <c r="G1390">
        <v>8</v>
      </c>
      <c r="H1390">
        <v>2500</v>
      </c>
      <c r="I1390">
        <v>2875</v>
      </c>
      <c r="J1390">
        <v>6.67</v>
      </c>
      <c r="K1390">
        <v>21466.13</v>
      </c>
      <c r="L1390">
        <v>1466.13</v>
      </c>
      <c r="M1390">
        <v>153410</v>
      </c>
      <c r="N1390">
        <v>20000</v>
      </c>
      <c r="O1390">
        <v>6.8299688858681096</v>
      </c>
      <c r="P1390" t="s">
        <v>2083</v>
      </c>
      <c r="Q1390" t="s">
        <v>2091</v>
      </c>
    </row>
    <row r="1391" spans="1:17" x14ac:dyDescent="0.25">
      <c r="A1391" t="s">
        <v>838</v>
      </c>
      <c r="B1391" s="18">
        <v>45908</v>
      </c>
      <c r="C1391" t="s">
        <v>2030</v>
      </c>
      <c r="D1391" t="s">
        <v>2050</v>
      </c>
      <c r="E1391" t="s">
        <v>2058</v>
      </c>
      <c r="F1391" t="s">
        <v>2059</v>
      </c>
      <c r="G1391">
        <v>2</v>
      </c>
      <c r="H1391">
        <v>1800</v>
      </c>
      <c r="I1391">
        <v>2124</v>
      </c>
      <c r="J1391">
        <v>7.13</v>
      </c>
      <c r="K1391">
        <v>3944.95</v>
      </c>
      <c r="L1391">
        <v>344.95</v>
      </c>
      <c r="M1391">
        <v>30288.239999999998</v>
      </c>
      <c r="N1391">
        <v>3600</v>
      </c>
      <c r="O1391">
        <v>8.744090546141269</v>
      </c>
      <c r="P1391" t="s">
        <v>2083</v>
      </c>
      <c r="Q1391" t="s">
        <v>2091</v>
      </c>
    </row>
    <row r="1392" spans="1:17" x14ac:dyDescent="0.25">
      <c r="A1392" t="s">
        <v>1905</v>
      </c>
      <c r="B1392" s="18">
        <v>45908</v>
      </c>
      <c r="C1392" t="s">
        <v>2012</v>
      </c>
      <c r="D1392" t="s">
        <v>2032</v>
      </c>
      <c r="E1392" t="s">
        <v>2052</v>
      </c>
      <c r="F1392" t="s">
        <v>2060</v>
      </c>
      <c r="G1392">
        <v>9</v>
      </c>
      <c r="H1392">
        <v>6500</v>
      </c>
      <c r="I1392">
        <v>8125</v>
      </c>
      <c r="J1392">
        <v>21.17</v>
      </c>
      <c r="K1392">
        <v>57646.54</v>
      </c>
      <c r="L1392">
        <v>-853.46</v>
      </c>
      <c r="M1392">
        <v>1548056.2500000002</v>
      </c>
      <c r="N1392">
        <v>58500</v>
      </c>
      <c r="O1392">
        <v>-1.4805051612811453</v>
      </c>
      <c r="P1392" t="s">
        <v>2083</v>
      </c>
      <c r="Q1392" t="s">
        <v>2093</v>
      </c>
    </row>
    <row r="1393" spans="1:17" x14ac:dyDescent="0.25">
      <c r="A1393" t="s">
        <v>156</v>
      </c>
      <c r="B1393" s="18">
        <v>45909</v>
      </c>
      <c r="C1393" t="s">
        <v>2013</v>
      </c>
      <c r="D1393" t="s">
        <v>2033</v>
      </c>
      <c r="E1393" t="s">
        <v>2053</v>
      </c>
      <c r="F1393" t="s">
        <v>2062</v>
      </c>
      <c r="G1393">
        <v>2</v>
      </c>
      <c r="H1393">
        <v>6500</v>
      </c>
      <c r="I1393">
        <v>7150</v>
      </c>
      <c r="J1393">
        <v>14.97</v>
      </c>
      <c r="K1393">
        <v>12159.64</v>
      </c>
      <c r="L1393">
        <v>-840.36</v>
      </c>
      <c r="M1393">
        <v>214071</v>
      </c>
      <c r="N1393">
        <v>13000</v>
      </c>
      <c r="O1393">
        <v>-6.9110598669039556</v>
      </c>
      <c r="P1393" t="s">
        <v>2083</v>
      </c>
      <c r="Q1393" t="s">
        <v>2093</v>
      </c>
    </row>
    <row r="1394" spans="1:17" x14ac:dyDescent="0.25">
      <c r="A1394" t="s">
        <v>213</v>
      </c>
      <c r="B1394" s="18">
        <v>45909</v>
      </c>
      <c r="C1394" t="s">
        <v>2017</v>
      </c>
      <c r="D1394" t="s">
        <v>2037</v>
      </c>
      <c r="E1394" t="s">
        <v>2055</v>
      </c>
      <c r="F1394" t="s">
        <v>2060</v>
      </c>
      <c r="G1394">
        <v>1</v>
      </c>
      <c r="H1394">
        <v>2500</v>
      </c>
      <c r="I1394">
        <v>2875</v>
      </c>
      <c r="J1394">
        <v>3.45</v>
      </c>
      <c r="K1394">
        <v>2775.9</v>
      </c>
      <c r="L1394">
        <v>275.89999999999998</v>
      </c>
      <c r="M1394">
        <v>9918.75</v>
      </c>
      <c r="N1394">
        <v>2500</v>
      </c>
      <c r="O1394">
        <v>9.9391188443387719</v>
      </c>
      <c r="P1394" t="s">
        <v>2083</v>
      </c>
      <c r="Q1394" t="s">
        <v>2091</v>
      </c>
    </row>
    <row r="1395" spans="1:17" x14ac:dyDescent="0.25">
      <c r="A1395" t="s">
        <v>799</v>
      </c>
      <c r="B1395" s="18">
        <v>45909</v>
      </c>
      <c r="C1395" t="s">
        <v>2022</v>
      </c>
      <c r="D1395" t="s">
        <v>2042</v>
      </c>
      <c r="E1395" t="s">
        <v>2053</v>
      </c>
      <c r="F1395" t="s">
        <v>2060</v>
      </c>
      <c r="G1395">
        <v>2</v>
      </c>
      <c r="H1395">
        <v>8500</v>
      </c>
      <c r="I1395">
        <v>9520</v>
      </c>
      <c r="J1395">
        <v>9.11</v>
      </c>
      <c r="K1395">
        <v>17305.740000000002</v>
      </c>
      <c r="L1395">
        <v>305.74</v>
      </c>
      <c r="M1395">
        <v>173454.4</v>
      </c>
      <c r="N1395">
        <v>17000</v>
      </c>
      <c r="O1395">
        <v>1.7666970612062818</v>
      </c>
      <c r="P1395" t="s">
        <v>2083</v>
      </c>
      <c r="Q1395" t="s">
        <v>2091</v>
      </c>
    </row>
    <row r="1396" spans="1:17" x14ac:dyDescent="0.25">
      <c r="A1396" t="s">
        <v>1174</v>
      </c>
      <c r="B1396" s="18">
        <v>45909</v>
      </c>
      <c r="C1396" t="s">
        <v>2024</v>
      </c>
      <c r="D1396" t="s">
        <v>2044</v>
      </c>
      <c r="E1396" t="s">
        <v>2055</v>
      </c>
      <c r="F1396" t="s">
        <v>2061</v>
      </c>
      <c r="G1396">
        <v>6</v>
      </c>
      <c r="H1396">
        <v>180</v>
      </c>
      <c r="I1396">
        <v>243</v>
      </c>
      <c r="J1396">
        <v>15.72</v>
      </c>
      <c r="K1396">
        <v>1228.8699999999999</v>
      </c>
      <c r="L1396">
        <v>148.87</v>
      </c>
      <c r="M1396">
        <v>22919.760000000002</v>
      </c>
      <c r="N1396">
        <v>1080</v>
      </c>
      <c r="O1396">
        <v>12.114381504959843</v>
      </c>
      <c r="P1396" t="s">
        <v>2083</v>
      </c>
      <c r="Q1396" t="s">
        <v>2092</v>
      </c>
    </row>
    <row r="1397" spans="1:17" x14ac:dyDescent="0.25">
      <c r="A1397" t="s">
        <v>1487</v>
      </c>
      <c r="B1397" s="18">
        <v>45909</v>
      </c>
      <c r="C1397" t="s">
        <v>2015</v>
      </c>
      <c r="D1397" t="s">
        <v>2035</v>
      </c>
      <c r="E1397" t="s">
        <v>2054</v>
      </c>
      <c r="F1397" t="s">
        <v>2062</v>
      </c>
      <c r="G1397">
        <v>9</v>
      </c>
      <c r="H1397">
        <v>900</v>
      </c>
      <c r="I1397">
        <v>1170</v>
      </c>
      <c r="J1397">
        <v>8.9600000000000009</v>
      </c>
      <c r="K1397">
        <v>9586.7199999999993</v>
      </c>
      <c r="L1397">
        <v>1486.72</v>
      </c>
      <c r="M1397">
        <v>94348.800000000003</v>
      </c>
      <c r="N1397">
        <v>8100</v>
      </c>
      <c r="O1397">
        <v>15.508119565398804</v>
      </c>
      <c r="P1397" t="s">
        <v>2083</v>
      </c>
      <c r="Q1397" t="s">
        <v>2092</v>
      </c>
    </row>
    <row r="1398" spans="1:17" x14ac:dyDescent="0.25">
      <c r="A1398" t="s">
        <v>1659</v>
      </c>
      <c r="B1398" s="18">
        <v>45909</v>
      </c>
      <c r="C1398" t="s">
        <v>2020</v>
      </c>
      <c r="D1398" t="s">
        <v>2040</v>
      </c>
      <c r="E1398" t="s">
        <v>2053</v>
      </c>
      <c r="F1398" t="s">
        <v>2060</v>
      </c>
      <c r="G1398">
        <v>6</v>
      </c>
      <c r="H1398">
        <v>350</v>
      </c>
      <c r="I1398">
        <v>455</v>
      </c>
      <c r="J1398">
        <v>13.18</v>
      </c>
      <c r="K1398">
        <v>2370.0500000000002</v>
      </c>
      <c r="L1398">
        <v>270.05</v>
      </c>
      <c r="M1398">
        <v>35981.4</v>
      </c>
      <c r="N1398">
        <v>2100</v>
      </c>
      <c r="O1398">
        <v>11.394274382396997</v>
      </c>
      <c r="P1398" t="s">
        <v>2083</v>
      </c>
      <c r="Q1398" t="s">
        <v>2092</v>
      </c>
    </row>
    <row r="1399" spans="1:17" x14ac:dyDescent="0.25">
      <c r="A1399" t="s">
        <v>1712</v>
      </c>
      <c r="B1399" s="18">
        <v>45909</v>
      </c>
      <c r="C1399" t="s">
        <v>2021</v>
      </c>
      <c r="D1399" t="s">
        <v>2041</v>
      </c>
      <c r="E1399" t="s">
        <v>2056</v>
      </c>
      <c r="F1399" t="s">
        <v>2061</v>
      </c>
      <c r="G1399">
        <v>3</v>
      </c>
      <c r="H1399">
        <v>300</v>
      </c>
      <c r="I1399">
        <v>405</v>
      </c>
      <c r="J1399">
        <v>3.95</v>
      </c>
      <c r="K1399">
        <v>1166.99</v>
      </c>
      <c r="L1399">
        <v>266.99</v>
      </c>
      <c r="M1399">
        <v>4799.25</v>
      </c>
      <c r="N1399">
        <v>900</v>
      </c>
      <c r="O1399">
        <v>22.878516525420096</v>
      </c>
      <c r="P1399" t="s">
        <v>2083</v>
      </c>
      <c r="Q1399" t="s">
        <v>2092</v>
      </c>
    </row>
    <row r="1400" spans="1:17" x14ac:dyDescent="0.25">
      <c r="A1400" t="s">
        <v>103</v>
      </c>
      <c r="B1400" s="18">
        <v>45910</v>
      </c>
      <c r="C1400" t="s">
        <v>2028</v>
      </c>
      <c r="D1400" t="s">
        <v>2048</v>
      </c>
      <c r="E1400" t="s">
        <v>2057</v>
      </c>
      <c r="F1400" t="s">
        <v>2059</v>
      </c>
      <c r="G1400">
        <v>3</v>
      </c>
      <c r="H1400">
        <v>80</v>
      </c>
      <c r="I1400">
        <v>116</v>
      </c>
      <c r="J1400">
        <v>2.2799999999999998</v>
      </c>
      <c r="K1400">
        <v>340.05</v>
      </c>
      <c r="L1400">
        <v>100.05</v>
      </c>
      <c r="M1400">
        <v>793.43999999999994</v>
      </c>
      <c r="N1400">
        <v>240</v>
      </c>
      <c r="O1400">
        <v>29.422143802381999</v>
      </c>
      <c r="P1400" t="s">
        <v>2083</v>
      </c>
      <c r="Q1400" t="s">
        <v>2092</v>
      </c>
    </row>
    <row r="1401" spans="1:17" x14ac:dyDescent="0.25">
      <c r="A1401" t="s">
        <v>146</v>
      </c>
      <c r="B1401" s="18">
        <v>45910</v>
      </c>
      <c r="C1401" t="s">
        <v>2025</v>
      </c>
      <c r="D1401" t="s">
        <v>2045</v>
      </c>
      <c r="E1401" t="s">
        <v>2057</v>
      </c>
      <c r="F1401" t="s">
        <v>2060</v>
      </c>
      <c r="G1401">
        <v>9</v>
      </c>
      <c r="H1401">
        <v>45</v>
      </c>
      <c r="I1401">
        <v>63</v>
      </c>
      <c r="J1401">
        <v>11.32</v>
      </c>
      <c r="K1401">
        <v>502.84</v>
      </c>
      <c r="L1401">
        <v>97.84</v>
      </c>
      <c r="M1401">
        <v>6418.4400000000005</v>
      </c>
      <c r="N1401">
        <v>405</v>
      </c>
      <c r="O1401">
        <v>19.457481505051312</v>
      </c>
      <c r="P1401" t="s">
        <v>2083</v>
      </c>
      <c r="Q1401" t="s">
        <v>2092</v>
      </c>
    </row>
    <row r="1402" spans="1:17" x14ac:dyDescent="0.25">
      <c r="A1402" t="s">
        <v>135</v>
      </c>
      <c r="B1402" s="18">
        <v>45911</v>
      </c>
      <c r="C1402" t="s">
        <v>2018</v>
      </c>
      <c r="D1402" t="s">
        <v>2038</v>
      </c>
      <c r="E1402" t="s">
        <v>2053</v>
      </c>
      <c r="F1402" t="s">
        <v>2062</v>
      </c>
      <c r="G1402">
        <v>10</v>
      </c>
      <c r="H1402">
        <v>500</v>
      </c>
      <c r="I1402">
        <v>610</v>
      </c>
      <c r="J1402">
        <v>0</v>
      </c>
      <c r="K1402">
        <v>6100</v>
      </c>
      <c r="L1402">
        <v>1100</v>
      </c>
      <c r="M1402">
        <v>0</v>
      </c>
      <c r="N1402">
        <v>5000</v>
      </c>
      <c r="O1402">
        <v>18.032786885245901</v>
      </c>
      <c r="P1402" t="s">
        <v>2083</v>
      </c>
      <c r="Q1402" t="s">
        <v>2092</v>
      </c>
    </row>
    <row r="1403" spans="1:17" x14ac:dyDescent="0.25">
      <c r="A1403" t="s">
        <v>446</v>
      </c>
      <c r="B1403" s="18">
        <v>45911</v>
      </c>
      <c r="C1403" t="s">
        <v>2019</v>
      </c>
      <c r="D1403" t="s">
        <v>2039</v>
      </c>
      <c r="E1403" t="s">
        <v>2053</v>
      </c>
      <c r="F1403" t="s">
        <v>2062</v>
      </c>
      <c r="G1403">
        <v>8</v>
      </c>
      <c r="H1403">
        <v>900</v>
      </c>
      <c r="I1403">
        <v>1152</v>
      </c>
      <c r="J1403">
        <v>7.92</v>
      </c>
      <c r="K1403">
        <v>8486.42</v>
      </c>
      <c r="L1403">
        <v>1286.42</v>
      </c>
      <c r="M1403">
        <v>72990.720000000001</v>
      </c>
      <c r="N1403">
        <v>7200</v>
      </c>
      <c r="O1403">
        <v>15.158570987530668</v>
      </c>
      <c r="P1403" t="s">
        <v>2083</v>
      </c>
      <c r="Q1403" t="s">
        <v>2092</v>
      </c>
    </row>
    <row r="1404" spans="1:17" x14ac:dyDescent="0.25">
      <c r="A1404" t="s">
        <v>504</v>
      </c>
      <c r="B1404" s="18">
        <v>45911</v>
      </c>
      <c r="C1404" t="s">
        <v>2025</v>
      </c>
      <c r="D1404" t="s">
        <v>2045</v>
      </c>
      <c r="E1404" t="s">
        <v>2057</v>
      </c>
      <c r="F1404" t="s">
        <v>2060</v>
      </c>
      <c r="G1404">
        <v>2</v>
      </c>
      <c r="H1404">
        <v>45</v>
      </c>
      <c r="I1404">
        <v>63</v>
      </c>
      <c r="J1404">
        <v>2.54</v>
      </c>
      <c r="K1404">
        <v>122.8</v>
      </c>
      <c r="L1404">
        <v>32.799999999999997</v>
      </c>
      <c r="M1404">
        <v>320.04000000000002</v>
      </c>
      <c r="N1404">
        <v>90</v>
      </c>
      <c r="O1404">
        <v>26.710097719869708</v>
      </c>
      <c r="P1404" t="s">
        <v>2083</v>
      </c>
      <c r="Q1404" t="s">
        <v>2092</v>
      </c>
    </row>
    <row r="1405" spans="1:17" x14ac:dyDescent="0.25">
      <c r="A1405" t="s">
        <v>660</v>
      </c>
      <c r="B1405" s="18">
        <v>45911</v>
      </c>
      <c r="C1405" t="s">
        <v>2023</v>
      </c>
      <c r="D1405" t="s">
        <v>2043</v>
      </c>
      <c r="E1405" t="s">
        <v>2053</v>
      </c>
      <c r="F1405" t="s">
        <v>2060</v>
      </c>
      <c r="G1405">
        <v>6</v>
      </c>
      <c r="H1405">
        <v>550</v>
      </c>
      <c r="I1405">
        <v>742.5</v>
      </c>
      <c r="J1405">
        <v>6.84</v>
      </c>
      <c r="K1405">
        <v>4150.2</v>
      </c>
      <c r="L1405">
        <v>850.2</v>
      </c>
      <c r="M1405">
        <v>30472.2</v>
      </c>
      <c r="N1405">
        <v>3300</v>
      </c>
      <c r="O1405">
        <v>20.485759722423015</v>
      </c>
      <c r="P1405" t="s">
        <v>2083</v>
      </c>
      <c r="Q1405" t="s">
        <v>2092</v>
      </c>
    </row>
    <row r="1406" spans="1:17" x14ac:dyDescent="0.25">
      <c r="A1406" t="s">
        <v>1823</v>
      </c>
      <c r="B1406" s="18">
        <v>45911</v>
      </c>
      <c r="C1406" t="s">
        <v>2031</v>
      </c>
      <c r="D1406" t="s">
        <v>2051</v>
      </c>
      <c r="E1406" t="s">
        <v>2058</v>
      </c>
      <c r="F1406" t="s">
        <v>2060</v>
      </c>
      <c r="G1406">
        <v>6</v>
      </c>
      <c r="H1406">
        <v>3200</v>
      </c>
      <c r="I1406">
        <v>3840</v>
      </c>
      <c r="J1406">
        <v>21.77</v>
      </c>
      <c r="K1406">
        <v>18024.23</v>
      </c>
      <c r="L1406">
        <v>-1175.77</v>
      </c>
      <c r="M1406">
        <v>501580.79999999999</v>
      </c>
      <c r="N1406">
        <v>19200</v>
      </c>
      <c r="O1406">
        <v>-6.5232745032658812</v>
      </c>
      <c r="P1406" t="s">
        <v>2083</v>
      </c>
      <c r="Q1406" t="s">
        <v>2093</v>
      </c>
    </row>
    <row r="1407" spans="1:17" x14ac:dyDescent="0.25">
      <c r="A1407" t="s">
        <v>1874</v>
      </c>
      <c r="B1407" s="18">
        <v>45911</v>
      </c>
      <c r="C1407" t="s">
        <v>2026</v>
      </c>
      <c r="D1407" t="s">
        <v>2046</v>
      </c>
      <c r="E1407" t="s">
        <v>2052</v>
      </c>
      <c r="F1407" t="s">
        <v>2059</v>
      </c>
      <c r="G1407">
        <v>8</v>
      </c>
      <c r="H1407">
        <v>3000</v>
      </c>
      <c r="I1407">
        <v>3600</v>
      </c>
      <c r="J1407">
        <v>11.32</v>
      </c>
      <c r="K1407">
        <v>25538.97</v>
      </c>
      <c r="L1407">
        <v>1538.97</v>
      </c>
      <c r="M1407">
        <v>326016</v>
      </c>
      <c r="N1407">
        <v>24000</v>
      </c>
      <c r="O1407">
        <v>6.0259673745652238</v>
      </c>
      <c r="P1407" t="s">
        <v>2083</v>
      </c>
      <c r="Q1407" t="s">
        <v>2091</v>
      </c>
    </row>
    <row r="1408" spans="1:17" x14ac:dyDescent="0.25">
      <c r="A1408" t="s">
        <v>295</v>
      </c>
      <c r="B1408" s="18">
        <v>45912</v>
      </c>
      <c r="C1408" t="s">
        <v>2019</v>
      </c>
      <c r="D1408" t="s">
        <v>2039</v>
      </c>
      <c r="E1408" t="s">
        <v>2053</v>
      </c>
      <c r="F1408" t="s">
        <v>2062</v>
      </c>
      <c r="G1408">
        <v>7</v>
      </c>
      <c r="H1408">
        <v>900</v>
      </c>
      <c r="I1408">
        <v>1152</v>
      </c>
      <c r="J1408">
        <v>9.81</v>
      </c>
      <c r="K1408">
        <v>7273.31</v>
      </c>
      <c r="L1408">
        <v>973.31</v>
      </c>
      <c r="M1408">
        <v>79107.840000000011</v>
      </c>
      <c r="N1408">
        <v>6300</v>
      </c>
      <c r="O1408">
        <v>13.381940272035703</v>
      </c>
      <c r="P1408" t="s">
        <v>2083</v>
      </c>
      <c r="Q1408" t="s">
        <v>2092</v>
      </c>
    </row>
    <row r="1409" spans="1:17" x14ac:dyDescent="0.25">
      <c r="A1409" t="s">
        <v>868</v>
      </c>
      <c r="B1409" s="18">
        <v>45912</v>
      </c>
      <c r="C1409" t="s">
        <v>2027</v>
      </c>
      <c r="D1409" t="s">
        <v>2047</v>
      </c>
      <c r="E1409" t="s">
        <v>2053</v>
      </c>
      <c r="F1409" t="s">
        <v>2060</v>
      </c>
      <c r="G1409">
        <v>2</v>
      </c>
      <c r="H1409">
        <v>1100</v>
      </c>
      <c r="I1409">
        <v>1298</v>
      </c>
      <c r="J1409">
        <v>3.8</v>
      </c>
      <c r="K1409">
        <v>2497.31</v>
      </c>
      <c r="L1409">
        <v>297.31</v>
      </c>
      <c r="M1409">
        <v>9864.7999999999993</v>
      </c>
      <c r="N1409">
        <v>2200</v>
      </c>
      <c r="O1409">
        <v>11.905210005966421</v>
      </c>
      <c r="P1409" t="s">
        <v>2083</v>
      </c>
      <c r="Q1409" t="s">
        <v>2092</v>
      </c>
    </row>
    <row r="1410" spans="1:17" x14ac:dyDescent="0.25">
      <c r="A1410" t="s">
        <v>878</v>
      </c>
      <c r="B1410" s="18">
        <v>45912</v>
      </c>
      <c r="C1410" t="s">
        <v>2023</v>
      </c>
      <c r="D1410" t="s">
        <v>2043</v>
      </c>
      <c r="E1410" t="s">
        <v>2053</v>
      </c>
      <c r="F1410" t="s">
        <v>2061</v>
      </c>
      <c r="G1410">
        <v>9</v>
      </c>
      <c r="H1410">
        <v>550</v>
      </c>
      <c r="I1410">
        <v>742.5</v>
      </c>
      <c r="J1410">
        <v>14.53</v>
      </c>
      <c r="K1410">
        <v>5711.45</v>
      </c>
      <c r="L1410">
        <v>761.45</v>
      </c>
      <c r="M1410">
        <v>97096.724999999991</v>
      </c>
      <c r="N1410">
        <v>4950</v>
      </c>
      <c r="O1410">
        <v>13.331991000534016</v>
      </c>
      <c r="P1410" t="s">
        <v>2083</v>
      </c>
      <c r="Q1410" t="s">
        <v>2092</v>
      </c>
    </row>
    <row r="1411" spans="1:17" x14ac:dyDescent="0.25">
      <c r="A1411" t="s">
        <v>1708</v>
      </c>
      <c r="B1411" s="18">
        <v>45912</v>
      </c>
      <c r="C1411" t="s">
        <v>2030</v>
      </c>
      <c r="D1411" t="s">
        <v>2050</v>
      </c>
      <c r="E1411" t="s">
        <v>2058</v>
      </c>
      <c r="F1411" t="s">
        <v>2060</v>
      </c>
      <c r="G1411">
        <v>3</v>
      </c>
      <c r="H1411">
        <v>1800</v>
      </c>
      <c r="I1411">
        <v>2124</v>
      </c>
      <c r="J1411">
        <v>4</v>
      </c>
      <c r="K1411">
        <v>6117.12</v>
      </c>
      <c r="L1411">
        <v>717.12</v>
      </c>
      <c r="M1411">
        <v>25488</v>
      </c>
      <c r="N1411">
        <v>5400</v>
      </c>
      <c r="O1411">
        <v>11.72316384180791</v>
      </c>
      <c r="P1411" t="s">
        <v>2083</v>
      </c>
      <c r="Q1411" t="s">
        <v>2092</v>
      </c>
    </row>
    <row r="1412" spans="1:17" x14ac:dyDescent="0.25">
      <c r="A1412" t="s">
        <v>1873</v>
      </c>
      <c r="B1412" s="18">
        <v>45912</v>
      </c>
      <c r="C1412" t="s">
        <v>2015</v>
      </c>
      <c r="D1412" t="s">
        <v>2035</v>
      </c>
      <c r="E1412" t="s">
        <v>2054</v>
      </c>
      <c r="F1412" t="s">
        <v>2060</v>
      </c>
      <c r="G1412">
        <v>7</v>
      </c>
      <c r="H1412">
        <v>900</v>
      </c>
      <c r="I1412">
        <v>1170</v>
      </c>
      <c r="J1412">
        <v>0</v>
      </c>
      <c r="K1412">
        <v>8190</v>
      </c>
      <c r="L1412">
        <v>1890</v>
      </c>
      <c r="M1412">
        <v>0</v>
      </c>
      <c r="N1412">
        <v>6300</v>
      </c>
      <c r="O1412">
        <v>23.076923076923077</v>
      </c>
      <c r="P1412" t="s">
        <v>2083</v>
      </c>
      <c r="Q1412" t="s">
        <v>2092</v>
      </c>
    </row>
    <row r="1413" spans="1:17" x14ac:dyDescent="0.25">
      <c r="A1413" t="s">
        <v>99</v>
      </c>
      <c r="B1413" s="18">
        <v>45913</v>
      </c>
      <c r="C1413" t="s">
        <v>2023</v>
      </c>
      <c r="D1413" t="s">
        <v>2043</v>
      </c>
      <c r="E1413" t="s">
        <v>2053</v>
      </c>
      <c r="F1413" t="s">
        <v>2059</v>
      </c>
      <c r="G1413">
        <v>9</v>
      </c>
      <c r="H1413">
        <v>550</v>
      </c>
      <c r="I1413">
        <v>742.5</v>
      </c>
      <c r="J1413">
        <v>1.62</v>
      </c>
      <c r="K1413">
        <v>6574.06</v>
      </c>
      <c r="L1413">
        <v>1624.06</v>
      </c>
      <c r="M1413">
        <v>10825.650000000001</v>
      </c>
      <c r="N1413">
        <v>4950</v>
      </c>
      <c r="O1413">
        <v>24.704064155179598</v>
      </c>
      <c r="P1413" t="s">
        <v>2083</v>
      </c>
      <c r="Q1413" t="s">
        <v>2092</v>
      </c>
    </row>
    <row r="1414" spans="1:17" x14ac:dyDescent="0.25">
      <c r="A1414" t="s">
        <v>175</v>
      </c>
      <c r="B1414" s="18">
        <v>45913</v>
      </c>
      <c r="C1414" t="s">
        <v>2021</v>
      </c>
      <c r="D1414" t="s">
        <v>2041</v>
      </c>
      <c r="E1414" t="s">
        <v>2056</v>
      </c>
      <c r="F1414" t="s">
        <v>2060</v>
      </c>
      <c r="G1414">
        <v>1</v>
      </c>
      <c r="H1414">
        <v>300</v>
      </c>
      <c r="I1414">
        <v>405</v>
      </c>
      <c r="J1414">
        <v>11.55</v>
      </c>
      <c r="K1414">
        <v>358.21</v>
      </c>
      <c r="L1414">
        <v>58.21</v>
      </c>
      <c r="M1414">
        <v>4677.75</v>
      </c>
      <c r="N1414">
        <v>300</v>
      </c>
      <c r="O1414">
        <v>16.250244270120881</v>
      </c>
      <c r="P1414" t="s">
        <v>2083</v>
      </c>
      <c r="Q1414" t="s">
        <v>2092</v>
      </c>
    </row>
    <row r="1415" spans="1:17" x14ac:dyDescent="0.25">
      <c r="A1415" t="s">
        <v>205</v>
      </c>
      <c r="B1415" s="18">
        <v>45913</v>
      </c>
      <c r="C1415" t="s">
        <v>2028</v>
      </c>
      <c r="D1415" t="s">
        <v>2048</v>
      </c>
      <c r="E1415" t="s">
        <v>2057</v>
      </c>
      <c r="F1415" t="s">
        <v>2060</v>
      </c>
      <c r="G1415">
        <v>4</v>
      </c>
      <c r="H1415">
        <v>80</v>
      </c>
      <c r="I1415">
        <v>116</v>
      </c>
      <c r="J1415">
        <v>0.22</v>
      </c>
      <c r="K1415">
        <v>462.99</v>
      </c>
      <c r="L1415">
        <v>142.99</v>
      </c>
      <c r="M1415">
        <v>102.08</v>
      </c>
      <c r="N1415">
        <v>320</v>
      </c>
      <c r="O1415">
        <v>30.884036372275858</v>
      </c>
      <c r="P1415" t="s">
        <v>2083</v>
      </c>
      <c r="Q1415" t="s">
        <v>2092</v>
      </c>
    </row>
    <row r="1416" spans="1:17" x14ac:dyDescent="0.25">
      <c r="A1416" t="s">
        <v>283</v>
      </c>
      <c r="B1416" s="18">
        <v>45913</v>
      </c>
      <c r="C1416" t="s">
        <v>2022</v>
      </c>
      <c r="D1416" t="s">
        <v>2042</v>
      </c>
      <c r="E1416" t="s">
        <v>2053</v>
      </c>
      <c r="F1416" t="s">
        <v>2062</v>
      </c>
      <c r="G1416">
        <v>2</v>
      </c>
      <c r="H1416">
        <v>8500</v>
      </c>
      <c r="I1416">
        <v>9520</v>
      </c>
      <c r="J1416">
        <v>19.850000000000001</v>
      </c>
      <c r="K1416">
        <v>15260.51</v>
      </c>
      <c r="L1416">
        <v>-1739.49</v>
      </c>
      <c r="M1416">
        <v>377944</v>
      </c>
      <c r="N1416">
        <v>17000</v>
      </c>
      <c r="O1416">
        <v>-11.398636087522632</v>
      </c>
      <c r="P1416" t="s">
        <v>2083</v>
      </c>
      <c r="Q1416" t="s">
        <v>2093</v>
      </c>
    </row>
    <row r="1417" spans="1:17" x14ac:dyDescent="0.25">
      <c r="A1417" t="s">
        <v>344</v>
      </c>
      <c r="B1417" s="18">
        <v>45913</v>
      </c>
      <c r="C1417" t="s">
        <v>2020</v>
      </c>
      <c r="D1417" t="s">
        <v>2040</v>
      </c>
      <c r="E1417" t="s">
        <v>2053</v>
      </c>
      <c r="F1417" t="s">
        <v>2060</v>
      </c>
      <c r="G1417">
        <v>4</v>
      </c>
      <c r="H1417">
        <v>350</v>
      </c>
      <c r="I1417">
        <v>455</v>
      </c>
      <c r="J1417">
        <v>7.08</v>
      </c>
      <c r="K1417">
        <v>1691.07</v>
      </c>
      <c r="L1417">
        <v>291.07</v>
      </c>
      <c r="M1417">
        <v>12885.6</v>
      </c>
      <c r="N1417">
        <v>1400</v>
      </c>
      <c r="O1417">
        <v>17.212179271112372</v>
      </c>
      <c r="P1417" t="s">
        <v>2083</v>
      </c>
      <c r="Q1417" t="s">
        <v>2092</v>
      </c>
    </row>
    <row r="1418" spans="1:17" x14ac:dyDescent="0.25">
      <c r="A1418" t="s">
        <v>1453</v>
      </c>
      <c r="B1418" s="18">
        <v>45913</v>
      </c>
      <c r="C1418" t="s">
        <v>2029</v>
      </c>
      <c r="D1418" t="s">
        <v>2049</v>
      </c>
      <c r="E1418" t="s">
        <v>2055</v>
      </c>
      <c r="F1418" t="s">
        <v>2061</v>
      </c>
      <c r="G1418">
        <v>9</v>
      </c>
      <c r="H1418">
        <v>1200</v>
      </c>
      <c r="I1418">
        <v>1464</v>
      </c>
      <c r="J1418">
        <v>14.98</v>
      </c>
      <c r="K1418">
        <v>11201.68</v>
      </c>
      <c r="L1418">
        <v>401.68</v>
      </c>
      <c r="M1418">
        <v>197376.48</v>
      </c>
      <c r="N1418">
        <v>10800</v>
      </c>
      <c r="O1418">
        <v>3.5858906878253971</v>
      </c>
      <c r="P1418" t="s">
        <v>2083</v>
      </c>
      <c r="Q1418" t="s">
        <v>2091</v>
      </c>
    </row>
    <row r="1419" spans="1:17" x14ac:dyDescent="0.25">
      <c r="A1419" t="s">
        <v>1775</v>
      </c>
      <c r="B1419" s="18">
        <v>45913</v>
      </c>
      <c r="C1419" t="s">
        <v>2027</v>
      </c>
      <c r="D1419" t="s">
        <v>2047</v>
      </c>
      <c r="E1419" t="s">
        <v>2053</v>
      </c>
      <c r="F1419" t="s">
        <v>2059</v>
      </c>
      <c r="G1419">
        <v>10</v>
      </c>
      <c r="H1419">
        <v>1100</v>
      </c>
      <c r="I1419">
        <v>1298</v>
      </c>
      <c r="J1419">
        <v>18.5</v>
      </c>
      <c r="K1419">
        <v>10578.58</v>
      </c>
      <c r="L1419">
        <v>-421.42</v>
      </c>
      <c r="M1419">
        <v>240130</v>
      </c>
      <c r="N1419">
        <v>11000</v>
      </c>
      <c r="O1419">
        <v>-3.9837104791002198</v>
      </c>
      <c r="P1419" t="s">
        <v>2083</v>
      </c>
      <c r="Q1419" t="s">
        <v>2093</v>
      </c>
    </row>
    <row r="1420" spans="1:17" x14ac:dyDescent="0.25">
      <c r="A1420" t="s">
        <v>922</v>
      </c>
      <c r="B1420" s="18">
        <v>45914</v>
      </c>
      <c r="C1420" t="s">
        <v>2014</v>
      </c>
      <c r="D1420" t="s">
        <v>2034</v>
      </c>
      <c r="E1420" t="s">
        <v>2052</v>
      </c>
      <c r="F1420" t="s">
        <v>2060</v>
      </c>
      <c r="G1420">
        <v>5</v>
      </c>
      <c r="H1420">
        <v>4500</v>
      </c>
      <c r="I1420">
        <v>5220</v>
      </c>
      <c r="J1420">
        <v>7.16</v>
      </c>
      <c r="K1420">
        <v>24231.599999999999</v>
      </c>
      <c r="L1420">
        <v>1731.6</v>
      </c>
      <c r="M1420">
        <v>186876</v>
      </c>
      <c r="N1420">
        <v>22500</v>
      </c>
      <c r="O1420">
        <v>7.1460407071757537</v>
      </c>
      <c r="P1420" t="s">
        <v>2083</v>
      </c>
      <c r="Q1420" t="s">
        <v>2091</v>
      </c>
    </row>
    <row r="1421" spans="1:17" x14ac:dyDescent="0.25">
      <c r="A1421" t="s">
        <v>1298</v>
      </c>
      <c r="B1421" s="18">
        <v>45914</v>
      </c>
      <c r="C1421" t="s">
        <v>2027</v>
      </c>
      <c r="D1421" t="s">
        <v>2047</v>
      </c>
      <c r="E1421" t="s">
        <v>2053</v>
      </c>
      <c r="F1421" t="s">
        <v>2059</v>
      </c>
      <c r="G1421">
        <v>2</v>
      </c>
      <c r="H1421">
        <v>1100</v>
      </c>
      <c r="I1421">
        <v>1298</v>
      </c>
      <c r="J1421">
        <v>0</v>
      </c>
      <c r="K1421">
        <v>2596</v>
      </c>
      <c r="L1421">
        <v>396</v>
      </c>
      <c r="M1421">
        <v>0</v>
      </c>
      <c r="N1421">
        <v>2200</v>
      </c>
      <c r="O1421">
        <v>15.254237288135593</v>
      </c>
      <c r="P1421" t="s">
        <v>2083</v>
      </c>
      <c r="Q1421" t="s">
        <v>2092</v>
      </c>
    </row>
    <row r="1422" spans="1:17" x14ac:dyDescent="0.25">
      <c r="A1422" t="s">
        <v>1757</v>
      </c>
      <c r="B1422" s="18">
        <v>45914</v>
      </c>
      <c r="C1422" t="s">
        <v>2029</v>
      </c>
      <c r="D1422" t="s">
        <v>2049</v>
      </c>
      <c r="E1422" t="s">
        <v>2055</v>
      </c>
      <c r="F1422" t="s">
        <v>2060</v>
      </c>
      <c r="G1422">
        <v>4</v>
      </c>
      <c r="H1422">
        <v>1200</v>
      </c>
      <c r="I1422">
        <v>1464</v>
      </c>
      <c r="J1422">
        <v>18.600000000000001</v>
      </c>
      <c r="K1422">
        <v>4766.59</v>
      </c>
      <c r="L1422">
        <v>-33.409999999999997</v>
      </c>
      <c r="M1422">
        <v>108921.60000000001</v>
      </c>
      <c r="N1422">
        <v>4800</v>
      </c>
      <c r="O1422">
        <v>-0.70092036445341421</v>
      </c>
      <c r="P1422" t="s">
        <v>2083</v>
      </c>
      <c r="Q1422" t="s">
        <v>2093</v>
      </c>
    </row>
    <row r="1423" spans="1:17" x14ac:dyDescent="0.25">
      <c r="A1423" t="s">
        <v>62</v>
      </c>
      <c r="B1423" s="18">
        <v>45915</v>
      </c>
      <c r="C1423" t="s">
        <v>2016</v>
      </c>
      <c r="D1423" t="s">
        <v>2036</v>
      </c>
      <c r="E1423" t="s">
        <v>2052</v>
      </c>
      <c r="F1423" t="s">
        <v>2062</v>
      </c>
      <c r="G1423">
        <v>1</v>
      </c>
      <c r="H1423">
        <v>900</v>
      </c>
      <c r="I1423">
        <v>1170</v>
      </c>
      <c r="J1423">
        <v>12.18</v>
      </c>
      <c r="K1423">
        <v>1027.49</v>
      </c>
      <c r="L1423">
        <v>127.49</v>
      </c>
      <c r="M1423">
        <v>14250.6</v>
      </c>
      <c r="N1423">
        <v>900</v>
      </c>
      <c r="O1423">
        <v>12.407906646293394</v>
      </c>
      <c r="P1423" t="s">
        <v>2083</v>
      </c>
      <c r="Q1423" t="s">
        <v>2092</v>
      </c>
    </row>
    <row r="1424" spans="1:17" x14ac:dyDescent="0.25">
      <c r="A1424" t="s">
        <v>301</v>
      </c>
      <c r="B1424" s="18">
        <v>45915</v>
      </c>
      <c r="C1424" t="s">
        <v>2019</v>
      </c>
      <c r="D1424" t="s">
        <v>2039</v>
      </c>
      <c r="E1424" t="s">
        <v>2053</v>
      </c>
      <c r="F1424" t="s">
        <v>2062</v>
      </c>
      <c r="G1424">
        <v>1</v>
      </c>
      <c r="H1424">
        <v>900</v>
      </c>
      <c r="I1424">
        <v>1152</v>
      </c>
      <c r="J1424">
        <v>11.54</v>
      </c>
      <c r="K1424">
        <v>1019.08</v>
      </c>
      <c r="L1424">
        <v>119.08</v>
      </c>
      <c r="M1424">
        <v>13294.079999999998</v>
      </c>
      <c r="N1424">
        <v>900</v>
      </c>
      <c r="O1424">
        <v>11.685049260116967</v>
      </c>
      <c r="P1424" t="s">
        <v>2083</v>
      </c>
      <c r="Q1424" t="s">
        <v>2092</v>
      </c>
    </row>
    <row r="1425" spans="1:17" x14ac:dyDescent="0.25">
      <c r="A1425" t="s">
        <v>353</v>
      </c>
      <c r="B1425" s="18">
        <v>45915</v>
      </c>
      <c r="C1425" t="s">
        <v>2027</v>
      </c>
      <c r="D1425" t="s">
        <v>2047</v>
      </c>
      <c r="E1425" t="s">
        <v>2053</v>
      </c>
      <c r="F1425" t="s">
        <v>2059</v>
      </c>
      <c r="G1425">
        <v>4</v>
      </c>
      <c r="H1425">
        <v>1100</v>
      </c>
      <c r="I1425">
        <v>1298</v>
      </c>
      <c r="J1425">
        <v>22.25</v>
      </c>
      <c r="K1425">
        <v>4036.56</v>
      </c>
      <c r="L1425">
        <v>-363.44</v>
      </c>
      <c r="M1425">
        <v>115522</v>
      </c>
      <c r="N1425">
        <v>4400</v>
      </c>
      <c r="O1425">
        <v>-9.003706126008284</v>
      </c>
      <c r="P1425" t="s">
        <v>2083</v>
      </c>
      <c r="Q1425" t="s">
        <v>2093</v>
      </c>
    </row>
    <row r="1426" spans="1:17" x14ac:dyDescent="0.25">
      <c r="A1426" t="s">
        <v>1022</v>
      </c>
      <c r="B1426" s="18">
        <v>45915</v>
      </c>
      <c r="C1426" t="s">
        <v>2023</v>
      </c>
      <c r="D1426" t="s">
        <v>2043</v>
      </c>
      <c r="E1426" t="s">
        <v>2053</v>
      </c>
      <c r="F1426" t="s">
        <v>2060</v>
      </c>
      <c r="G1426">
        <v>4</v>
      </c>
      <c r="H1426">
        <v>550</v>
      </c>
      <c r="I1426">
        <v>742.5</v>
      </c>
      <c r="J1426">
        <v>12.67</v>
      </c>
      <c r="K1426">
        <v>2593.71</v>
      </c>
      <c r="L1426">
        <v>393.71</v>
      </c>
      <c r="M1426">
        <v>37629.9</v>
      </c>
      <c r="N1426">
        <v>2200</v>
      </c>
      <c r="O1426">
        <v>15.179414815071846</v>
      </c>
      <c r="P1426" t="s">
        <v>2083</v>
      </c>
      <c r="Q1426" t="s">
        <v>2092</v>
      </c>
    </row>
    <row r="1427" spans="1:17" x14ac:dyDescent="0.25">
      <c r="A1427" t="s">
        <v>1044</v>
      </c>
      <c r="B1427" s="18">
        <v>45915</v>
      </c>
      <c r="C1427" t="s">
        <v>2017</v>
      </c>
      <c r="D1427" t="s">
        <v>2037</v>
      </c>
      <c r="E1427" t="s">
        <v>2055</v>
      </c>
      <c r="F1427" t="s">
        <v>2062</v>
      </c>
      <c r="G1427">
        <v>5</v>
      </c>
      <c r="H1427">
        <v>2500</v>
      </c>
      <c r="I1427">
        <v>2875</v>
      </c>
      <c r="J1427">
        <v>7.49</v>
      </c>
      <c r="K1427">
        <v>13298.19</v>
      </c>
      <c r="L1427">
        <v>798.19</v>
      </c>
      <c r="M1427">
        <v>107668.75</v>
      </c>
      <c r="N1427">
        <v>12500</v>
      </c>
      <c r="O1427">
        <v>6.0022454183614471</v>
      </c>
      <c r="P1427" t="s">
        <v>2083</v>
      </c>
      <c r="Q1427" t="s">
        <v>2091</v>
      </c>
    </row>
    <row r="1428" spans="1:17" x14ac:dyDescent="0.25">
      <c r="A1428" t="s">
        <v>1506</v>
      </c>
      <c r="B1428" s="18">
        <v>45915</v>
      </c>
      <c r="C1428" t="s">
        <v>2022</v>
      </c>
      <c r="D1428" t="s">
        <v>2042</v>
      </c>
      <c r="E1428" t="s">
        <v>2053</v>
      </c>
      <c r="F1428" t="s">
        <v>2062</v>
      </c>
      <c r="G1428">
        <v>4</v>
      </c>
      <c r="H1428">
        <v>8500</v>
      </c>
      <c r="I1428">
        <v>9520</v>
      </c>
      <c r="J1428">
        <v>18.670000000000002</v>
      </c>
      <c r="K1428">
        <v>30971.42</v>
      </c>
      <c r="L1428">
        <v>-3028.58</v>
      </c>
      <c r="M1428">
        <v>710953.60000000009</v>
      </c>
      <c r="N1428">
        <v>34000</v>
      </c>
      <c r="O1428">
        <v>-9.7786281675170219</v>
      </c>
      <c r="P1428" t="s">
        <v>2083</v>
      </c>
      <c r="Q1428" t="s">
        <v>2093</v>
      </c>
    </row>
    <row r="1429" spans="1:17" x14ac:dyDescent="0.25">
      <c r="A1429" t="s">
        <v>500</v>
      </c>
      <c r="B1429" s="18">
        <v>45916</v>
      </c>
      <c r="C1429" t="s">
        <v>2018</v>
      </c>
      <c r="D1429" t="s">
        <v>2038</v>
      </c>
      <c r="E1429" t="s">
        <v>2053</v>
      </c>
      <c r="F1429" t="s">
        <v>2062</v>
      </c>
      <c r="G1429">
        <v>10</v>
      </c>
      <c r="H1429">
        <v>500</v>
      </c>
      <c r="I1429">
        <v>610</v>
      </c>
      <c r="J1429">
        <v>0</v>
      </c>
      <c r="K1429">
        <v>6100</v>
      </c>
      <c r="L1429">
        <v>1100</v>
      </c>
      <c r="M1429">
        <v>0</v>
      </c>
      <c r="N1429">
        <v>5000</v>
      </c>
      <c r="O1429">
        <v>18.032786885245901</v>
      </c>
      <c r="P1429" t="s">
        <v>2083</v>
      </c>
      <c r="Q1429" t="s">
        <v>2092</v>
      </c>
    </row>
    <row r="1430" spans="1:17" x14ac:dyDescent="0.25">
      <c r="A1430" t="s">
        <v>691</v>
      </c>
      <c r="B1430" s="18">
        <v>45916</v>
      </c>
      <c r="C1430" t="s">
        <v>2025</v>
      </c>
      <c r="D1430" t="s">
        <v>2045</v>
      </c>
      <c r="E1430" t="s">
        <v>2057</v>
      </c>
      <c r="F1430" t="s">
        <v>2059</v>
      </c>
      <c r="G1430">
        <v>6</v>
      </c>
      <c r="H1430">
        <v>45</v>
      </c>
      <c r="I1430">
        <v>63</v>
      </c>
      <c r="J1430">
        <v>8.61</v>
      </c>
      <c r="K1430">
        <v>345.44</v>
      </c>
      <c r="L1430">
        <v>75.44</v>
      </c>
      <c r="M1430">
        <v>3254.58</v>
      </c>
      <c r="N1430">
        <v>270</v>
      </c>
      <c r="O1430">
        <v>21.838814265863824</v>
      </c>
      <c r="P1430" t="s">
        <v>2083</v>
      </c>
      <c r="Q1430" t="s">
        <v>2092</v>
      </c>
    </row>
    <row r="1431" spans="1:17" x14ac:dyDescent="0.25">
      <c r="A1431" t="s">
        <v>1035</v>
      </c>
      <c r="B1431" s="18">
        <v>45916</v>
      </c>
      <c r="C1431" t="s">
        <v>2012</v>
      </c>
      <c r="D1431" t="s">
        <v>2032</v>
      </c>
      <c r="E1431" t="s">
        <v>2052</v>
      </c>
      <c r="F1431" t="s">
        <v>2060</v>
      </c>
      <c r="G1431">
        <v>3</v>
      </c>
      <c r="H1431">
        <v>6500</v>
      </c>
      <c r="I1431">
        <v>8125</v>
      </c>
      <c r="J1431">
        <v>17.739999999999998</v>
      </c>
      <c r="K1431">
        <v>20050.939999999999</v>
      </c>
      <c r="L1431">
        <v>550.94000000000005</v>
      </c>
      <c r="M1431">
        <v>432412.49999999994</v>
      </c>
      <c r="N1431">
        <v>19500</v>
      </c>
      <c r="O1431">
        <v>2.7477016040145754</v>
      </c>
      <c r="P1431" t="s">
        <v>2083</v>
      </c>
      <c r="Q1431" t="s">
        <v>2091</v>
      </c>
    </row>
    <row r="1432" spans="1:17" x14ac:dyDescent="0.25">
      <c r="A1432" t="s">
        <v>1312</v>
      </c>
      <c r="B1432" s="18">
        <v>45916</v>
      </c>
      <c r="C1432" t="s">
        <v>2028</v>
      </c>
      <c r="D1432" t="s">
        <v>2048</v>
      </c>
      <c r="E1432" t="s">
        <v>2057</v>
      </c>
      <c r="F1432" t="s">
        <v>2061</v>
      </c>
      <c r="G1432">
        <v>6</v>
      </c>
      <c r="H1432">
        <v>80</v>
      </c>
      <c r="I1432">
        <v>116</v>
      </c>
      <c r="J1432">
        <v>8.32</v>
      </c>
      <c r="K1432">
        <v>638.1</v>
      </c>
      <c r="L1432">
        <v>158.1</v>
      </c>
      <c r="M1432">
        <v>5790.72</v>
      </c>
      <c r="N1432">
        <v>480</v>
      </c>
      <c r="O1432">
        <v>24.776680771039018</v>
      </c>
      <c r="P1432" t="s">
        <v>2083</v>
      </c>
      <c r="Q1432" t="s">
        <v>2092</v>
      </c>
    </row>
    <row r="1433" spans="1:17" x14ac:dyDescent="0.25">
      <c r="A1433" t="s">
        <v>158</v>
      </c>
      <c r="B1433" s="18">
        <v>45917</v>
      </c>
      <c r="C1433" t="s">
        <v>2028</v>
      </c>
      <c r="D1433" t="s">
        <v>2048</v>
      </c>
      <c r="E1433" t="s">
        <v>2057</v>
      </c>
      <c r="F1433" t="s">
        <v>2060</v>
      </c>
      <c r="G1433">
        <v>6</v>
      </c>
      <c r="H1433">
        <v>80</v>
      </c>
      <c r="I1433">
        <v>116</v>
      </c>
      <c r="J1433">
        <v>21.24</v>
      </c>
      <c r="K1433">
        <v>548.14</v>
      </c>
      <c r="L1433">
        <v>68.14</v>
      </c>
      <c r="M1433">
        <v>14783.039999999999</v>
      </c>
      <c r="N1433">
        <v>480</v>
      </c>
      <c r="O1433">
        <v>12.431130733024411</v>
      </c>
      <c r="P1433" t="s">
        <v>2083</v>
      </c>
      <c r="Q1433" t="s">
        <v>2092</v>
      </c>
    </row>
    <row r="1434" spans="1:17" x14ac:dyDescent="0.25">
      <c r="A1434" t="s">
        <v>159</v>
      </c>
      <c r="B1434" s="18">
        <v>45917</v>
      </c>
      <c r="C1434" t="s">
        <v>2019</v>
      </c>
      <c r="D1434" t="s">
        <v>2039</v>
      </c>
      <c r="E1434" t="s">
        <v>2053</v>
      </c>
      <c r="F1434" t="s">
        <v>2062</v>
      </c>
      <c r="G1434">
        <v>10</v>
      </c>
      <c r="H1434">
        <v>900</v>
      </c>
      <c r="I1434">
        <v>1152</v>
      </c>
      <c r="J1434">
        <v>11.13</v>
      </c>
      <c r="K1434">
        <v>10237.709999999999</v>
      </c>
      <c r="L1434">
        <v>1237.71</v>
      </c>
      <c r="M1434">
        <v>128217.60000000001</v>
      </c>
      <c r="N1434">
        <v>9000</v>
      </c>
      <c r="O1434">
        <v>12.089715375801816</v>
      </c>
      <c r="P1434" t="s">
        <v>2083</v>
      </c>
      <c r="Q1434" t="s">
        <v>2092</v>
      </c>
    </row>
    <row r="1435" spans="1:17" x14ac:dyDescent="0.25">
      <c r="A1435" t="s">
        <v>430</v>
      </c>
      <c r="B1435" s="18">
        <v>45917</v>
      </c>
      <c r="C1435" t="s">
        <v>2015</v>
      </c>
      <c r="D1435" t="s">
        <v>2035</v>
      </c>
      <c r="E1435" t="s">
        <v>2054</v>
      </c>
      <c r="F1435" t="s">
        <v>2061</v>
      </c>
      <c r="G1435">
        <v>8</v>
      </c>
      <c r="H1435">
        <v>900</v>
      </c>
      <c r="I1435">
        <v>1170</v>
      </c>
      <c r="J1435">
        <v>14.69</v>
      </c>
      <c r="K1435">
        <v>7985.1</v>
      </c>
      <c r="L1435">
        <v>785.1</v>
      </c>
      <c r="M1435">
        <v>137498.4</v>
      </c>
      <c r="N1435">
        <v>7200</v>
      </c>
      <c r="O1435">
        <v>9.8320622158770714</v>
      </c>
      <c r="P1435" t="s">
        <v>2083</v>
      </c>
      <c r="Q1435" t="s">
        <v>2091</v>
      </c>
    </row>
    <row r="1436" spans="1:17" x14ac:dyDescent="0.25">
      <c r="A1436" t="s">
        <v>484</v>
      </c>
      <c r="B1436" s="18">
        <v>45917</v>
      </c>
      <c r="C1436" t="s">
        <v>2018</v>
      </c>
      <c r="D1436" t="s">
        <v>2038</v>
      </c>
      <c r="E1436" t="s">
        <v>2053</v>
      </c>
      <c r="F1436" t="s">
        <v>2060</v>
      </c>
      <c r="G1436">
        <v>10</v>
      </c>
      <c r="H1436">
        <v>500</v>
      </c>
      <c r="I1436">
        <v>610</v>
      </c>
      <c r="J1436">
        <v>6.19</v>
      </c>
      <c r="K1436">
        <v>5722.44</v>
      </c>
      <c r="L1436">
        <v>722.44</v>
      </c>
      <c r="M1436">
        <v>37759</v>
      </c>
      <c r="N1436">
        <v>5000</v>
      </c>
      <c r="O1436">
        <v>12.624684575111317</v>
      </c>
      <c r="P1436" t="s">
        <v>2083</v>
      </c>
      <c r="Q1436" t="s">
        <v>2092</v>
      </c>
    </row>
    <row r="1437" spans="1:17" x14ac:dyDescent="0.25">
      <c r="A1437" t="s">
        <v>523</v>
      </c>
      <c r="B1437" s="18">
        <v>45917</v>
      </c>
      <c r="C1437" t="s">
        <v>2025</v>
      </c>
      <c r="D1437" t="s">
        <v>2045</v>
      </c>
      <c r="E1437" t="s">
        <v>2057</v>
      </c>
      <c r="F1437" t="s">
        <v>2059</v>
      </c>
      <c r="G1437">
        <v>1</v>
      </c>
      <c r="H1437">
        <v>45</v>
      </c>
      <c r="I1437">
        <v>63</v>
      </c>
      <c r="J1437">
        <v>20.47</v>
      </c>
      <c r="K1437">
        <v>50.1</v>
      </c>
      <c r="L1437">
        <v>5.0999999999999996</v>
      </c>
      <c r="M1437">
        <v>1289.6099999999999</v>
      </c>
      <c r="N1437">
        <v>45</v>
      </c>
      <c r="O1437">
        <v>10.179640718562872</v>
      </c>
      <c r="P1437" t="s">
        <v>2083</v>
      </c>
      <c r="Q1437" t="s">
        <v>2092</v>
      </c>
    </row>
    <row r="1438" spans="1:17" x14ac:dyDescent="0.25">
      <c r="A1438" t="s">
        <v>703</v>
      </c>
      <c r="B1438" s="18">
        <v>45917</v>
      </c>
      <c r="C1438" t="s">
        <v>2026</v>
      </c>
      <c r="D1438" t="s">
        <v>2046</v>
      </c>
      <c r="E1438" t="s">
        <v>2052</v>
      </c>
      <c r="F1438" t="s">
        <v>2059</v>
      </c>
      <c r="G1438">
        <v>4</v>
      </c>
      <c r="H1438">
        <v>3000</v>
      </c>
      <c r="I1438">
        <v>3600</v>
      </c>
      <c r="J1438">
        <v>4</v>
      </c>
      <c r="K1438">
        <v>13824</v>
      </c>
      <c r="L1438">
        <v>1824</v>
      </c>
      <c r="M1438">
        <v>57600</v>
      </c>
      <c r="N1438">
        <v>12000</v>
      </c>
      <c r="O1438">
        <v>13.194444444444445</v>
      </c>
      <c r="P1438" t="s">
        <v>2083</v>
      </c>
      <c r="Q1438" t="s">
        <v>2092</v>
      </c>
    </row>
    <row r="1439" spans="1:17" x14ac:dyDescent="0.25">
      <c r="A1439" t="s">
        <v>718</v>
      </c>
      <c r="B1439" s="18">
        <v>45917</v>
      </c>
      <c r="C1439" t="s">
        <v>2017</v>
      </c>
      <c r="D1439" t="s">
        <v>2037</v>
      </c>
      <c r="E1439" t="s">
        <v>2055</v>
      </c>
      <c r="F1439" t="s">
        <v>2060</v>
      </c>
      <c r="G1439">
        <v>6</v>
      </c>
      <c r="H1439">
        <v>2500</v>
      </c>
      <c r="I1439">
        <v>2875</v>
      </c>
      <c r="J1439">
        <v>6.76</v>
      </c>
      <c r="K1439">
        <v>16084.02</v>
      </c>
      <c r="L1439">
        <v>1084.02</v>
      </c>
      <c r="M1439">
        <v>116610</v>
      </c>
      <c r="N1439">
        <v>15000</v>
      </c>
      <c r="O1439">
        <v>6.7397329772034595</v>
      </c>
      <c r="P1439" t="s">
        <v>2083</v>
      </c>
      <c r="Q1439" t="s">
        <v>2091</v>
      </c>
    </row>
    <row r="1440" spans="1:17" x14ac:dyDescent="0.25">
      <c r="A1440" t="s">
        <v>914</v>
      </c>
      <c r="B1440" s="18">
        <v>45917</v>
      </c>
      <c r="C1440" t="s">
        <v>2022</v>
      </c>
      <c r="D1440" t="s">
        <v>2042</v>
      </c>
      <c r="E1440" t="s">
        <v>2053</v>
      </c>
      <c r="F1440" t="s">
        <v>2062</v>
      </c>
      <c r="G1440">
        <v>10</v>
      </c>
      <c r="H1440">
        <v>8500</v>
      </c>
      <c r="I1440">
        <v>9520</v>
      </c>
      <c r="J1440">
        <v>14</v>
      </c>
      <c r="K1440">
        <v>81870.52</v>
      </c>
      <c r="L1440">
        <v>-3129.48</v>
      </c>
      <c r="M1440">
        <v>1332800</v>
      </c>
      <c r="N1440">
        <v>85000</v>
      </c>
      <c r="O1440">
        <v>-3.8224748053389672</v>
      </c>
      <c r="P1440" t="s">
        <v>2083</v>
      </c>
      <c r="Q1440" t="s">
        <v>2093</v>
      </c>
    </row>
    <row r="1441" spans="1:17" x14ac:dyDescent="0.25">
      <c r="A1441" t="s">
        <v>1115</v>
      </c>
      <c r="B1441" s="18">
        <v>45917</v>
      </c>
      <c r="C1441" t="s">
        <v>2028</v>
      </c>
      <c r="D1441" t="s">
        <v>2048</v>
      </c>
      <c r="E1441" t="s">
        <v>2057</v>
      </c>
      <c r="F1441" t="s">
        <v>2062</v>
      </c>
      <c r="G1441">
        <v>5</v>
      </c>
      <c r="H1441">
        <v>80</v>
      </c>
      <c r="I1441">
        <v>116</v>
      </c>
      <c r="J1441">
        <v>3.49</v>
      </c>
      <c r="K1441">
        <v>559.74</v>
      </c>
      <c r="L1441">
        <v>159.74</v>
      </c>
      <c r="M1441">
        <v>2024.2</v>
      </c>
      <c r="N1441">
        <v>400</v>
      </c>
      <c r="O1441">
        <v>28.538249901740091</v>
      </c>
      <c r="P1441" t="s">
        <v>2083</v>
      </c>
      <c r="Q1441" t="s">
        <v>2092</v>
      </c>
    </row>
    <row r="1442" spans="1:17" x14ac:dyDescent="0.25">
      <c r="A1442" t="s">
        <v>1234</v>
      </c>
      <c r="B1442" s="18">
        <v>45917</v>
      </c>
      <c r="C1442" t="s">
        <v>2028</v>
      </c>
      <c r="D1442" t="s">
        <v>2048</v>
      </c>
      <c r="E1442" t="s">
        <v>2057</v>
      </c>
      <c r="F1442" t="s">
        <v>2059</v>
      </c>
      <c r="G1442">
        <v>4</v>
      </c>
      <c r="H1442">
        <v>80</v>
      </c>
      <c r="I1442">
        <v>116</v>
      </c>
      <c r="J1442">
        <v>7.05</v>
      </c>
      <c r="K1442">
        <v>431.29</v>
      </c>
      <c r="L1442">
        <v>111.29</v>
      </c>
      <c r="M1442">
        <v>3271.2</v>
      </c>
      <c r="N1442">
        <v>320</v>
      </c>
      <c r="O1442">
        <v>25.803983398641282</v>
      </c>
      <c r="P1442" t="s">
        <v>2083</v>
      </c>
      <c r="Q1442" t="s">
        <v>2092</v>
      </c>
    </row>
    <row r="1443" spans="1:17" x14ac:dyDescent="0.25">
      <c r="A1443" t="s">
        <v>1307</v>
      </c>
      <c r="B1443" s="18">
        <v>45917</v>
      </c>
      <c r="C1443" t="s">
        <v>2027</v>
      </c>
      <c r="D1443" t="s">
        <v>2047</v>
      </c>
      <c r="E1443" t="s">
        <v>2053</v>
      </c>
      <c r="F1443" t="s">
        <v>2059</v>
      </c>
      <c r="G1443">
        <v>5</v>
      </c>
      <c r="H1443">
        <v>1100</v>
      </c>
      <c r="I1443">
        <v>1298</v>
      </c>
      <c r="J1443">
        <v>12.13</v>
      </c>
      <c r="K1443">
        <v>5702.77</v>
      </c>
      <c r="L1443">
        <v>202.77</v>
      </c>
      <c r="M1443">
        <v>78723.700000000012</v>
      </c>
      <c r="N1443">
        <v>5500</v>
      </c>
      <c r="O1443">
        <v>3.5556405045267478</v>
      </c>
      <c r="P1443" t="s">
        <v>2083</v>
      </c>
      <c r="Q1443" t="s">
        <v>2091</v>
      </c>
    </row>
    <row r="1444" spans="1:17" x14ac:dyDescent="0.25">
      <c r="A1444" t="s">
        <v>1372</v>
      </c>
      <c r="B1444" s="18">
        <v>45917</v>
      </c>
      <c r="C1444" t="s">
        <v>2028</v>
      </c>
      <c r="D1444" t="s">
        <v>2048</v>
      </c>
      <c r="E1444" t="s">
        <v>2057</v>
      </c>
      <c r="F1444" t="s">
        <v>2059</v>
      </c>
      <c r="G1444">
        <v>6</v>
      </c>
      <c r="H1444">
        <v>80</v>
      </c>
      <c r="I1444">
        <v>116</v>
      </c>
      <c r="J1444">
        <v>7.35</v>
      </c>
      <c r="K1444">
        <v>644.80999999999995</v>
      </c>
      <c r="L1444">
        <v>164.81</v>
      </c>
      <c r="M1444">
        <v>5115.5999999999995</v>
      </c>
      <c r="N1444">
        <v>480</v>
      </c>
      <c r="O1444">
        <v>25.559467129852209</v>
      </c>
      <c r="P1444" t="s">
        <v>2083</v>
      </c>
      <c r="Q1444" t="s">
        <v>2092</v>
      </c>
    </row>
    <row r="1445" spans="1:17" x14ac:dyDescent="0.25">
      <c r="A1445" t="s">
        <v>1674</v>
      </c>
      <c r="B1445" s="18">
        <v>45917</v>
      </c>
      <c r="C1445" t="s">
        <v>2016</v>
      </c>
      <c r="D1445" t="s">
        <v>2036</v>
      </c>
      <c r="E1445" t="s">
        <v>2052</v>
      </c>
      <c r="F1445" t="s">
        <v>2060</v>
      </c>
      <c r="G1445">
        <v>3</v>
      </c>
      <c r="H1445">
        <v>900</v>
      </c>
      <c r="I1445">
        <v>1170</v>
      </c>
      <c r="J1445">
        <v>5.23</v>
      </c>
      <c r="K1445">
        <v>3326.31</v>
      </c>
      <c r="L1445">
        <v>626.30999999999995</v>
      </c>
      <c r="M1445">
        <v>18357.300000000003</v>
      </c>
      <c r="N1445">
        <v>2700</v>
      </c>
      <c r="O1445">
        <v>18.82897264536378</v>
      </c>
      <c r="P1445" t="s">
        <v>2083</v>
      </c>
      <c r="Q1445" t="s">
        <v>2092</v>
      </c>
    </row>
    <row r="1446" spans="1:17" x14ac:dyDescent="0.25">
      <c r="A1446" t="s">
        <v>270</v>
      </c>
      <c r="B1446" s="18">
        <v>45918</v>
      </c>
      <c r="C1446" t="s">
        <v>2030</v>
      </c>
      <c r="D1446" t="s">
        <v>2050</v>
      </c>
      <c r="E1446" t="s">
        <v>2058</v>
      </c>
      <c r="F1446" t="s">
        <v>2062</v>
      </c>
      <c r="G1446">
        <v>1</v>
      </c>
      <c r="H1446">
        <v>1800</v>
      </c>
      <c r="I1446">
        <v>2124</v>
      </c>
      <c r="J1446">
        <v>12.36</v>
      </c>
      <c r="K1446">
        <v>1861.44</v>
      </c>
      <c r="L1446">
        <v>61.44</v>
      </c>
      <c r="M1446">
        <v>26252.639999999999</v>
      </c>
      <c r="N1446">
        <v>1800</v>
      </c>
      <c r="O1446">
        <v>3.3006704486848895</v>
      </c>
      <c r="P1446" t="s">
        <v>2083</v>
      </c>
      <c r="Q1446" t="s">
        <v>2091</v>
      </c>
    </row>
    <row r="1447" spans="1:17" x14ac:dyDescent="0.25">
      <c r="A1447" t="s">
        <v>271</v>
      </c>
      <c r="B1447" s="18">
        <v>45918</v>
      </c>
      <c r="C1447" t="s">
        <v>2026</v>
      </c>
      <c r="D1447" t="s">
        <v>2046</v>
      </c>
      <c r="E1447" t="s">
        <v>2052</v>
      </c>
      <c r="F1447" t="s">
        <v>2062</v>
      </c>
      <c r="G1447">
        <v>1</v>
      </c>
      <c r="H1447">
        <v>3000</v>
      </c>
      <c r="I1447">
        <v>3600</v>
      </c>
      <c r="J1447">
        <v>9.27</v>
      </c>
      <c r="K1447">
        <v>3266.38</v>
      </c>
      <c r="L1447">
        <v>266.38</v>
      </c>
      <c r="M1447">
        <v>33372</v>
      </c>
      <c r="N1447">
        <v>3000</v>
      </c>
      <c r="O1447">
        <v>8.1552054568053922</v>
      </c>
      <c r="P1447" t="s">
        <v>2083</v>
      </c>
      <c r="Q1447" t="s">
        <v>2091</v>
      </c>
    </row>
    <row r="1448" spans="1:17" x14ac:dyDescent="0.25">
      <c r="A1448" t="s">
        <v>385</v>
      </c>
      <c r="B1448" s="18">
        <v>45918</v>
      </c>
      <c r="C1448" t="s">
        <v>2023</v>
      </c>
      <c r="D1448" t="s">
        <v>2043</v>
      </c>
      <c r="E1448" t="s">
        <v>2053</v>
      </c>
      <c r="F1448" t="s">
        <v>2061</v>
      </c>
      <c r="G1448">
        <v>5</v>
      </c>
      <c r="H1448">
        <v>550</v>
      </c>
      <c r="I1448">
        <v>742.5</v>
      </c>
      <c r="J1448">
        <v>21.7</v>
      </c>
      <c r="K1448">
        <v>2907</v>
      </c>
      <c r="L1448">
        <v>157</v>
      </c>
      <c r="M1448">
        <v>80561.25</v>
      </c>
      <c r="N1448">
        <v>2750</v>
      </c>
      <c r="O1448">
        <v>5.4007567939456482</v>
      </c>
      <c r="P1448" t="s">
        <v>2083</v>
      </c>
      <c r="Q1448" t="s">
        <v>2091</v>
      </c>
    </row>
    <row r="1449" spans="1:17" x14ac:dyDescent="0.25">
      <c r="A1449" t="s">
        <v>519</v>
      </c>
      <c r="B1449" s="18">
        <v>45918</v>
      </c>
      <c r="C1449" t="s">
        <v>2012</v>
      </c>
      <c r="D1449" t="s">
        <v>2032</v>
      </c>
      <c r="E1449" t="s">
        <v>2052</v>
      </c>
      <c r="F1449" t="s">
        <v>2059</v>
      </c>
      <c r="G1449">
        <v>3</v>
      </c>
      <c r="H1449">
        <v>6500</v>
      </c>
      <c r="I1449">
        <v>8125</v>
      </c>
      <c r="J1449">
        <v>16.28</v>
      </c>
      <c r="K1449">
        <v>20405.8</v>
      </c>
      <c r="L1449">
        <v>905.8</v>
      </c>
      <c r="M1449">
        <v>396825</v>
      </c>
      <c r="N1449">
        <v>19500</v>
      </c>
      <c r="O1449">
        <v>4.4389340285605074</v>
      </c>
      <c r="P1449" t="s">
        <v>2083</v>
      </c>
      <c r="Q1449" t="s">
        <v>2091</v>
      </c>
    </row>
    <row r="1450" spans="1:17" x14ac:dyDescent="0.25">
      <c r="A1450" t="s">
        <v>71</v>
      </c>
      <c r="B1450" s="18">
        <v>45919</v>
      </c>
      <c r="C1450" t="s">
        <v>2025</v>
      </c>
      <c r="D1450" t="s">
        <v>2045</v>
      </c>
      <c r="E1450" t="s">
        <v>2057</v>
      </c>
      <c r="F1450" t="s">
        <v>2062</v>
      </c>
      <c r="G1450">
        <v>8</v>
      </c>
      <c r="H1450">
        <v>45</v>
      </c>
      <c r="I1450">
        <v>63</v>
      </c>
      <c r="J1450">
        <v>13.37</v>
      </c>
      <c r="K1450">
        <v>436.63</v>
      </c>
      <c r="L1450">
        <v>76.63</v>
      </c>
      <c r="M1450">
        <v>6738.48</v>
      </c>
      <c r="N1450">
        <v>360</v>
      </c>
      <c r="O1450">
        <v>17.550328653551063</v>
      </c>
      <c r="P1450" t="s">
        <v>2083</v>
      </c>
      <c r="Q1450" t="s">
        <v>2092</v>
      </c>
    </row>
    <row r="1451" spans="1:17" x14ac:dyDescent="0.25">
      <c r="A1451" t="s">
        <v>665</v>
      </c>
      <c r="B1451" s="18">
        <v>45919</v>
      </c>
      <c r="C1451" t="s">
        <v>2014</v>
      </c>
      <c r="D1451" t="s">
        <v>2034</v>
      </c>
      <c r="E1451" t="s">
        <v>2052</v>
      </c>
      <c r="F1451" t="s">
        <v>2061</v>
      </c>
      <c r="G1451">
        <v>2</v>
      </c>
      <c r="H1451">
        <v>4500</v>
      </c>
      <c r="I1451">
        <v>5220</v>
      </c>
      <c r="J1451">
        <v>12.65</v>
      </c>
      <c r="K1451">
        <v>9118.8700000000008</v>
      </c>
      <c r="L1451">
        <v>118.87</v>
      </c>
      <c r="M1451">
        <v>132066</v>
      </c>
      <c r="N1451">
        <v>9000</v>
      </c>
      <c r="O1451">
        <v>1.3035606385440301</v>
      </c>
      <c r="P1451" t="s">
        <v>2083</v>
      </c>
      <c r="Q1451" t="s">
        <v>2091</v>
      </c>
    </row>
    <row r="1452" spans="1:17" x14ac:dyDescent="0.25">
      <c r="A1452" t="s">
        <v>925</v>
      </c>
      <c r="B1452" s="18">
        <v>45919</v>
      </c>
      <c r="C1452" t="s">
        <v>2013</v>
      </c>
      <c r="D1452" t="s">
        <v>2033</v>
      </c>
      <c r="E1452" t="s">
        <v>2053</v>
      </c>
      <c r="F1452" t="s">
        <v>2062</v>
      </c>
      <c r="G1452">
        <v>8</v>
      </c>
      <c r="H1452">
        <v>6500</v>
      </c>
      <c r="I1452">
        <v>7150</v>
      </c>
      <c r="J1452">
        <v>14.57</v>
      </c>
      <c r="K1452">
        <v>48867.11</v>
      </c>
      <c r="L1452">
        <v>-3132.89</v>
      </c>
      <c r="M1452">
        <v>833404</v>
      </c>
      <c r="N1452">
        <v>52000</v>
      </c>
      <c r="O1452">
        <v>-6.4110400635519467</v>
      </c>
      <c r="P1452" t="s">
        <v>2083</v>
      </c>
      <c r="Q1452" t="s">
        <v>2093</v>
      </c>
    </row>
    <row r="1453" spans="1:17" x14ac:dyDescent="0.25">
      <c r="A1453" t="s">
        <v>931</v>
      </c>
      <c r="B1453" s="18">
        <v>45919</v>
      </c>
      <c r="C1453" t="s">
        <v>2023</v>
      </c>
      <c r="D1453" t="s">
        <v>2043</v>
      </c>
      <c r="E1453" t="s">
        <v>2053</v>
      </c>
      <c r="F1453" t="s">
        <v>2059</v>
      </c>
      <c r="G1453">
        <v>8</v>
      </c>
      <c r="H1453">
        <v>550</v>
      </c>
      <c r="I1453">
        <v>742.5</v>
      </c>
      <c r="J1453">
        <v>2.14</v>
      </c>
      <c r="K1453">
        <v>5812.79</v>
      </c>
      <c r="L1453">
        <v>1412.79</v>
      </c>
      <c r="M1453">
        <v>12711.6</v>
      </c>
      <c r="N1453">
        <v>4400</v>
      </c>
      <c r="O1453">
        <v>24.304851886959618</v>
      </c>
      <c r="P1453" t="s">
        <v>2083</v>
      </c>
      <c r="Q1453" t="s">
        <v>2092</v>
      </c>
    </row>
    <row r="1454" spans="1:17" x14ac:dyDescent="0.25">
      <c r="A1454" t="s">
        <v>1122</v>
      </c>
      <c r="B1454" s="18">
        <v>45919</v>
      </c>
      <c r="C1454" t="s">
        <v>2025</v>
      </c>
      <c r="D1454" t="s">
        <v>2045</v>
      </c>
      <c r="E1454" t="s">
        <v>2057</v>
      </c>
      <c r="F1454" t="s">
        <v>2059</v>
      </c>
      <c r="G1454">
        <v>9</v>
      </c>
      <c r="H1454">
        <v>45</v>
      </c>
      <c r="I1454">
        <v>63</v>
      </c>
      <c r="J1454">
        <v>9.5399999999999991</v>
      </c>
      <c r="K1454">
        <v>512.9</v>
      </c>
      <c r="L1454">
        <v>107.9</v>
      </c>
      <c r="M1454">
        <v>5409.1799999999994</v>
      </c>
      <c r="N1454">
        <v>405</v>
      </c>
      <c r="O1454">
        <v>21.037239227919674</v>
      </c>
      <c r="P1454" t="s">
        <v>2083</v>
      </c>
      <c r="Q1454" t="s">
        <v>2092</v>
      </c>
    </row>
    <row r="1455" spans="1:17" x14ac:dyDescent="0.25">
      <c r="A1455" t="s">
        <v>1910</v>
      </c>
      <c r="B1455" s="18">
        <v>45919</v>
      </c>
      <c r="C1455" t="s">
        <v>2025</v>
      </c>
      <c r="D1455" t="s">
        <v>2045</v>
      </c>
      <c r="E1455" t="s">
        <v>2057</v>
      </c>
      <c r="F1455" t="s">
        <v>2059</v>
      </c>
      <c r="G1455">
        <v>7</v>
      </c>
      <c r="H1455">
        <v>45</v>
      </c>
      <c r="I1455">
        <v>63</v>
      </c>
      <c r="J1455">
        <v>9.9499999999999993</v>
      </c>
      <c r="K1455">
        <v>397.13</v>
      </c>
      <c r="L1455">
        <v>82.13</v>
      </c>
      <c r="M1455">
        <v>4387.95</v>
      </c>
      <c r="N1455">
        <v>315</v>
      </c>
      <c r="O1455">
        <v>20.680885352403493</v>
      </c>
      <c r="P1455" t="s">
        <v>2083</v>
      </c>
      <c r="Q1455" t="s">
        <v>2092</v>
      </c>
    </row>
    <row r="1456" spans="1:17" x14ac:dyDescent="0.25">
      <c r="A1456" t="s">
        <v>154</v>
      </c>
      <c r="B1456" s="18">
        <v>45920</v>
      </c>
      <c r="C1456" t="s">
        <v>2023</v>
      </c>
      <c r="D1456" t="s">
        <v>2043</v>
      </c>
      <c r="E1456" t="s">
        <v>2053</v>
      </c>
      <c r="F1456" t="s">
        <v>2062</v>
      </c>
      <c r="G1456">
        <v>8</v>
      </c>
      <c r="H1456">
        <v>550</v>
      </c>
      <c r="I1456">
        <v>742.5</v>
      </c>
      <c r="J1456">
        <v>15.49</v>
      </c>
      <c r="K1456">
        <v>5019.9399999999996</v>
      </c>
      <c r="L1456">
        <v>619.94000000000005</v>
      </c>
      <c r="M1456">
        <v>92010.6</v>
      </c>
      <c r="N1456">
        <v>4400</v>
      </c>
      <c r="O1456">
        <v>12.349549994621452</v>
      </c>
      <c r="P1456" t="s">
        <v>2083</v>
      </c>
      <c r="Q1456" t="s">
        <v>2092</v>
      </c>
    </row>
    <row r="1457" spans="1:17" x14ac:dyDescent="0.25">
      <c r="A1457" t="s">
        <v>688</v>
      </c>
      <c r="B1457" s="18">
        <v>45920</v>
      </c>
      <c r="C1457" t="s">
        <v>2024</v>
      </c>
      <c r="D1457" t="s">
        <v>2044</v>
      </c>
      <c r="E1457" t="s">
        <v>2055</v>
      </c>
      <c r="F1457" t="s">
        <v>2059</v>
      </c>
      <c r="G1457">
        <v>3</v>
      </c>
      <c r="H1457">
        <v>180</v>
      </c>
      <c r="I1457">
        <v>243</v>
      </c>
      <c r="J1457">
        <v>2.7</v>
      </c>
      <c r="K1457">
        <v>709.3</v>
      </c>
      <c r="L1457">
        <v>169.3</v>
      </c>
      <c r="M1457">
        <v>1968.3000000000002</v>
      </c>
      <c r="N1457">
        <v>540</v>
      </c>
      <c r="O1457">
        <v>23.868602847878194</v>
      </c>
      <c r="P1457" t="s">
        <v>2083</v>
      </c>
      <c r="Q1457" t="s">
        <v>2092</v>
      </c>
    </row>
    <row r="1458" spans="1:17" x14ac:dyDescent="0.25">
      <c r="A1458" t="s">
        <v>1475</v>
      </c>
      <c r="B1458" s="18">
        <v>45920</v>
      </c>
      <c r="C1458" t="s">
        <v>2017</v>
      </c>
      <c r="D1458" t="s">
        <v>2037</v>
      </c>
      <c r="E1458" t="s">
        <v>2055</v>
      </c>
      <c r="F1458" t="s">
        <v>2060</v>
      </c>
      <c r="G1458">
        <v>4</v>
      </c>
      <c r="H1458">
        <v>2500</v>
      </c>
      <c r="I1458">
        <v>2875</v>
      </c>
      <c r="J1458">
        <v>10.59</v>
      </c>
      <c r="K1458">
        <v>10282.35</v>
      </c>
      <c r="L1458">
        <v>282.35000000000002</v>
      </c>
      <c r="M1458">
        <v>121785</v>
      </c>
      <c r="N1458">
        <v>10000</v>
      </c>
      <c r="O1458">
        <v>2.7459676046818093</v>
      </c>
      <c r="P1458" t="s">
        <v>2083</v>
      </c>
      <c r="Q1458" t="s">
        <v>2091</v>
      </c>
    </row>
    <row r="1459" spans="1:17" x14ac:dyDescent="0.25">
      <c r="A1459" t="s">
        <v>14</v>
      </c>
      <c r="B1459" s="18">
        <v>45921</v>
      </c>
      <c r="C1459" t="s">
        <v>2014</v>
      </c>
      <c r="D1459" t="s">
        <v>2034</v>
      </c>
      <c r="E1459" t="s">
        <v>2052</v>
      </c>
      <c r="F1459" t="s">
        <v>2061</v>
      </c>
      <c r="G1459">
        <v>2</v>
      </c>
      <c r="H1459">
        <v>4500</v>
      </c>
      <c r="I1459">
        <v>5220</v>
      </c>
      <c r="J1459">
        <v>9.3000000000000007</v>
      </c>
      <c r="K1459">
        <v>9468.82</v>
      </c>
      <c r="L1459">
        <v>468.82</v>
      </c>
      <c r="M1459">
        <v>97092.000000000015</v>
      </c>
      <c r="N1459">
        <v>9000</v>
      </c>
      <c r="O1459">
        <v>4.9511977205185023</v>
      </c>
      <c r="P1459" t="s">
        <v>2083</v>
      </c>
      <c r="Q1459" t="s">
        <v>2091</v>
      </c>
    </row>
    <row r="1460" spans="1:17" x14ac:dyDescent="0.25">
      <c r="A1460" t="s">
        <v>242</v>
      </c>
      <c r="B1460" s="18">
        <v>45921</v>
      </c>
      <c r="C1460" t="s">
        <v>2017</v>
      </c>
      <c r="D1460" t="s">
        <v>2037</v>
      </c>
      <c r="E1460" t="s">
        <v>2055</v>
      </c>
      <c r="F1460" t="s">
        <v>2059</v>
      </c>
      <c r="G1460">
        <v>7</v>
      </c>
      <c r="H1460">
        <v>2500</v>
      </c>
      <c r="I1460">
        <v>2875</v>
      </c>
      <c r="J1460">
        <v>20.73</v>
      </c>
      <c r="K1460">
        <v>15952.66</v>
      </c>
      <c r="L1460">
        <v>-1547.34</v>
      </c>
      <c r="M1460">
        <v>417191.25</v>
      </c>
      <c r="N1460">
        <v>17500</v>
      </c>
      <c r="O1460">
        <v>-9.6995736134287309</v>
      </c>
      <c r="P1460" t="s">
        <v>2083</v>
      </c>
      <c r="Q1460" t="s">
        <v>2093</v>
      </c>
    </row>
    <row r="1461" spans="1:17" x14ac:dyDescent="0.25">
      <c r="A1461" t="s">
        <v>860</v>
      </c>
      <c r="B1461" s="18">
        <v>45921</v>
      </c>
      <c r="C1461" t="s">
        <v>2028</v>
      </c>
      <c r="D1461" t="s">
        <v>2048</v>
      </c>
      <c r="E1461" t="s">
        <v>2057</v>
      </c>
      <c r="F1461" t="s">
        <v>2062</v>
      </c>
      <c r="G1461">
        <v>5</v>
      </c>
      <c r="H1461">
        <v>80</v>
      </c>
      <c r="I1461">
        <v>116</v>
      </c>
      <c r="J1461">
        <v>2.5499999999999998</v>
      </c>
      <c r="K1461">
        <v>565.20000000000005</v>
      </c>
      <c r="L1461">
        <v>165.2</v>
      </c>
      <c r="M1461">
        <v>1479</v>
      </c>
      <c r="N1461">
        <v>400</v>
      </c>
      <c r="O1461">
        <v>29.228591648973811</v>
      </c>
      <c r="P1461" t="s">
        <v>2083</v>
      </c>
      <c r="Q1461" t="s">
        <v>2092</v>
      </c>
    </row>
    <row r="1462" spans="1:17" x14ac:dyDescent="0.25">
      <c r="A1462" t="s">
        <v>1278</v>
      </c>
      <c r="B1462" s="18">
        <v>45921</v>
      </c>
      <c r="C1462" t="s">
        <v>2021</v>
      </c>
      <c r="D1462" t="s">
        <v>2041</v>
      </c>
      <c r="E1462" t="s">
        <v>2056</v>
      </c>
      <c r="F1462" t="s">
        <v>2062</v>
      </c>
      <c r="G1462">
        <v>9</v>
      </c>
      <c r="H1462">
        <v>300</v>
      </c>
      <c r="I1462">
        <v>405</v>
      </c>
      <c r="J1462">
        <v>18.62</v>
      </c>
      <c r="K1462">
        <v>2966.31</v>
      </c>
      <c r="L1462">
        <v>266.31</v>
      </c>
      <c r="M1462">
        <v>67869.900000000009</v>
      </c>
      <c r="N1462">
        <v>2700</v>
      </c>
      <c r="O1462">
        <v>8.9778209290330402</v>
      </c>
      <c r="P1462" t="s">
        <v>2083</v>
      </c>
      <c r="Q1462" t="s">
        <v>2091</v>
      </c>
    </row>
    <row r="1463" spans="1:17" x14ac:dyDescent="0.25">
      <c r="A1463" t="s">
        <v>1375</v>
      </c>
      <c r="B1463" s="18">
        <v>45921</v>
      </c>
      <c r="C1463" t="s">
        <v>2027</v>
      </c>
      <c r="D1463" t="s">
        <v>2047</v>
      </c>
      <c r="E1463" t="s">
        <v>2053</v>
      </c>
      <c r="F1463" t="s">
        <v>2061</v>
      </c>
      <c r="G1463">
        <v>4</v>
      </c>
      <c r="H1463">
        <v>1100</v>
      </c>
      <c r="I1463">
        <v>1298</v>
      </c>
      <c r="J1463">
        <v>12.64</v>
      </c>
      <c r="K1463">
        <v>4535.55</v>
      </c>
      <c r="L1463">
        <v>135.55000000000001</v>
      </c>
      <c r="M1463">
        <v>65626.880000000005</v>
      </c>
      <c r="N1463">
        <v>4400</v>
      </c>
      <c r="O1463">
        <v>2.9886121859531922</v>
      </c>
      <c r="P1463" t="s">
        <v>2083</v>
      </c>
      <c r="Q1463" t="s">
        <v>2091</v>
      </c>
    </row>
    <row r="1464" spans="1:17" x14ac:dyDescent="0.25">
      <c r="A1464" t="s">
        <v>1399</v>
      </c>
      <c r="B1464" s="18">
        <v>45921</v>
      </c>
      <c r="C1464" t="s">
        <v>2031</v>
      </c>
      <c r="D1464" t="s">
        <v>2051</v>
      </c>
      <c r="E1464" t="s">
        <v>2058</v>
      </c>
      <c r="F1464" t="s">
        <v>2062</v>
      </c>
      <c r="G1464">
        <v>6</v>
      </c>
      <c r="H1464">
        <v>3200</v>
      </c>
      <c r="I1464">
        <v>3840</v>
      </c>
      <c r="J1464">
        <v>5.36</v>
      </c>
      <c r="K1464">
        <v>21806.03</v>
      </c>
      <c r="L1464">
        <v>2606.0300000000002</v>
      </c>
      <c r="M1464">
        <v>123494.40000000001</v>
      </c>
      <c r="N1464">
        <v>19200</v>
      </c>
      <c r="O1464">
        <v>11.950960353626957</v>
      </c>
      <c r="P1464" t="s">
        <v>2083</v>
      </c>
      <c r="Q1464" t="s">
        <v>2092</v>
      </c>
    </row>
    <row r="1465" spans="1:17" x14ac:dyDescent="0.25">
      <c r="A1465" t="s">
        <v>1474</v>
      </c>
      <c r="B1465" s="18">
        <v>45921</v>
      </c>
      <c r="C1465" t="s">
        <v>2014</v>
      </c>
      <c r="D1465" t="s">
        <v>2034</v>
      </c>
      <c r="E1465" t="s">
        <v>2052</v>
      </c>
      <c r="F1465" t="s">
        <v>2059</v>
      </c>
      <c r="G1465">
        <v>3</v>
      </c>
      <c r="H1465">
        <v>4500</v>
      </c>
      <c r="I1465">
        <v>5220</v>
      </c>
      <c r="J1465">
        <v>16.239999999999998</v>
      </c>
      <c r="K1465">
        <v>13116.34</v>
      </c>
      <c r="L1465">
        <v>-383.66</v>
      </c>
      <c r="M1465">
        <v>254318.39999999997</v>
      </c>
      <c r="N1465">
        <v>13500</v>
      </c>
      <c r="O1465">
        <v>-2.9250537878707021</v>
      </c>
      <c r="P1465" t="s">
        <v>2083</v>
      </c>
      <c r="Q1465" t="s">
        <v>2093</v>
      </c>
    </row>
    <row r="1466" spans="1:17" x14ac:dyDescent="0.25">
      <c r="A1466" t="s">
        <v>1559</v>
      </c>
      <c r="B1466" s="18">
        <v>45921</v>
      </c>
      <c r="C1466" t="s">
        <v>2028</v>
      </c>
      <c r="D1466" t="s">
        <v>2048</v>
      </c>
      <c r="E1466" t="s">
        <v>2057</v>
      </c>
      <c r="F1466" t="s">
        <v>2060</v>
      </c>
      <c r="G1466">
        <v>5</v>
      </c>
      <c r="H1466">
        <v>80</v>
      </c>
      <c r="I1466">
        <v>116</v>
      </c>
      <c r="J1466">
        <v>15.79</v>
      </c>
      <c r="K1466">
        <v>488.44</v>
      </c>
      <c r="L1466">
        <v>88.44</v>
      </c>
      <c r="M1466">
        <v>9158.1999999999989</v>
      </c>
      <c r="N1466">
        <v>400</v>
      </c>
      <c r="O1466">
        <v>18.106625174023421</v>
      </c>
      <c r="P1466" t="s">
        <v>2083</v>
      </c>
      <c r="Q1466" t="s">
        <v>2092</v>
      </c>
    </row>
    <row r="1467" spans="1:17" x14ac:dyDescent="0.25">
      <c r="A1467" t="s">
        <v>735</v>
      </c>
      <c r="B1467" s="18">
        <v>45922</v>
      </c>
      <c r="C1467" t="s">
        <v>2015</v>
      </c>
      <c r="D1467" t="s">
        <v>2035</v>
      </c>
      <c r="E1467" t="s">
        <v>2054</v>
      </c>
      <c r="F1467" t="s">
        <v>2061</v>
      </c>
      <c r="G1467">
        <v>7</v>
      </c>
      <c r="H1467">
        <v>900</v>
      </c>
      <c r="I1467">
        <v>1170</v>
      </c>
      <c r="J1467">
        <v>0</v>
      </c>
      <c r="K1467">
        <v>8190</v>
      </c>
      <c r="L1467">
        <v>1890</v>
      </c>
      <c r="M1467">
        <v>0</v>
      </c>
      <c r="N1467">
        <v>6300</v>
      </c>
      <c r="O1467">
        <v>23.076923076923077</v>
      </c>
      <c r="P1467" t="s">
        <v>2083</v>
      </c>
      <c r="Q1467" t="s">
        <v>2092</v>
      </c>
    </row>
    <row r="1468" spans="1:17" x14ac:dyDescent="0.25">
      <c r="A1468" t="s">
        <v>846</v>
      </c>
      <c r="B1468" s="18">
        <v>45922</v>
      </c>
      <c r="C1468" t="s">
        <v>2023</v>
      </c>
      <c r="D1468" t="s">
        <v>2043</v>
      </c>
      <c r="E1468" t="s">
        <v>2053</v>
      </c>
      <c r="F1468" t="s">
        <v>2059</v>
      </c>
      <c r="G1468">
        <v>2</v>
      </c>
      <c r="H1468">
        <v>550</v>
      </c>
      <c r="I1468">
        <v>742.5</v>
      </c>
      <c r="J1468">
        <v>5.6</v>
      </c>
      <c r="K1468">
        <v>1401.91</v>
      </c>
      <c r="L1468">
        <v>301.91000000000003</v>
      </c>
      <c r="M1468">
        <v>8316</v>
      </c>
      <c r="N1468">
        <v>1100</v>
      </c>
      <c r="O1468">
        <v>21.535619262292158</v>
      </c>
      <c r="P1468" t="s">
        <v>2083</v>
      </c>
      <c r="Q1468" t="s">
        <v>2092</v>
      </c>
    </row>
    <row r="1469" spans="1:17" x14ac:dyDescent="0.25">
      <c r="A1469" t="s">
        <v>964</v>
      </c>
      <c r="B1469" s="18">
        <v>45922</v>
      </c>
      <c r="C1469" t="s">
        <v>2016</v>
      </c>
      <c r="D1469" t="s">
        <v>2036</v>
      </c>
      <c r="E1469" t="s">
        <v>2052</v>
      </c>
      <c r="F1469" t="s">
        <v>2060</v>
      </c>
      <c r="G1469">
        <v>1</v>
      </c>
      <c r="H1469">
        <v>900</v>
      </c>
      <c r="I1469">
        <v>1170</v>
      </c>
      <c r="J1469">
        <v>15.56</v>
      </c>
      <c r="K1469">
        <v>987.95</v>
      </c>
      <c r="L1469">
        <v>87.95</v>
      </c>
      <c r="M1469">
        <v>18205.2</v>
      </c>
      <c r="N1469">
        <v>900</v>
      </c>
      <c r="O1469">
        <v>8.9022723822055774</v>
      </c>
      <c r="P1469" t="s">
        <v>2083</v>
      </c>
      <c r="Q1469" t="s">
        <v>2091</v>
      </c>
    </row>
    <row r="1470" spans="1:17" x14ac:dyDescent="0.25">
      <c r="A1470" t="s">
        <v>1305</v>
      </c>
      <c r="B1470" s="18">
        <v>45922</v>
      </c>
      <c r="C1470" t="s">
        <v>2018</v>
      </c>
      <c r="D1470" t="s">
        <v>2038</v>
      </c>
      <c r="E1470" t="s">
        <v>2053</v>
      </c>
      <c r="F1470" t="s">
        <v>2062</v>
      </c>
      <c r="G1470">
        <v>5</v>
      </c>
      <c r="H1470">
        <v>500</v>
      </c>
      <c r="I1470">
        <v>610</v>
      </c>
      <c r="J1470">
        <v>11.6</v>
      </c>
      <c r="K1470">
        <v>2696.12</v>
      </c>
      <c r="L1470">
        <v>196.12</v>
      </c>
      <c r="M1470">
        <v>35380</v>
      </c>
      <c r="N1470">
        <v>2500</v>
      </c>
      <c r="O1470">
        <v>7.274156936634868</v>
      </c>
      <c r="P1470" t="s">
        <v>2083</v>
      </c>
      <c r="Q1470" t="s">
        <v>2091</v>
      </c>
    </row>
    <row r="1471" spans="1:17" x14ac:dyDescent="0.25">
      <c r="A1471" t="s">
        <v>1726</v>
      </c>
      <c r="B1471" s="18">
        <v>45922</v>
      </c>
      <c r="C1471" t="s">
        <v>2021</v>
      </c>
      <c r="D1471" t="s">
        <v>2041</v>
      </c>
      <c r="E1471" t="s">
        <v>2056</v>
      </c>
      <c r="F1471" t="s">
        <v>2061</v>
      </c>
      <c r="G1471">
        <v>8</v>
      </c>
      <c r="H1471">
        <v>300</v>
      </c>
      <c r="I1471">
        <v>405</v>
      </c>
      <c r="J1471">
        <v>8.5</v>
      </c>
      <c r="K1471">
        <v>2964.64</v>
      </c>
      <c r="L1471">
        <v>564.64</v>
      </c>
      <c r="M1471">
        <v>27540</v>
      </c>
      <c r="N1471">
        <v>2400</v>
      </c>
      <c r="O1471">
        <v>19.045820065842733</v>
      </c>
      <c r="P1471" t="s">
        <v>2083</v>
      </c>
      <c r="Q1471" t="s">
        <v>2092</v>
      </c>
    </row>
    <row r="1472" spans="1:17" x14ac:dyDescent="0.25">
      <c r="A1472" t="s">
        <v>100</v>
      </c>
      <c r="B1472" s="18">
        <v>45923</v>
      </c>
      <c r="C1472" t="s">
        <v>2027</v>
      </c>
      <c r="D1472" t="s">
        <v>2047</v>
      </c>
      <c r="E1472" t="s">
        <v>2053</v>
      </c>
      <c r="F1472" t="s">
        <v>2062</v>
      </c>
      <c r="G1472">
        <v>4</v>
      </c>
      <c r="H1472">
        <v>1100</v>
      </c>
      <c r="I1472">
        <v>1298</v>
      </c>
      <c r="J1472">
        <v>21.97</v>
      </c>
      <c r="K1472">
        <v>4051.38</v>
      </c>
      <c r="L1472">
        <v>-348.62</v>
      </c>
      <c r="M1472">
        <v>114068.23999999999</v>
      </c>
      <c r="N1472">
        <v>4400</v>
      </c>
      <c r="O1472">
        <v>-8.6049691709985243</v>
      </c>
      <c r="P1472" t="s">
        <v>2083</v>
      </c>
      <c r="Q1472" t="s">
        <v>2093</v>
      </c>
    </row>
    <row r="1473" spans="1:17" x14ac:dyDescent="0.25">
      <c r="A1473" t="s">
        <v>141</v>
      </c>
      <c r="B1473" s="18">
        <v>45923</v>
      </c>
      <c r="C1473" t="s">
        <v>2018</v>
      </c>
      <c r="D1473" t="s">
        <v>2038</v>
      </c>
      <c r="E1473" t="s">
        <v>2053</v>
      </c>
      <c r="F1473" t="s">
        <v>2060</v>
      </c>
      <c r="G1473">
        <v>3</v>
      </c>
      <c r="H1473">
        <v>500</v>
      </c>
      <c r="I1473">
        <v>610</v>
      </c>
      <c r="J1473">
        <v>11.47</v>
      </c>
      <c r="K1473">
        <v>1620.03</v>
      </c>
      <c r="L1473">
        <v>120.03</v>
      </c>
      <c r="M1473">
        <v>20990.100000000002</v>
      </c>
      <c r="N1473">
        <v>1500</v>
      </c>
      <c r="O1473">
        <v>7.4091220532953095</v>
      </c>
      <c r="P1473" t="s">
        <v>2083</v>
      </c>
      <c r="Q1473" t="s">
        <v>2091</v>
      </c>
    </row>
    <row r="1474" spans="1:17" x14ac:dyDescent="0.25">
      <c r="A1474" t="s">
        <v>296</v>
      </c>
      <c r="B1474" s="18">
        <v>45923</v>
      </c>
      <c r="C1474" t="s">
        <v>2024</v>
      </c>
      <c r="D1474" t="s">
        <v>2044</v>
      </c>
      <c r="E1474" t="s">
        <v>2055</v>
      </c>
      <c r="F1474" t="s">
        <v>2060</v>
      </c>
      <c r="G1474">
        <v>10</v>
      </c>
      <c r="H1474">
        <v>180</v>
      </c>
      <c r="I1474">
        <v>243</v>
      </c>
      <c r="J1474">
        <v>13.83</v>
      </c>
      <c r="K1474">
        <v>2093.9299999999998</v>
      </c>
      <c r="L1474">
        <v>293.93</v>
      </c>
      <c r="M1474">
        <v>33606.9</v>
      </c>
      <c r="N1474">
        <v>1800</v>
      </c>
      <c r="O1474">
        <v>14.037240977492086</v>
      </c>
      <c r="P1474" t="s">
        <v>2083</v>
      </c>
      <c r="Q1474" t="s">
        <v>2092</v>
      </c>
    </row>
    <row r="1475" spans="1:17" x14ac:dyDescent="0.25">
      <c r="A1475" t="s">
        <v>1028</v>
      </c>
      <c r="B1475" s="18">
        <v>45923</v>
      </c>
      <c r="C1475" t="s">
        <v>2024</v>
      </c>
      <c r="D1475" t="s">
        <v>2044</v>
      </c>
      <c r="E1475" t="s">
        <v>2055</v>
      </c>
      <c r="F1475" t="s">
        <v>2062</v>
      </c>
      <c r="G1475">
        <v>8</v>
      </c>
      <c r="H1475">
        <v>180</v>
      </c>
      <c r="I1475">
        <v>243</v>
      </c>
      <c r="J1475">
        <v>0</v>
      </c>
      <c r="K1475">
        <v>1944</v>
      </c>
      <c r="L1475">
        <v>504</v>
      </c>
      <c r="M1475">
        <v>0</v>
      </c>
      <c r="N1475">
        <v>1440</v>
      </c>
      <c r="O1475">
        <v>25.925925925925924</v>
      </c>
      <c r="P1475" t="s">
        <v>2083</v>
      </c>
      <c r="Q1475" t="s">
        <v>2092</v>
      </c>
    </row>
    <row r="1476" spans="1:17" x14ac:dyDescent="0.25">
      <c r="A1476" t="s">
        <v>1763</v>
      </c>
      <c r="B1476" s="18">
        <v>45923</v>
      </c>
      <c r="C1476" t="s">
        <v>2022</v>
      </c>
      <c r="D1476" t="s">
        <v>2042</v>
      </c>
      <c r="E1476" t="s">
        <v>2053</v>
      </c>
      <c r="F1476" t="s">
        <v>2059</v>
      </c>
      <c r="G1476">
        <v>10</v>
      </c>
      <c r="H1476">
        <v>8500</v>
      </c>
      <c r="I1476">
        <v>9520</v>
      </c>
      <c r="J1476">
        <v>25.42</v>
      </c>
      <c r="K1476">
        <v>71003.53</v>
      </c>
      <c r="L1476">
        <v>-13996.47</v>
      </c>
      <c r="M1476">
        <v>2419984</v>
      </c>
      <c r="N1476">
        <v>85000</v>
      </c>
      <c r="O1476">
        <v>-19.712357963047751</v>
      </c>
      <c r="P1476" t="s">
        <v>2083</v>
      </c>
      <c r="Q1476" t="s">
        <v>2093</v>
      </c>
    </row>
    <row r="1477" spans="1:17" x14ac:dyDescent="0.25">
      <c r="A1477" t="s">
        <v>144</v>
      </c>
      <c r="B1477" s="18">
        <v>45924</v>
      </c>
      <c r="C1477" t="s">
        <v>2017</v>
      </c>
      <c r="D1477" t="s">
        <v>2037</v>
      </c>
      <c r="E1477" t="s">
        <v>2055</v>
      </c>
      <c r="F1477" t="s">
        <v>2061</v>
      </c>
      <c r="G1477">
        <v>9</v>
      </c>
      <c r="H1477">
        <v>2500</v>
      </c>
      <c r="I1477">
        <v>2875</v>
      </c>
      <c r="J1477">
        <v>23.23</v>
      </c>
      <c r="K1477">
        <v>19864.25</v>
      </c>
      <c r="L1477">
        <v>-2635.75</v>
      </c>
      <c r="M1477">
        <v>601076.25</v>
      </c>
      <c r="N1477">
        <v>22500</v>
      </c>
      <c r="O1477">
        <v>-13.268812061869943</v>
      </c>
      <c r="P1477" t="s">
        <v>2083</v>
      </c>
      <c r="Q1477" t="s">
        <v>2093</v>
      </c>
    </row>
    <row r="1478" spans="1:17" x14ac:dyDescent="0.25">
      <c r="A1478" t="s">
        <v>672</v>
      </c>
      <c r="B1478" s="18">
        <v>45924</v>
      </c>
      <c r="C1478" t="s">
        <v>2012</v>
      </c>
      <c r="D1478" t="s">
        <v>2032</v>
      </c>
      <c r="E1478" t="s">
        <v>2052</v>
      </c>
      <c r="F1478" t="s">
        <v>2062</v>
      </c>
      <c r="G1478">
        <v>1</v>
      </c>
      <c r="H1478">
        <v>6500</v>
      </c>
      <c r="I1478">
        <v>8125</v>
      </c>
      <c r="J1478">
        <v>5.36</v>
      </c>
      <c r="K1478">
        <v>7689.21</v>
      </c>
      <c r="L1478">
        <v>1189.21</v>
      </c>
      <c r="M1478">
        <v>43550</v>
      </c>
      <c r="N1478">
        <v>6500</v>
      </c>
      <c r="O1478">
        <v>15.465958141343519</v>
      </c>
      <c r="P1478" t="s">
        <v>2083</v>
      </c>
      <c r="Q1478" t="s">
        <v>2092</v>
      </c>
    </row>
    <row r="1479" spans="1:17" x14ac:dyDescent="0.25">
      <c r="A1479" t="s">
        <v>875</v>
      </c>
      <c r="B1479" s="18">
        <v>45924</v>
      </c>
      <c r="C1479" t="s">
        <v>2021</v>
      </c>
      <c r="D1479" t="s">
        <v>2041</v>
      </c>
      <c r="E1479" t="s">
        <v>2056</v>
      </c>
      <c r="F1479" t="s">
        <v>2059</v>
      </c>
      <c r="G1479">
        <v>7</v>
      </c>
      <c r="H1479">
        <v>300</v>
      </c>
      <c r="I1479">
        <v>405</v>
      </c>
      <c r="J1479">
        <v>14.29</v>
      </c>
      <c r="K1479">
        <v>2430</v>
      </c>
      <c r="L1479">
        <v>330</v>
      </c>
      <c r="M1479">
        <v>40512.149999999994</v>
      </c>
      <c r="N1479">
        <v>2100</v>
      </c>
      <c r="O1479">
        <v>13.580246913580247</v>
      </c>
      <c r="P1479" t="s">
        <v>2083</v>
      </c>
      <c r="Q1479" t="s">
        <v>2092</v>
      </c>
    </row>
    <row r="1480" spans="1:17" x14ac:dyDescent="0.25">
      <c r="A1480" t="s">
        <v>978</v>
      </c>
      <c r="B1480" s="18">
        <v>45924</v>
      </c>
      <c r="C1480" t="s">
        <v>2018</v>
      </c>
      <c r="D1480" t="s">
        <v>2038</v>
      </c>
      <c r="E1480" t="s">
        <v>2053</v>
      </c>
      <c r="F1480" t="s">
        <v>2059</v>
      </c>
      <c r="G1480">
        <v>3</v>
      </c>
      <c r="H1480">
        <v>500</v>
      </c>
      <c r="I1480">
        <v>610</v>
      </c>
      <c r="J1480">
        <v>18.18</v>
      </c>
      <c r="K1480">
        <v>1497.39</v>
      </c>
      <c r="L1480">
        <v>-2.61</v>
      </c>
      <c r="M1480">
        <v>33269.4</v>
      </c>
      <c r="N1480">
        <v>1500</v>
      </c>
      <c r="O1480">
        <v>-0.17430328772063389</v>
      </c>
      <c r="P1480" t="s">
        <v>2083</v>
      </c>
      <c r="Q1480" t="s">
        <v>2093</v>
      </c>
    </row>
    <row r="1481" spans="1:17" x14ac:dyDescent="0.25">
      <c r="A1481" t="s">
        <v>1195</v>
      </c>
      <c r="B1481" s="18">
        <v>45924</v>
      </c>
      <c r="C1481" t="s">
        <v>2028</v>
      </c>
      <c r="D1481" t="s">
        <v>2048</v>
      </c>
      <c r="E1481" t="s">
        <v>2057</v>
      </c>
      <c r="F1481" t="s">
        <v>2061</v>
      </c>
      <c r="G1481">
        <v>9</v>
      </c>
      <c r="H1481">
        <v>80</v>
      </c>
      <c r="I1481">
        <v>116</v>
      </c>
      <c r="J1481">
        <v>16.8</v>
      </c>
      <c r="K1481">
        <v>868.59</v>
      </c>
      <c r="L1481">
        <v>148.59</v>
      </c>
      <c r="M1481">
        <v>17539.2</v>
      </c>
      <c r="N1481">
        <v>720</v>
      </c>
      <c r="O1481">
        <v>17.107035540358513</v>
      </c>
      <c r="P1481" t="s">
        <v>2083</v>
      </c>
      <c r="Q1481" t="s">
        <v>2092</v>
      </c>
    </row>
    <row r="1482" spans="1:17" x14ac:dyDescent="0.25">
      <c r="A1482" t="s">
        <v>1597</v>
      </c>
      <c r="B1482" s="18">
        <v>45924</v>
      </c>
      <c r="C1482" t="s">
        <v>2012</v>
      </c>
      <c r="D1482" t="s">
        <v>2032</v>
      </c>
      <c r="E1482" t="s">
        <v>2052</v>
      </c>
      <c r="F1482" t="s">
        <v>2062</v>
      </c>
      <c r="G1482">
        <v>7</v>
      </c>
      <c r="H1482">
        <v>6500</v>
      </c>
      <c r="I1482">
        <v>8125</v>
      </c>
      <c r="J1482">
        <v>17.940000000000001</v>
      </c>
      <c r="K1482">
        <v>46669.26</v>
      </c>
      <c r="L1482">
        <v>1169.26</v>
      </c>
      <c r="M1482">
        <v>1020337.5000000001</v>
      </c>
      <c r="N1482">
        <v>45500</v>
      </c>
      <c r="O1482">
        <v>2.5054179132045373</v>
      </c>
      <c r="P1482" t="s">
        <v>2083</v>
      </c>
      <c r="Q1482" t="s">
        <v>2091</v>
      </c>
    </row>
    <row r="1483" spans="1:17" x14ac:dyDescent="0.25">
      <c r="A1483" t="s">
        <v>330</v>
      </c>
      <c r="B1483" s="18">
        <v>45925</v>
      </c>
      <c r="C1483" t="s">
        <v>2029</v>
      </c>
      <c r="D1483" t="s">
        <v>2049</v>
      </c>
      <c r="E1483" t="s">
        <v>2055</v>
      </c>
      <c r="F1483" t="s">
        <v>2059</v>
      </c>
      <c r="G1483">
        <v>3</v>
      </c>
      <c r="H1483">
        <v>1200</v>
      </c>
      <c r="I1483">
        <v>1464</v>
      </c>
      <c r="J1483">
        <v>8.7200000000000006</v>
      </c>
      <c r="K1483">
        <v>4009.01</v>
      </c>
      <c r="L1483">
        <v>409.01</v>
      </c>
      <c r="M1483">
        <v>38298.240000000005</v>
      </c>
      <c r="N1483">
        <v>3600</v>
      </c>
      <c r="O1483">
        <v>10.202269388203073</v>
      </c>
      <c r="P1483" t="s">
        <v>2083</v>
      </c>
      <c r="Q1483" t="s">
        <v>2092</v>
      </c>
    </row>
    <row r="1484" spans="1:17" x14ac:dyDescent="0.25">
      <c r="A1484" t="s">
        <v>673</v>
      </c>
      <c r="B1484" s="18">
        <v>45925</v>
      </c>
      <c r="C1484" t="s">
        <v>2022</v>
      </c>
      <c r="D1484" t="s">
        <v>2042</v>
      </c>
      <c r="E1484" t="s">
        <v>2053</v>
      </c>
      <c r="F1484" t="s">
        <v>2060</v>
      </c>
      <c r="G1484">
        <v>5</v>
      </c>
      <c r="H1484">
        <v>8500</v>
      </c>
      <c r="I1484">
        <v>9520</v>
      </c>
      <c r="J1484">
        <v>12.85</v>
      </c>
      <c r="K1484">
        <v>41484.92</v>
      </c>
      <c r="L1484">
        <v>-1015.08</v>
      </c>
      <c r="M1484">
        <v>611660</v>
      </c>
      <c r="N1484">
        <v>42500</v>
      </c>
      <c r="O1484">
        <v>-2.4468650295095182</v>
      </c>
      <c r="P1484" t="s">
        <v>2083</v>
      </c>
      <c r="Q1484" t="s">
        <v>2093</v>
      </c>
    </row>
    <row r="1485" spans="1:17" x14ac:dyDescent="0.25">
      <c r="A1485" t="s">
        <v>687</v>
      </c>
      <c r="B1485" s="18">
        <v>45925</v>
      </c>
      <c r="C1485" t="s">
        <v>2017</v>
      </c>
      <c r="D1485" t="s">
        <v>2037</v>
      </c>
      <c r="E1485" t="s">
        <v>2055</v>
      </c>
      <c r="F1485" t="s">
        <v>2061</v>
      </c>
      <c r="G1485">
        <v>3</v>
      </c>
      <c r="H1485">
        <v>2500</v>
      </c>
      <c r="I1485">
        <v>2875</v>
      </c>
      <c r="J1485">
        <v>17.809999999999999</v>
      </c>
      <c r="K1485">
        <v>7088.6</v>
      </c>
      <c r="L1485">
        <v>-411.4</v>
      </c>
      <c r="M1485">
        <v>153611.25</v>
      </c>
      <c r="N1485">
        <v>7500</v>
      </c>
      <c r="O1485">
        <v>-5.8036847896622739</v>
      </c>
      <c r="P1485" t="s">
        <v>2083</v>
      </c>
      <c r="Q1485" t="s">
        <v>2093</v>
      </c>
    </row>
    <row r="1486" spans="1:17" x14ac:dyDescent="0.25">
      <c r="A1486" t="s">
        <v>873</v>
      </c>
      <c r="B1486" s="18">
        <v>45925</v>
      </c>
      <c r="C1486" t="s">
        <v>2028</v>
      </c>
      <c r="D1486" t="s">
        <v>2048</v>
      </c>
      <c r="E1486" t="s">
        <v>2057</v>
      </c>
      <c r="F1486" t="s">
        <v>2060</v>
      </c>
      <c r="G1486">
        <v>4</v>
      </c>
      <c r="H1486">
        <v>80</v>
      </c>
      <c r="I1486">
        <v>116</v>
      </c>
      <c r="J1486">
        <v>26.05</v>
      </c>
      <c r="K1486">
        <v>343.12</v>
      </c>
      <c r="L1486">
        <v>23.12</v>
      </c>
      <c r="M1486">
        <v>12087.2</v>
      </c>
      <c r="N1486">
        <v>320</v>
      </c>
      <c r="O1486">
        <v>6.7381674049895075</v>
      </c>
      <c r="P1486" t="s">
        <v>2083</v>
      </c>
      <c r="Q1486" t="s">
        <v>2091</v>
      </c>
    </row>
    <row r="1487" spans="1:17" x14ac:dyDescent="0.25">
      <c r="A1487" t="s">
        <v>930</v>
      </c>
      <c r="B1487" s="18">
        <v>45925</v>
      </c>
      <c r="C1487" t="s">
        <v>2027</v>
      </c>
      <c r="D1487" t="s">
        <v>2047</v>
      </c>
      <c r="E1487" t="s">
        <v>2053</v>
      </c>
      <c r="F1487" t="s">
        <v>2061</v>
      </c>
      <c r="G1487">
        <v>1</v>
      </c>
      <c r="H1487">
        <v>1100</v>
      </c>
      <c r="I1487">
        <v>1298</v>
      </c>
      <c r="J1487">
        <v>12.93</v>
      </c>
      <c r="K1487">
        <v>1130.18</v>
      </c>
      <c r="L1487">
        <v>30.18</v>
      </c>
      <c r="M1487">
        <v>16783.14</v>
      </c>
      <c r="N1487">
        <v>1100</v>
      </c>
      <c r="O1487">
        <v>2.6703710913305843</v>
      </c>
      <c r="P1487" t="s">
        <v>2083</v>
      </c>
      <c r="Q1487" t="s">
        <v>2091</v>
      </c>
    </row>
    <row r="1488" spans="1:17" x14ac:dyDescent="0.25">
      <c r="A1488" t="s">
        <v>991</v>
      </c>
      <c r="B1488" s="18">
        <v>45925</v>
      </c>
      <c r="C1488" t="s">
        <v>2015</v>
      </c>
      <c r="D1488" t="s">
        <v>2035</v>
      </c>
      <c r="E1488" t="s">
        <v>2054</v>
      </c>
      <c r="F1488" t="s">
        <v>2062</v>
      </c>
      <c r="G1488">
        <v>6</v>
      </c>
      <c r="H1488">
        <v>900</v>
      </c>
      <c r="I1488">
        <v>1170</v>
      </c>
      <c r="J1488">
        <v>7.55</v>
      </c>
      <c r="K1488">
        <v>6489.92</v>
      </c>
      <c r="L1488">
        <v>1089.92</v>
      </c>
      <c r="M1488">
        <v>53001</v>
      </c>
      <c r="N1488">
        <v>5400</v>
      </c>
      <c r="O1488">
        <v>16.794043686208767</v>
      </c>
      <c r="P1488" t="s">
        <v>2083</v>
      </c>
      <c r="Q1488" t="s">
        <v>2092</v>
      </c>
    </row>
    <row r="1489" spans="1:17" x14ac:dyDescent="0.25">
      <c r="A1489" t="s">
        <v>1046</v>
      </c>
      <c r="B1489" s="18">
        <v>45925</v>
      </c>
      <c r="C1489" t="s">
        <v>2023</v>
      </c>
      <c r="D1489" t="s">
        <v>2043</v>
      </c>
      <c r="E1489" t="s">
        <v>2053</v>
      </c>
      <c r="F1489" t="s">
        <v>2062</v>
      </c>
      <c r="G1489">
        <v>7</v>
      </c>
      <c r="H1489">
        <v>550</v>
      </c>
      <c r="I1489">
        <v>742.5</v>
      </c>
      <c r="J1489">
        <v>4.7300000000000004</v>
      </c>
      <c r="K1489">
        <v>4951.45</v>
      </c>
      <c r="L1489">
        <v>1101.45</v>
      </c>
      <c r="M1489">
        <v>24584.175000000003</v>
      </c>
      <c r="N1489">
        <v>3850</v>
      </c>
      <c r="O1489">
        <v>22.244998939704534</v>
      </c>
      <c r="P1489" t="s">
        <v>2083</v>
      </c>
      <c r="Q1489" t="s">
        <v>2092</v>
      </c>
    </row>
    <row r="1490" spans="1:17" x14ac:dyDescent="0.25">
      <c r="A1490" t="s">
        <v>1514</v>
      </c>
      <c r="B1490" s="18">
        <v>45925</v>
      </c>
      <c r="C1490" t="s">
        <v>2021</v>
      </c>
      <c r="D1490" t="s">
        <v>2041</v>
      </c>
      <c r="E1490" t="s">
        <v>2056</v>
      </c>
      <c r="F1490" t="s">
        <v>2061</v>
      </c>
      <c r="G1490">
        <v>2</v>
      </c>
      <c r="H1490">
        <v>300</v>
      </c>
      <c r="I1490">
        <v>405</v>
      </c>
      <c r="J1490">
        <v>3.09</v>
      </c>
      <c r="K1490">
        <v>784.95</v>
      </c>
      <c r="L1490">
        <v>184.95</v>
      </c>
      <c r="M1490">
        <v>2502.9</v>
      </c>
      <c r="N1490">
        <v>600</v>
      </c>
      <c r="O1490">
        <v>23.562010319128603</v>
      </c>
      <c r="P1490" t="s">
        <v>2083</v>
      </c>
      <c r="Q1490" t="s">
        <v>2092</v>
      </c>
    </row>
    <row r="1491" spans="1:17" x14ac:dyDescent="0.25">
      <c r="A1491" t="s">
        <v>302</v>
      </c>
      <c r="B1491" s="18">
        <v>45926</v>
      </c>
      <c r="C1491" t="s">
        <v>2028</v>
      </c>
      <c r="D1491" t="s">
        <v>2048</v>
      </c>
      <c r="E1491" t="s">
        <v>2057</v>
      </c>
      <c r="F1491" t="s">
        <v>2059</v>
      </c>
      <c r="G1491">
        <v>1</v>
      </c>
      <c r="H1491">
        <v>80</v>
      </c>
      <c r="I1491">
        <v>116</v>
      </c>
      <c r="J1491">
        <v>12.56</v>
      </c>
      <c r="K1491">
        <v>101.43</v>
      </c>
      <c r="L1491">
        <v>21.43</v>
      </c>
      <c r="M1491">
        <v>1456.96</v>
      </c>
      <c r="N1491">
        <v>80</v>
      </c>
      <c r="O1491">
        <v>21.127871438430443</v>
      </c>
      <c r="P1491" t="s">
        <v>2083</v>
      </c>
      <c r="Q1491" t="s">
        <v>2092</v>
      </c>
    </row>
    <row r="1492" spans="1:17" x14ac:dyDescent="0.25">
      <c r="A1492" t="s">
        <v>352</v>
      </c>
      <c r="B1492" s="18">
        <v>45926</v>
      </c>
      <c r="C1492" t="s">
        <v>2015</v>
      </c>
      <c r="D1492" t="s">
        <v>2035</v>
      </c>
      <c r="E1492" t="s">
        <v>2054</v>
      </c>
      <c r="F1492" t="s">
        <v>2060</v>
      </c>
      <c r="G1492">
        <v>4</v>
      </c>
      <c r="H1492">
        <v>900</v>
      </c>
      <c r="I1492">
        <v>1170</v>
      </c>
      <c r="J1492">
        <v>12.66</v>
      </c>
      <c r="K1492">
        <v>4087.61</v>
      </c>
      <c r="L1492">
        <v>487.61</v>
      </c>
      <c r="M1492">
        <v>59248.800000000003</v>
      </c>
      <c r="N1492">
        <v>3600</v>
      </c>
      <c r="O1492">
        <v>11.928975611665496</v>
      </c>
      <c r="P1492" t="s">
        <v>2083</v>
      </c>
      <c r="Q1492" t="s">
        <v>2092</v>
      </c>
    </row>
    <row r="1493" spans="1:17" x14ac:dyDescent="0.25">
      <c r="A1493" t="s">
        <v>716</v>
      </c>
      <c r="B1493" s="18">
        <v>45926</v>
      </c>
      <c r="C1493" t="s">
        <v>2029</v>
      </c>
      <c r="D1493" t="s">
        <v>2049</v>
      </c>
      <c r="E1493" t="s">
        <v>2055</v>
      </c>
      <c r="F1493" t="s">
        <v>2060</v>
      </c>
      <c r="G1493">
        <v>4</v>
      </c>
      <c r="H1493">
        <v>1200</v>
      </c>
      <c r="I1493">
        <v>1464</v>
      </c>
      <c r="J1493">
        <v>21.6</v>
      </c>
      <c r="K1493">
        <v>4591.1000000000004</v>
      </c>
      <c r="L1493">
        <v>-208.9</v>
      </c>
      <c r="M1493">
        <v>126489.60000000001</v>
      </c>
      <c r="N1493">
        <v>4800</v>
      </c>
      <c r="O1493">
        <v>-4.5501078172986862</v>
      </c>
      <c r="P1493" t="s">
        <v>2083</v>
      </c>
      <c r="Q1493" t="s">
        <v>2093</v>
      </c>
    </row>
    <row r="1494" spans="1:17" x14ac:dyDescent="0.25">
      <c r="A1494" t="s">
        <v>1347</v>
      </c>
      <c r="B1494" s="18">
        <v>45926</v>
      </c>
      <c r="C1494" t="s">
        <v>2013</v>
      </c>
      <c r="D1494" t="s">
        <v>2033</v>
      </c>
      <c r="E1494" t="s">
        <v>2053</v>
      </c>
      <c r="F1494" t="s">
        <v>2059</v>
      </c>
      <c r="G1494">
        <v>5</v>
      </c>
      <c r="H1494">
        <v>6500</v>
      </c>
      <c r="I1494">
        <v>7150</v>
      </c>
      <c r="J1494">
        <v>10.35</v>
      </c>
      <c r="K1494">
        <v>32048.81</v>
      </c>
      <c r="L1494">
        <v>-451.19</v>
      </c>
      <c r="M1494">
        <v>370012.5</v>
      </c>
      <c r="N1494">
        <v>32500</v>
      </c>
      <c r="O1494">
        <v>-1.4078213824475854</v>
      </c>
      <c r="P1494" t="s">
        <v>2083</v>
      </c>
      <c r="Q1494" t="s">
        <v>2093</v>
      </c>
    </row>
    <row r="1495" spans="1:17" x14ac:dyDescent="0.25">
      <c r="A1495" t="s">
        <v>108</v>
      </c>
      <c r="B1495" s="18">
        <v>45927</v>
      </c>
      <c r="C1495" t="s">
        <v>2020</v>
      </c>
      <c r="D1495" t="s">
        <v>2040</v>
      </c>
      <c r="E1495" t="s">
        <v>2053</v>
      </c>
      <c r="F1495" t="s">
        <v>2062</v>
      </c>
      <c r="G1495">
        <v>10</v>
      </c>
      <c r="H1495">
        <v>350</v>
      </c>
      <c r="I1495">
        <v>455</v>
      </c>
      <c r="J1495">
        <v>10.61</v>
      </c>
      <c r="K1495">
        <v>4067.24</v>
      </c>
      <c r="L1495">
        <v>567.24</v>
      </c>
      <c r="M1495">
        <v>48275.5</v>
      </c>
      <c r="N1495">
        <v>3500</v>
      </c>
      <c r="O1495">
        <v>13.946558354068117</v>
      </c>
      <c r="P1495" t="s">
        <v>2083</v>
      </c>
      <c r="Q1495" t="s">
        <v>2092</v>
      </c>
    </row>
    <row r="1496" spans="1:17" x14ac:dyDescent="0.25">
      <c r="A1496" t="s">
        <v>550</v>
      </c>
      <c r="B1496" s="18">
        <v>45927</v>
      </c>
      <c r="C1496" t="s">
        <v>2031</v>
      </c>
      <c r="D1496" t="s">
        <v>2051</v>
      </c>
      <c r="E1496" t="s">
        <v>2058</v>
      </c>
      <c r="F1496" t="s">
        <v>2062</v>
      </c>
      <c r="G1496">
        <v>8</v>
      </c>
      <c r="H1496">
        <v>3200</v>
      </c>
      <c r="I1496">
        <v>3840</v>
      </c>
      <c r="J1496">
        <v>27.5</v>
      </c>
      <c r="K1496">
        <v>22272.43</v>
      </c>
      <c r="L1496">
        <v>-3327.57</v>
      </c>
      <c r="M1496">
        <v>844800</v>
      </c>
      <c r="N1496">
        <v>25600</v>
      </c>
      <c r="O1496">
        <v>-14.940309611479305</v>
      </c>
      <c r="P1496" t="s">
        <v>2083</v>
      </c>
      <c r="Q1496" t="s">
        <v>2093</v>
      </c>
    </row>
    <row r="1497" spans="1:17" x14ac:dyDescent="0.25">
      <c r="A1497" t="s">
        <v>653</v>
      </c>
      <c r="B1497" s="18">
        <v>45927</v>
      </c>
      <c r="C1497" t="s">
        <v>2020</v>
      </c>
      <c r="D1497" t="s">
        <v>2040</v>
      </c>
      <c r="E1497" t="s">
        <v>2053</v>
      </c>
      <c r="F1497" t="s">
        <v>2060</v>
      </c>
      <c r="G1497">
        <v>9</v>
      </c>
      <c r="H1497">
        <v>350</v>
      </c>
      <c r="I1497">
        <v>455</v>
      </c>
      <c r="J1497">
        <v>3.53</v>
      </c>
      <c r="K1497">
        <v>3950.45</v>
      </c>
      <c r="L1497">
        <v>800.45</v>
      </c>
      <c r="M1497">
        <v>14455.349999999999</v>
      </c>
      <c r="N1497">
        <v>3150</v>
      </c>
      <c r="O1497">
        <v>20.262248604589352</v>
      </c>
      <c r="P1497" t="s">
        <v>2083</v>
      </c>
      <c r="Q1497" t="s">
        <v>2092</v>
      </c>
    </row>
    <row r="1498" spans="1:17" x14ac:dyDescent="0.25">
      <c r="A1498" t="s">
        <v>823</v>
      </c>
      <c r="B1498" s="18">
        <v>45927</v>
      </c>
      <c r="C1498" t="s">
        <v>2016</v>
      </c>
      <c r="D1498" t="s">
        <v>2036</v>
      </c>
      <c r="E1498" t="s">
        <v>2052</v>
      </c>
      <c r="F1498" t="s">
        <v>2061</v>
      </c>
      <c r="G1498">
        <v>9</v>
      </c>
      <c r="H1498">
        <v>900</v>
      </c>
      <c r="I1498">
        <v>1170</v>
      </c>
      <c r="J1498">
        <v>7.96</v>
      </c>
      <c r="K1498">
        <v>9691.8799999999992</v>
      </c>
      <c r="L1498">
        <v>1591.88</v>
      </c>
      <c r="M1498">
        <v>83818.8</v>
      </c>
      <c r="N1498">
        <v>8100</v>
      </c>
      <c r="O1498">
        <v>16.424883510732698</v>
      </c>
      <c r="P1498" t="s">
        <v>2083</v>
      </c>
      <c r="Q1498" t="s">
        <v>2092</v>
      </c>
    </row>
    <row r="1499" spans="1:17" x14ac:dyDescent="0.25">
      <c r="A1499" t="s">
        <v>1935</v>
      </c>
      <c r="B1499" s="18">
        <v>45927</v>
      </c>
      <c r="C1499" t="s">
        <v>2025</v>
      </c>
      <c r="D1499" t="s">
        <v>2045</v>
      </c>
      <c r="E1499" t="s">
        <v>2057</v>
      </c>
      <c r="F1499" t="s">
        <v>2060</v>
      </c>
      <c r="G1499">
        <v>2</v>
      </c>
      <c r="H1499">
        <v>45</v>
      </c>
      <c r="I1499">
        <v>63</v>
      </c>
      <c r="J1499">
        <v>7.32</v>
      </c>
      <c r="K1499">
        <v>116.78</v>
      </c>
      <c r="L1499">
        <v>26.78</v>
      </c>
      <c r="M1499">
        <v>922.32</v>
      </c>
      <c r="N1499">
        <v>90</v>
      </c>
      <c r="O1499">
        <v>22.932008905634525</v>
      </c>
      <c r="P1499" t="s">
        <v>2083</v>
      </c>
      <c r="Q1499" t="s">
        <v>2092</v>
      </c>
    </row>
    <row r="1500" spans="1:17" x14ac:dyDescent="0.25">
      <c r="A1500" t="s">
        <v>311</v>
      </c>
      <c r="B1500" s="18">
        <v>45928</v>
      </c>
      <c r="C1500" t="s">
        <v>2029</v>
      </c>
      <c r="D1500" t="s">
        <v>2049</v>
      </c>
      <c r="E1500" t="s">
        <v>2055</v>
      </c>
      <c r="F1500" t="s">
        <v>2060</v>
      </c>
      <c r="G1500">
        <v>8</v>
      </c>
      <c r="H1500">
        <v>1200</v>
      </c>
      <c r="I1500">
        <v>1464</v>
      </c>
      <c r="J1500">
        <v>7.08</v>
      </c>
      <c r="K1500">
        <v>10882.91</v>
      </c>
      <c r="L1500">
        <v>1282.9100000000001</v>
      </c>
      <c r="M1500">
        <v>82920.960000000006</v>
      </c>
      <c r="N1500">
        <v>9600</v>
      </c>
      <c r="O1500">
        <v>11.788299269221193</v>
      </c>
      <c r="P1500" t="s">
        <v>2083</v>
      </c>
      <c r="Q1500" t="s">
        <v>2092</v>
      </c>
    </row>
    <row r="1501" spans="1:17" x14ac:dyDescent="0.25">
      <c r="A1501" t="s">
        <v>768</v>
      </c>
      <c r="B1501" s="18">
        <v>45928</v>
      </c>
      <c r="C1501" t="s">
        <v>2012</v>
      </c>
      <c r="D1501" t="s">
        <v>2032</v>
      </c>
      <c r="E1501" t="s">
        <v>2052</v>
      </c>
      <c r="F1501" t="s">
        <v>2062</v>
      </c>
      <c r="G1501">
        <v>8</v>
      </c>
      <c r="H1501">
        <v>6500</v>
      </c>
      <c r="I1501">
        <v>8125</v>
      </c>
      <c r="J1501">
        <v>21.76</v>
      </c>
      <c r="K1501">
        <v>50856.98</v>
      </c>
      <c r="L1501">
        <v>-1143.02</v>
      </c>
      <c r="M1501">
        <v>1414400</v>
      </c>
      <c r="N1501">
        <v>52000</v>
      </c>
      <c r="O1501">
        <v>-2.2475184330646449</v>
      </c>
      <c r="P1501" t="s">
        <v>2083</v>
      </c>
      <c r="Q1501" t="s">
        <v>2093</v>
      </c>
    </row>
    <row r="1502" spans="1:17" x14ac:dyDescent="0.25">
      <c r="A1502" t="s">
        <v>1804</v>
      </c>
      <c r="B1502" s="18">
        <v>45928</v>
      </c>
      <c r="C1502" t="s">
        <v>2028</v>
      </c>
      <c r="D1502" t="s">
        <v>2048</v>
      </c>
      <c r="E1502" t="s">
        <v>2057</v>
      </c>
      <c r="F1502" t="s">
        <v>2061</v>
      </c>
      <c r="G1502">
        <v>7</v>
      </c>
      <c r="H1502">
        <v>80</v>
      </c>
      <c r="I1502">
        <v>116</v>
      </c>
      <c r="J1502">
        <v>8.8699999999999992</v>
      </c>
      <c r="K1502">
        <v>740</v>
      </c>
      <c r="L1502">
        <v>180</v>
      </c>
      <c r="M1502">
        <v>7202.44</v>
      </c>
      <c r="N1502">
        <v>560</v>
      </c>
      <c r="O1502">
        <v>24.324324324324326</v>
      </c>
      <c r="P1502" t="s">
        <v>2083</v>
      </c>
      <c r="Q1502" t="s">
        <v>2092</v>
      </c>
    </row>
    <row r="1503" spans="1:17" x14ac:dyDescent="0.25">
      <c r="A1503" t="s">
        <v>1897</v>
      </c>
      <c r="B1503" s="18">
        <v>45928</v>
      </c>
      <c r="C1503" t="s">
        <v>2020</v>
      </c>
      <c r="D1503" t="s">
        <v>2040</v>
      </c>
      <c r="E1503" t="s">
        <v>2053</v>
      </c>
      <c r="F1503" t="s">
        <v>2061</v>
      </c>
      <c r="G1503">
        <v>2</v>
      </c>
      <c r="H1503">
        <v>350</v>
      </c>
      <c r="I1503">
        <v>455</v>
      </c>
      <c r="J1503">
        <v>0</v>
      </c>
      <c r="K1503">
        <v>910</v>
      </c>
      <c r="L1503">
        <v>210</v>
      </c>
      <c r="M1503">
        <v>0</v>
      </c>
      <c r="N1503">
        <v>700</v>
      </c>
      <c r="O1503">
        <v>23.076923076923077</v>
      </c>
      <c r="P1503" t="s">
        <v>2083</v>
      </c>
      <c r="Q1503" t="s">
        <v>2092</v>
      </c>
    </row>
    <row r="1504" spans="1:17" x14ac:dyDescent="0.25">
      <c r="A1504" t="s">
        <v>1925</v>
      </c>
      <c r="B1504" s="18">
        <v>45928</v>
      </c>
      <c r="C1504" t="s">
        <v>2025</v>
      </c>
      <c r="D1504" t="s">
        <v>2045</v>
      </c>
      <c r="E1504" t="s">
        <v>2057</v>
      </c>
      <c r="F1504" t="s">
        <v>2060</v>
      </c>
      <c r="G1504">
        <v>3</v>
      </c>
      <c r="H1504">
        <v>45</v>
      </c>
      <c r="I1504">
        <v>63</v>
      </c>
      <c r="J1504">
        <v>10.210000000000001</v>
      </c>
      <c r="K1504">
        <v>169.71</v>
      </c>
      <c r="L1504">
        <v>34.71</v>
      </c>
      <c r="M1504">
        <v>1929.69</v>
      </c>
      <c r="N1504">
        <v>135</v>
      </c>
      <c r="O1504">
        <v>20.452536680219197</v>
      </c>
      <c r="P1504" t="s">
        <v>2083</v>
      </c>
      <c r="Q1504" t="s">
        <v>2092</v>
      </c>
    </row>
    <row r="1505" spans="1:17" x14ac:dyDescent="0.25">
      <c r="A1505" t="s">
        <v>51</v>
      </c>
      <c r="B1505" s="18">
        <v>45929</v>
      </c>
      <c r="C1505" t="s">
        <v>2013</v>
      </c>
      <c r="D1505" t="s">
        <v>2033</v>
      </c>
      <c r="E1505" t="s">
        <v>2053</v>
      </c>
      <c r="F1505" t="s">
        <v>2059</v>
      </c>
      <c r="G1505">
        <v>6</v>
      </c>
      <c r="H1505">
        <v>6500</v>
      </c>
      <c r="I1505">
        <v>7150</v>
      </c>
      <c r="J1505">
        <v>15.18</v>
      </c>
      <c r="K1505">
        <v>36386.71</v>
      </c>
      <c r="L1505">
        <v>-2613.29</v>
      </c>
      <c r="M1505">
        <v>651222</v>
      </c>
      <c r="N1505">
        <v>39000</v>
      </c>
      <c r="O1505">
        <v>-7.1819903475747058</v>
      </c>
      <c r="P1505" t="s">
        <v>2083</v>
      </c>
      <c r="Q1505" t="s">
        <v>2093</v>
      </c>
    </row>
    <row r="1506" spans="1:17" x14ac:dyDescent="0.25">
      <c r="A1506" t="s">
        <v>772</v>
      </c>
      <c r="B1506" s="18">
        <v>45929</v>
      </c>
      <c r="C1506" t="s">
        <v>2013</v>
      </c>
      <c r="D1506" t="s">
        <v>2033</v>
      </c>
      <c r="E1506" t="s">
        <v>2053</v>
      </c>
      <c r="F1506" t="s">
        <v>2061</v>
      </c>
      <c r="G1506">
        <v>10</v>
      </c>
      <c r="H1506">
        <v>6500</v>
      </c>
      <c r="I1506">
        <v>7150</v>
      </c>
      <c r="J1506">
        <v>11.22</v>
      </c>
      <c r="K1506">
        <v>63476.27</v>
      </c>
      <c r="L1506">
        <v>-1523.73</v>
      </c>
      <c r="M1506">
        <v>802230</v>
      </c>
      <c r="N1506">
        <v>65000</v>
      </c>
      <c r="O1506">
        <v>-2.4004718613743372</v>
      </c>
      <c r="P1506" t="s">
        <v>2083</v>
      </c>
      <c r="Q1506" t="s">
        <v>2093</v>
      </c>
    </row>
    <row r="1507" spans="1:17" x14ac:dyDescent="0.25">
      <c r="A1507" t="s">
        <v>1527</v>
      </c>
      <c r="B1507" s="18">
        <v>45929</v>
      </c>
      <c r="C1507" t="s">
        <v>2019</v>
      </c>
      <c r="D1507" t="s">
        <v>2039</v>
      </c>
      <c r="E1507" t="s">
        <v>2053</v>
      </c>
      <c r="F1507" t="s">
        <v>2059</v>
      </c>
      <c r="G1507">
        <v>5</v>
      </c>
      <c r="H1507">
        <v>900</v>
      </c>
      <c r="I1507">
        <v>1152</v>
      </c>
      <c r="J1507">
        <v>24.44</v>
      </c>
      <c r="K1507">
        <v>4352.5200000000004</v>
      </c>
      <c r="L1507">
        <v>-147.47999999999999</v>
      </c>
      <c r="M1507">
        <v>140774.39999999999</v>
      </c>
      <c r="N1507">
        <v>4500</v>
      </c>
      <c r="O1507">
        <v>-3.3883819028976312</v>
      </c>
      <c r="P1507" t="s">
        <v>2083</v>
      </c>
      <c r="Q1507" t="s">
        <v>2093</v>
      </c>
    </row>
    <row r="1508" spans="1:17" x14ac:dyDescent="0.25">
      <c r="A1508" t="s">
        <v>1656</v>
      </c>
      <c r="B1508" s="18">
        <v>45929</v>
      </c>
      <c r="C1508" t="s">
        <v>2018</v>
      </c>
      <c r="D1508" t="s">
        <v>2038</v>
      </c>
      <c r="E1508" t="s">
        <v>2053</v>
      </c>
      <c r="F1508" t="s">
        <v>2061</v>
      </c>
      <c r="G1508">
        <v>4</v>
      </c>
      <c r="H1508">
        <v>500</v>
      </c>
      <c r="I1508">
        <v>610</v>
      </c>
      <c r="J1508">
        <v>5.45</v>
      </c>
      <c r="K1508">
        <v>2307.0700000000002</v>
      </c>
      <c r="L1508">
        <v>307.07</v>
      </c>
      <c r="M1508">
        <v>13298</v>
      </c>
      <c r="N1508">
        <v>2000</v>
      </c>
      <c r="O1508">
        <v>13.309955918112584</v>
      </c>
      <c r="P1508" t="s">
        <v>2083</v>
      </c>
      <c r="Q1508" t="s">
        <v>2092</v>
      </c>
    </row>
    <row r="1509" spans="1:17" x14ac:dyDescent="0.25">
      <c r="A1509" t="s">
        <v>1867</v>
      </c>
      <c r="B1509" s="18">
        <v>45929</v>
      </c>
      <c r="C1509" t="s">
        <v>2022</v>
      </c>
      <c r="D1509" t="s">
        <v>2042</v>
      </c>
      <c r="E1509" t="s">
        <v>2053</v>
      </c>
      <c r="F1509" t="s">
        <v>2060</v>
      </c>
      <c r="G1509">
        <v>4</v>
      </c>
      <c r="H1509">
        <v>8500</v>
      </c>
      <c r="I1509">
        <v>9520</v>
      </c>
      <c r="J1509">
        <v>11.74</v>
      </c>
      <c r="K1509">
        <v>33607.61</v>
      </c>
      <c r="L1509">
        <v>-392.39</v>
      </c>
      <c r="M1509">
        <v>447059.20000000001</v>
      </c>
      <c r="N1509">
        <v>34000</v>
      </c>
      <c r="O1509">
        <v>-1.1675629418456117</v>
      </c>
      <c r="P1509" t="s">
        <v>2083</v>
      </c>
      <c r="Q1509" t="s">
        <v>2093</v>
      </c>
    </row>
    <row r="1510" spans="1:17" x14ac:dyDescent="0.25">
      <c r="A1510" t="s">
        <v>1965</v>
      </c>
      <c r="B1510" s="18">
        <v>45929</v>
      </c>
      <c r="C1510" t="s">
        <v>2025</v>
      </c>
      <c r="D1510" t="s">
        <v>2045</v>
      </c>
      <c r="E1510" t="s">
        <v>2057</v>
      </c>
      <c r="F1510" t="s">
        <v>2060</v>
      </c>
      <c r="G1510">
        <v>3</v>
      </c>
      <c r="H1510">
        <v>45</v>
      </c>
      <c r="I1510">
        <v>63</v>
      </c>
      <c r="J1510">
        <v>17.04</v>
      </c>
      <c r="K1510">
        <v>156.80000000000001</v>
      </c>
      <c r="L1510">
        <v>21.8</v>
      </c>
      <c r="M1510">
        <v>3220.56</v>
      </c>
      <c r="N1510">
        <v>135</v>
      </c>
      <c r="O1510">
        <v>13.903061224489797</v>
      </c>
      <c r="P1510" t="s">
        <v>2083</v>
      </c>
      <c r="Q1510" t="s">
        <v>2092</v>
      </c>
    </row>
    <row r="1511" spans="1:17" x14ac:dyDescent="0.25">
      <c r="A1511" t="s">
        <v>162</v>
      </c>
      <c r="B1511" s="18">
        <v>45930</v>
      </c>
      <c r="C1511" t="s">
        <v>2016</v>
      </c>
      <c r="D1511" t="s">
        <v>2036</v>
      </c>
      <c r="E1511" t="s">
        <v>2052</v>
      </c>
      <c r="F1511" t="s">
        <v>2059</v>
      </c>
      <c r="G1511">
        <v>2</v>
      </c>
      <c r="H1511">
        <v>900</v>
      </c>
      <c r="I1511">
        <v>1170</v>
      </c>
      <c r="J1511">
        <v>0</v>
      </c>
      <c r="K1511">
        <v>2340</v>
      </c>
      <c r="L1511">
        <v>540</v>
      </c>
      <c r="M1511">
        <v>0</v>
      </c>
      <c r="N1511">
        <v>1800</v>
      </c>
      <c r="O1511">
        <v>23.076923076923077</v>
      </c>
      <c r="P1511" t="s">
        <v>2083</v>
      </c>
      <c r="Q1511" t="s">
        <v>2092</v>
      </c>
    </row>
    <row r="1512" spans="1:17" x14ac:dyDescent="0.25">
      <c r="A1512" t="s">
        <v>312</v>
      </c>
      <c r="B1512" s="18">
        <v>45930</v>
      </c>
      <c r="C1512" t="s">
        <v>2025</v>
      </c>
      <c r="D1512" t="s">
        <v>2045</v>
      </c>
      <c r="E1512" t="s">
        <v>2057</v>
      </c>
      <c r="F1512" t="s">
        <v>2060</v>
      </c>
      <c r="G1512">
        <v>1</v>
      </c>
      <c r="H1512">
        <v>45</v>
      </c>
      <c r="I1512">
        <v>63</v>
      </c>
      <c r="J1512">
        <v>15.72</v>
      </c>
      <c r="K1512">
        <v>53.1</v>
      </c>
      <c r="L1512">
        <v>8.1</v>
      </c>
      <c r="M1512">
        <v>990.36</v>
      </c>
      <c r="N1512">
        <v>45</v>
      </c>
      <c r="O1512">
        <v>15.254237288135592</v>
      </c>
      <c r="P1512" t="s">
        <v>2083</v>
      </c>
      <c r="Q1512" t="s">
        <v>2092</v>
      </c>
    </row>
    <row r="1513" spans="1:17" x14ac:dyDescent="0.25">
      <c r="A1513" t="s">
        <v>434</v>
      </c>
      <c r="B1513" s="18">
        <v>45930</v>
      </c>
      <c r="C1513" t="s">
        <v>2023</v>
      </c>
      <c r="D1513" t="s">
        <v>2043</v>
      </c>
      <c r="E1513" t="s">
        <v>2053</v>
      </c>
      <c r="F1513" t="s">
        <v>2062</v>
      </c>
      <c r="G1513">
        <v>6</v>
      </c>
      <c r="H1513">
        <v>550</v>
      </c>
      <c r="I1513">
        <v>742.5</v>
      </c>
      <c r="J1513">
        <v>0</v>
      </c>
      <c r="K1513">
        <v>4455</v>
      </c>
      <c r="L1513">
        <v>1155</v>
      </c>
      <c r="M1513">
        <v>0</v>
      </c>
      <c r="N1513">
        <v>3300</v>
      </c>
      <c r="O1513">
        <v>25.925925925925924</v>
      </c>
      <c r="P1513" t="s">
        <v>2083</v>
      </c>
      <c r="Q1513" t="s">
        <v>2092</v>
      </c>
    </row>
    <row r="1514" spans="1:17" x14ac:dyDescent="0.25">
      <c r="A1514" t="s">
        <v>763</v>
      </c>
      <c r="B1514" s="18">
        <v>45930</v>
      </c>
      <c r="C1514" t="s">
        <v>2014</v>
      </c>
      <c r="D1514" t="s">
        <v>2034</v>
      </c>
      <c r="E1514" t="s">
        <v>2052</v>
      </c>
      <c r="F1514" t="s">
        <v>2062</v>
      </c>
      <c r="G1514">
        <v>2</v>
      </c>
      <c r="H1514">
        <v>4500</v>
      </c>
      <c r="I1514">
        <v>5220</v>
      </c>
      <c r="J1514">
        <v>26.62</v>
      </c>
      <c r="K1514">
        <v>7661.02</v>
      </c>
      <c r="L1514">
        <v>-1338.98</v>
      </c>
      <c r="M1514">
        <v>277912.8</v>
      </c>
      <c r="N1514">
        <v>9000</v>
      </c>
      <c r="O1514">
        <v>-17.477829322988324</v>
      </c>
      <c r="P1514" t="s">
        <v>2083</v>
      </c>
      <c r="Q1514" t="s">
        <v>2093</v>
      </c>
    </row>
    <row r="1515" spans="1:17" x14ac:dyDescent="0.25">
      <c r="A1515" t="s">
        <v>1172</v>
      </c>
      <c r="B1515" s="18">
        <v>45930</v>
      </c>
      <c r="C1515" t="s">
        <v>2015</v>
      </c>
      <c r="D1515" t="s">
        <v>2035</v>
      </c>
      <c r="E1515" t="s">
        <v>2054</v>
      </c>
      <c r="F1515" t="s">
        <v>2060</v>
      </c>
      <c r="G1515">
        <v>4</v>
      </c>
      <c r="H1515">
        <v>900</v>
      </c>
      <c r="I1515">
        <v>1170</v>
      </c>
      <c r="J1515">
        <v>14.55</v>
      </c>
      <c r="K1515">
        <v>3999.12</v>
      </c>
      <c r="L1515">
        <v>399.12</v>
      </c>
      <c r="M1515">
        <v>68094</v>
      </c>
      <c r="N1515">
        <v>3600</v>
      </c>
      <c r="O1515">
        <v>9.9801956430414709</v>
      </c>
      <c r="P1515" t="s">
        <v>2083</v>
      </c>
      <c r="Q1515" t="s">
        <v>2091</v>
      </c>
    </row>
    <row r="1516" spans="1:17" x14ac:dyDescent="0.25">
      <c r="A1516" t="s">
        <v>1435</v>
      </c>
      <c r="B1516" s="18">
        <v>45930</v>
      </c>
      <c r="C1516" t="s">
        <v>2028</v>
      </c>
      <c r="D1516" t="s">
        <v>2048</v>
      </c>
      <c r="E1516" t="s">
        <v>2057</v>
      </c>
      <c r="F1516" t="s">
        <v>2059</v>
      </c>
      <c r="G1516">
        <v>4</v>
      </c>
      <c r="H1516">
        <v>80</v>
      </c>
      <c r="I1516">
        <v>116</v>
      </c>
      <c r="J1516">
        <v>9.01</v>
      </c>
      <c r="K1516">
        <v>422.2</v>
      </c>
      <c r="L1516">
        <v>102.2</v>
      </c>
      <c r="M1516">
        <v>4180.6400000000003</v>
      </c>
      <c r="N1516">
        <v>320</v>
      </c>
      <c r="O1516">
        <v>24.206537186167694</v>
      </c>
      <c r="P1516" t="s">
        <v>2083</v>
      </c>
      <c r="Q1516" t="s">
        <v>2092</v>
      </c>
    </row>
    <row r="1517" spans="1:17" x14ac:dyDescent="0.25">
      <c r="A1517" t="s">
        <v>1680</v>
      </c>
      <c r="B1517" s="18">
        <v>45930</v>
      </c>
      <c r="C1517" t="s">
        <v>2030</v>
      </c>
      <c r="D1517" t="s">
        <v>2050</v>
      </c>
      <c r="E1517" t="s">
        <v>2058</v>
      </c>
      <c r="F1517" t="s">
        <v>2062</v>
      </c>
      <c r="G1517">
        <v>5</v>
      </c>
      <c r="H1517">
        <v>1800</v>
      </c>
      <c r="I1517">
        <v>2124</v>
      </c>
      <c r="J1517">
        <v>6.26</v>
      </c>
      <c r="K1517">
        <v>9955.09</v>
      </c>
      <c r="L1517">
        <v>955.09</v>
      </c>
      <c r="M1517">
        <v>66481.2</v>
      </c>
      <c r="N1517">
        <v>9000</v>
      </c>
      <c r="O1517">
        <v>9.5939865937927227</v>
      </c>
      <c r="P1517" t="s">
        <v>2083</v>
      </c>
      <c r="Q1517" t="s">
        <v>2091</v>
      </c>
    </row>
    <row r="1518" spans="1:17" x14ac:dyDescent="0.25">
      <c r="A1518" t="s">
        <v>1879</v>
      </c>
      <c r="B1518" s="18">
        <v>45930</v>
      </c>
      <c r="C1518" t="s">
        <v>2017</v>
      </c>
      <c r="D1518" t="s">
        <v>2037</v>
      </c>
      <c r="E1518" t="s">
        <v>2055</v>
      </c>
      <c r="F1518" t="s">
        <v>2062</v>
      </c>
      <c r="G1518">
        <v>3</v>
      </c>
      <c r="H1518">
        <v>2500</v>
      </c>
      <c r="I1518">
        <v>2875</v>
      </c>
      <c r="J1518">
        <v>12.23</v>
      </c>
      <c r="K1518">
        <v>7570.54</v>
      </c>
      <c r="L1518">
        <v>70.540000000000006</v>
      </c>
      <c r="M1518">
        <v>105483.75</v>
      </c>
      <c r="N1518">
        <v>7500</v>
      </c>
      <c r="O1518">
        <v>0.93176972844737638</v>
      </c>
      <c r="P1518" t="s">
        <v>2083</v>
      </c>
      <c r="Q1518" t="s">
        <v>2091</v>
      </c>
    </row>
    <row r="1519" spans="1:17" x14ac:dyDescent="0.25">
      <c r="A1519" t="s">
        <v>1137</v>
      </c>
      <c r="B1519" s="18">
        <v>45931</v>
      </c>
      <c r="C1519" t="s">
        <v>2018</v>
      </c>
      <c r="D1519" t="s">
        <v>2038</v>
      </c>
      <c r="E1519" t="s">
        <v>2053</v>
      </c>
      <c r="F1519" t="s">
        <v>2060</v>
      </c>
      <c r="G1519">
        <v>6</v>
      </c>
      <c r="H1519">
        <v>500</v>
      </c>
      <c r="I1519">
        <v>610</v>
      </c>
      <c r="J1519">
        <v>10.8</v>
      </c>
      <c r="K1519">
        <v>3264.67</v>
      </c>
      <c r="L1519">
        <v>264.67</v>
      </c>
      <c r="M1519">
        <v>39528</v>
      </c>
      <c r="N1519">
        <v>3000</v>
      </c>
      <c r="O1519">
        <v>8.1070981140513432</v>
      </c>
      <c r="P1519" t="s">
        <v>2084</v>
      </c>
      <c r="Q1519" t="s">
        <v>2091</v>
      </c>
    </row>
    <row r="1520" spans="1:17" x14ac:dyDescent="0.25">
      <c r="A1520" t="s">
        <v>1391</v>
      </c>
      <c r="B1520" s="18">
        <v>45931</v>
      </c>
      <c r="C1520" t="s">
        <v>2029</v>
      </c>
      <c r="D1520" t="s">
        <v>2049</v>
      </c>
      <c r="E1520" t="s">
        <v>2055</v>
      </c>
      <c r="F1520" t="s">
        <v>2059</v>
      </c>
      <c r="G1520">
        <v>4</v>
      </c>
      <c r="H1520">
        <v>1200</v>
      </c>
      <c r="I1520">
        <v>1464</v>
      </c>
      <c r="J1520">
        <v>0</v>
      </c>
      <c r="K1520">
        <v>5856</v>
      </c>
      <c r="L1520">
        <v>1056</v>
      </c>
      <c r="M1520">
        <v>0</v>
      </c>
      <c r="N1520">
        <v>4800</v>
      </c>
      <c r="O1520">
        <v>18.032786885245901</v>
      </c>
      <c r="P1520" t="s">
        <v>2084</v>
      </c>
      <c r="Q1520" t="s">
        <v>2092</v>
      </c>
    </row>
    <row r="1521" spans="1:17" x14ac:dyDescent="0.25">
      <c r="A1521" t="s">
        <v>1477</v>
      </c>
      <c r="B1521" s="18">
        <v>45931</v>
      </c>
      <c r="C1521" t="s">
        <v>2020</v>
      </c>
      <c r="D1521" t="s">
        <v>2040</v>
      </c>
      <c r="E1521" t="s">
        <v>2053</v>
      </c>
      <c r="F1521" t="s">
        <v>2060</v>
      </c>
      <c r="G1521">
        <v>9</v>
      </c>
      <c r="H1521">
        <v>350</v>
      </c>
      <c r="I1521">
        <v>455</v>
      </c>
      <c r="J1521">
        <v>14.88</v>
      </c>
      <c r="K1521">
        <v>3485.77</v>
      </c>
      <c r="L1521">
        <v>335.77</v>
      </c>
      <c r="M1521">
        <v>60933.600000000006</v>
      </c>
      <c r="N1521">
        <v>3150</v>
      </c>
      <c r="O1521">
        <v>9.6325919380796776</v>
      </c>
      <c r="P1521" t="s">
        <v>2084</v>
      </c>
      <c r="Q1521" t="s">
        <v>2091</v>
      </c>
    </row>
    <row r="1522" spans="1:17" x14ac:dyDescent="0.25">
      <c r="A1522" t="s">
        <v>1669</v>
      </c>
      <c r="B1522" s="18">
        <v>45931</v>
      </c>
      <c r="C1522" t="s">
        <v>2029</v>
      </c>
      <c r="D1522" t="s">
        <v>2049</v>
      </c>
      <c r="E1522" t="s">
        <v>2055</v>
      </c>
      <c r="F1522" t="s">
        <v>2062</v>
      </c>
      <c r="G1522">
        <v>4</v>
      </c>
      <c r="H1522">
        <v>1200</v>
      </c>
      <c r="I1522">
        <v>1464</v>
      </c>
      <c r="J1522">
        <v>0</v>
      </c>
      <c r="K1522">
        <v>5856</v>
      </c>
      <c r="L1522">
        <v>1056</v>
      </c>
      <c r="M1522">
        <v>0</v>
      </c>
      <c r="N1522">
        <v>4800</v>
      </c>
      <c r="O1522">
        <v>18.032786885245901</v>
      </c>
      <c r="P1522" t="s">
        <v>2084</v>
      </c>
      <c r="Q1522" t="s">
        <v>2092</v>
      </c>
    </row>
    <row r="1523" spans="1:17" x14ac:dyDescent="0.25">
      <c r="A1523" t="s">
        <v>1748</v>
      </c>
      <c r="B1523" s="18">
        <v>45931</v>
      </c>
      <c r="C1523" t="s">
        <v>2024</v>
      </c>
      <c r="D1523" t="s">
        <v>2044</v>
      </c>
      <c r="E1523" t="s">
        <v>2055</v>
      </c>
      <c r="F1523" t="s">
        <v>2062</v>
      </c>
      <c r="G1523">
        <v>7</v>
      </c>
      <c r="H1523">
        <v>180</v>
      </c>
      <c r="I1523">
        <v>243</v>
      </c>
      <c r="J1523">
        <v>1.53</v>
      </c>
      <c r="K1523">
        <v>1674.89</v>
      </c>
      <c r="L1523">
        <v>414.89</v>
      </c>
      <c r="M1523">
        <v>2602.5300000000002</v>
      </c>
      <c r="N1523">
        <v>1260</v>
      </c>
      <c r="O1523">
        <v>24.771179002800181</v>
      </c>
      <c r="P1523" t="s">
        <v>2084</v>
      </c>
      <c r="Q1523" t="s">
        <v>2092</v>
      </c>
    </row>
    <row r="1524" spans="1:17" x14ac:dyDescent="0.25">
      <c r="A1524" t="s">
        <v>705</v>
      </c>
      <c r="B1524" s="18">
        <v>45932</v>
      </c>
      <c r="C1524" t="s">
        <v>2017</v>
      </c>
      <c r="D1524" t="s">
        <v>2037</v>
      </c>
      <c r="E1524" t="s">
        <v>2055</v>
      </c>
      <c r="F1524" t="s">
        <v>2060</v>
      </c>
      <c r="G1524">
        <v>9</v>
      </c>
      <c r="H1524">
        <v>2500</v>
      </c>
      <c r="I1524">
        <v>2875</v>
      </c>
      <c r="J1524">
        <v>0</v>
      </c>
      <c r="K1524">
        <v>25875</v>
      </c>
      <c r="L1524">
        <v>3375</v>
      </c>
      <c r="M1524">
        <v>0</v>
      </c>
      <c r="N1524">
        <v>22500</v>
      </c>
      <c r="O1524">
        <v>13.043478260869565</v>
      </c>
      <c r="P1524" t="s">
        <v>2084</v>
      </c>
      <c r="Q1524" t="s">
        <v>2092</v>
      </c>
    </row>
    <row r="1525" spans="1:17" x14ac:dyDescent="0.25">
      <c r="A1525" t="s">
        <v>830</v>
      </c>
      <c r="B1525" s="18">
        <v>45932</v>
      </c>
      <c r="C1525" t="s">
        <v>2017</v>
      </c>
      <c r="D1525" t="s">
        <v>2037</v>
      </c>
      <c r="E1525" t="s">
        <v>2055</v>
      </c>
      <c r="F1525" t="s">
        <v>2062</v>
      </c>
      <c r="G1525">
        <v>8</v>
      </c>
      <c r="H1525">
        <v>2500</v>
      </c>
      <c r="I1525">
        <v>2875</v>
      </c>
      <c r="J1525">
        <v>10.65</v>
      </c>
      <c r="K1525">
        <v>20550.48</v>
      </c>
      <c r="L1525">
        <v>550.48</v>
      </c>
      <c r="M1525">
        <v>244950</v>
      </c>
      <c r="N1525">
        <v>20000</v>
      </c>
      <c r="O1525">
        <v>2.6786722256609092</v>
      </c>
      <c r="P1525" t="s">
        <v>2084</v>
      </c>
      <c r="Q1525" t="s">
        <v>2091</v>
      </c>
    </row>
    <row r="1526" spans="1:17" x14ac:dyDescent="0.25">
      <c r="A1526" t="s">
        <v>841</v>
      </c>
      <c r="B1526" s="18">
        <v>45932</v>
      </c>
      <c r="C1526" t="s">
        <v>2015</v>
      </c>
      <c r="D1526" t="s">
        <v>2035</v>
      </c>
      <c r="E1526" t="s">
        <v>2054</v>
      </c>
      <c r="F1526" t="s">
        <v>2062</v>
      </c>
      <c r="G1526">
        <v>9</v>
      </c>
      <c r="H1526">
        <v>900</v>
      </c>
      <c r="I1526">
        <v>1170</v>
      </c>
      <c r="J1526">
        <v>0</v>
      </c>
      <c r="K1526">
        <v>10530</v>
      </c>
      <c r="L1526">
        <v>2430</v>
      </c>
      <c r="M1526">
        <v>0</v>
      </c>
      <c r="N1526">
        <v>8100</v>
      </c>
      <c r="O1526">
        <v>23.076923076923077</v>
      </c>
      <c r="P1526" t="s">
        <v>2084</v>
      </c>
      <c r="Q1526" t="s">
        <v>2092</v>
      </c>
    </row>
    <row r="1527" spans="1:17" x14ac:dyDescent="0.25">
      <c r="A1527" t="s">
        <v>1095</v>
      </c>
      <c r="B1527" s="18">
        <v>45932</v>
      </c>
      <c r="C1527" t="s">
        <v>2023</v>
      </c>
      <c r="D1527" t="s">
        <v>2043</v>
      </c>
      <c r="E1527" t="s">
        <v>2053</v>
      </c>
      <c r="F1527" t="s">
        <v>2060</v>
      </c>
      <c r="G1527">
        <v>3</v>
      </c>
      <c r="H1527">
        <v>550</v>
      </c>
      <c r="I1527">
        <v>742.5</v>
      </c>
      <c r="J1527">
        <v>19.23</v>
      </c>
      <c r="K1527">
        <v>1799.22</v>
      </c>
      <c r="L1527">
        <v>149.22</v>
      </c>
      <c r="M1527">
        <v>42834.825000000004</v>
      </c>
      <c r="N1527">
        <v>1650</v>
      </c>
      <c r="O1527">
        <v>8.2935938906859636</v>
      </c>
      <c r="P1527" t="s">
        <v>2084</v>
      </c>
      <c r="Q1527" t="s">
        <v>2091</v>
      </c>
    </row>
    <row r="1528" spans="1:17" x14ac:dyDescent="0.25">
      <c r="A1528" t="s">
        <v>1181</v>
      </c>
      <c r="B1528" s="18">
        <v>45932</v>
      </c>
      <c r="C1528" t="s">
        <v>2023</v>
      </c>
      <c r="D1528" t="s">
        <v>2043</v>
      </c>
      <c r="E1528" t="s">
        <v>2053</v>
      </c>
      <c r="F1528" t="s">
        <v>2061</v>
      </c>
      <c r="G1528">
        <v>2</v>
      </c>
      <c r="H1528">
        <v>550</v>
      </c>
      <c r="I1528">
        <v>742.5</v>
      </c>
      <c r="J1528">
        <v>0</v>
      </c>
      <c r="K1528">
        <v>1485</v>
      </c>
      <c r="L1528">
        <v>385</v>
      </c>
      <c r="M1528">
        <v>0</v>
      </c>
      <c r="N1528">
        <v>1100</v>
      </c>
      <c r="O1528">
        <v>25.925925925925924</v>
      </c>
      <c r="P1528" t="s">
        <v>2084</v>
      </c>
      <c r="Q1528" t="s">
        <v>2092</v>
      </c>
    </row>
    <row r="1529" spans="1:17" x14ac:dyDescent="0.25">
      <c r="A1529" t="s">
        <v>1350</v>
      </c>
      <c r="B1529" s="18">
        <v>45932</v>
      </c>
      <c r="C1529" t="s">
        <v>2019</v>
      </c>
      <c r="D1529" t="s">
        <v>2039</v>
      </c>
      <c r="E1529" t="s">
        <v>2053</v>
      </c>
      <c r="F1529" t="s">
        <v>2060</v>
      </c>
      <c r="G1529">
        <v>3</v>
      </c>
      <c r="H1529">
        <v>900</v>
      </c>
      <c r="I1529">
        <v>1152</v>
      </c>
      <c r="J1529">
        <v>15.68</v>
      </c>
      <c r="K1529">
        <v>2914.11</v>
      </c>
      <c r="L1529">
        <v>214.11</v>
      </c>
      <c r="M1529">
        <v>54190.080000000002</v>
      </c>
      <c r="N1529">
        <v>2700</v>
      </c>
      <c r="O1529">
        <v>7.3473547669785972</v>
      </c>
      <c r="P1529" t="s">
        <v>2084</v>
      </c>
      <c r="Q1529" t="s">
        <v>2091</v>
      </c>
    </row>
    <row r="1530" spans="1:17" x14ac:dyDescent="0.25">
      <c r="A1530" t="s">
        <v>98</v>
      </c>
      <c r="B1530" s="18">
        <v>45933</v>
      </c>
      <c r="C1530" t="s">
        <v>2019</v>
      </c>
      <c r="D1530" t="s">
        <v>2039</v>
      </c>
      <c r="E1530" t="s">
        <v>2053</v>
      </c>
      <c r="F1530" t="s">
        <v>2059</v>
      </c>
      <c r="G1530">
        <v>5</v>
      </c>
      <c r="H1530">
        <v>900</v>
      </c>
      <c r="I1530">
        <v>1152</v>
      </c>
      <c r="J1530">
        <v>3.27</v>
      </c>
      <c r="K1530">
        <v>5571.37</v>
      </c>
      <c r="L1530">
        <v>1071.3699999999999</v>
      </c>
      <c r="M1530">
        <v>18835.2</v>
      </c>
      <c r="N1530">
        <v>4500</v>
      </c>
      <c r="O1530">
        <v>19.229920109416536</v>
      </c>
      <c r="P1530" t="s">
        <v>2084</v>
      </c>
      <c r="Q1530" t="s">
        <v>2092</v>
      </c>
    </row>
    <row r="1531" spans="1:17" x14ac:dyDescent="0.25">
      <c r="A1531" t="s">
        <v>882</v>
      </c>
      <c r="B1531" s="18">
        <v>45933</v>
      </c>
      <c r="C1531" t="s">
        <v>2028</v>
      </c>
      <c r="D1531" t="s">
        <v>2048</v>
      </c>
      <c r="E1531" t="s">
        <v>2057</v>
      </c>
      <c r="F1531" t="s">
        <v>2062</v>
      </c>
      <c r="G1531">
        <v>5</v>
      </c>
      <c r="H1531">
        <v>80</v>
      </c>
      <c r="I1531">
        <v>116</v>
      </c>
      <c r="J1531">
        <v>8.83</v>
      </c>
      <c r="K1531">
        <v>528.79999999999995</v>
      </c>
      <c r="L1531">
        <v>128.80000000000001</v>
      </c>
      <c r="M1531">
        <v>5121.3999999999996</v>
      </c>
      <c r="N1531">
        <v>400</v>
      </c>
      <c r="O1531">
        <v>24.357034795763997</v>
      </c>
      <c r="P1531" t="s">
        <v>2084</v>
      </c>
      <c r="Q1531" t="s">
        <v>2092</v>
      </c>
    </row>
    <row r="1532" spans="1:17" x14ac:dyDescent="0.25">
      <c r="A1532" t="s">
        <v>907</v>
      </c>
      <c r="B1532" s="18">
        <v>45933</v>
      </c>
      <c r="C1532" t="s">
        <v>2020</v>
      </c>
      <c r="D1532" t="s">
        <v>2040</v>
      </c>
      <c r="E1532" t="s">
        <v>2053</v>
      </c>
      <c r="F1532" t="s">
        <v>2059</v>
      </c>
      <c r="G1532">
        <v>3</v>
      </c>
      <c r="H1532">
        <v>350</v>
      </c>
      <c r="I1532">
        <v>455</v>
      </c>
      <c r="J1532">
        <v>16.14</v>
      </c>
      <c r="K1532">
        <v>1144.72</v>
      </c>
      <c r="L1532">
        <v>94.72</v>
      </c>
      <c r="M1532">
        <v>22031.100000000002</v>
      </c>
      <c r="N1532">
        <v>1050</v>
      </c>
      <c r="O1532">
        <v>8.2745125445523779</v>
      </c>
      <c r="P1532" t="s">
        <v>2084</v>
      </c>
      <c r="Q1532" t="s">
        <v>2091</v>
      </c>
    </row>
    <row r="1533" spans="1:17" x14ac:dyDescent="0.25">
      <c r="A1533" t="s">
        <v>237</v>
      </c>
      <c r="B1533" s="18">
        <v>45934</v>
      </c>
      <c r="C1533" t="s">
        <v>2027</v>
      </c>
      <c r="D1533" t="s">
        <v>2047</v>
      </c>
      <c r="E1533" t="s">
        <v>2053</v>
      </c>
      <c r="F1533" t="s">
        <v>2061</v>
      </c>
      <c r="G1533">
        <v>5</v>
      </c>
      <c r="H1533">
        <v>1100</v>
      </c>
      <c r="I1533">
        <v>1298</v>
      </c>
      <c r="J1533">
        <v>0</v>
      </c>
      <c r="K1533">
        <v>6490</v>
      </c>
      <c r="L1533">
        <v>990</v>
      </c>
      <c r="M1533">
        <v>0</v>
      </c>
      <c r="N1533">
        <v>5500</v>
      </c>
      <c r="O1533">
        <v>15.254237288135593</v>
      </c>
      <c r="P1533" t="s">
        <v>2084</v>
      </c>
      <c r="Q1533" t="s">
        <v>2092</v>
      </c>
    </row>
    <row r="1534" spans="1:17" x14ac:dyDescent="0.25">
      <c r="A1534" t="s">
        <v>262</v>
      </c>
      <c r="B1534" s="18">
        <v>45934</v>
      </c>
      <c r="C1534" t="s">
        <v>2020</v>
      </c>
      <c r="D1534" t="s">
        <v>2040</v>
      </c>
      <c r="E1534" t="s">
        <v>2053</v>
      </c>
      <c r="F1534" t="s">
        <v>2059</v>
      </c>
      <c r="G1534">
        <v>7</v>
      </c>
      <c r="H1534">
        <v>350</v>
      </c>
      <c r="I1534">
        <v>455</v>
      </c>
      <c r="J1534">
        <v>12.53</v>
      </c>
      <c r="K1534">
        <v>2785.84</v>
      </c>
      <c r="L1534">
        <v>335.84</v>
      </c>
      <c r="M1534">
        <v>39908.049999999996</v>
      </c>
      <c r="N1534">
        <v>2450</v>
      </c>
      <c r="O1534">
        <v>12.055250839962092</v>
      </c>
      <c r="P1534" t="s">
        <v>2084</v>
      </c>
      <c r="Q1534" t="s">
        <v>2092</v>
      </c>
    </row>
    <row r="1535" spans="1:17" x14ac:dyDescent="0.25">
      <c r="A1535" t="s">
        <v>641</v>
      </c>
      <c r="B1535" s="18">
        <v>45934</v>
      </c>
      <c r="C1535" t="s">
        <v>2024</v>
      </c>
      <c r="D1535" t="s">
        <v>2044</v>
      </c>
      <c r="E1535" t="s">
        <v>2055</v>
      </c>
      <c r="F1535" t="s">
        <v>2060</v>
      </c>
      <c r="G1535">
        <v>2</v>
      </c>
      <c r="H1535">
        <v>180</v>
      </c>
      <c r="I1535">
        <v>243</v>
      </c>
      <c r="J1535">
        <v>9.01</v>
      </c>
      <c r="K1535">
        <v>442.23</v>
      </c>
      <c r="L1535">
        <v>82.23</v>
      </c>
      <c r="M1535">
        <v>4378.8599999999997</v>
      </c>
      <c r="N1535">
        <v>360</v>
      </c>
      <c r="O1535">
        <v>18.594396580964656</v>
      </c>
      <c r="P1535" t="s">
        <v>2084</v>
      </c>
      <c r="Q1535" t="s">
        <v>2092</v>
      </c>
    </row>
    <row r="1536" spans="1:17" x14ac:dyDescent="0.25">
      <c r="A1536" t="s">
        <v>747</v>
      </c>
      <c r="B1536" s="18">
        <v>45934</v>
      </c>
      <c r="C1536" t="s">
        <v>2030</v>
      </c>
      <c r="D1536" t="s">
        <v>2050</v>
      </c>
      <c r="E1536" t="s">
        <v>2058</v>
      </c>
      <c r="F1536" t="s">
        <v>2061</v>
      </c>
      <c r="G1536">
        <v>8</v>
      </c>
      <c r="H1536">
        <v>1800</v>
      </c>
      <c r="I1536">
        <v>2124</v>
      </c>
      <c r="J1536">
        <v>8.98</v>
      </c>
      <c r="K1536">
        <v>15465.6</v>
      </c>
      <c r="L1536">
        <v>1065.5999999999999</v>
      </c>
      <c r="M1536">
        <v>152588.16</v>
      </c>
      <c r="N1536">
        <v>14400</v>
      </c>
      <c r="O1536">
        <v>6.8901303538175043</v>
      </c>
      <c r="P1536" t="s">
        <v>2084</v>
      </c>
      <c r="Q1536" t="s">
        <v>2091</v>
      </c>
    </row>
    <row r="1537" spans="1:17" x14ac:dyDescent="0.25">
      <c r="A1537" t="s">
        <v>971</v>
      </c>
      <c r="B1537" s="18">
        <v>45934</v>
      </c>
      <c r="C1537" t="s">
        <v>2029</v>
      </c>
      <c r="D1537" t="s">
        <v>2049</v>
      </c>
      <c r="E1537" t="s">
        <v>2055</v>
      </c>
      <c r="F1537" t="s">
        <v>2059</v>
      </c>
      <c r="G1537">
        <v>6</v>
      </c>
      <c r="H1537">
        <v>1200</v>
      </c>
      <c r="I1537">
        <v>1464</v>
      </c>
      <c r="J1537">
        <v>14.05</v>
      </c>
      <c r="K1537">
        <v>7549.57</v>
      </c>
      <c r="L1537">
        <v>349.57</v>
      </c>
      <c r="M1537">
        <v>123415.20000000001</v>
      </c>
      <c r="N1537">
        <v>7200</v>
      </c>
      <c r="O1537">
        <v>4.6303299393210473</v>
      </c>
      <c r="P1537" t="s">
        <v>2084</v>
      </c>
      <c r="Q1537" t="s">
        <v>2091</v>
      </c>
    </row>
    <row r="1538" spans="1:17" x14ac:dyDescent="0.25">
      <c r="A1538" t="s">
        <v>1060</v>
      </c>
      <c r="B1538" s="18">
        <v>45934</v>
      </c>
      <c r="C1538" t="s">
        <v>2019</v>
      </c>
      <c r="D1538" t="s">
        <v>2039</v>
      </c>
      <c r="E1538" t="s">
        <v>2053</v>
      </c>
      <c r="F1538" t="s">
        <v>2062</v>
      </c>
      <c r="G1538">
        <v>9</v>
      </c>
      <c r="H1538">
        <v>900</v>
      </c>
      <c r="I1538">
        <v>1152</v>
      </c>
      <c r="J1538">
        <v>3.82</v>
      </c>
      <c r="K1538">
        <v>9972.0400000000009</v>
      </c>
      <c r="L1538">
        <v>1872.04</v>
      </c>
      <c r="M1538">
        <v>39605.759999999995</v>
      </c>
      <c r="N1538">
        <v>8100</v>
      </c>
      <c r="O1538">
        <v>18.772888997637391</v>
      </c>
      <c r="P1538" t="s">
        <v>2084</v>
      </c>
      <c r="Q1538" t="s">
        <v>2092</v>
      </c>
    </row>
    <row r="1539" spans="1:17" x14ac:dyDescent="0.25">
      <c r="A1539" t="s">
        <v>1265</v>
      </c>
      <c r="B1539" s="18">
        <v>45934</v>
      </c>
      <c r="C1539" t="s">
        <v>2015</v>
      </c>
      <c r="D1539" t="s">
        <v>2035</v>
      </c>
      <c r="E1539" t="s">
        <v>2054</v>
      </c>
      <c r="F1539" t="s">
        <v>2060</v>
      </c>
      <c r="G1539">
        <v>10</v>
      </c>
      <c r="H1539">
        <v>900</v>
      </c>
      <c r="I1539">
        <v>1170</v>
      </c>
      <c r="J1539">
        <v>10.51</v>
      </c>
      <c r="K1539">
        <v>10470.31</v>
      </c>
      <c r="L1539">
        <v>1470.31</v>
      </c>
      <c r="M1539">
        <v>122967</v>
      </c>
      <c r="N1539">
        <v>9000</v>
      </c>
      <c r="O1539">
        <v>14.042659672922769</v>
      </c>
      <c r="P1539" t="s">
        <v>2084</v>
      </c>
      <c r="Q1539" t="s">
        <v>2092</v>
      </c>
    </row>
    <row r="1540" spans="1:17" x14ac:dyDescent="0.25">
      <c r="A1540" t="s">
        <v>1628</v>
      </c>
      <c r="B1540" s="18">
        <v>45934</v>
      </c>
      <c r="C1540" t="s">
        <v>2017</v>
      </c>
      <c r="D1540" t="s">
        <v>2037</v>
      </c>
      <c r="E1540" t="s">
        <v>2055</v>
      </c>
      <c r="F1540" t="s">
        <v>2061</v>
      </c>
      <c r="G1540">
        <v>5</v>
      </c>
      <c r="H1540">
        <v>2500</v>
      </c>
      <c r="I1540">
        <v>2875</v>
      </c>
      <c r="J1540">
        <v>8.84</v>
      </c>
      <c r="K1540">
        <v>13104.26</v>
      </c>
      <c r="L1540">
        <v>604.26</v>
      </c>
      <c r="M1540">
        <v>127075</v>
      </c>
      <c r="N1540">
        <v>12500</v>
      </c>
      <c r="O1540">
        <v>4.6111722447509429</v>
      </c>
      <c r="P1540" t="s">
        <v>2084</v>
      </c>
      <c r="Q1540" t="s">
        <v>2091</v>
      </c>
    </row>
    <row r="1541" spans="1:17" x14ac:dyDescent="0.25">
      <c r="A1541" t="s">
        <v>319</v>
      </c>
      <c r="B1541" s="18">
        <v>45935</v>
      </c>
      <c r="C1541" t="s">
        <v>2025</v>
      </c>
      <c r="D1541" t="s">
        <v>2045</v>
      </c>
      <c r="E1541" t="s">
        <v>2057</v>
      </c>
      <c r="F1541" t="s">
        <v>2059</v>
      </c>
      <c r="G1541">
        <v>9</v>
      </c>
      <c r="H1541">
        <v>45</v>
      </c>
      <c r="I1541">
        <v>63</v>
      </c>
      <c r="J1541">
        <v>14.28</v>
      </c>
      <c r="K1541">
        <v>486.05</v>
      </c>
      <c r="L1541">
        <v>81.05</v>
      </c>
      <c r="M1541">
        <v>8096.7599999999993</v>
      </c>
      <c r="N1541">
        <v>405</v>
      </c>
      <c r="O1541">
        <v>16.675239172924595</v>
      </c>
      <c r="P1541" t="s">
        <v>2084</v>
      </c>
      <c r="Q1541" t="s">
        <v>2092</v>
      </c>
    </row>
    <row r="1542" spans="1:17" x14ac:dyDescent="0.25">
      <c r="A1542" t="s">
        <v>361</v>
      </c>
      <c r="B1542" s="18">
        <v>45935</v>
      </c>
      <c r="C1542" t="s">
        <v>2022</v>
      </c>
      <c r="D1542" t="s">
        <v>2042</v>
      </c>
      <c r="E1542" t="s">
        <v>2053</v>
      </c>
      <c r="F1542" t="s">
        <v>2061</v>
      </c>
      <c r="G1542">
        <v>4</v>
      </c>
      <c r="H1542">
        <v>8500</v>
      </c>
      <c r="I1542">
        <v>9520</v>
      </c>
      <c r="J1542">
        <v>4</v>
      </c>
      <c r="K1542">
        <v>36556.800000000003</v>
      </c>
      <c r="L1542">
        <v>2556.8000000000002</v>
      </c>
      <c r="M1542">
        <v>152320</v>
      </c>
      <c r="N1542">
        <v>34000</v>
      </c>
      <c r="O1542">
        <v>6.9940476190476195</v>
      </c>
      <c r="P1542" t="s">
        <v>2084</v>
      </c>
      <c r="Q1542" t="s">
        <v>2091</v>
      </c>
    </row>
    <row r="1543" spans="1:17" x14ac:dyDescent="0.25">
      <c r="A1543" t="s">
        <v>1145</v>
      </c>
      <c r="B1543" s="18">
        <v>45935</v>
      </c>
      <c r="C1543" t="s">
        <v>2018</v>
      </c>
      <c r="D1543" t="s">
        <v>2038</v>
      </c>
      <c r="E1543" t="s">
        <v>2053</v>
      </c>
      <c r="F1543" t="s">
        <v>2061</v>
      </c>
      <c r="G1543">
        <v>1</v>
      </c>
      <c r="H1543">
        <v>500</v>
      </c>
      <c r="I1543">
        <v>610</v>
      </c>
      <c r="J1543">
        <v>10.94</v>
      </c>
      <c r="K1543">
        <v>543.26</v>
      </c>
      <c r="L1543">
        <v>43.26</v>
      </c>
      <c r="M1543">
        <v>6673.4</v>
      </c>
      <c r="N1543">
        <v>500</v>
      </c>
      <c r="O1543">
        <v>7.9630379560431468</v>
      </c>
      <c r="P1543" t="s">
        <v>2084</v>
      </c>
      <c r="Q1543" t="s">
        <v>2091</v>
      </c>
    </row>
    <row r="1544" spans="1:17" x14ac:dyDescent="0.25">
      <c r="A1544" t="s">
        <v>1586</v>
      </c>
      <c r="B1544" s="18">
        <v>45935</v>
      </c>
      <c r="C1544" t="s">
        <v>2020</v>
      </c>
      <c r="D1544" t="s">
        <v>2040</v>
      </c>
      <c r="E1544" t="s">
        <v>2053</v>
      </c>
      <c r="F1544" t="s">
        <v>2062</v>
      </c>
      <c r="G1544">
        <v>2</v>
      </c>
      <c r="H1544">
        <v>350</v>
      </c>
      <c r="I1544">
        <v>455</v>
      </c>
      <c r="J1544">
        <v>13.63</v>
      </c>
      <c r="K1544">
        <v>785.97</v>
      </c>
      <c r="L1544">
        <v>85.97</v>
      </c>
      <c r="M1544">
        <v>12403.300000000001</v>
      </c>
      <c r="N1544">
        <v>700</v>
      </c>
      <c r="O1544">
        <v>10.938076516915404</v>
      </c>
      <c r="P1544" t="s">
        <v>2084</v>
      </c>
      <c r="Q1544" t="s">
        <v>2092</v>
      </c>
    </row>
    <row r="1545" spans="1:17" x14ac:dyDescent="0.25">
      <c r="A1545" t="s">
        <v>1717</v>
      </c>
      <c r="B1545" s="18">
        <v>45935</v>
      </c>
      <c r="C1545" t="s">
        <v>2016</v>
      </c>
      <c r="D1545" t="s">
        <v>2036</v>
      </c>
      <c r="E1545" t="s">
        <v>2052</v>
      </c>
      <c r="F1545" t="s">
        <v>2060</v>
      </c>
      <c r="G1545">
        <v>3</v>
      </c>
      <c r="H1545">
        <v>900</v>
      </c>
      <c r="I1545">
        <v>1170</v>
      </c>
      <c r="J1545">
        <v>21.26</v>
      </c>
      <c r="K1545">
        <v>2763.6</v>
      </c>
      <c r="L1545">
        <v>63.6</v>
      </c>
      <c r="M1545">
        <v>74622.600000000006</v>
      </c>
      <c r="N1545">
        <v>2700</v>
      </c>
      <c r="O1545">
        <v>2.3013460703430311</v>
      </c>
      <c r="P1545" t="s">
        <v>2084</v>
      </c>
      <c r="Q1545" t="s">
        <v>2091</v>
      </c>
    </row>
    <row r="1546" spans="1:17" x14ac:dyDescent="0.25">
      <c r="A1546" t="s">
        <v>1769</v>
      </c>
      <c r="B1546" s="18">
        <v>45935</v>
      </c>
      <c r="C1546" t="s">
        <v>2025</v>
      </c>
      <c r="D1546" t="s">
        <v>2045</v>
      </c>
      <c r="E1546" t="s">
        <v>2057</v>
      </c>
      <c r="F1546" t="s">
        <v>2059</v>
      </c>
      <c r="G1546">
        <v>6</v>
      </c>
      <c r="H1546">
        <v>45</v>
      </c>
      <c r="I1546">
        <v>63</v>
      </c>
      <c r="J1546">
        <v>16.86</v>
      </c>
      <c r="K1546">
        <v>314.27</v>
      </c>
      <c r="L1546">
        <v>44.27</v>
      </c>
      <c r="M1546">
        <v>6373.08</v>
      </c>
      <c r="N1546">
        <v>270</v>
      </c>
      <c r="O1546">
        <v>14.086613421580171</v>
      </c>
      <c r="P1546" t="s">
        <v>2084</v>
      </c>
      <c r="Q1546" t="s">
        <v>2092</v>
      </c>
    </row>
    <row r="1547" spans="1:17" x14ac:dyDescent="0.25">
      <c r="A1547" t="s">
        <v>34</v>
      </c>
      <c r="B1547" s="18">
        <v>45936</v>
      </c>
      <c r="C1547" t="s">
        <v>2014</v>
      </c>
      <c r="D1547" t="s">
        <v>2034</v>
      </c>
      <c r="E1547" t="s">
        <v>2052</v>
      </c>
      <c r="F1547" t="s">
        <v>2060</v>
      </c>
      <c r="G1547">
        <v>10</v>
      </c>
      <c r="H1547">
        <v>4500</v>
      </c>
      <c r="I1547">
        <v>5220</v>
      </c>
      <c r="J1547">
        <v>18.87</v>
      </c>
      <c r="K1547">
        <v>42350.559999999998</v>
      </c>
      <c r="L1547">
        <v>-2649.44</v>
      </c>
      <c r="M1547">
        <v>985014</v>
      </c>
      <c r="N1547">
        <v>45000</v>
      </c>
      <c r="O1547">
        <v>-6.2559739469796858</v>
      </c>
      <c r="P1547" t="s">
        <v>2084</v>
      </c>
      <c r="Q1547" t="s">
        <v>2093</v>
      </c>
    </row>
    <row r="1548" spans="1:17" x14ac:dyDescent="0.25">
      <c r="A1548" t="s">
        <v>667</v>
      </c>
      <c r="B1548" s="18">
        <v>45936</v>
      </c>
      <c r="C1548" t="s">
        <v>2027</v>
      </c>
      <c r="D1548" t="s">
        <v>2047</v>
      </c>
      <c r="E1548" t="s">
        <v>2053</v>
      </c>
      <c r="F1548" t="s">
        <v>2059</v>
      </c>
      <c r="G1548">
        <v>7</v>
      </c>
      <c r="H1548">
        <v>1100</v>
      </c>
      <c r="I1548">
        <v>1298</v>
      </c>
      <c r="J1548">
        <v>4.05</v>
      </c>
      <c r="K1548">
        <v>8717.85</v>
      </c>
      <c r="L1548">
        <v>1017.85</v>
      </c>
      <c r="M1548">
        <v>36798.299999999996</v>
      </c>
      <c r="N1548">
        <v>7700</v>
      </c>
      <c r="O1548">
        <v>11.675470442827072</v>
      </c>
      <c r="P1548" t="s">
        <v>2084</v>
      </c>
      <c r="Q1548" t="s">
        <v>2092</v>
      </c>
    </row>
    <row r="1549" spans="1:17" x14ac:dyDescent="0.25">
      <c r="A1549" t="s">
        <v>760</v>
      </c>
      <c r="B1549" s="18">
        <v>45936</v>
      </c>
      <c r="C1549" t="s">
        <v>2022</v>
      </c>
      <c r="D1549" t="s">
        <v>2042</v>
      </c>
      <c r="E1549" t="s">
        <v>2053</v>
      </c>
      <c r="F1549" t="s">
        <v>2062</v>
      </c>
      <c r="G1549">
        <v>6</v>
      </c>
      <c r="H1549">
        <v>8500</v>
      </c>
      <c r="I1549">
        <v>9520</v>
      </c>
      <c r="J1549">
        <v>12.37</v>
      </c>
      <c r="K1549">
        <v>50054.1</v>
      </c>
      <c r="L1549">
        <v>-945.9</v>
      </c>
      <c r="M1549">
        <v>706574.39999999991</v>
      </c>
      <c r="N1549">
        <v>51000</v>
      </c>
      <c r="O1549">
        <v>-1.8897552847818662</v>
      </c>
      <c r="P1549" t="s">
        <v>2084</v>
      </c>
      <c r="Q1549" t="s">
        <v>2093</v>
      </c>
    </row>
    <row r="1550" spans="1:17" x14ac:dyDescent="0.25">
      <c r="A1550" t="s">
        <v>1057</v>
      </c>
      <c r="B1550" s="18">
        <v>45936</v>
      </c>
      <c r="C1550" t="s">
        <v>2023</v>
      </c>
      <c r="D1550" t="s">
        <v>2043</v>
      </c>
      <c r="E1550" t="s">
        <v>2053</v>
      </c>
      <c r="F1550" t="s">
        <v>2060</v>
      </c>
      <c r="G1550">
        <v>2</v>
      </c>
      <c r="H1550">
        <v>550</v>
      </c>
      <c r="I1550">
        <v>742.5</v>
      </c>
      <c r="J1550">
        <v>17.77</v>
      </c>
      <c r="K1550">
        <v>1221.0999999999999</v>
      </c>
      <c r="L1550">
        <v>121.1</v>
      </c>
      <c r="M1550">
        <v>26388.45</v>
      </c>
      <c r="N1550">
        <v>1100</v>
      </c>
      <c r="O1550">
        <v>9.9172876914257628</v>
      </c>
      <c r="P1550" t="s">
        <v>2084</v>
      </c>
      <c r="Q1550" t="s">
        <v>2091</v>
      </c>
    </row>
    <row r="1551" spans="1:17" x14ac:dyDescent="0.25">
      <c r="A1551" t="s">
        <v>1791</v>
      </c>
      <c r="B1551" s="18">
        <v>45936</v>
      </c>
      <c r="C1551" t="s">
        <v>2030</v>
      </c>
      <c r="D1551" t="s">
        <v>2050</v>
      </c>
      <c r="E1551" t="s">
        <v>2058</v>
      </c>
      <c r="F1551" t="s">
        <v>2062</v>
      </c>
      <c r="G1551">
        <v>2</v>
      </c>
      <c r="H1551">
        <v>1800</v>
      </c>
      <c r="I1551">
        <v>2124</v>
      </c>
      <c r="J1551">
        <v>7.24</v>
      </c>
      <c r="K1551">
        <v>3940.29</v>
      </c>
      <c r="L1551">
        <v>340.29</v>
      </c>
      <c r="M1551">
        <v>30755.52</v>
      </c>
      <c r="N1551">
        <v>3600</v>
      </c>
      <c r="O1551">
        <v>8.6361663735410357</v>
      </c>
      <c r="P1551" t="s">
        <v>2084</v>
      </c>
      <c r="Q1551" t="s">
        <v>2091</v>
      </c>
    </row>
    <row r="1552" spans="1:17" x14ac:dyDescent="0.25">
      <c r="A1552" t="s">
        <v>1819</v>
      </c>
      <c r="B1552" s="18">
        <v>45936</v>
      </c>
      <c r="C1552" t="s">
        <v>2017</v>
      </c>
      <c r="D1552" t="s">
        <v>2037</v>
      </c>
      <c r="E1552" t="s">
        <v>2055</v>
      </c>
      <c r="F1552" t="s">
        <v>2062</v>
      </c>
      <c r="G1552">
        <v>9</v>
      </c>
      <c r="H1552">
        <v>2500</v>
      </c>
      <c r="I1552">
        <v>2875</v>
      </c>
      <c r="J1552">
        <v>17.22</v>
      </c>
      <c r="K1552">
        <v>21420.18</v>
      </c>
      <c r="L1552">
        <v>-1079.82</v>
      </c>
      <c r="M1552">
        <v>445567.49999999994</v>
      </c>
      <c r="N1552">
        <v>22500</v>
      </c>
      <c r="O1552">
        <v>-5.0411341081167382</v>
      </c>
      <c r="P1552" t="s">
        <v>2084</v>
      </c>
      <c r="Q1552" t="s">
        <v>2093</v>
      </c>
    </row>
    <row r="1553" spans="1:17" x14ac:dyDescent="0.25">
      <c r="A1553" t="s">
        <v>528</v>
      </c>
      <c r="B1553" s="18">
        <v>45937</v>
      </c>
      <c r="C1553" t="s">
        <v>2027</v>
      </c>
      <c r="D1553" t="s">
        <v>2047</v>
      </c>
      <c r="E1553" t="s">
        <v>2053</v>
      </c>
      <c r="F1553" t="s">
        <v>2060</v>
      </c>
      <c r="G1553">
        <v>1</v>
      </c>
      <c r="H1553">
        <v>1100</v>
      </c>
      <c r="I1553">
        <v>1298</v>
      </c>
      <c r="J1553">
        <v>12.27</v>
      </c>
      <c r="K1553">
        <v>1138.71</v>
      </c>
      <c r="L1553">
        <v>38.71</v>
      </c>
      <c r="M1553">
        <v>15926.46</v>
      </c>
      <c r="N1553">
        <v>1100</v>
      </c>
      <c r="O1553">
        <v>3.3994607933538825</v>
      </c>
      <c r="P1553" t="s">
        <v>2084</v>
      </c>
      <c r="Q1553" t="s">
        <v>2091</v>
      </c>
    </row>
    <row r="1554" spans="1:17" x14ac:dyDescent="0.25">
      <c r="A1554" t="s">
        <v>1167</v>
      </c>
      <c r="B1554" s="18">
        <v>45937</v>
      </c>
      <c r="C1554" t="s">
        <v>2017</v>
      </c>
      <c r="D1554" t="s">
        <v>2037</v>
      </c>
      <c r="E1554" t="s">
        <v>2055</v>
      </c>
      <c r="F1554" t="s">
        <v>2059</v>
      </c>
      <c r="G1554">
        <v>7</v>
      </c>
      <c r="H1554">
        <v>2500</v>
      </c>
      <c r="I1554">
        <v>2875</v>
      </c>
      <c r="J1554">
        <v>3.16</v>
      </c>
      <c r="K1554">
        <v>19489.52</v>
      </c>
      <c r="L1554">
        <v>1989.52</v>
      </c>
      <c r="M1554">
        <v>63595</v>
      </c>
      <c r="N1554">
        <v>17500</v>
      </c>
      <c r="O1554">
        <v>10.208152894478674</v>
      </c>
      <c r="P1554" t="s">
        <v>2084</v>
      </c>
      <c r="Q1554" t="s">
        <v>2092</v>
      </c>
    </row>
    <row r="1555" spans="1:17" x14ac:dyDescent="0.25">
      <c r="A1555" t="s">
        <v>1505</v>
      </c>
      <c r="B1555" s="18">
        <v>45937</v>
      </c>
      <c r="C1555" t="s">
        <v>2023</v>
      </c>
      <c r="D1555" t="s">
        <v>2043</v>
      </c>
      <c r="E1555" t="s">
        <v>2053</v>
      </c>
      <c r="F1555" t="s">
        <v>2061</v>
      </c>
      <c r="G1555">
        <v>2</v>
      </c>
      <c r="H1555">
        <v>550</v>
      </c>
      <c r="I1555">
        <v>742.5</v>
      </c>
      <c r="J1555">
        <v>10.42</v>
      </c>
      <c r="K1555">
        <v>1330.22</v>
      </c>
      <c r="L1555">
        <v>230.22</v>
      </c>
      <c r="M1555">
        <v>15473.7</v>
      </c>
      <c r="N1555">
        <v>1100</v>
      </c>
      <c r="O1555">
        <v>17.306911638676308</v>
      </c>
      <c r="P1555" t="s">
        <v>2084</v>
      </c>
      <c r="Q1555" t="s">
        <v>2092</v>
      </c>
    </row>
    <row r="1556" spans="1:17" x14ac:dyDescent="0.25">
      <c r="A1556" t="s">
        <v>1806</v>
      </c>
      <c r="B1556" s="18">
        <v>45937</v>
      </c>
      <c r="C1556" t="s">
        <v>2028</v>
      </c>
      <c r="D1556" t="s">
        <v>2048</v>
      </c>
      <c r="E1556" t="s">
        <v>2057</v>
      </c>
      <c r="F1556" t="s">
        <v>2061</v>
      </c>
      <c r="G1556">
        <v>9</v>
      </c>
      <c r="H1556">
        <v>80</v>
      </c>
      <c r="I1556">
        <v>116</v>
      </c>
      <c r="J1556">
        <v>8.64</v>
      </c>
      <c r="K1556">
        <v>953.8</v>
      </c>
      <c r="L1556">
        <v>233.8</v>
      </c>
      <c r="M1556">
        <v>9020.16</v>
      </c>
      <c r="N1556">
        <v>720</v>
      </c>
      <c r="O1556">
        <v>24.512476410148881</v>
      </c>
      <c r="P1556" t="s">
        <v>2084</v>
      </c>
      <c r="Q1556" t="s">
        <v>2092</v>
      </c>
    </row>
    <row r="1557" spans="1:17" x14ac:dyDescent="0.25">
      <c r="A1557" t="s">
        <v>2005</v>
      </c>
      <c r="B1557" s="18">
        <v>45937</v>
      </c>
      <c r="C1557" t="s">
        <v>2020</v>
      </c>
      <c r="D1557" t="s">
        <v>2040</v>
      </c>
      <c r="E1557" t="s">
        <v>2053</v>
      </c>
      <c r="F1557" t="s">
        <v>2060</v>
      </c>
      <c r="G1557">
        <v>8</v>
      </c>
      <c r="H1557">
        <v>350</v>
      </c>
      <c r="I1557">
        <v>455</v>
      </c>
      <c r="J1557">
        <v>6.97</v>
      </c>
      <c r="K1557">
        <v>3386.31</v>
      </c>
      <c r="L1557">
        <v>586.30999999999995</v>
      </c>
      <c r="M1557">
        <v>25370.799999999999</v>
      </c>
      <c r="N1557">
        <v>2800</v>
      </c>
      <c r="O1557">
        <v>17.314126586166061</v>
      </c>
      <c r="P1557" t="s">
        <v>2084</v>
      </c>
      <c r="Q1557" t="s">
        <v>2092</v>
      </c>
    </row>
    <row r="1558" spans="1:17" x14ac:dyDescent="0.25">
      <c r="A1558" t="s">
        <v>102</v>
      </c>
      <c r="B1558" s="18">
        <v>45938</v>
      </c>
      <c r="C1558" t="s">
        <v>2012</v>
      </c>
      <c r="D1558" t="s">
        <v>2032</v>
      </c>
      <c r="E1558" t="s">
        <v>2052</v>
      </c>
      <c r="F1558" t="s">
        <v>2061</v>
      </c>
      <c r="G1558">
        <v>10</v>
      </c>
      <c r="H1558">
        <v>6500</v>
      </c>
      <c r="I1558">
        <v>8125</v>
      </c>
      <c r="J1558">
        <v>12.72</v>
      </c>
      <c r="K1558">
        <v>70915.78</v>
      </c>
      <c r="L1558">
        <v>5915.78</v>
      </c>
      <c r="M1558">
        <v>1033500</v>
      </c>
      <c r="N1558">
        <v>65000</v>
      </c>
      <c r="O1558">
        <v>8.341979739911201</v>
      </c>
      <c r="P1558" t="s">
        <v>2084</v>
      </c>
      <c r="Q1558" t="s">
        <v>2091</v>
      </c>
    </row>
    <row r="1559" spans="1:17" x14ac:dyDescent="0.25">
      <c r="A1559" t="s">
        <v>374</v>
      </c>
      <c r="B1559" s="18">
        <v>45938</v>
      </c>
      <c r="C1559" t="s">
        <v>2017</v>
      </c>
      <c r="D1559" t="s">
        <v>2037</v>
      </c>
      <c r="E1559" t="s">
        <v>2055</v>
      </c>
      <c r="F1559" t="s">
        <v>2060</v>
      </c>
      <c r="G1559">
        <v>7</v>
      </c>
      <c r="H1559">
        <v>2500</v>
      </c>
      <c r="I1559">
        <v>2875</v>
      </c>
      <c r="J1559">
        <v>3.35</v>
      </c>
      <c r="K1559">
        <v>19451</v>
      </c>
      <c r="L1559">
        <v>1951</v>
      </c>
      <c r="M1559">
        <v>67418.75</v>
      </c>
      <c r="N1559">
        <v>17500</v>
      </c>
      <c r="O1559">
        <v>10.030332630713074</v>
      </c>
      <c r="P1559" t="s">
        <v>2084</v>
      </c>
      <c r="Q1559" t="s">
        <v>2092</v>
      </c>
    </row>
    <row r="1560" spans="1:17" x14ac:dyDescent="0.25">
      <c r="A1560" t="s">
        <v>730</v>
      </c>
      <c r="B1560" s="18">
        <v>45938</v>
      </c>
      <c r="C1560" t="s">
        <v>2030</v>
      </c>
      <c r="D1560" t="s">
        <v>2050</v>
      </c>
      <c r="E1560" t="s">
        <v>2058</v>
      </c>
      <c r="F1560" t="s">
        <v>2062</v>
      </c>
      <c r="G1560">
        <v>10</v>
      </c>
      <c r="H1560">
        <v>1800</v>
      </c>
      <c r="I1560">
        <v>2124</v>
      </c>
      <c r="J1560">
        <v>22.42</v>
      </c>
      <c r="K1560">
        <v>16476.98</v>
      </c>
      <c r="L1560">
        <v>-1523.02</v>
      </c>
      <c r="M1560">
        <v>476200.80000000005</v>
      </c>
      <c r="N1560">
        <v>18000</v>
      </c>
      <c r="O1560">
        <v>-9.2433200744311161</v>
      </c>
      <c r="P1560" t="s">
        <v>2084</v>
      </c>
      <c r="Q1560" t="s">
        <v>2093</v>
      </c>
    </row>
    <row r="1561" spans="1:17" x14ac:dyDescent="0.25">
      <c r="A1561" t="s">
        <v>821</v>
      </c>
      <c r="B1561" s="18">
        <v>45938</v>
      </c>
      <c r="C1561" t="s">
        <v>2014</v>
      </c>
      <c r="D1561" t="s">
        <v>2034</v>
      </c>
      <c r="E1561" t="s">
        <v>2052</v>
      </c>
      <c r="F1561" t="s">
        <v>2060</v>
      </c>
      <c r="G1561">
        <v>10</v>
      </c>
      <c r="H1561">
        <v>4500</v>
      </c>
      <c r="I1561">
        <v>5220</v>
      </c>
      <c r="J1561">
        <v>22.93</v>
      </c>
      <c r="K1561">
        <v>40229.58</v>
      </c>
      <c r="L1561">
        <v>-4770.42</v>
      </c>
      <c r="M1561">
        <v>1196946</v>
      </c>
      <c r="N1561">
        <v>45000</v>
      </c>
      <c r="O1561">
        <v>-11.857991060309354</v>
      </c>
      <c r="P1561" t="s">
        <v>2084</v>
      </c>
      <c r="Q1561" t="s">
        <v>2093</v>
      </c>
    </row>
    <row r="1562" spans="1:17" x14ac:dyDescent="0.25">
      <c r="A1562" t="s">
        <v>1352</v>
      </c>
      <c r="B1562" s="18">
        <v>45938</v>
      </c>
      <c r="C1562" t="s">
        <v>2029</v>
      </c>
      <c r="D1562" t="s">
        <v>2049</v>
      </c>
      <c r="E1562" t="s">
        <v>2055</v>
      </c>
      <c r="F1562" t="s">
        <v>2061</v>
      </c>
      <c r="G1562">
        <v>7</v>
      </c>
      <c r="H1562">
        <v>1200</v>
      </c>
      <c r="I1562">
        <v>1464</v>
      </c>
      <c r="J1562">
        <v>8.76</v>
      </c>
      <c r="K1562">
        <v>9349.9</v>
      </c>
      <c r="L1562">
        <v>949.9</v>
      </c>
      <c r="M1562">
        <v>89772.479999999996</v>
      </c>
      <c r="N1562">
        <v>8400</v>
      </c>
      <c r="O1562">
        <v>10.159466946170548</v>
      </c>
      <c r="P1562" t="s">
        <v>2084</v>
      </c>
      <c r="Q1562" t="s">
        <v>2092</v>
      </c>
    </row>
    <row r="1563" spans="1:17" x14ac:dyDescent="0.25">
      <c r="A1563" t="s">
        <v>1436</v>
      </c>
      <c r="B1563" s="18">
        <v>45938</v>
      </c>
      <c r="C1563" t="s">
        <v>2024</v>
      </c>
      <c r="D1563" t="s">
        <v>2044</v>
      </c>
      <c r="E1563" t="s">
        <v>2055</v>
      </c>
      <c r="F1563" t="s">
        <v>2059</v>
      </c>
      <c r="G1563">
        <v>6</v>
      </c>
      <c r="H1563">
        <v>180</v>
      </c>
      <c r="I1563">
        <v>243</v>
      </c>
      <c r="J1563">
        <v>2.99</v>
      </c>
      <c r="K1563">
        <v>1414.43</v>
      </c>
      <c r="L1563">
        <v>334.43</v>
      </c>
      <c r="M1563">
        <v>4359.42</v>
      </c>
      <c r="N1563">
        <v>1080</v>
      </c>
      <c r="O1563">
        <v>23.644153475251514</v>
      </c>
      <c r="P1563" t="s">
        <v>2084</v>
      </c>
      <c r="Q1563" t="s">
        <v>2092</v>
      </c>
    </row>
    <row r="1564" spans="1:17" x14ac:dyDescent="0.25">
      <c r="A1564" t="s">
        <v>208</v>
      </c>
      <c r="B1564" s="18">
        <v>45939</v>
      </c>
      <c r="C1564" t="s">
        <v>2019</v>
      </c>
      <c r="D1564" t="s">
        <v>2039</v>
      </c>
      <c r="E1564" t="s">
        <v>2053</v>
      </c>
      <c r="F1564" t="s">
        <v>2062</v>
      </c>
      <c r="G1564">
        <v>7</v>
      </c>
      <c r="H1564">
        <v>900</v>
      </c>
      <c r="I1564">
        <v>1152</v>
      </c>
      <c r="J1564">
        <v>10.74</v>
      </c>
      <c r="K1564">
        <v>7197.84</v>
      </c>
      <c r="L1564">
        <v>897.84</v>
      </c>
      <c r="M1564">
        <v>86607.360000000001</v>
      </c>
      <c r="N1564">
        <v>6300</v>
      </c>
      <c r="O1564">
        <v>12.473742122636791</v>
      </c>
      <c r="P1564" t="s">
        <v>2084</v>
      </c>
      <c r="Q1564" t="s">
        <v>2092</v>
      </c>
    </row>
    <row r="1565" spans="1:17" x14ac:dyDescent="0.25">
      <c r="A1565" t="s">
        <v>1279</v>
      </c>
      <c r="B1565" s="18">
        <v>45939</v>
      </c>
      <c r="C1565" t="s">
        <v>2020</v>
      </c>
      <c r="D1565" t="s">
        <v>2040</v>
      </c>
      <c r="E1565" t="s">
        <v>2053</v>
      </c>
      <c r="F1565" t="s">
        <v>2061</v>
      </c>
      <c r="G1565">
        <v>2</v>
      </c>
      <c r="H1565">
        <v>350</v>
      </c>
      <c r="I1565">
        <v>455</v>
      </c>
      <c r="J1565">
        <v>0</v>
      </c>
      <c r="K1565">
        <v>910</v>
      </c>
      <c r="L1565">
        <v>210</v>
      </c>
      <c r="M1565">
        <v>0</v>
      </c>
      <c r="N1565">
        <v>700</v>
      </c>
      <c r="O1565">
        <v>23.076923076923077</v>
      </c>
      <c r="P1565" t="s">
        <v>2084</v>
      </c>
      <c r="Q1565" t="s">
        <v>2092</v>
      </c>
    </row>
    <row r="1566" spans="1:17" x14ac:dyDescent="0.25">
      <c r="A1566" t="s">
        <v>1614</v>
      </c>
      <c r="B1566" s="18">
        <v>45939</v>
      </c>
      <c r="C1566" t="s">
        <v>2025</v>
      </c>
      <c r="D1566" t="s">
        <v>2045</v>
      </c>
      <c r="E1566" t="s">
        <v>2057</v>
      </c>
      <c r="F1566" t="s">
        <v>2060</v>
      </c>
      <c r="G1566">
        <v>3</v>
      </c>
      <c r="H1566">
        <v>45</v>
      </c>
      <c r="I1566">
        <v>63</v>
      </c>
      <c r="J1566">
        <v>0</v>
      </c>
      <c r="K1566">
        <v>189</v>
      </c>
      <c r="L1566">
        <v>54</v>
      </c>
      <c r="M1566">
        <v>0</v>
      </c>
      <c r="N1566">
        <v>135</v>
      </c>
      <c r="O1566">
        <v>28.571428571428569</v>
      </c>
      <c r="P1566" t="s">
        <v>2084</v>
      </c>
      <c r="Q1566" t="s">
        <v>2092</v>
      </c>
    </row>
    <row r="1567" spans="1:17" x14ac:dyDescent="0.25">
      <c r="A1567" t="s">
        <v>1781</v>
      </c>
      <c r="B1567" s="18">
        <v>45939</v>
      </c>
      <c r="C1567" t="s">
        <v>2025</v>
      </c>
      <c r="D1567" t="s">
        <v>2045</v>
      </c>
      <c r="E1567" t="s">
        <v>2057</v>
      </c>
      <c r="F1567" t="s">
        <v>2060</v>
      </c>
      <c r="G1567">
        <v>6</v>
      </c>
      <c r="H1567">
        <v>45</v>
      </c>
      <c r="I1567">
        <v>63</v>
      </c>
      <c r="J1567">
        <v>10.51</v>
      </c>
      <c r="K1567">
        <v>338.29</v>
      </c>
      <c r="L1567">
        <v>68.290000000000006</v>
      </c>
      <c r="M1567">
        <v>3972.7799999999997</v>
      </c>
      <c r="N1567">
        <v>270</v>
      </c>
      <c r="O1567">
        <v>20.186821957492093</v>
      </c>
      <c r="P1567" t="s">
        <v>2084</v>
      </c>
      <c r="Q1567" t="s">
        <v>2092</v>
      </c>
    </row>
    <row r="1568" spans="1:17" x14ac:dyDescent="0.25">
      <c r="A1568" t="s">
        <v>356</v>
      </c>
      <c r="B1568" s="18">
        <v>45940</v>
      </c>
      <c r="C1568" t="s">
        <v>2021</v>
      </c>
      <c r="D1568" t="s">
        <v>2041</v>
      </c>
      <c r="E1568" t="s">
        <v>2056</v>
      </c>
      <c r="F1568" t="s">
        <v>2059</v>
      </c>
      <c r="G1568">
        <v>1</v>
      </c>
      <c r="H1568">
        <v>300</v>
      </c>
      <c r="I1568">
        <v>405</v>
      </c>
      <c r="J1568">
        <v>17</v>
      </c>
      <c r="K1568">
        <v>336.13</v>
      </c>
      <c r="L1568">
        <v>36.130000000000003</v>
      </c>
      <c r="M1568">
        <v>6885</v>
      </c>
      <c r="N1568">
        <v>300</v>
      </c>
      <c r="O1568">
        <v>10.748817421830841</v>
      </c>
      <c r="P1568" t="s">
        <v>2084</v>
      </c>
      <c r="Q1568" t="s">
        <v>2092</v>
      </c>
    </row>
    <row r="1569" spans="1:17" x14ac:dyDescent="0.25">
      <c r="A1569" t="s">
        <v>692</v>
      </c>
      <c r="B1569" s="18">
        <v>45940</v>
      </c>
      <c r="C1569" t="s">
        <v>2024</v>
      </c>
      <c r="D1569" t="s">
        <v>2044</v>
      </c>
      <c r="E1569" t="s">
        <v>2055</v>
      </c>
      <c r="F1569" t="s">
        <v>2061</v>
      </c>
      <c r="G1569">
        <v>6</v>
      </c>
      <c r="H1569">
        <v>180</v>
      </c>
      <c r="I1569">
        <v>243</v>
      </c>
      <c r="J1569">
        <v>7.52</v>
      </c>
      <c r="K1569">
        <v>1348.39</v>
      </c>
      <c r="L1569">
        <v>268.39</v>
      </c>
      <c r="M1569">
        <v>10964.16</v>
      </c>
      <c r="N1569">
        <v>1080</v>
      </c>
      <c r="O1569">
        <v>19.904478674567443</v>
      </c>
      <c r="P1569" t="s">
        <v>2084</v>
      </c>
      <c r="Q1569" t="s">
        <v>2092</v>
      </c>
    </row>
    <row r="1570" spans="1:17" x14ac:dyDescent="0.25">
      <c r="A1570" t="s">
        <v>724</v>
      </c>
      <c r="B1570" s="18">
        <v>45940</v>
      </c>
      <c r="C1570" t="s">
        <v>2027</v>
      </c>
      <c r="D1570" t="s">
        <v>2047</v>
      </c>
      <c r="E1570" t="s">
        <v>2053</v>
      </c>
      <c r="F1570" t="s">
        <v>2062</v>
      </c>
      <c r="G1570">
        <v>10</v>
      </c>
      <c r="H1570">
        <v>1100</v>
      </c>
      <c r="I1570">
        <v>1298</v>
      </c>
      <c r="J1570">
        <v>0</v>
      </c>
      <c r="K1570">
        <v>12980</v>
      </c>
      <c r="L1570">
        <v>1980</v>
      </c>
      <c r="M1570">
        <v>0</v>
      </c>
      <c r="N1570">
        <v>11000</v>
      </c>
      <c r="O1570">
        <v>15.254237288135593</v>
      </c>
      <c r="P1570" t="s">
        <v>2084</v>
      </c>
      <c r="Q1570" t="s">
        <v>2092</v>
      </c>
    </row>
    <row r="1571" spans="1:17" x14ac:dyDescent="0.25">
      <c r="A1571" t="s">
        <v>933</v>
      </c>
      <c r="B1571" s="18">
        <v>45940</v>
      </c>
      <c r="C1571" t="s">
        <v>2020</v>
      </c>
      <c r="D1571" t="s">
        <v>2040</v>
      </c>
      <c r="E1571" t="s">
        <v>2053</v>
      </c>
      <c r="F1571" t="s">
        <v>2062</v>
      </c>
      <c r="G1571">
        <v>7</v>
      </c>
      <c r="H1571">
        <v>350</v>
      </c>
      <c r="I1571">
        <v>455</v>
      </c>
      <c r="J1571">
        <v>3.92</v>
      </c>
      <c r="K1571">
        <v>3060.29</v>
      </c>
      <c r="L1571">
        <v>610.29</v>
      </c>
      <c r="M1571">
        <v>12485.199999999999</v>
      </c>
      <c r="N1571">
        <v>2450</v>
      </c>
      <c r="O1571">
        <v>19.942227697375085</v>
      </c>
      <c r="P1571" t="s">
        <v>2084</v>
      </c>
      <c r="Q1571" t="s">
        <v>2092</v>
      </c>
    </row>
    <row r="1572" spans="1:17" x14ac:dyDescent="0.25">
      <c r="A1572" t="s">
        <v>1532</v>
      </c>
      <c r="B1572" s="18">
        <v>45940</v>
      </c>
      <c r="C1572" t="s">
        <v>2012</v>
      </c>
      <c r="D1572" t="s">
        <v>2032</v>
      </c>
      <c r="E1572" t="s">
        <v>2052</v>
      </c>
      <c r="F1572" t="s">
        <v>2059</v>
      </c>
      <c r="G1572">
        <v>9</v>
      </c>
      <c r="H1572">
        <v>6500</v>
      </c>
      <c r="I1572">
        <v>8125</v>
      </c>
      <c r="J1572">
        <v>9.83</v>
      </c>
      <c r="K1572">
        <v>65935.820000000007</v>
      </c>
      <c r="L1572">
        <v>7435.82</v>
      </c>
      <c r="M1572">
        <v>718818.75</v>
      </c>
      <c r="N1572">
        <v>58500</v>
      </c>
      <c r="O1572">
        <v>11.277360317957672</v>
      </c>
      <c r="P1572" t="s">
        <v>2084</v>
      </c>
      <c r="Q1572" t="s">
        <v>2092</v>
      </c>
    </row>
    <row r="1573" spans="1:17" x14ac:dyDescent="0.25">
      <c r="A1573" t="s">
        <v>1807</v>
      </c>
      <c r="B1573" s="18">
        <v>45940</v>
      </c>
      <c r="C1573" t="s">
        <v>2026</v>
      </c>
      <c r="D1573" t="s">
        <v>2046</v>
      </c>
      <c r="E1573" t="s">
        <v>2052</v>
      </c>
      <c r="F1573" t="s">
        <v>2060</v>
      </c>
      <c r="G1573">
        <v>6</v>
      </c>
      <c r="H1573">
        <v>3000</v>
      </c>
      <c r="I1573">
        <v>3600</v>
      </c>
      <c r="J1573">
        <v>11.23</v>
      </c>
      <c r="K1573">
        <v>19175.23</v>
      </c>
      <c r="L1573">
        <v>1175.23</v>
      </c>
      <c r="M1573">
        <v>242568</v>
      </c>
      <c r="N1573">
        <v>18000</v>
      </c>
      <c r="O1573">
        <v>6.1288964982427858</v>
      </c>
      <c r="P1573" t="s">
        <v>2084</v>
      </c>
      <c r="Q1573" t="s">
        <v>2091</v>
      </c>
    </row>
    <row r="1574" spans="1:17" x14ac:dyDescent="0.25">
      <c r="A1574" t="s">
        <v>1945</v>
      </c>
      <c r="B1574" s="18">
        <v>45940</v>
      </c>
      <c r="C1574" t="s">
        <v>2019</v>
      </c>
      <c r="D1574" t="s">
        <v>2039</v>
      </c>
      <c r="E1574" t="s">
        <v>2053</v>
      </c>
      <c r="F1574" t="s">
        <v>2059</v>
      </c>
      <c r="G1574">
        <v>3</v>
      </c>
      <c r="H1574">
        <v>900</v>
      </c>
      <c r="I1574">
        <v>1152</v>
      </c>
      <c r="J1574">
        <v>28.18</v>
      </c>
      <c r="K1574">
        <v>2482.0100000000002</v>
      </c>
      <c r="L1574">
        <v>-217.99</v>
      </c>
      <c r="M1574">
        <v>97390.080000000002</v>
      </c>
      <c r="N1574">
        <v>2700</v>
      </c>
      <c r="O1574">
        <v>-8.7828010362569042</v>
      </c>
      <c r="P1574" t="s">
        <v>2084</v>
      </c>
      <c r="Q1574" t="s">
        <v>2093</v>
      </c>
    </row>
    <row r="1575" spans="1:17" x14ac:dyDescent="0.25">
      <c r="A1575" t="s">
        <v>1976</v>
      </c>
      <c r="B1575" s="18">
        <v>45940</v>
      </c>
      <c r="C1575" t="s">
        <v>2012</v>
      </c>
      <c r="D1575" t="s">
        <v>2032</v>
      </c>
      <c r="E1575" t="s">
        <v>2052</v>
      </c>
      <c r="F1575" t="s">
        <v>2061</v>
      </c>
      <c r="G1575">
        <v>1</v>
      </c>
      <c r="H1575">
        <v>6500</v>
      </c>
      <c r="I1575">
        <v>8125</v>
      </c>
      <c r="J1575">
        <v>21.66</v>
      </c>
      <c r="K1575">
        <v>6365.22</v>
      </c>
      <c r="L1575">
        <v>-134.78</v>
      </c>
      <c r="M1575">
        <v>175987.5</v>
      </c>
      <c r="N1575">
        <v>6500</v>
      </c>
      <c r="O1575">
        <v>-2.1174444873861389</v>
      </c>
      <c r="P1575" t="s">
        <v>2084</v>
      </c>
      <c r="Q1575" t="s">
        <v>2093</v>
      </c>
    </row>
    <row r="1576" spans="1:17" x14ac:dyDescent="0.25">
      <c r="A1576" t="s">
        <v>238</v>
      </c>
      <c r="B1576" s="18">
        <v>45941</v>
      </c>
      <c r="C1576" t="s">
        <v>2027</v>
      </c>
      <c r="D1576" t="s">
        <v>2047</v>
      </c>
      <c r="E1576" t="s">
        <v>2053</v>
      </c>
      <c r="F1576" t="s">
        <v>2062</v>
      </c>
      <c r="G1576">
        <v>7</v>
      </c>
      <c r="H1576">
        <v>1100</v>
      </c>
      <c r="I1576">
        <v>1298</v>
      </c>
      <c r="J1576">
        <v>5.7</v>
      </c>
      <c r="K1576">
        <v>8567.92</v>
      </c>
      <c r="L1576">
        <v>867.92</v>
      </c>
      <c r="M1576">
        <v>51790.200000000004</v>
      </c>
      <c r="N1576">
        <v>7700</v>
      </c>
      <c r="O1576">
        <v>10.129879830810745</v>
      </c>
      <c r="P1576" t="s">
        <v>2084</v>
      </c>
      <c r="Q1576" t="s">
        <v>2092</v>
      </c>
    </row>
    <row r="1577" spans="1:17" x14ac:dyDescent="0.25">
      <c r="A1577" t="s">
        <v>656</v>
      </c>
      <c r="B1577" s="18">
        <v>45941</v>
      </c>
      <c r="C1577" t="s">
        <v>2020</v>
      </c>
      <c r="D1577" t="s">
        <v>2040</v>
      </c>
      <c r="E1577" t="s">
        <v>2053</v>
      </c>
      <c r="F1577" t="s">
        <v>2062</v>
      </c>
      <c r="G1577">
        <v>10</v>
      </c>
      <c r="H1577">
        <v>350</v>
      </c>
      <c r="I1577">
        <v>455</v>
      </c>
      <c r="J1577">
        <v>22.54</v>
      </c>
      <c r="K1577">
        <v>3524.48</v>
      </c>
      <c r="L1577">
        <v>24.48</v>
      </c>
      <c r="M1577">
        <v>102557</v>
      </c>
      <c r="N1577">
        <v>3500</v>
      </c>
      <c r="O1577">
        <v>0.69457054657708373</v>
      </c>
      <c r="P1577" t="s">
        <v>2084</v>
      </c>
      <c r="Q1577" t="s">
        <v>2091</v>
      </c>
    </row>
    <row r="1578" spans="1:17" x14ac:dyDescent="0.25">
      <c r="A1578" t="s">
        <v>832</v>
      </c>
      <c r="B1578" s="18">
        <v>45941</v>
      </c>
      <c r="C1578" t="s">
        <v>2023</v>
      </c>
      <c r="D1578" t="s">
        <v>2043</v>
      </c>
      <c r="E1578" t="s">
        <v>2053</v>
      </c>
      <c r="F1578" t="s">
        <v>2061</v>
      </c>
      <c r="G1578">
        <v>10</v>
      </c>
      <c r="H1578">
        <v>550</v>
      </c>
      <c r="I1578">
        <v>742.5</v>
      </c>
      <c r="J1578">
        <v>4.58</v>
      </c>
      <c r="K1578">
        <v>7084.91</v>
      </c>
      <c r="L1578">
        <v>1584.91</v>
      </c>
      <c r="M1578">
        <v>34006.5</v>
      </c>
      <c r="N1578">
        <v>5500</v>
      </c>
      <c r="O1578">
        <v>22.370220652061921</v>
      </c>
      <c r="P1578" t="s">
        <v>2084</v>
      </c>
      <c r="Q1578" t="s">
        <v>2092</v>
      </c>
    </row>
    <row r="1579" spans="1:17" x14ac:dyDescent="0.25">
      <c r="A1579" t="s">
        <v>1059</v>
      </c>
      <c r="B1579" s="18">
        <v>45941</v>
      </c>
      <c r="C1579" t="s">
        <v>2012</v>
      </c>
      <c r="D1579" t="s">
        <v>2032</v>
      </c>
      <c r="E1579" t="s">
        <v>2052</v>
      </c>
      <c r="F1579" t="s">
        <v>2061</v>
      </c>
      <c r="G1579">
        <v>10</v>
      </c>
      <c r="H1579">
        <v>6500</v>
      </c>
      <c r="I1579">
        <v>8125</v>
      </c>
      <c r="J1579">
        <v>17.84</v>
      </c>
      <c r="K1579">
        <v>66757.990000000005</v>
      </c>
      <c r="L1579">
        <v>1757.99</v>
      </c>
      <c r="M1579">
        <v>1449500</v>
      </c>
      <c r="N1579">
        <v>65000</v>
      </c>
      <c r="O1579">
        <v>2.6333776676020348</v>
      </c>
      <c r="P1579" t="s">
        <v>2084</v>
      </c>
      <c r="Q1579" t="s">
        <v>2091</v>
      </c>
    </row>
    <row r="1580" spans="1:17" x14ac:dyDescent="0.25">
      <c r="A1580" t="s">
        <v>1185</v>
      </c>
      <c r="B1580" s="18">
        <v>45941</v>
      </c>
      <c r="C1580" t="s">
        <v>2017</v>
      </c>
      <c r="D1580" t="s">
        <v>2037</v>
      </c>
      <c r="E1580" t="s">
        <v>2055</v>
      </c>
      <c r="F1580" t="s">
        <v>2062</v>
      </c>
      <c r="G1580">
        <v>4</v>
      </c>
      <c r="H1580">
        <v>2500</v>
      </c>
      <c r="I1580">
        <v>2875</v>
      </c>
      <c r="J1580">
        <v>15.5</v>
      </c>
      <c r="K1580">
        <v>9717.6</v>
      </c>
      <c r="L1580">
        <v>-282.39999999999998</v>
      </c>
      <c r="M1580">
        <v>178250</v>
      </c>
      <c r="N1580">
        <v>10000</v>
      </c>
      <c r="O1580">
        <v>-2.9060673417304681</v>
      </c>
      <c r="P1580" t="s">
        <v>2084</v>
      </c>
      <c r="Q1580" t="s">
        <v>2093</v>
      </c>
    </row>
    <row r="1581" spans="1:17" x14ac:dyDescent="0.25">
      <c r="A1581" t="s">
        <v>351</v>
      </c>
      <c r="B1581" s="18">
        <v>45942</v>
      </c>
      <c r="C1581" t="s">
        <v>2014</v>
      </c>
      <c r="D1581" t="s">
        <v>2034</v>
      </c>
      <c r="E1581" t="s">
        <v>2052</v>
      </c>
      <c r="F1581" t="s">
        <v>2062</v>
      </c>
      <c r="G1581">
        <v>7</v>
      </c>
      <c r="H1581">
        <v>4500</v>
      </c>
      <c r="I1581">
        <v>5220</v>
      </c>
      <c r="J1581">
        <v>5.46</v>
      </c>
      <c r="K1581">
        <v>34546.26</v>
      </c>
      <c r="L1581">
        <v>3046.26</v>
      </c>
      <c r="M1581">
        <v>199508.4</v>
      </c>
      <c r="N1581">
        <v>31500</v>
      </c>
      <c r="O1581">
        <v>8.8179154559712103</v>
      </c>
      <c r="P1581" t="s">
        <v>2084</v>
      </c>
      <c r="Q1581" t="s">
        <v>2091</v>
      </c>
    </row>
    <row r="1582" spans="1:17" x14ac:dyDescent="0.25">
      <c r="A1582" t="s">
        <v>1023</v>
      </c>
      <c r="B1582" s="18">
        <v>45942</v>
      </c>
      <c r="C1582" t="s">
        <v>2024</v>
      </c>
      <c r="D1582" t="s">
        <v>2044</v>
      </c>
      <c r="E1582" t="s">
        <v>2055</v>
      </c>
      <c r="F1582" t="s">
        <v>2059</v>
      </c>
      <c r="G1582">
        <v>10</v>
      </c>
      <c r="H1582">
        <v>180</v>
      </c>
      <c r="I1582">
        <v>243</v>
      </c>
      <c r="J1582">
        <v>9.2899999999999991</v>
      </c>
      <c r="K1582">
        <v>2204.16</v>
      </c>
      <c r="L1582">
        <v>404.16</v>
      </c>
      <c r="M1582">
        <v>22574.699999999997</v>
      </c>
      <c r="N1582">
        <v>1800</v>
      </c>
      <c r="O1582">
        <v>18.336236933797913</v>
      </c>
      <c r="P1582" t="s">
        <v>2084</v>
      </c>
      <c r="Q1582" t="s">
        <v>2092</v>
      </c>
    </row>
    <row r="1583" spans="1:17" x14ac:dyDescent="0.25">
      <c r="A1583" t="s">
        <v>1139</v>
      </c>
      <c r="B1583" s="18">
        <v>45942</v>
      </c>
      <c r="C1583" t="s">
        <v>2020</v>
      </c>
      <c r="D1583" t="s">
        <v>2040</v>
      </c>
      <c r="E1583" t="s">
        <v>2053</v>
      </c>
      <c r="F1583" t="s">
        <v>2062</v>
      </c>
      <c r="G1583">
        <v>10</v>
      </c>
      <c r="H1583">
        <v>350</v>
      </c>
      <c r="I1583">
        <v>455</v>
      </c>
      <c r="J1583">
        <v>13.91</v>
      </c>
      <c r="K1583">
        <v>3917.23</v>
      </c>
      <c r="L1583">
        <v>417.23</v>
      </c>
      <c r="M1583">
        <v>63290.5</v>
      </c>
      <c r="N1583">
        <v>3500</v>
      </c>
      <c r="O1583">
        <v>10.651148898583948</v>
      </c>
      <c r="P1583" t="s">
        <v>2084</v>
      </c>
      <c r="Q1583" t="s">
        <v>2092</v>
      </c>
    </row>
    <row r="1584" spans="1:17" x14ac:dyDescent="0.25">
      <c r="A1584" t="s">
        <v>1676</v>
      </c>
      <c r="B1584" s="18">
        <v>45942</v>
      </c>
      <c r="C1584" t="s">
        <v>2026</v>
      </c>
      <c r="D1584" t="s">
        <v>2046</v>
      </c>
      <c r="E1584" t="s">
        <v>2052</v>
      </c>
      <c r="F1584" t="s">
        <v>2062</v>
      </c>
      <c r="G1584">
        <v>8</v>
      </c>
      <c r="H1584">
        <v>3000</v>
      </c>
      <c r="I1584">
        <v>3600</v>
      </c>
      <c r="J1584">
        <v>15.36</v>
      </c>
      <c r="K1584">
        <v>24376.78</v>
      </c>
      <c r="L1584">
        <v>376.78</v>
      </c>
      <c r="M1584">
        <v>442368</v>
      </c>
      <c r="N1584">
        <v>24000</v>
      </c>
      <c r="O1584">
        <v>1.5456512303922012</v>
      </c>
      <c r="P1584" t="s">
        <v>2084</v>
      </c>
      <c r="Q1584" t="s">
        <v>2091</v>
      </c>
    </row>
    <row r="1585" spans="1:17" x14ac:dyDescent="0.25">
      <c r="A1585" t="s">
        <v>12</v>
      </c>
      <c r="B1585" s="18">
        <v>45943</v>
      </c>
      <c r="C1585" t="s">
        <v>2012</v>
      </c>
      <c r="D1585" t="s">
        <v>2032</v>
      </c>
      <c r="E1585" t="s">
        <v>2052</v>
      </c>
      <c r="F1585" t="s">
        <v>2059</v>
      </c>
      <c r="G1585">
        <v>10</v>
      </c>
      <c r="H1585">
        <v>6500</v>
      </c>
      <c r="I1585">
        <v>8125</v>
      </c>
      <c r="J1585">
        <v>13.01</v>
      </c>
      <c r="K1585">
        <v>70680.75</v>
      </c>
      <c r="L1585">
        <v>5680.75</v>
      </c>
      <c r="M1585">
        <v>1057062.5</v>
      </c>
      <c r="N1585">
        <v>65000</v>
      </c>
      <c r="O1585">
        <v>8.0371954174227067</v>
      </c>
      <c r="P1585" t="s">
        <v>2084</v>
      </c>
      <c r="Q1585" t="s">
        <v>2091</v>
      </c>
    </row>
    <row r="1586" spans="1:17" x14ac:dyDescent="0.25">
      <c r="A1586" t="s">
        <v>45</v>
      </c>
      <c r="B1586" s="18">
        <v>45943</v>
      </c>
      <c r="C1586" t="s">
        <v>2029</v>
      </c>
      <c r="D1586" t="s">
        <v>2049</v>
      </c>
      <c r="E1586" t="s">
        <v>2055</v>
      </c>
      <c r="F1586" t="s">
        <v>2059</v>
      </c>
      <c r="G1586">
        <v>3</v>
      </c>
      <c r="H1586">
        <v>1200</v>
      </c>
      <c r="I1586">
        <v>1464</v>
      </c>
      <c r="J1586">
        <v>4.4400000000000004</v>
      </c>
      <c r="K1586">
        <v>4196.97</v>
      </c>
      <c r="L1586">
        <v>596.97</v>
      </c>
      <c r="M1586">
        <v>19500.480000000003</v>
      </c>
      <c r="N1586">
        <v>3600</v>
      </c>
      <c r="O1586">
        <v>14.223832908026504</v>
      </c>
      <c r="P1586" t="s">
        <v>2084</v>
      </c>
      <c r="Q1586" t="s">
        <v>2092</v>
      </c>
    </row>
    <row r="1587" spans="1:17" x14ac:dyDescent="0.25">
      <c r="A1587" t="s">
        <v>746</v>
      </c>
      <c r="B1587" s="18">
        <v>45943</v>
      </c>
      <c r="C1587" t="s">
        <v>2030</v>
      </c>
      <c r="D1587" t="s">
        <v>2050</v>
      </c>
      <c r="E1587" t="s">
        <v>2058</v>
      </c>
      <c r="F1587" t="s">
        <v>2061</v>
      </c>
      <c r="G1587">
        <v>1</v>
      </c>
      <c r="H1587">
        <v>1800</v>
      </c>
      <c r="I1587">
        <v>2124</v>
      </c>
      <c r="J1587">
        <v>17</v>
      </c>
      <c r="K1587">
        <v>1762.84</v>
      </c>
      <c r="L1587">
        <v>-37.159999999999997</v>
      </c>
      <c r="M1587">
        <v>36108</v>
      </c>
      <c r="N1587">
        <v>1800</v>
      </c>
      <c r="O1587">
        <v>-2.1079621519820293</v>
      </c>
      <c r="P1587" t="s">
        <v>2084</v>
      </c>
      <c r="Q1587" t="s">
        <v>2093</v>
      </c>
    </row>
    <row r="1588" spans="1:17" x14ac:dyDescent="0.25">
      <c r="A1588" t="s">
        <v>845</v>
      </c>
      <c r="B1588" s="18">
        <v>45943</v>
      </c>
      <c r="C1588" t="s">
        <v>2019</v>
      </c>
      <c r="D1588" t="s">
        <v>2039</v>
      </c>
      <c r="E1588" t="s">
        <v>2053</v>
      </c>
      <c r="F1588" t="s">
        <v>2061</v>
      </c>
      <c r="G1588">
        <v>9</v>
      </c>
      <c r="H1588">
        <v>900</v>
      </c>
      <c r="I1588">
        <v>1152</v>
      </c>
      <c r="J1588">
        <v>10.65</v>
      </c>
      <c r="K1588">
        <v>9263.68</v>
      </c>
      <c r="L1588">
        <v>1163.68</v>
      </c>
      <c r="M1588">
        <v>110419.2</v>
      </c>
      <c r="N1588">
        <v>8100</v>
      </c>
      <c r="O1588">
        <v>12.561746519741614</v>
      </c>
      <c r="P1588" t="s">
        <v>2084</v>
      </c>
      <c r="Q1588" t="s">
        <v>2092</v>
      </c>
    </row>
    <row r="1589" spans="1:17" x14ac:dyDescent="0.25">
      <c r="A1589" t="s">
        <v>1272</v>
      </c>
      <c r="B1589" s="18">
        <v>45943</v>
      </c>
      <c r="C1589" t="s">
        <v>2031</v>
      </c>
      <c r="D1589" t="s">
        <v>2051</v>
      </c>
      <c r="E1589" t="s">
        <v>2058</v>
      </c>
      <c r="F1589" t="s">
        <v>2062</v>
      </c>
      <c r="G1589">
        <v>5</v>
      </c>
      <c r="H1589">
        <v>3200</v>
      </c>
      <c r="I1589">
        <v>3840</v>
      </c>
      <c r="J1589">
        <v>14.33</v>
      </c>
      <c r="K1589">
        <v>16448</v>
      </c>
      <c r="L1589">
        <v>448</v>
      </c>
      <c r="M1589">
        <v>275136</v>
      </c>
      <c r="N1589">
        <v>16000</v>
      </c>
      <c r="O1589">
        <v>2.7237354085603114</v>
      </c>
      <c r="P1589" t="s">
        <v>2084</v>
      </c>
      <c r="Q1589" t="s">
        <v>2091</v>
      </c>
    </row>
    <row r="1590" spans="1:17" x14ac:dyDescent="0.25">
      <c r="A1590" t="s">
        <v>19</v>
      </c>
      <c r="B1590" s="18">
        <v>45944</v>
      </c>
      <c r="C1590" t="s">
        <v>2015</v>
      </c>
      <c r="D1590" t="s">
        <v>2035</v>
      </c>
      <c r="E1590" t="s">
        <v>2054</v>
      </c>
      <c r="F1590" t="s">
        <v>2059</v>
      </c>
      <c r="G1590">
        <v>5</v>
      </c>
      <c r="H1590">
        <v>900</v>
      </c>
      <c r="I1590">
        <v>1170</v>
      </c>
      <c r="J1590">
        <v>9.01</v>
      </c>
      <c r="K1590">
        <v>5323.19</v>
      </c>
      <c r="L1590">
        <v>823.19</v>
      </c>
      <c r="M1590">
        <v>52708.5</v>
      </c>
      <c r="N1590">
        <v>4500</v>
      </c>
      <c r="O1590">
        <v>15.464223520107307</v>
      </c>
      <c r="P1590" t="s">
        <v>2084</v>
      </c>
      <c r="Q1590" t="s">
        <v>2092</v>
      </c>
    </row>
    <row r="1591" spans="1:17" x14ac:dyDescent="0.25">
      <c r="A1591" t="s">
        <v>139</v>
      </c>
      <c r="B1591" s="18">
        <v>45944</v>
      </c>
      <c r="C1591" t="s">
        <v>2014</v>
      </c>
      <c r="D1591" t="s">
        <v>2034</v>
      </c>
      <c r="E1591" t="s">
        <v>2052</v>
      </c>
      <c r="F1591" t="s">
        <v>2061</v>
      </c>
      <c r="G1591">
        <v>8</v>
      </c>
      <c r="H1591">
        <v>4500</v>
      </c>
      <c r="I1591">
        <v>5220</v>
      </c>
      <c r="J1591">
        <v>28.71</v>
      </c>
      <c r="K1591">
        <v>29772.02</v>
      </c>
      <c r="L1591">
        <v>-6227.98</v>
      </c>
      <c r="M1591">
        <v>1198929.6000000001</v>
      </c>
      <c r="N1591">
        <v>36000</v>
      </c>
      <c r="O1591">
        <v>-20.91890305058239</v>
      </c>
      <c r="P1591" t="s">
        <v>2084</v>
      </c>
      <c r="Q1591" t="s">
        <v>2093</v>
      </c>
    </row>
    <row r="1592" spans="1:17" x14ac:dyDescent="0.25">
      <c r="A1592" t="s">
        <v>1253</v>
      </c>
      <c r="B1592" s="18">
        <v>45944</v>
      </c>
      <c r="C1592" t="s">
        <v>2019</v>
      </c>
      <c r="D1592" t="s">
        <v>2039</v>
      </c>
      <c r="E1592" t="s">
        <v>2053</v>
      </c>
      <c r="F1592" t="s">
        <v>2060</v>
      </c>
      <c r="G1592">
        <v>3</v>
      </c>
      <c r="H1592">
        <v>900</v>
      </c>
      <c r="I1592">
        <v>1152</v>
      </c>
      <c r="J1592">
        <v>23.93</v>
      </c>
      <c r="K1592">
        <v>2628.82</v>
      </c>
      <c r="L1592">
        <v>-71.180000000000007</v>
      </c>
      <c r="M1592">
        <v>82702.080000000002</v>
      </c>
      <c r="N1592">
        <v>2700</v>
      </c>
      <c r="O1592">
        <v>-2.7076787303809318</v>
      </c>
      <c r="P1592" t="s">
        <v>2084</v>
      </c>
      <c r="Q1592" t="s">
        <v>2093</v>
      </c>
    </row>
    <row r="1593" spans="1:17" x14ac:dyDescent="0.25">
      <c r="A1593" t="s">
        <v>1869</v>
      </c>
      <c r="B1593" s="18">
        <v>45944</v>
      </c>
      <c r="C1593" t="s">
        <v>2029</v>
      </c>
      <c r="D1593" t="s">
        <v>2049</v>
      </c>
      <c r="E1593" t="s">
        <v>2055</v>
      </c>
      <c r="F1593" t="s">
        <v>2061</v>
      </c>
      <c r="G1593">
        <v>2</v>
      </c>
      <c r="H1593">
        <v>1200</v>
      </c>
      <c r="I1593">
        <v>1464</v>
      </c>
      <c r="J1593">
        <v>0.62</v>
      </c>
      <c r="K1593">
        <v>2909.84</v>
      </c>
      <c r="L1593">
        <v>509.84</v>
      </c>
      <c r="M1593">
        <v>1815.36</v>
      </c>
      <c r="N1593">
        <v>2400</v>
      </c>
      <c r="O1593">
        <v>17.521238281142605</v>
      </c>
      <c r="P1593" t="s">
        <v>2084</v>
      </c>
      <c r="Q1593" t="s">
        <v>2092</v>
      </c>
    </row>
    <row r="1594" spans="1:17" x14ac:dyDescent="0.25">
      <c r="A1594" t="s">
        <v>49</v>
      </c>
      <c r="B1594" s="18">
        <v>45945</v>
      </c>
      <c r="C1594" t="s">
        <v>2028</v>
      </c>
      <c r="D1594" t="s">
        <v>2048</v>
      </c>
      <c r="E1594" t="s">
        <v>2057</v>
      </c>
      <c r="F1594" t="s">
        <v>2061</v>
      </c>
      <c r="G1594">
        <v>5</v>
      </c>
      <c r="H1594">
        <v>80</v>
      </c>
      <c r="I1594">
        <v>116</v>
      </c>
      <c r="J1594">
        <v>15.43</v>
      </c>
      <c r="K1594">
        <v>490.52</v>
      </c>
      <c r="L1594">
        <v>90.52</v>
      </c>
      <c r="M1594">
        <v>8949.4</v>
      </c>
      <c r="N1594">
        <v>400</v>
      </c>
      <c r="O1594">
        <v>18.45388567234771</v>
      </c>
      <c r="P1594" t="s">
        <v>2084</v>
      </c>
      <c r="Q1594" t="s">
        <v>2092</v>
      </c>
    </row>
    <row r="1595" spans="1:17" x14ac:dyDescent="0.25">
      <c r="A1595" t="s">
        <v>122</v>
      </c>
      <c r="B1595" s="18">
        <v>45945</v>
      </c>
      <c r="C1595" t="s">
        <v>2023</v>
      </c>
      <c r="D1595" t="s">
        <v>2043</v>
      </c>
      <c r="E1595" t="s">
        <v>2053</v>
      </c>
      <c r="F1595" t="s">
        <v>2062</v>
      </c>
      <c r="G1595">
        <v>2</v>
      </c>
      <c r="H1595">
        <v>550</v>
      </c>
      <c r="I1595">
        <v>742.5</v>
      </c>
      <c r="J1595">
        <v>5.57</v>
      </c>
      <c r="K1595">
        <v>1402.35</v>
      </c>
      <c r="L1595">
        <v>302.35000000000002</v>
      </c>
      <c r="M1595">
        <v>8271.4500000000007</v>
      </c>
      <c r="N1595">
        <v>1100</v>
      </c>
      <c r="O1595">
        <v>21.560238171640464</v>
      </c>
      <c r="P1595" t="s">
        <v>2084</v>
      </c>
      <c r="Q1595" t="s">
        <v>2092</v>
      </c>
    </row>
    <row r="1596" spans="1:17" x14ac:dyDescent="0.25">
      <c r="A1596" t="s">
        <v>306</v>
      </c>
      <c r="B1596" s="18">
        <v>45945</v>
      </c>
      <c r="C1596" t="s">
        <v>2019</v>
      </c>
      <c r="D1596" t="s">
        <v>2039</v>
      </c>
      <c r="E1596" t="s">
        <v>2053</v>
      </c>
      <c r="F1596" t="s">
        <v>2059</v>
      </c>
      <c r="G1596">
        <v>10</v>
      </c>
      <c r="H1596">
        <v>900</v>
      </c>
      <c r="I1596">
        <v>1152</v>
      </c>
      <c r="J1596">
        <v>6.86</v>
      </c>
      <c r="K1596">
        <v>10730.07</v>
      </c>
      <c r="L1596">
        <v>1730.07</v>
      </c>
      <c r="M1596">
        <v>79027.199999999997</v>
      </c>
      <c r="N1596">
        <v>9000</v>
      </c>
      <c r="O1596">
        <v>16.123566761447037</v>
      </c>
      <c r="P1596" t="s">
        <v>2084</v>
      </c>
      <c r="Q1596" t="s">
        <v>2092</v>
      </c>
    </row>
    <row r="1597" spans="1:17" x14ac:dyDescent="0.25">
      <c r="A1597" t="s">
        <v>307</v>
      </c>
      <c r="B1597" s="18">
        <v>45945</v>
      </c>
      <c r="C1597" t="s">
        <v>2023</v>
      </c>
      <c r="D1597" t="s">
        <v>2043</v>
      </c>
      <c r="E1597" t="s">
        <v>2053</v>
      </c>
      <c r="F1597" t="s">
        <v>2060</v>
      </c>
      <c r="G1597">
        <v>9</v>
      </c>
      <c r="H1597">
        <v>550</v>
      </c>
      <c r="I1597">
        <v>742.5</v>
      </c>
      <c r="J1597">
        <v>9.92</v>
      </c>
      <c r="K1597">
        <v>6019.9</v>
      </c>
      <c r="L1597">
        <v>1069.9000000000001</v>
      </c>
      <c r="M1597">
        <v>66290.399999999994</v>
      </c>
      <c r="N1597">
        <v>4950</v>
      </c>
      <c r="O1597">
        <v>17.772720477084338</v>
      </c>
      <c r="P1597" t="s">
        <v>2084</v>
      </c>
      <c r="Q1597" t="s">
        <v>2092</v>
      </c>
    </row>
    <row r="1598" spans="1:17" x14ac:dyDescent="0.25">
      <c r="A1598" t="s">
        <v>322</v>
      </c>
      <c r="B1598" s="18">
        <v>45945</v>
      </c>
      <c r="C1598" t="s">
        <v>2016</v>
      </c>
      <c r="D1598" t="s">
        <v>2036</v>
      </c>
      <c r="E1598" t="s">
        <v>2052</v>
      </c>
      <c r="F1598" t="s">
        <v>2061</v>
      </c>
      <c r="G1598">
        <v>3</v>
      </c>
      <c r="H1598">
        <v>900</v>
      </c>
      <c r="I1598">
        <v>1170</v>
      </c>
      <c r="J1598">
        <v>0</v>
      </c>
      <c r="K1598">
        <v>3510</v>
      </c>
      <c r="L1598">
        <v>810</v>
      </c>
      <c r="M1598">
        <v>0</v>
      </c>
      <c r="N1598">
        <v>2700</v>
      </c>
      <c r="O1598">
        <v>23.076923076923077</v>
      </c>
      <c r="P1598" t="s">
        <v>2084</v>
      </c>
      <c r="Q1598" t="s">
        <v>2092</v>
      </c>
    </row>
    <row r="1599" spans="1:17" x14ac:dyDescent="0.25">
      <c r="A1599" t="s">
        <v>1070</v>
      </c>
      <c r="B1599" s="18">
        <v>45945</v>
      </c>
      <c r="C1599" t="s">
        <v>2023</v>
      </c>
      <c r="D1599" t="s">
        <v>2043</v>
      </c>
      <c r="E1599" t="s">
        <v>2053</v>
      </c>
      <c r="F1599" t="s">
        <v>2062</v>
      </c>
      <c r="G1599">
        <v>4</v>
      </c>
      <c r="H1599">
        <v>550</v>
      </c>
      <c r="I1599">
        <v>742.5</v>
      </c>
      <c r="J1599">
        <v>8.08</v>
      </c>
      <c r="K1599">
        <v>2729.89</v>
      </c>
      <c r="L1599">
        <v>529.89</v>
      </c>
      <c r="M1599">
        <v>23997.599999999999</v>
      </c>
      <c r="N1599">
        <v>2200</v>
      </c>
      <c r="O1599">
        <v>19.410672224888181</v>
      </c>
      <c r="P1599" t="s">
        <v>2084</v>
      </c>
      <c r="Q1599" t="s">
        <v>2092</v>
      </c>
    </row>
    <row r="1600" spans="1:17" x14ac:dyDescent="0.25">
      <c r="A1600" t="s">
        <v>1584</v>
      </c>
      <c r="B1600" s="18">
        <v>45945</v>
      </c>
      <c r="C1600" t="s">
        <v>2029</v>
      </c>
      <c r="D1600" t="s">
        <v>2049</v>
      </c>
      <c r="E1600" t="s">
        <v>2055</v>
      </c>
      <c r="F1600" t="s">
        <v>2059</v>
      </c>
      <c r="G1600">
        <v>4</v>
      </c>
      <c r="H1600">
        <v>1200</v>
      </c>
      <c r="I1600">
        <v>1464</v>
      </c>
      <c r="J1600">
        <v>11.85</v>
      </c>
      <c r="K1600">
        <v>5162.3100000000004</v>
      </c>
      <c r="L1600">
        <v>362.31</v>
      </c>
      <c r="M1600">
        <v>69393.599999999991</v>
      </c>
      <c r="N1600">
        <v>4800</v>
      </c>
      <c r="O1600">
        <v>7.0183696833394347</v>
      </c>
      <c r="P1600" t="s">
        <v>2084</v>
      </c>
      <c r="Q1600" t="s">
        <v>2091</v>
      </c>
    </row>
    <row r="1601" spans="1:17" x14ac:dyDescent="0.25">
      <c r="A1601" t="s">
        <v>105</v>
      </c>
      <c r="B1601" s="18">
        <v>45946</v>
      </c>
      <c r="C1601" t="s">
        <v>2028</v>
      </c>
      <c r="D1601" t="s">
        <v>2048</v>
      </c>
      <c r="E1601" t="s">
        <v>2057</v>
      </c>
      <c r="F1601" t="s">
        <v>2060</v>
      </c>
      <c r="G1601">
        <v>1</v>
      </c>
      <c r="H1601">
        <v>80</v>
      </c>
      <c r="I1601">
        <v>116</v>
      </c>
      <c r="J1601">
        <v>9.3800000000000008</v>
      </c>
      <c r="K1601">
        <v>105.12</v>
      </c>
      <c r="L1601">
        <v>25.12</v>
      </c>
      <c r="M1601">
        <v>1088.0800000000002</v>
      </c>
      <c r="N1601">
        <v>80</v>
      </c>
      <c r="O1601">
        <v>23.896499238964992</v>
      </c>
      <c r="P1601" t="s">
        <v>2084</v>
      </c>
      <c r="Q1601" t="s">
        <v>2092</v>
      </c>
    </row>
    <row r="1602" spans="1:17" x14ac:dyDescent="0.25">
      <c r="A1602" t="s">
        <v>600</v>
      </c>
      <c r="B1602" s="18">
        <v>45946</v>
      </c>
      <c r="C1602" t="s">
        <v>2013</v>
      </c>
      <c r="D1602" t="s">
        <v>2033</v>
      </c>
      <c r="E1602" t="s">
        <v>2053</v>
      </c>
      <c r="F1602" t="s">
        <v>2062</v>
      </c>
      <c r="G1602">
        <v>8</v>
      </c>
      <c r="H1602">
        <v>6500</v>
      </c>
      <c r="I1602">
        <v>7150</v>
      </c>
      <c r="J1602">
        <v>11.86</v>
      </c>
      <c r="K1602">
        <v>50414.29</v>
      </c>
      <c r="L1602">
        <v>-1585.71</v>
      </c>
      <c r="M1602">
        <v>678392</v>
      </c>
      <c r="N1602">
        <v>52000</v>
      </c>
      <c r="O1602">
        <v>-3.1453581911001822</v>
      </c>
      <c r="P1602" t="s">
        <v>2084</v>
      </c>
      <c r="Q1602" t="s">
        <v>2093</v>
      </c>
    </row>
    <row r="1603" spans="1:17" x14ac:dyDescent="0.25">
      <c r="A1603" t="s">
        <v>770</v>
      </c>
      <c r="B1603" s="18">
        <v>45946</v>
      </c>
      <c r="C1603" t="s">
        <v>2024</v>
      </c>
      <c r="D1603" t="s">
        <v>2044</v>
      </c>
      <c r="E1603" t="s">
        <v>2055</v>
      </c>
      <c r="F1603" t="s">
        <v>2061</v>
      </c>
      <c r="G1603">
        <v>1</v>
      </c>
      <c r="H1603">
        <v>180</v>
      </c>
      <c r="I1603">
        <v>243</v>
      </c>
      <c r="J1603">
        <v>14.49</v>
      </c>
      <c r="K1603">
        <v>207.8</v>
      </c>
      <c r="L1603">
        <v>27.8</v>
      </c>
      <c r="M1603">
        <v>3521.07</v>
      </c>
      <c r="N1603">
        <v>180</v>
      </c>
      <c r="O1603">
        <v>13.378248315688163</v>
      </c>
      <c r="P1603" t="s">
        <v>2084</v>
      </c>
      <c r="Q1603" t="s">
        <v>2092</v>
      </c>
    </row>
    <row r="1604" spans="1:17" x14ac:dyDescent="0.25">
      <c r="A1604" t="s">
        <v>1934</v>
      </c>
      <c r="B1604" s="18">
        <v>45946</v>
      </c>
      <c r="C1604" t="s">
        <v>2012</v>
      </c>
      <c r="D1604" t="s">
        <v>2032</v>
      </c>
      <c r="E1604" t="s">
        <v>2052</v>
      </c>
      <c r="F1604" t="s">
        <v>2062</v>
      </c>
      <c r="G1604">
        <v>8</v>
      </c>
      <c r="H1604">
        <v>6500</v>
      </c>
      <c r="I1604">
        <v>8125</v>
      </c>
      <c r="J1604">
        <v>15.89</v>
      </c>
      <c r="K1604">
        <v>54671.23</v>
      </c>
      <c r="L1604">
        <v>2671.23</v>
      </c>
      <c r="M1604">
        <v>1032850</v>
      </c>
      <c r="N1604">
        <v>52000</v>
      </c>
      <c r="O1604">
        <v>4.8859884805957359</v>
      </c>
      <c r="P1604" t="s">
        <v>2084</v>
      </c>
      <c r="Q1604" t="s">
        <v>2091</v>
      </c>
    </row>
    <row r="1605" spans="1:17" x14ac:dyDescent="0.25">
      <c r="A1605" t="s">
        <v>1993</v>
      </c>
      <c r="B1605" s="18">
        <v>45946</v>
      </c>
      <c r="C1605" t="s">
        <v>2024</v>
      </c>
      <c r="D1605" t="s">
        <v>2044</v>
      </c>
      <c r="E1605" t="s">
        <v>2055</v>
      </c>
      <c r="F1605" t="s">
        <v>2061</v>
      </c>
      <c r="G1605">
        <v>2</v>
      </c>
      <c r="H1605">
        <v>180</v>
      </c>
      <c r="I1605">
        <v>243</v>
      </c>
      <c r="J1605">
        <v>15.57</v>
      </c>
      <c r="K1605">
        <v>410.32</v>
      </c>
      <c r="L1605">
        <v>50.32</v>
      </c>
      <c r="M1605">
        <v>7567.02</v>
      </c>
      <c r="N1605">
        <v>360</v>
      </c>
      <c r="O1605">
        <v>12.26359914213297</v>
      </c>
      <c r="P1605" t="s">
        <v>2084</v>
      </c>
      <c r="Q1605" t="s">
        <v>2092</v>
      </c>
    </row>
    <row r="1606" spans="1:17" x14ac:dyDescent="0.25">
      <c r="A1606" t="s">
        <v>241</v>
      </c>
      <c r="B1606" s="18">
        <v>45947</v>
      </c>
      <c r="C1606" t="s">
        <v>2019</v>
      </c>
      <c r="D1606" t="s">
        <v>2039</v>
      </c>
      <c r="E1606" t="s">
        <v>2053</v>
      </c>
      <c r="F1606" t="s">
        <v>2061</v>
      </c>
      <c r="G1606">
        <v>1</v>
      </c>
      <c r="H1606">
        <v>900</v>
      </c>
      <c r="I1606">
        <v>1152</v>
      </c>
      <c r="J1606">
        <v>13.84</v>
      </c>
      <c r="K1606">
        <v>992.51</v>
      </c>
      <c r="L1606">
        <v>92.51</v>
      </c>
      <c r="M1606">
        <v>15943.68</v>
      </c>
      <c r="N1606">
        <v>900</v>
      </c>
      <c r="O1606">
        <v>9.32081288853513</v>
      </c>
      <c r="P1606" t="s">
        <v>2084</v>
      </c>
      <c r="Q1606" t="s">
        <v>2091</v>
      </c>
    </row>
    <row r="1607" spans="1:17" x14ac:dyDescent="0.25">
      <c r="A1607" t="s">
        <v>1086</v>
      </c>
      <c r="B1607" s="18">
        <v>45947</v>
      </c>
      <c r="C1607" t="s">
        <v>2018</v>
      </c>
      <c r="D1607" t="s">
        <v>2038</v>
      </c>
      <c r="E1607" t="s">
        <v>2053</v>
      </c>
      <c r="F1607" t="s">
        <v>2061</v>
      </c>
      <c r="G1607">
        <v>9</v>
      </c>
      <c r="H1607">
        <v>500</v>
      </c>
      <c r="I1607">
        <v>610</v>
      </c>
      <c r="J1607">
        <v>13.17</v>
      </c>
      <c r="K1607">
        <v>4767.17</v>
      </c>
      <c r="L1607">
        <v>267.17</v>
      </c>
      <c r="M1607">
        <v>72303.3</v>
      </c>
      <c r="N1607">
        <v>4500</v>
      </c>
      <c r="O1607">
        <v>5.6043732445035532</v>
      </c>
      <c r="P1607" t="s">
        <v>2084</v>
      </c>
      <c r="Q1607" t="s">
        <v>2091</v>
      </c>
    </row>
    <row r="1608" spans="1:17" x14ac:dyDescent="0.25">
      <c r="A1608" t="s">
        <v>1306</v>
      </c>
      <c r="B1608" s="18">
        <v>45947</v>
      </c>
      <c r="C1608" t="s">
        <v>2029</v>
      </c>
      <c r="D1608" t="s">
        <v>2049</v>
      </c>
      <c r="E1608" t="s">
        <v>2055</v>
      </c>
      <c r="F1608" t="s">
        <v>2059</v>
      </c>
      <c r="G1608">
        <v>10</v>
      </c>
      <c r="H1608">
        <v>1200</v>
      </c>
      <c r="I1608">
        <v>1464</v>
      </c>
      <c r="J1608">
        <v>4.9000000000000004</v>
      </c>
      <c r="K1608">
        <v>13922.9</v>
      </c>
      <c r="L1608">
        <v>1922.9</v>
      </c>
      <c r="M1608">
        <v>71736</v>
      </c>
      <c r="N1608">
        <v>12000</v>
      </c>
      <c r="O1608">
        <v>13.811059477551375</v>
      </c>
      <c r="P1608" t="s">
        <v>2084</v>
      </c>
      <c r="Q1608" t="s">
        <v>2092</v>
      </c>
    </row>
    <row r="1609" spans="1:17" x14ac:dyDescent="0.25">
      <c r="A1609" t="s">
        <v>1315</v>
      </c>
      <c r="B1609" s="18">
        <v>45947</v>
      </c>
      <c r="C1609" t="s">
        <v>2018</v>
      </c>
      <c r="D1609" t="s">
        <v>2038</v>
      </c>
      <c r="E1609" t="s">
        <v>2053</v>
      </c>
      <c r="F1609" t="s">
        <v>2059</v>
      </c>
      <c r="G1609">
        <v>4</v>
      </c>
      <c r="H1609">
        <v>500</v>
      </c>
      <c r="I1609">
        <v>610</v>
      </c>
      <c r="J1609">
        <v>16.399999999999999</v>
      </c>
      <c r="K1609">
        <v>2039.91</v>
      </c>
      <c r="L1609">
        <v>39.909999999999997</v>
      </c>
      <c r="M1609">
        <v>40016</v>
      </c>
      <c r="N1609">
        <v>2000</v>
      </c>
      <c r="O1609">
        <v>1.9564588633812274</v>
      </c>
      <c r="P1609" t="s">
        <v>2084</v>
      </c>
      <c r="Q1609" t="s">
        <v>2091</v>
      </c>
    </row>
    <row r="1610" spans="1:17" x14ac:dyDescent="0.25">
      <c r="A1610" t="s">
        <v>1333</v>
      </c>
      <c r="B1610" s="18">
        <v>45947</v>
      </c>
      <c r="C1610" t="s">
        <v>2030</v>
      </c>
      <c r="D1610" t="s">
        <v>2050</v>
      </c>
      <c r="E1610" t="s">
        <v>2058</v>
      </c>
      <c r="F1610" t="s">
        <v>2061</v>
      </c>
      <c r="G1610">
        <v>7</v>
      </c>
      <c r="H1610">
        <v>1800</v>
      </c>
      <c r="I1610">
        <v>2124</v>
      </c>
      <c r="J1610">
        <v>19.170000000000002</v>
      </c>
      <c r="K1610">
        <v>12017.57</v>
      </c>
      <c r="L1610">
        <v>-582.42999999999995</v>
      </c>
      <c r="M1610">
        <v>285019.56</v>
      </c>
      <c r="N1610">
        <v>12600</v>
      </c>
      <c r="O1610">
        <v>-4.8464872682247737</v>
      </c>
      <c r="P1610" t="s">
        <v>2084</v>
      </c>
      <c r="Q1610" t="s">
        <v>2093</v>
      </c>
    </row>
    <row r="1611" spans="1:17" x14ac:dyDescent="0.25">
      <c r="A1611" t="s">
        <v>1378</v>
      </c>
      <c r="B1611" s="18">
        <v>45947</v>
      </c>
      <c r="C1611" t="s">
        <v>2014</v>
      </c>
      <c r="D1611" t="s">
        <v>2034</v>
      </c>
      <c r="E1611" t="s">
        <v>2052</v>
      </c>
      <c r="F1611" t="s">
        <v>2061</v>
      </c>
      <c r="G1611">
        <v>10</v>
      </c>
      <c r="H1611">
        <v>4500</v>
      </c>
      <c r="I1611">
        <v>5220</v>
      </c>
      <c r="J1611">
        <v>17.87</v>
      </c>
      <c r="K1611">
        <v>42872.22</v>
      </c>
      <c r="L1611">
        <v>-2127.7800000000002</v>
      </c>
      <c r="M1611">
        <v>932814</v>
      </c>
      <c r="N1611">
        <v>45000</v>
      </c>
      <c r="O1611">
        <v>-4.963073990570118</v>
      </c>
      <c r="P1611" t="s">
        <v>2084</v>
      </c>
      <c r="Q1611" t="s">
        <v>2093</v>
      </c>
    </row>
    <row r="1612" spans="1:17" x14ac:dyDescent="0.25">
      <c r="A1612" t="s">
        <v>1815</v>
      </c>
      <c r="B1612" s="18">
        <v>45947</v>
      </c>
      <c r="C1612" t="s">
        <v>2022</v>
      </c>
      <c r="D1612" t="s">
        <v>2042</v>
      </c>
      <c r="E1612" t="s">
        <v>2053</v>
      </c>
      <c r="F1612" t="s">
        <v>2061</v>
      </c>
      <c r="G1612">
        <v>8</v>
      </c>
      <c r="H1612">
        <v>8500</v>
      </c>
      <c r="I1612">
        <v>9520</v>
      </c>
      <c r="J1612">
        <v>4</v>
      </c>
      <c r="K1612">
        <v>73113.600000000006</v>
      </c>
      <c r="L1612">
        <v>5113.6000000000004</v>
      </c>
      <c r="M1612">
        <v>304640</v>
      </c>
      <c r="N1612">
        <v>68000</v>
      </c>
      <c r="O1612">
        <v>6.9940476190476195</v>
      </c>
      <c r="P1612" t="s">
        <v>2084</v>
      </c>
      <c r="Q1612" t="s">
        <v>2091</v>
      </c>
    </row>
    <row r="1613" spans="1:17" x14ac:dyDescent="0.25">
      <c r="A1613" t="s">
        <v>83</v>
      </c>
      <c r="B1613" s="18">
        <v>45948</v>
      </c>
      <c r="C1613" t="s">
        <v>2031</v>
      </c>
      <c r="D1613" t="s">
        <v>2051</v>
      </c>
      <c r="E1613" t="s">
        <v>2058</v>
      </c>
      <c r="F1613" t="s">
        <v>2062</v>
      </c>
      <c r="G1613">
        <v>3</v>
      </c>
      <c r="H1613">
        <v>3200</v>
      </c>
      <c r="I1613">
        <v>3840</v>
      </c>
      <c r="J1613">
        <v>13.22</v>
      </c>
      <c r="K1613">
        <v>9996.7000000000007</v>
      </c>
      <c r="L1613">
        <v>396.7</v>
      </c>
      <c r="M1613">
        <v>152294.39999999999</v>
      </c>
      <c r="N1613">
        <v>9600</v>
      </c>
      <c r="O1613">
        <v>3.968309542148909</v>
      </c>
      <c r="P1613" t="s">
        <v>2084</v>
      </c>
      <c r="Q1613" t="s">
        <v>2091</v>
      </c>
    </row>
    <row r="1614" spans="1:17" x14ac:dyDescent="0.25">
      <c r="A1614" t="s">
        <v>941</v>
      </c>
      <c r="B1614" s="18">
        <v>45948</v>
      </c>
      <c r="C1614" t="s">
        <v>2018</v>
      </c>
      <c r="D1614" t="s">
        <v>2038</v>
      </c>
      <c r="E1614" t="s">
        <v>2053</v>
      </c>
      <c r="F1614" t="s">
        <v>2060</v>
      </c>
      <c r="G1614">
        <v>5</v>
      </c>
      <c r="H1614">
        <v>500</v>
      </c>
      <c r="I1614">
        <v>610</v>
      </c>
      <c r="J1614">
        <v>4.67</v>
      </c>
      <c r="K1614">
        <v>2907.48</v>
      </c>
      <c r="L1614">
        <v>407.48</v>
      </c>
      <c r="M1614">
        <v>14243.5</v>
      </c>
      <c r="N1614">
        <v>2500</v>
      </c>
      <c r="O1614">
        <v>14.014885742980177</v>
      </c>
      <c r="P1614" t="s">
        <v>2084</v>
      </c>
      <c r="Q1614" t="s">
        <v>2092</v>
      </c>
    </row>
    <row r="1615" spans="1:17" x14ac:dyDescent="0.25">
      <c r="A1615" t="s">
        <v>55</v>
      </c>
      <c r="B1615" s="18">
        <v>45949</v>
      </c>
      <c r="C1615" t="s">
        <v>2016</v>
      </c>
      <c r="D1615" t="s">
        <v>2036</v>
      </c>
      <c r="E1615" t="s">
        <v>2052</v>
      </c>
      <c r="F1615" t="s">
        <v>2060</v>
      </c>
      <c r="G1615">
        <v>9</v>
      </c>
      <c r="H1615">
        <v>900</v>
      </c>
      <c r="I1615">
        <v>1170</v>
      </c>
      <c r="J1615">
        <v>16.54</v>
      </c>
      <c r="K1615">
        <v>8788.74</v>
      </c>
      <c r="L1615">
        <v>688.74</v>
      </c>
      <c r="M1615">
        <v>174166.19999999998</v>
      </c>
      <c r="N1615">
        <v>8100</v>
      </c>
      <c r="O1615">
        <v>7.8366182183111572</v>
      </c>
      <c r="P1615" t="s">
        <v>2084</v>
      </c>
      <c r="Q1615" t="s">
        <v>2091</v>
      </c>
    </row>
    <row r="1616" spans="1:17" x14ac:dyDescent="0.25">
      <c r="A1616" t="s">
        <v>287</v>
      </c>
      <c r="B1616" s="18">
        <v>45949</v>
      </c>
      <c r="C1616" t="s">
        <v>2020</v>
      </c>
      <c r="D1616" t="s">
        <v>2040</v>
      </c>
      <c r="E1616" t="s">
        <v>2053</v>
      </c>
      <c r="F1616" t="s">
        <v>2060</v>
      </c>
      <c r="G1616">
        <v>8</v>
      </c>
      <c r="H1616">
        <v>350</v>
      </c>
      <c r="I1616">
        <v>455</v>
      </c>
      <c r="J1616">
        <v>3.73</v>
      </c>
      <c r="K1616">
        <v>3504.33</v>
      </c>
      <c r="L1616">
        <v>704.33</v>
      </c>
      <c r="M1616">
        <v>13577.2</v>
      </c>
      <c r="N1616">
        <v>2800</v>
      </c>
      <c r="O1616">
        <v>20.098849138066335</v>
      </c>
      <c r="P1616" t="s">
        <v>2084</v>
      </c>
      <c r="Q1616" t="s">
        <v>2092</v>
      </c>
    </row>
    <row r="1617" spans="1:17" x14ac:dyDescent="0.25">
      <c r="A1617" t="s">
        <v>1286</v>
      </c>
      <c r="B1617" s="18">
        <v>45949</v>
      </c>
      <c r="C1617" t="s">
        <v>2019</v>
      </c>
      <c r="D1617" t="s">
        <v>2039</v>
      </c>
      <c r="E1617" t="s">
        <v>2053</v>
      </c>
      <c r="F1617" t="s">
        <v>2059</v>
      </c>
      <c r="G1617">
        <v>9</v>
      </c>
      <c r="H1617">
        <v>900</v>
      </c>
      <c r="I1617">
        <v>1152</v>
      </c>
      <c r="J1617">
        <v>6.08</v>
      </c>
      <c r="K1617">
        <v>9737.7199999999993</v>
      </c>
      <c r="L1617">
        <v>1637.72</v>
      </c>
      <c r="M1617">
        <v>63037.440000000002</v>
      </c>
      <c r="N1617">
        <v>8100</v>
      </c>
      <c r="O1617">
        <v>16.818310651774748</v>
      </c>
      <c r="P1617" t="s">
        <v>2084</v>
      </c>
      <c r="Q1617" t="s">
        <v>2092</v>
      </c>
    </row>
    <row r="1618" spans="1:17" x14ac:dyDescent="0.25">
      <c r="A1618" t="s">
        <v>1476</v>
      </c>
      <c r="B1618" s="18">
        <v>45949</v>
      </c>
      <c r="C1618" t="s">
        <v>2015</v>
      </c>
      <c r="D1618" t="s">
        <v>2035</v>
      </c>
      <c r="E1618" t="s">
        <v>2054</v>
      </c>
      <c r="F1618" t="s">
        <v>2059</v>
      </c>
      <c r="G1618">
        <v>8</v>
      </c>
      <c r="H1618">
        <v>900</v>
      </c>
      <c r="I1618">
        <v>1170</v>
      </c>
      <c r="J1618">
        <v>0</v>
      </c>
      <c r="K1618">
        <v>9360</v>
      </c>
      <c r="L1618">
        <v>2160</v>
      </c>
      <c r="M1618">
        <v>0</v>
      </c>
      <c r="N1618">
        <v>7200</v>
      </c>
      <c r="O1618">
        <v>23.076923076923077</v>
      </c>
      <c r="P1618" t="s">
        <v>2084</v>
      </c>
      <c r="Q1618" t="s">
        <v>2092</v>
      </c>
    </row>
    <row r="1619" spans="1:17" x14ac:dyDescent="0.25">
      <c r="A1619" t="s">
        <v>1892</v>
      </c>
      <c r="B1619" s="18">
        <v>45949</v>
      </c>
      <c r="C1619" t="s">
        <v>2016</v>
      </c>
      <c r="D1619" t="s">
        <v>2036</v>
      </c>
      <c r="E1619" t="s">
        <v>2052</v>
      </c>
      <c r="F1619" t="s">
        <v>2062</v>
      </c>
      <c r="G1619">
        <v>7</v>
      </c>
      <c r="H1619">
        <v>900</v>
      </c>
      <c r="I1619">
        <v>1170</v>
      </c>
      <c r="J1619">
        <v>6.48</v>
      </c>
      <c r="K1619">
        <v>7659.04</v>
      </c>
      <c r="L1619">
        <v>1359.04</v>
      </c>
      <c r="M1619">
        <v>53071.200000000004</v>
      </c>
      <c r="N1619">
        <v>6300</v>
      </c>
      <c r="O1619">
        <v>17.744260377279659</v>
      </c>
      <c r="P1619" t="s">
        <v>2084</v>
      </c>
      <c r="Q1619" t="s">
        <v>2092</v>
      </c>
    </row>
    <row r="1620" spans="1:17" x14ac:dyDescent="0.25">
      <c r="A1620" t="s">
        <v>424</v>
      </c>
      <c r="B1620" s="18">
        <v>45950</v>
      </c>
      <c r="C1620" t="s">
        <v>2021</v>
      </c>
      <c r="D1620" t="s">
        <v>2041</v>
      </c>
      <c r="E1620" t="s">
        <v>2056</v>
      </c>
      <c r="F1620" t="s">
        <v>2061</v>
      </c>
      <c r="G1620">
        <v>8</v>
      </c>
      <c r="H1620">
        <v>300</v>
      </c>
      <c r="I1620">
        <v>405</v>
      </c>
      <c r="J1620">
        <v>19.57</v>
      </c>
      <c r="K1620">
        <v>2606.08</v>
      </c>
      <c r="L1620">
        <v>206.08</v>
      </c>
      <c r="M1620">
        <v>63406.8</v>
      </c>
      <c r="N1620">
        <v>2400</v>
      </c>
      <c r="O1620">
        <v>7.9076620825147357</v>
      </c>
      <c r="P1620" t="s">
        <v>2084</v>
      </c>
      <c r="Q1620" t="s">
        <v>2091</v>
      </c>
    </row>
    <row r="1621" spans="1:17" x14ac:dyDescent="0.25">
      <c r="A1621" t="s">
        <v>1443</v>
      </c>
      <c r="B1621" s="18">
        <v>45950</v>
      </c>
      <c r="C1621" t="s">
        <v>2017</v>
      </c>
      <c r="D1621" t="s">
        <v>2037</v>
      </c>
      <c r="E1621" t="s">
        <v>2055</v>
      </c>
      <c r="F1621" t="s">
        <v>2059</v>
      </c>
      <c r="G1621">
        <v>6</v>
      </c>
      <c r="H1621">
        <v>2500</v>
      </c>
      <c r="I1621">
        <v>2875</v>
      </c>
      <c r="J1621">
        <v>1.85</v>
      </c>
      <c r="K1621">
        <v>16931.490000000002</v>
      </c>
      <c r="L1621">
        <v>1931.49</v>
      </c>
      <c r="M1621">
        <v>31912.5</v>
      </c>
      <c r="N1621">
        <v>15000</v>
      </c>
      <c r="O1621">
        <v>11.407678828029901</v>
      </c>
      <c r="P1621" t="s">
        <v>2084</v>
      </c>
      <c r="Q1621" t="s">
        <v>2092</v>
      </c>
    </row>
    <row r="1622" spans="1:17" x14ac:dyDescent="0.25">
      <c r="A1622" t="s">
        <v>632</v>
      </c>
      <c r="B1622" s="18">
        <v>45951</v>
      </c>
      <c r="C1622" t="s">
        <v>2027</v>
      </c>
      <c r="D1622" t="s">
        <v>2047</v>
      </c>
      <c r="E1622" t="s">
        <v>2053</v>
      </c>
      <c r="F1622" t="s">
        <v>2060</v>
      </c>
      <c r="G1622">
        <v>1</v>
      </c>
      <c r="H1622">
        <v>1100</v>
      </c>
      <c r="I1622">
        <v>1298</v>
      </c>
      <c r="J1622">
        <v>2.0099999999999998</v>
      </c>
      <c r="K1622">
        <v>1271.97</v>
      </c>
      <c r="L1622">
        <v>171.97</v>
      </c>
      <c r="M1622">
        <v>2608.9799999999996</v>
      </c>
      <c r="N1622">
        <v>1100</v>
      </c>
      <c r="O1622">
        <v>13.519972955336998</v>
      </c>
      <c r="P1622" t="s">
        <v>2084</v>
      </c>
      <c r="Q1622" t="s">
        <v>2092</v>
      </c>
    </row>
    <row r="1623" spans="1:17" x14ac:dyDescent="0.25">
      <c r="A1623" t="s">
        <v>788</v>
      </c>
      <c r="B1623" s="18">
        <v>45951</v>
      </c>
      <c r="C1623" t="s">
        <v>2017</v>
      </c>
      <c r="D1623" t="s">
        <v>2037</v>
      </c>
      <c r="E1623" t="s">
        <v>2055</v>
      </c>
      <c r="F1623" t="s">
        <v>2059</v>
      </c>
      <c r="G1623">
        <v>3</v>
      </c>
      <c r="H1623">
        <v>2500</v>
      </c>
      <c r="I1623">
        <v>2875</v>
      </c>
      <c r="J1623">
        <v>16.89</v>
      </c>
      <c r="K1623">
        <v>7168.27</v>
      </c>
      <c r="L1623">
        <v>-331.73</v>
      </c>
      <c r="M1623">
        <v>145676.25</v>
      </c>
      <c r="N1623">
        <v>7500</v>
      </c>
      <c r="O1623">
        <v>-4.6277553719377202</v>
      </c>
      <c r="P1623" t="s">
        <v>2084</v>
      </c>
      <c r="Q1623" t="s">
        <v>2093</v>
      </c>
    </row>
    <row r="1624" spans="1:17" x14ac:dyDescent="0.25">
      <c r="A1624" t="s">
        <v>1058</v>
      </c>
      <c r="B1624" s="18">
        <v>45951</v>
      </c>
      <c r="C1624" t="s">
        <v>2016</v>
      </c>
      <c r="D1624" t="s">
        <v>2036</v>
      </c>
      <c r="E1624" t="s">
        <v>2052</v>
      </c>
      <c r="F1624" t="s">
        <v>2059</v>
      </c>
      <c r="G1624">
        <v>8</v>
      </c>
      <c r="H1624">
        <v>900</v>
      </c>
      <c r="I1624">
        <v>1170</v>
      </c>
      <c r="J1624">
        <v>17.14</v>
      </c>
      <c r="K1624">
        <v>7755.73</v>
      </c>
      <c r="L1624">
        <v>555.73</v>
      </c>
      <c r="M1624">
        <v>160430.39999999999</v>
      </c>
      <c r="N1624">
        <v>7200</v>
      </c>
      <c r="O1624">
        <v>7.1654118954630972</v>
      </c>
      <c r="P1624" t="s">
        <v>2084</v>
      </c>
      <c r="Q1624" t="s">
        <v>2091</v>
      </c>
    </row>
    <row r="1625" spans="1:17" x14ac:dyDescent="0.25">
      <c r="A1625" t="s">
        <v>1100</v>
      </c>
      <c r="B1625" s="18">
        <v>45951</v>
      </c>
      <c r="C1625" t="s">
        <v>2029</v>
      </c>
      <c r="D1625" t="s">
        <v>2049</v>
      </c>
      <c r="E1625" t="s">
        <v>2055</v>
      </c>
      <c r="F1625" t="s">
        <v>2060</v>
      </c>
      <c r="G1625">
        <v>2</v>
      </c>
      <c r="H1625">
        <v>1200</v>
      </c>
      <c r="I1625">
        <v>1464</v>
      </c>
      <c r="J1625">
        <v>12.68</v>
      </c>
      <c r="K1625">
        <v>2556.7600000000002</v>
      </c>
      <c r="L1625">
        <v>156.76</v>
      </c>
      <c r="M1625">
        <v>37127.040000000001</v>
      </c>
      <c r="N1625">
        <v>2400</v>
      </c>
      <c r="O1625">
        <v>6.1311972965784811</v>
      </c>
      <c r="P1625" t="s">
        <v>2084</v>
      </c>
      <c r="Q1625" t="s">
        <v>2091</v>
      </c>
    </row>
    <row r="1626" spans="1:17" x14ac:dyDescent="0.25">
      <c r="A1626" t="s">
        <v>1248</v>
      </c>
      <c r="B1626" s="18">
        <v>45951</v>
      </c>
      <c r="C1626" t="s">
        <v>2016</v>
      </c>
      <c r="D1626" t="s">
        <v>2036</v>
      </c>
      <c r="E1626" t="s">
        <v>2052</v>
      </c>
      <c r="F1626" t="s">
        <v>2061</v>
      </c>
      <c r="G1626">
        <v>3</v>
      </c>
      <c r="H1626">
        <v>900</v>
      </c>
      <c r="I1626">
        <v>1170</v>
      </c>
      <c r="J1626">
        <v>15.05</v>
      </c>
      <c r="K1626">
        <v>2981.71</v>
      </c>
      <c r="L1626">
        <v>281.70999999999998</v>
      </c>
      <c r="M1626">
        <v>52825.5</v>
      </c>
      <c r="N1626">
        <v>2700</v>
      </c>
      <c r="O1626">
        <v>9.4479342390775756</v>
      </c>
      <c r="P1626" t="s">
        <v>2084</v>
      </c>
      <c r="Q1626" t="s">
        <v>2091</v>
      </c>
    </row>
    <row r="1627" spans="1:17" x14ac:dyDescent="0.25">
      <c r="A1627" t="s">
        <v>1394</v>
      </c>
      <c r="B1627" s="18">
        <v>45951</v>
      </c>
      <c r="C1627" t="s">
        <v>2017</v>
      </c>
      <c r="D1627" t="s">
        <v>2037</v>
      </c>
      <c r="E1627" t="s">
        <v>2055</v>
      </c>
      <c r="F1627" t="s">
        <v>2061</v>
      </c>
      <c r="G1627">
        <v>7</v>
      </c>
      <c r="H1627">
        <v>2500</v>
      </c>
      <c r="I1627">
        <v>2875</v>
      </c>
      <c r="J1627">
        <v>2.21</v>
      </c>
      <c r="K1627">
        <v>19681.080000000002</v>
      </c>
      <c r="L1627">
        <v>2181.08</v>
      </c>
      <c r="M1627">
        <v>44476.25</v>
      </c>
      <c r="N1627">
        <v>17500</v>
      </c>
      <c r="O1627">
        <v>11.08211541236558</v>
      </c>
      <c r="P1627" t="s">
        <v>2084</v>
      </c>
      <c r="Q1627" t="s">
        <v>2092</v>
      </c>
    </row>
    <row r="1628" spans="1:17" x14ac:dyDescent="0.25">
      <c r="A1628" t="s">
        <v>1630</v>
      </c>
      <c r="B1628" s="18">
        <v>45951</v>
      </c>
      <c r="C1628" t="s">
        <v>2029</v>
      </c>
      <c r="D1628" t="s">
        <v>2049</v>
      </c>
      <c r="E1628" t="s">
        <v>2055</v>
      </c>
      <c r="F1628" t="s">
        <v>2059</v>
      </c>
      <c r="G1628">
        <v>8</v>
      </c>
      <c r="H1628">
        <v>1200</v>
      </c>
      <c r="I1628">
        <v>1464</v>
      </c>
      <c r="J1628">
        <v>9.7899999999999991</v>
      </c>
      <c r="K1628">
        <v>10565.37</v>
      </c>
      <c r="L1628">
        <v>965.37</v>
      </c>
      <c r="M1628">
        <v>114660.48</v>
      </c>
      <c r="N1628">
        <v>9600</v>
      </c>
      <c r="O1628">
        <v>9.1371149330312136</v>
      </c>
      <c r="P1628" t="s">
        <v>2084</v>
      </c>
      <c r="Q1628" t="s">
        <v>2091</v>
      </c>
    </row>
    <row r="1629" spans="1:17" x14ac:dyDescent="0.25">
      <c r="A1629" t="s">
        <v>372</v>
      </c>
      <c r="B1629" s="18">
        <v>45952</v>
      </c>
      <c r="C1629" t="s">
        <v>2017</v>
      </c>
      <c r="D1629" t="s">
        <v>2037</v>
      </c>
      <c r="E1629" t="s">
        <v>2055</v>
      </c>
      <c r="F1629" t="s">
        <v>2060</v>
      </c>
      <c r="G1629">
        <v>5</v>
      </c>
      <c r="H1629">
        <v>2500</v>
      </c>
      <c r="I1629">
        <v>2875</v>
      </c>
      <c r="J1629">
        <v>5.46</v>
      </c>
      <c r="K1629">
        <v>13589.86</v>
      </c>
      <c r="L1629">
        <v>1089.8599999999999</v>
      </c>
      <c r="M1629">
        <v>78487.5</v>
      </c>
      <c r="N1629">
        <v>12500</v>
      </c>
      <c r="O1629">
        <v>8.0196558316274036</v>
      </c>
      <c r="P1629" t="s">
        <v>2084</v>
      </c>
      <c r="Q1629" t="s">
        <v>2091</v>
      </c>
    </row>
    <row r="1630" spans="1:17" x14ac:dyDescent="0.25">
      <c r="A1630" t="s">
        <v>526</v>
      </c>
      <c r="B1630" s="18">
        <v>45952</v>
      </c>
      <c r="C1630" t="s">
        <v>2020</v>
      </c>
      <c r="D1630" t="s">
        <v>2040</v>
      </c>
      <c r="E1630" t="s">
        <v>2053</v>
      </c>
      <c r="F1630" t="s">
        <v>2060</v>
      </c>
      <c r="G1630">
        <v>6</v>
      </c>
      <c r="H1630">
        <v>350</v>
      </c>
      <c r="I1630">
        <v>455</v>
      </c>
      <c r="J1630">
        <v>8.6</v>
      </c>
      <c r="K1630">
        <v>2495.16</v>
      </c>
      <c r="L1630">
        <v>395.16</v>
      </c>
      <c r="M1630">
        <v>23478</v>
      </c>
      <c r="N1630">
        <v>2100</v>
      </c>
      <c r="O1630">
        <v>15.837060549223297</v>
      </c>
      <c r="P1630" t="s">
        <v>2084</v>
      </c>
      <c r="Q1630" t="s">
        <v>2092</v>
      </c>
    </row>
    <row r="1631" spans="1:17" x14ac:dyDescent="0.25">
      <c r="A1631" t="s">
        <v>955</v>
      </c>
      <c r="B1631" s="18">
        <v>45952</v>
      </c>
      <c r="C1631" t="s">
        <v>2018</v>
      </c>
      <c r="D1631" t="s">
        <v>2038</v>
      </c>
      <c r="E1631" t="s">
        <v>2053</v>
      </c>
      <c r="F1631" t="s">
        <v>2062</v>
      </c>
      <c r="G1631">
        <v>10</v>
      </c>
      <c r="H1631">
        <v>500</v>
      </c>
      <c r="I1631">
        <v>610</v>
      </c>
      <c r="J1631">
        <v>10.42</v>
      </c>
      <c r="K1631">
        <v>5464.27</v>
      </c>
      <c r="L1631">
        <v>464.27</v>
      </c>
      <c r="M1631">
        <v>63562</v>
      </c>
      <c r="N1631">
        <v>5000</v>
      </c>
      <c r="O1631">
        <v>8.4964688787340279</v>
      </c>
      <c r="P1631" t="s">
        <v>2084</v>
      </c>
      <c r="Q1631" t="s">
        <v>2091</v>
      </c>
    </row>
    <row r="1632" spans="1:17" x14ac:dyDescent="0.25">
      <c r="A1632" t="s">
        <v>1334</v>
      </c>
      <c r="B1632" s="18">
        <v>45952</v>
      </c>
      <c r="C1632" t="s">
        <v>2025</v>
      </c>
      <c r="D1632" t="s">
        <v>2045</v>
      </c>
      <c r="E1632" t="s">
        <v>2057</v>
      </c>
      <c r="F1632" t="s">
        <v>2060</v>
      </c>
      <c r="G1632">
        <v>6</v>
      </c>
      <c r="H1632">
        <v>45</v>
      </c>
      <c r="I1632">
        <v>63</v>
      </c>
      <c r="J1632">
        <v>13</v>
      </c>
      <c r="K1632">
        <v>328.85</v>
      </c>
      <c r="L1632">
        <v>58.85</v>
      </c>
      <c r="M1632">
        <v>4914</v>
      </c>
      <c r="N1632">
        <v>270</v>
      </c>
      <c r="O1632">
        <v>17.8956971263494</v>
      </c>
      <c r="P1632" t="s">
        <v>2084</v>
      </c>
      <c r="Q1632" t="s">
        <v>2092</v>
      </c>
    </row>
    <row r="1633" spans="1:17" x14ac:dyDescent="0.25">
      <c r="A1633" t="s">
        <v>1343</v>
      </c>
      <c r="B1633" s="18">
        <v>45952</v>
      </c>
      <c r="C1633" t="s">
        <v>2014</v>
      </c>
      <c r="D1633" t="s">
        <v>2034</v>
      </c>
      <c r="E1633" t="s">
        <v>2052</v>
      </c>
      <c r="F1633" t="s">
        <v>2062</v>
      </c>
      <c r="G1633">
        <v>4</v>
      </c>
      <c r="H1633">
        <v>4500</v>
      </c>
      <c r="I1633">
        <v>5220</v>
      </c>
      <c r="J1633">
        <v>17.649999999999999</v>
      </c>
      <c r="K1633">
        <v>17194.07</v>
      </c>
      <c r="L1633">
        <v>-805.93</v>
      </c>
      <c r="M1633">
        <v>368531.99999999994</v>
      </c>
      <c r="N1633">
        <v>18000</v>
      </c>
      <c r="O1633">
        <v>-4.6872555479883466</v>
      </c>
      <c r="P1633" t="s">
        <v>2084</v>
      </c>
      <c r="Q1633" t="s">
        <v>2093</v>
      </c>
    </row>
    <row r="1634" spans="1:17" x14ac:dyDescent="0.25">
      <c r="A1634" t="s">
        <v>1043</v>
      </c>
      <c r="B1634" s="18">
        <v>45953</v>
      </c>
      <c r="C1634" t="s">
        <v>2016</v>
      </c>
      <c r="D1634" t="s">
        <v>2036</v>
      </c>
      <c r="E1634" t="s">
        <v>2052</v>
      </c>
      <c r="F1634" t="s">
        <v>2062</v>
      </c>
      <c r="G1634">
        <v>2</v>
      </c>
      <c r="H1634">
        <v>900</v>
      </c>
      <c r="I1634">
        <v>1170</v>
      </c>
      <c r="J1634">
        <v>19.25</v>
      </c>
      <c r="K1634">
        <v>1889.57</v>
      </c>
      <c r="L1634">
        <v>89.57</v>
      </c>
      <c r="M1634">
        <v>45045</v>
      </c>
      <c r="N1634">
        <v>1800</v>
      </c>
      <c r="O1634">
        <v>4.7402319046132186</v>
      </c>
      <c r="P1634" t="s">
        <v>2084</v>
      </c>
      <c r="Q1634" t="s">
        <v>2091</v>
      </c>
    </row>
    <row r="1635" spans="1:17" x14ac:dyDescent="0.25">
      <c r="A1635" t="s">
        <v>532</v>
      </c>
      <c r="B1635" s="18">
        <v>45954</v>
      </c>
      <c r="C1635" t="s">
        <v>2026</v>
      </c>
      <c r="D1635" t="s">
        <v>2046</v>
      </c>
      <c r="E1635" t="s">
        <v>2052</v>
      </c>
      <c r="F1635" t="s">
        <v>2062</v>
      </c>
      <c r="G1635">
        <v>1</v>
      </c>
      <c r="H1635">
        <v>3000</v>
      </c>
      <c r="I1635">
        <v>3600</v>
      </c>
      <c r="J1635">
        <v>22.63</v>
      </c>
      <c r="K1635">
        <v>2785.3</v>
      </c>
      <c r="L1635">
        <v>-214.7</v>
      </c>
      <c r="M1635">
        <v>81468</v>
      </c>
      <c r="N1635">
        <v>3000</v>
      </c>
      <c r="O1635">
        <v>-7.7083258535884811</v>
      </c>
      <c r="P1635" t="s">
        <v>2084</v>
      </c>
      <c r="Q1635" t="s">
        <v>2093</v>
      </c>
    </row>
    <row r="1636" spans="1:17" x14ac:dyDescent="0.25">
      <c r="A1636" t="s">
        <v>676</v>
      </c>
      <c r="B1636" s="18">
        <v>45954</v>
      </c>
      <c r="C1636" t="s">
        <v>2029</v>
      </c>
      <c r="D1636" t="s">
        <v>2049</v>
      </c>
      <c r="E1636" t="s">
        <v>2055</v>
      </c>
      <c r="F1636" t="s">
        <v>2060</v>
      </c>
      <c r="G1636">
        <v>9</v>
      </c>
      <c r="H1636">
        <v>1200</v>
      </c>
      <c r="I1636">
        <v>1464</v>
      </c>
      <c r="J1636">
        <v>14.23</v>
      </c>
      <c r="K1636">
        <v>11300.69</v>
      </c>
      <c r="L1636">
        <v>500.69</v>
      </c>
      <c r="M1636">
        <v>187494.48</v>
      </c>
      <c r="N1636">
        <v>10800</v>
      </c>
      <c r="O1636">
        <v>4.4306144138101295</v>
      </c>
      <c r="P1636" t="s">
        <v>2084</v>
      </c>
      <c r="Q1636" t="s">
        <v>2091</v>
      </c>
    </row>
    <row r="1637" spans="1:17" x14ac:dyDescent="0.25">
      <c r="A1637" t="s">
        <v>1262</v>
      </c>
      <c r="B1637" s="18">
        <v>45955</v>
      </c>
      <c r="C1637" t="s">
        <v>2020</v>
      </c>
      <c r="D1637" t="s">
        <v>2040</v>
      </c>
      <c r="E1637" t="s">
        <v>2053</v>
      </c>
      <c r="F1637" t="s">
        <v>2062</v>
      </c>
      <c r="G1637">
        <v>6</v>
      </c>
      <c r="H1637">
        <v>350</v>
      </c>
      <c r="I1637">
        <v>455</v>
      </c>
      <c r="J1637">
        <v>2.96</v>
      </c>
      <c r="K1637">
        <v>2649.28</v>
      </c>
      <c r="L1637">
        <v>549.28</v>
      </c>
      <c r="M1637">
        <v>8080.8</v>
      </c>
      <c r="N1637">
        <v>2100</v>
      </c>
      <c r="O1637">
        <v>20.733180335789346</v>
      </c>
      <c r="P1637" t="s">
        <v>2084</v>
      </c>
      <c r="Q1637" t="s">
        <v>2092</v>
      </c>
    </row>
    <row r="1638" spans="1:17" x14ac:dyDescent="0.25">
      <c r="A1638" t="s">
        <v>1444</v>
      </c>
      <c r="B1638" s="18">
        <v>45955</v>
      </c>
      <c r="C1638" t="s">
        <v>2012</v>
      </c>
      <c r="D1638" t="s">
        <v>2032</v>
      </c>
      <c r="E1638" t="s">
        <v>2052</v>
      </c>
      <c r="F1638" t="s">
        <v>2062</v>
      </c>
      <c r="G1638">
        <v>3</v>
      </c>
      <c r="H1638">
        <v>6500</v>
      </c>
      <c r="I1638">
        <v>8125</v>
      </c>
      <c r="J1638">
        <v>14.71</v>
      </c>
      <c r="K1638">
        <v>20788.55</v>
      </c>
      <c r="L1638">
        <v>1288.55</v>
      </c>
      <c r="M1638">
        <v>358556.25</v>
      </c>
      <c r="N1638">
        <v>19500</v>
      </c>
      <c r="O1638">
        <v>6.1983640032614105</v>
      </c>
      <c r="P1638" t="s">
        <v>2084</v>
      </c>
      <c r="Q1638" t="s">
        <v>2091</v>
      </c>
    </row>
    <row r="1639" spans="1:17" x14ac:dyDescent="0.25">
      <c r="A1639" t="s">
        <v>1682</v>
      </c>
      <c r="B1639" s="18">
        <v>45956</v>
      </c>
      <c r="C1639" t="s">
        <v>2027</v>
      </c>
      <c r="D1639" t="s">
        <v>2047</v>
      </c>
      <c r="E1639" t="s">
        <v>2053</v>
      </c>
      <c r="F1639" t="s">
        <v>2062</v>
      </c>
      <c r="G1639">
        <v>4</v>
      </c>
      <c r="H1639">
        <v>1100</v>
      </c>
      <c r="I1639">
        <v>1298</v>
      </c>
      <c r="J1639">
        <v>7.41</v>
      </c>
      <c r="K1639">
        <v>4807.21</v>
      </c>
      <c r="L1639">
        <v>407.21</v>
      </c>
      <c r="M1639">
        <v>38472.720000000001</v>
      </c>
      <c r="N1639">
        <v>4400</v>
      </c>
      <c r="O1639">
        <v>8.470817792440938</v>
      </c>
      <c r="P1639" t="s">
        <v>2084</v>
      </c>
      <c r="Q1639" t="s">
        <v>2091</v>
      </c>
    </row>
    <row r="1640" spans="1:17" x14ac:dyDescent="0.25">
      <c r="A1640" t="s">
        <v>16</v>
      </c>
      <c r="B1640" s="18">
        <v>45957</v>
      </c>
      <c r="C1640" t="s">
        <v>2016</v>
      </c>
      <c r="D1640" t="s">
        <v>2036</v>
      </c>
      <c r="E1640" t="s">
        <v>2052</v>
      </c>
      <c r="F1640" t="s">
        <v>2061</v>
      </c>
      <c r="G1640">
        <v>10</v>
      </c>
      <c r="H1640">
        <v>900</v>
      </c>
      <c r="I1640">
        <v>1170</v>
      </c>
      <c r="J1640">
        <v>5.75</v>
      </c>
      <c r="K1640">
        <v>11027.37</v>
      </c>
      <c r="L1640">
        <v>2027.37</v>
      </c>
      <c r="M1640">
        <v>67275</v>
      </c>
      <c r="N1640">
        <v>9000</v>
      </c>
      <c r="O1640">
        <v>18.384891411098021</v>
      </c>
      <c r="P1640" t="s">
        <v>2084</v>
      </c>
      <c r="Q1640" t="s">
        <v>2092</v>
      </c>
    </row>
    <row r="1641" spans="1:17" x14ac:dyDescent="0.25">
      <c r="A1641" t="s">
        <v>1162</v>
      </c>
      <c r="B1641" s="18">
        <v>45957</v>
      </c>
      <c r="C1641" t="s">
        <v>2024</v>
      </c>
      <c r="D1641" t="s">
        <v>2044</v>
      </c>
      <c r="E1641" t="s">
        <v>2055</v>
      </c>
      <c r="F1641" t="s">
        <v>2060</v>
      </c>
      <c r="G1641">
        <v>4</v>
      </c>
      <c r="H1641">
        <v>180</v>
      </c>
      <c r="I1641">
        <v>243</v>
      </c>
      <c r="J1641">
        <v>0</v>
      </c>
      <c r="K1641">
        <v>972</v>
      </c>
      <c r="L1641">
        <v>252</v>
      </c>
      <c r="M1641">
        <v>0</v>
      </c>
      <c r="N1641">
        <v>720</v>
      </c>
      <c r="O1641">
        <v>25.925925925925924</v>
      </c>
      <c r="P1641" t="s">
        <v>2084</v>
      </c>
      <c r="Q1641" t="s">
        <v>2092</v>
      </c>
    </row>
    <row r="1642" spans="1:17" x14ac:dyDescent="0.25">
      <c r="A1642" t="s">
        <v>481</v>
      </c>
      <c r="B1642" s="18">
        <v>45958</v>
      </c>
      <c r="C1642" t="s">
        <v>2031</v>
      </c>
      <c r="D1642" t="s">
        <v>2051</v>
      </c>
      <c r="E1642" t="s">
        <v>2058</v>
      </c>
      <c r="F1642" t="s">
        <v>2060</v>
      </c>
      <c r="G1642">
        <v>4</v>
      </c>
      <c r="H1642">
        <v>3200</v>
      </c>
      <c r="I1642">
        <v>3840</v>
      </c>
      <c r="J1642">
        <v>12.75</v>
      </c>
      <c r="K1642">
        <v>13401.91</v>
      </c>
      <c r="L1642">
        <v>601.91</v>
      </c>
      <c r="M1642">
        <v>195840</v>
      </c>
      <c r="N1642">
        <v>12800</v>
      </c>
      <c r="O1642">
        <v>4.491225504424369</v>
      </c>
      <c r="P1642" t="s">
        <v>2084</v>
      </c>
      <c r="Q1642" t="s">
        <v>2091</v>
      </c>
    </row>
    <row r="1643" spans="1:17" x14ac:dyDescent="0.25">
      <c r="A1643" t="s">
        <v>560</v>
      </c>
      <c r="B1643" s="18">
        <v>45958</v>
      </c>
      <c r="C1643" t="s">
        <v>2023</v>
      </c>
      <c r="D1643" t="s">
        <v>2043</v>
      </c>
      <c r="E1643" t="s">
        <v>2053</v>
      </c>
      <c r="F1643" t="s">
        <v>2059</v>
      </c>
      <c r="G1643">
        <v>7</v>
      </c>
      <c r="H1643">
        <v>550</v>
      </c>
      <c r="I1643">
        <v>742.5</v>
      </c>
      <c r="J1643">
        <v>4.0999999999999996</v>
      </c>
      <c r="K1643">
        <v>4984.38</v>
      </c>
      <c r="L1643">
        <v>1134.3800000000001</v>
      </c>
      <c r="M1643">
        <v>21309.749999999996</v>
      </c>
      <c r="N1643">
        <v>3850</v>
      </c>
      <c r="O1643">
        <v>22.758698173092743</v>
      </c>
      <c r="P1643" t="s">
        <v>2084</v>
      </c>
      <c r="Q1643" t="s">
        <v>2092</v>
      </c>
    </row>
    <row r="1644" spans="1:17" x14ac:dyDescent="0.25">
      <c r="A1644" t="s">
        <v>891</v>
      </c>
      <c r="B1644" s="18">
        <v>45958</v>
      </c>
      <c r="C1644" t="s">
        <v>2031</v>
      </c>
      <c r="D1644" t="s">
        <v>2051</v>
      </c>
      <c r="E1644" t="s">
        <v>2058</v>
      </c>
      <c r="F1644" t="s">
        <v>2061</v>
      </c>
      <c r="G1644">
        <v>6</v>
      </c>
      <c r="H1644">
        <v>3200</v>
      </c>
      <c r="I1644">
        <v>3840</v>
      </c>
      <c r="J1644">
        <v>12.95</v>
      </c>
      <c r="K1644">
        <v>20057.419999999998</v>
      </c>
      <c r="L1644">
        <v>857.42</v>
      </c>
      <c r="M1644">
        <v>298368</v>
      </c>
      <c r="N1644">
        <v>19200</v>
      </c>
      <c r="O1644">
        <v>4.2748269717640657</v>
      </c>
      <c r="P1644" t="s">
        <v>2084</v>
      </c>
      <c r="Q1644" t="s">
        <v>2091</v>
      </c>
    </row>
    <row r="1645" spans="1:17" x14ac:dyDescent="0.25">
      <c r="A1645" t="s">
        <v>993</v>
      </c>
      <c r="B1645" s="18">
        <v>45958</v>
      </c>
      <c r="C1645" t="s">
        <v>2030</v>
      </c>
      <c r="D1645" t="s">
        <v>2050</v>
      </c>
      <c r="E1645" t="s">
        <v>2058</v>
      </c>
      <c r="F1645" t="s">
        <v>2062</v>
      </c>
      <c r="G1645">
        <v>2</v>
      </c>
      <c r="H1645">
        <v>1800</v>
      </c>
      <c r="I1645">
        <v>2124</v>
      </c>
      <c r="J1645">
        <v>4</v>
      </c>
      <c r="K1645">
        <v>4078.08</v>
      </c>
      <c r="L1645">
        <v>478.08</v>
      </c>
      <c r="M1645">
        <v>16992</v>
      </c>
      <c r="N1645">
        <v>3600</v>
      </c>
      <c r="O1645">
        <v>11.72316384180791</v>
      </c>
      <c r="P1645" t="s">
        <v>2084</v>
      </c>
      <c r="Q1645" t="s">
        <v>2092</v>
      </c>
    </row>
    <row r="1646" spans="1:17" x14ac:dyDescent="0.25">
      <c r="A1646" t="s">
        <v>1050</v>
      </c>
      <c r="B1646" s="18">
        <v>45958</v>
      </c>
      <c r="C1646" t="s">
        <v>2029</v>
      </c>
      <c r="D1646" t="s">
        <v>2049</v>
      </c>
      <c r="E1646" t="s">
        <v>2055</v>
      </c>
      <c r="F1646" t="s">
        <v>2062</v>
      </c>
      <c r="G1646">
        <v>6</v>
      </c>
      <c r="H1646">
        <v>1200</v>
      </c>
      <c r="I1646">
        <v>1464</v>
      </c>
      <c r="J1646">
        <v>0</v>
      </c>
      <c r="K1646">
        <v>8784</v>
      </c>
      <c r="L1646">
        <v>1584</v>
      </c>
      <c r="M1646">
        <v>0</v>
      </c>
      <c r="N1646">
        <v>7200</v>
      </c>
      <c r="O1646">
        <v>18.032786885245901</v>
      </c>
      <c r="P1646" t="s">
        <v>2084</v>
      </c>
      <c r="Q1646" t="s">
        <v>2092</v>
      </c>
    </row>
    <row r="1647" spans="1:17" x14ac:dyDescent="0.25">
      <c r="A1647" t="s">
        <v>1595</v>
      </c>
      <c r="B1647" s="18">
        <v>45958</v>
      </c>
      <c r="C1647" t="s">
        <v>2022</v>
      </c>
      <c r="D1647" t="s">
        <v>2042</v>
      </c>
      <c r="E1647" t="s">
        <v>2053</v>
      </c>
      <c r="F1647" t="s">
        <v>2061</v>
      </c>
      <c r="G1647">
        <v>5</v>
      </c>
      <c r="H1647">
        <v>8500</v>
      </c>
      <c r="I1647">
        <v>9520</v>
      </c>
      <c r="J1647">
        <v>18.52</v>
      </c>
      <c r="K1647">
        <v>38784.76</v>
      </c>
      <c r="L1647">
        <v>-3715.24</v>
      </c>
      <c r="M1647">
        <v>881552</v>
      </c>
      <c r="N1647">
        <v>42500</v>
      </c>
      <c r="O1647">
        <v>-9.5791233463865701</v>
      </c>
      <c r="P1647" t="s">
        <v>2084</v>
      </c>
      <c r="Q1647" t="s">
        <v>2093</v>
      </c>
    </row>
    <row r="1648" spans="1:17" x14ac:dyDescent="0.25">
      <c r="A1648" t="s">
        <v>336</v>
      </c>
      <c r="B1648" s="18">
        <v>45959</v>
      </c>
      <c r="C1648" t="s">
        <v>2023</v>
      </c>
      <c r="D1648" t="s">
        <v>2043</v>
      </c>
      <c r="E1648" t="s">
        <v>2053</v>
      </c>
      <c r="F1648" t="s">
        <v>2059</v>
      </c>
      <c r="G1648">
        <v>8</v>
      </c>
      <c r="H1648">
        <v>550</v>
      </c>
      <c r="I1648">
        <v>742.5</v>
      </c>
      <c r="J1648">
        <v>0</v>
      </c>
      <c r="K1648">
        <v>5940</v>
      </c>
      <c r="L1648">
        <v>1540</v>
      </c>
      <c r="M1648">
        <v>0</v>
      </c>
      <c r="N1648">
        <v>4400</v>
      </c>
      <c r="O1648">
        <v>25.925925925925924</v>
      </c>
      <c r="P1648" t="s">
        <v>2084</v>
      </c>
      <c r="Q1648" t="s">
        <v>2092</v>
      </c>
    </row>
    <row r="1649" spans="1:17" x14ac:dyDescent="0.25">
      <c r="A1649" t="s">
        <v>393</v>
      </c>
      <c r="B1649" s="18">
        <v>45959</v>
      </c>
      <c r="C1649" t="s">
        <v>2027</v>
      </c>
      <c r="D1649" t="s">
        <v>2047</v>
      </c>
      <c r="E1649" t="s">
        <v>2053</v>
      </c>
      <c r="F1649" t="s">
        <v>2059</v>
      </c>
      <c r="G1649">
        <v>9</v>
      </c>
      <c r="H1649">
        <v>1100</v>
      </c>
      <c r="I1649">
        <v>1298</v>
      </c>
      <c r="J1649">
        <v>11.16</v>
      </c>
      <c r="K1649">
        <v>10377.86</v>
      </c>
      <c r="L1649">
        <v>477.86</v>
      </c>
      <c r="M1649">
        <v>130371.12</v>
      </c>
      <c r="N1649">
        <v>9900</v>
      </c>
      <c r="O1649">
        <v>4.6046101990198363</v>
      </c>
      <c r="P1649" t="s">
        <v>2084</v>
      </c>
      <c r="Q1649" t="s">
        <v>2091</v>
      </c>
    </row>
    <row r="1650" spans="1:17" x14ac:dyDescent="0.25">
      <c r="A1650" t="s">
        <v>512</v>
      </c>
      <c r="B1650" s="18">
        <v>45959</v>
      </c>
      <c r="C1650" t="s">
        <v>2014</v>
      </c>
      <c r="D1650" t="s">
        <v>2034</v>
      </c>
      <c r="E1650" t="s">
        <v>2052</v>
      </c>
      <c r="F1650" t="s">
        <v>2062</v>
      </c>
      <c r="G1650">
        <v>7</v>
      </c>
      <c r="H1650">
        <v>4500</v>
      </c>
      <c r="I1650">
        <v>5220</v>
      </c>
      <c r="J1650">
        <v>13.5</v>
      </c>
      <c r="K1650">
        <v>31607.01</v>
      </c>
      <c r="L1650">
        <v>107.01</v>
      </c>
      <c r="M1650">
        <v>493290</v>
      </c>
      <c r="N1650">
        <v>31500</v>
      </c>
      <c r="O1650">
        <v>0.33856413498144877</v>
      </c>
      <c r="P1650" t="s">
        <v>2084</v>
      </c>
      <c r="Q1650" t="s">
        <v>2091</v>
      </c>
    </row>
    <row r="1651" spans="1:17" x14ac:dyDescent="0.25">
      <c r="A1651" t="s">
        <v>709</v>
      </c>
      <c r="B1651" s="18">
        <v>45959</v>
      </c>
      <c r="C1651" t="s">
        <v>2026</v>
      </c>
      <c r="D1651" t="s">
        <v>2046</v>
      </c>
      <c r="E1651" t="s">
        <v>2052</v>
      </c>
      <c r="F1651" t="s">
        <v>2060</v>
      </c>
      <c r="G1651">
        <v>7</v>
      </c>
      <c r="H1651">
        <v>3000</v>
      </c>
      <c r="I1651">
        <v>3600</v>
      </c>
      <c r="J1651">
        <v>17.36</v>
      </c>
      <c r="K1651">
        <v>20825.189999999999</v>
      </c>
      <c r="L1651">
        <v>-174.81</v>
      </c>
      <c r="M1651">
        <v>437472</v>
      </c>
      <c r="N1651">
        <v>21000</v>
      </c>
      <c r="O1651">
        <v>-0.83941611096945579</v>
      </c>
      <c r="P1651" t="s">
        <v>2084</v>
      </c>
      <c r="Q1651" t="s">
        <v>2093</v>
      </c>
    </row>
    <row r="1652" spans="1:17" x14ac:dyDescent="0.25">
      <c r="A1652" t="s">
        <v>795</v>
      </c>
      <c r="B1652" s="18">
        <v>45959</v>
      </c>
      <c r="C1652" t="s">
        <v>2031</v>
      </c>
      <c r="D1652" t="s">
        <v>2051</v>
      </c>
      <c r="E1652" t="s">
        <v>2058</v>
      </c>
      <c r="F1652" t="s">
        <v>2059</v>
      </c>
      <c r="G1652">
        <v>8</v>
      </c>
      <c r="H1652">
        <v>3200</v>
      </c>
      <c r="I1652">
        <v>3840</v>
      </c>
      <c r="J1652">
        <v>15.23</v>
      </c>
      <c r="K1652">
        <v>26041.55</v>
      </c>
      <c r="L1652">
        <v>441.55</v>
      </c>
      <c r="M1652">
        <v>467865.60000000003</v>
      </c>
      <c r="N1652">
        <v>25600</v>
      </c>
      <c r="O1652">
        <v>1.6955595961069907</v>
      </c>
      <c r="P1652" t="s">
        <v>2084</v>
      </c>
      <c r="Q1652" t="s">
        <v>2091</v>
      </c>
    </row>
    <row r="1653" spans="1:17" x14ac:dyDescent="0.25">
      <c r="A1653" t="s">
        <v>949</v>
      </c>
      <c r="B1653" s="18">
        <v>45959</v>
      </c>
      <c r="C1653" t="s">
        <v>2021</v>
      </c>
      <c r="D1653" t="s">
        <v>2041</v>
      </c>
      <c r="E1653" t="s">
        <v>2056</v>
      </c>
      <c r="F1653" t="s">
        <v>2060</v>
      </c>
      <c r="G1653">
        <v>6</v>
      </c>
      <c r="H1653">
        <v>300</v>
      </c>
      <c r="I1653">
        <v>405</v>
      </c>
      <c r="J1653">
        <v>2.5499999999999998</v>
      </c>
      <c r="K1653">
        <v>2368.15</v>
      </c>
      <c r="L1653">
        <v>568.15</v>
      </c>
      <c r="M1653">
        <v>6196.5</v>
      </c>
      <c r="N1653">
        <v>1800</v>
      </c>
      <c r="O1653">
        <v>23.991301226695942</v>
      </c>
      <c r="P1653" t="s">
        <v>2084</v>
      </c>
      <c r="Q1653" t="s">
        <v>2092</v>
      </c>
    </row>
    <row r="1654" spans="1:17" x14ac:dyDescent="0.25">
      <c r="A1654" t="s">
        <v>1636</v>
      </c>
      <c r="B1654" s="18">
        <v>45959</v>
      </c>
      <c r="C1654" t="s">
        <v>2019</v>
      </c>
      <c r="D1654" t="s">
        <v>2039</v>
      </c>
      <c r="E1654" t="s">
        <v>2053</v>
      </c>
      <c r="F1654" t="s">
        <v>2062</v>
      </c>
      <c r="G1654">
        <v>7</v>
      </c>
      <c r="H1654">
        <v>900</v>
      </c>
      <c r="I1654">
        <v>1152</v>
      </c>
      <c r="J1654">
        <v>8.98</v>
      </c>
      <c r="K1654">
        <v>7339.58</v>
      </c>
      <c r="L1654">
        <v>1039.58</v>
      </c>
      <c r="M1654">
        <v>72414.720000000001</v>
      </c>
      <c r="N1654">
        <v>6300</v>
      </c>
      <c r="O1654">
        <v>14.16402573444257</v>
      </c>
      <c r="P1654" t="s">
        <v>2084</v>
      </c>
      <c r="Q1654" t="s">
        <v>2092</v>
      </c>
    </row>
    <row r="1655" spans="1:17" x14ac:dyDescent="0.25">
      <c r="A1655" t="s">
        <v>20</v>
      </c>
      <c r="B1655" s="18">
        <v>45960</v>
      </c>
      <c r="C1655" t="s">
        <v>2015</v>
      </c>
      <c r="D1655" t="s">
        <v>2035</v>
      </c>
      <c r="E1655" t="s">
        <v>2054</v>
      </c>
      <c r="F1655" t="s">
        <v>2060</v>
      </c>
      <c r="G1655">
        <v>2</v>
      </c>
      <c r="H1655">
        <v>900</v>
      </c>
      <c r="I1655">
        <v>1170</v>
      </c>
      <c r="J1655">
        <v>0</v>
      </c>
      <c r="K1655">
        <v>2340</v>
      </c>
      <c r="L1655">
        <v>540</v>
      </c>
      <c r="M1655">
        <v>0</v>
      </c>
      <c r="N1655">
        <v>1800</v>
      </c>
      <c r="O1655">
        <v>23.076923076923077</v>
      </c>
      <c r="P1655" t="s">
        <v>2084</v>
      </c>
      <c r="Q1655" t="s">
        <v>2092</v>
      </c>
    </row>
    <row r="1656" spans="1:17" x14ac:dyDescent="0.25">
      <c r="A1656" t="s">
        <v>478</v>
      </c>
      <c r="B1656" s="18">
        <v>45960</v>
      </c>
      <c r="C1656" t="s">
        <v>2024</v>
      </c>
      <c r="D1656" t="s">
        <v>2044</v>
      </c>
      <c r="E1656" t="s">
        <v>2055</v>
      </c>
      <c r="F1656" t="s">
        <v>2060</v>
      </c>
      <c r="G1656">
        <v>10</v>
      </c>
      <c r="H1656">
        <v>180</v>
      </c>
      <c r="I1656">
        <v>243</v>
      </c>
      <c r="J1656">
        <v>15.56</v>
      </c>
      <c r="K1656">
        <v>2051.81</v>
      </c>
      <c r="L1656">
        <v>251.81</v>
      </c>
      <c r="M1656">
        <v>37810.800000000003</v>
      </c>
      <c r="N1656">
        <v>1800</v>
      </c>
      <c r="O1656">
        <v>12.272578845019764</v>
      </c>
      <c r="P1656" t="s">
        <v>2084</v>
      </c>
      <c r="Q1656" t="s">
        <v>2092</v>
      </c>
    </row>
    <row r="1657" spans="1:17" x14ac:dyDescent="0.25">
      <c r="A1657" t="s">
        <v>787</v>
      </c>
      <c r="B1657" s="18">
        <v>45960</v>
      </c>
      <c r="C1657" t="s">
        <v>2021</v>
      </c>
      <c r="D1657" t="s">
        <v>2041</v>
      </c>
      <c r="E1657" t="s">
        <v>2056</v>
      </c>
      <c r="F1657" t="s">
        <v>2059</v>
      </c>
      <c r="G1657">
        <v>5</v>
      </c>
      <c r="H1657">
        <v>300</v>
      </c>
      <c r="I1657">
        <v>405</v>
      </c>
      <c r="J1657">
        <v>14.65</v>
      </c>
      <c r="K1657">
        <v>1728.27</v>
      </c>
      <c r="L1657">
        <v>228.27</v>
      </c>
      <c r="M1657">
        <v>29666.25</v>
      </c>
      <c r="N1657">
        <v>1500</v>
      </c>
      <c r="O1657">
        <v>13.208005693554828</v>
      </c>
      <c r="P1657" t="s">
        <v>2084</v>
      </c>
      <c r="Q1657" t="s">
        <v>2092</v>
      </c>
    </row>
    <row r="1658" spans="1:17" x14ac:dyDescent="0.25">
      <c r="A1658" t="s">
        <v>1275</v>
      </c>
      <c r="B1658" s="18">
        <v>45960</v>
      </c>
      <c r="C1658" t="s">
        <v>2026</v>
      </c>
      <c r="D1658" t="s">
        <v>2046</v>
      </c>
      <c r="E1658" t="s">
        <v>2052</v>
      </c>
      <c r="F1658" t="s">
        <v>2062</v>
      </c>
      <c r="G1658">
        <v>9</v>
      </c>
      <c r="H1658">
        <v>3000</v>
      </c>
      <c r="I1658">
        <v>3600</v>
      </c>
      <c r="J1658">
        <v>5.56</v>
      </c>
      <c r="K1658">
        <v>30600.12</v>
      </c>
      <c r="L1658">
        <v>3600.12</v>
      </c>
      <c r="M1658">
        <v>180144</v>
      </c>
      <c r="N1658">
        <v>27000</v>
      </c>
      <c r="O1658">
        <v>11.765051901757248</v>
      </c>
      <c r="P1658" t="s">
        <v>2084</v>
      </c>
      <c r="Q1658" t="s">
        <v>2092</v>
      </c>
    </row>
    <row r="1659" spans="1:17" x14ac:dyDescent="0.25">
      <c r="A1659" t="s">
        <v>1451</v>
      </c>
      <c r="B1659" s="18">
        <v>45960</v>
      </c>
      <c r="C1659" t="s">
        <v>2013</v>
      </c>
      <c r="D1659" t="s">
        <v>2033</v>
      </c>
      <c r="E1659" t="s">
        <v>2053</v>
      </c>
      <c r="F1659" t="s">
        <v>2061</v>
      </c>
      <c r="G1659">
        <v>6</v>
      </c>
      <c r="H1659">
        <v>6500</v>
      </c>
      <c r="I1659">
        <v>7150</v>
      </c>
      <c r="J1659">
        <v>4.8600000000000003</v>
      </c>
      <c r="K1659">
        <v>40813.54</v>
      </c>
      <c r="L1659">
        <v>1813.54</v>
      </c>
      <c r="M1659">
        <v>208494</v>
      </c>
      <c r="N1659">
        <v>39000</v>
      </c>
      <c r="O1659">
        <v>4.4434763561308328</v>
      </c>
      <c r="P1659" t="s">
        <v>2084</v>
      </c>
      <c r="Q1659" t="s">
        <v>2091</v>
      </c>
    </row>
    <row r="1660" spans="1:17" x14ac:dyDescent="0.25">
      <c r="A1660" t="s">
        <v>1498</v>
      </c>
      <c r="B1660" s="18">
        <v>45960</v>
      </c>
      <c r="C1660" t="s">
        <v>2026</v>
      </c>
      <c r="D1660" t="s">
        <v>2046</v>
      </c>
      <c r="E1660" t="s">
        <v>2052</v>
      </c>
      <c r="F1660" t="s">
        <v>2060</v>
      </c>
      <c r="G1660">
        <v>7</v>
      </c>
      <c r="H1660">
        <v>3000</v>
      </c>
      <c r="I1660">
        <v>3600</v>
      </c>
      <c r="J1660">
        <v>5.0199999999999996</v>
      </c>
      <c r="K1660">
        <v>23936.09</v>
      </c>
      <c r="L1660">
        <v>2936.09</v>
      </c>
      <c r="M1660">
        <v>126503.99999999999</v>
      </c>
      <c r="N1660">
        <v>21000</v>
      </c>
      <c r="O1660">
        <v>12.266372661533275</v>
      </c>
      <c r="P1660" t="s">
        <v>2084</v>
      </c>
      <c r="Q1660" t="s">
        <v>2092</v>
      </c>
    </row>
    <row r="1661" spans="1:17" x14ac:dyDescent="0.25">
      <c r="A1661" t="s">
        <v>1785</v>
      </c>
      <c r="B1661" s="18">
        <v>45960</v>
      </c>
      <c r="C1661" t="s">
        <v>2016</v>
      </c>
      <c r="D1661" t="s">
        <v>2036</v>
      </c>
      <c r="E1661" t="s">
        <v>2052</v>
      </c>
      <c r="F1661" t="s">
        <v>2062</v>
      </c>
      <c r="G1661">
        <v>7</v>
      </c>
      <c r="H1661">
        <v>900</v>
      </c>
      <c r="I1661">
        <v>1170</v>
      </c>
      <c r="J1661">
        <v>8.06</v>
      </c>
      <c r="K1661">
        <v>7529.53</v>
      </c>
      <c r="L1661">
        <v>1229.53</v>
      </c>
      <c r="M1661">
        <v>66011.400000000009</v>
      </c>
      <c r="N1661">
        <v>6300</v>
      </c>
      <c r="O1661">
        <v>16.329438889279942</v>
      </c>
      <c r="P1661" t="s">
        <v>2084</v>
      </c>
      <c r="Q1661" t="s">
        <v>2092</v>
      </c>
    </row>
    <row r="1662" spans="1:17" x14ac:dyDescent="0.25">
      <c r="A1662" t="s">
        <v>1843</v>
      </c>
      <c r="B1662" s="18">
        <v>45960</v>
      </c>
      <c r="C1662" t="s">
        <v>2019</v>
      </c>
      <c r="D1662" t="s">
        <v>2039</v>
      </c>
      <c r="E1662" t="s">
        <v>2053</v>
      </c>
      <c r="F1662" t="s">
        <v>2061</v>
      </c>
      <c r="G1662">
        <v>4</v>
      </c>
      <c r="H1662">
        <v>900</v>
      </c>
      <c r="I1662">
        <v>1152</v>
      </c>
      <c r="J1662">
        <v>2.75</v>
      </c>
      <c r="K1662">
        <v>4481.4799999999996</v>
      </c>
      <c r="L1662">
        <v>881.48</v>
      </c>
      <c r="M1662">
        <v>12672</v>
      </c>
      <c r="N1662">
        <v>3600</v>
      </c>
      <c r="O1662">
        <v>19.669394932031384</v>
      </c>
      <c r="P1662" t="s">
        <v>2084</v>
      </c>
      <c r="Q1662" t="s">
        <v>2092</v>
      </c>
    </row>
    <row r="1663" spans="1:17" x14ac:dyDescent="0.25">
      <c r="A1663" t="s">
        <v>881</v>
      </c>
      <c r="B1663" s="18">
        <v>45961</v>
      </c>
      <c r="C1663" t="s">
        <v>2015</v>
      </c>
      <c r="D1663" t="s">
        <v>2035</v>
      </c>
      <c r="E1663" t="s">
        <v>2054</v>
      </c>
      <c r="F1663" t="s">
        <v>2059</v>
      </c>
      <c r="G1663">
        <v>10</v>
      </c>
      <c r="H1663">
        <v>900</v>
      </c>
      <c r="I1663">
        <v>1170</v>
      </c>
      <c r="J1663">
        <v>0</v>
      </c>
      <c r="K1663">
        <v>11700</v>
      </c>
      <c r="L1663">
        <v>2700</v>
      </c>
      <c r="M1663">
        <v>0</v>
      </c>
      <c r="N1663">
        <v>9000</v>
      </c>
      <c r="O1663">
        <v>23.076923076923077</v>
      </c>
      <c r="P1663" t="s">
        <v>2084</v>
      </c>
      <c r="Q1663" t="s">
        <v>2092</v>
      </c>
    </row>
    <row r="1664" spans="1:17" x14ac:dyDescent="0.25">
      <c r="A1664" t="s">
        <v>1212</v>
      </c>
      <c r="B1664" s="18">
        <v>45961</v>
      </c>
      <c r="C1664" t="s">
        <v>2020</v>
      </c>
      <c r="D1664" t="s">
        <v>2040</v>
      </c>
      <c r="E1664" t="s">
        <v>2053</v>
      </c>
      <c r="F1664" t="s">
        <v>2060</v>
      </c>
      <c r="G1664">
        <v>7</v>
      </c>
      <c r="H1664">
        <v>350</v>
      </c>
      <c r="I1664">
        <v>455</v>
      </c>
      <c r="J1664">
        <v>18.850000000000001</v>
      </c>
      <c r="K1664">
        <v>2584.59</v>
      </c>
      <c r="L1664">
        <v>134.59</v>
      </c>
      <c r="M1664">
        <v>60037.250000000007</v>
      </c>
      <c r="N1664">
        <v>2450</v>
      </c>
      <c r="O1664">
        <v>5.2074023346062619</v>
      </c>
      <c r="P1664" t="s">
        <v>2084</v>
      </c>
      <c r="Q1664" t="s">
        <v>2091</v>
      </c>
    </row>
    <row r="1665" spans="1:17" x14ac:dyDescent="0.25">
      <c r="A1665" t="s">
        <v>1446</v>
      </c>
      <c r="B1665" s="18">
        <v>45961</v>
      </c>
      <c r="C1665" t="s">
        <v>2028</v>
      </c>
      <c r="D1665" t="s">
        <v>2048</v>
      </c>
      <c r="E1665" t="s">
        <v>2057</v>
      </c>
      <c r="F1665" t="s">
        <v>2059</v>
      </c>
      <c r="G1665">
        <v>5</v>
      </c>
      <c r="H1665">
        <v>80</v>
      </c>
      <c r="I1665">
        <v>116</v>
      </c>
      <c r="J1665">
        <v>10.63</v>
      </c>
      <c r="K1665">
        <v>518.33000000000004</v>
      </c>
      <c r="L1665">
        <v>118.33</v>
      </c>
      <c r="M1665">
        <v>6165.4000000000005</v>
      </c>
      <c r="N1665">
        <v>400</v>
      </c>
      <c r="O1665">
        <v>22.829085717593038</v>
      </c>
      <c r="P1665" t="s">
        <v>2084</v>
      </c>
      <c r="Q1665" t="s">
        <v>2092</v>
      </c>
    </row>
    <row r="1666" spans="1:17" x14ac:dyDescent="0.25">
      <c r="A1666" t="s">
        <v>454</v>
      </c>
      <c r="B1666" s="18">
        <v>45962</v>
      </c>
      <c r="C1666" t="s">
        <v>2018</v>
      </c>
      <c r="D1666" t="s">
        <v>2038</v>
      </c>
      <c r="E1666" t="s">
        <v>2053</v>
      </c>
      <c r="F1666" t="s">
        <v>2059</v>
      </c>
      <c r="G1666">
        <v>4</v>
      </c>
      <c r="H1666">
        <v>500</v>
      </c>
      <c r="I1666">
        <v>610</v>
      </c>
      <c r="J1666">
        <v>20.21</v>
      </c>
      <c r="K1666">
        <v>1946.94</v>
      </c>
      <c r="L1666">
        <v>-53.06</v>
      </c>
      <c r="M1666">
        <v>49312.4</v>
      </c>
      <c r="N1666">
        <v>2000</v>
      </c>
      <c r="O1666">
        <v>-2.7253022692019271</v>
      </c>
      <c r="P1666" t="s">
        <v>2085</v>
      </c>
      <c r="Q1666" t="s">
        <v>2093</v>
      </c>
    </row>
    <row r="1667" spans="1:17" x14ac:dyDescent="0.25">
      <c r="A1667" t="s">
        <v>591</v>
      </c>
      <c r="B1667" s="18">
        <v>45962</v>
      </c>
      <c r="C1667" t="s">
        <v>2018</v>
      </c>
      <c r="D1667" t="s">
        <v>2038</v>
      </c>
      <c r="E1667" t="s">
        <v>2053</v>
      </c>
      <c r="F1667" t="s">
        <v>2061</v>
      </c>
      <c r="G1667">
        <v>6</v>
      </c>
      <c r="H1667">
        <v>500</v>
      </c>
      <c r="I1667">
        <v>610</v>
      </c>
      <c r="J1667">
        <v>12.64</v>
      </c>
      <c r="K1667">
        <v>3197.44</v>
      </c>
      <c r="L1667">
        <v>197.44</v>
      </c>
      <c r="M1667">
        <v>46262.400000000001</v>
      </c>
      <c r="N1667">
        <v>3000</v>
      </c>
      <c r="O1667">
        <v>6.1749399519615693</v>
      </c>
      <c r="P1667" t="s">
        <v>2085</v>
      </c>
      <c r="Q1667" t="s">
        <v>2091</v>
      </c>
    </row>
    <row r="1668" spans="1:17" x14ac:dyDescent="0.25">
      <c r="A1668" t="s">
        <v>967</v>
      </c>
      <c r="B1668" s="18">
        <v>45962</v>
      </c>
      <c r="C1668" t="s">
        <v>2015</v>
      </c>
      <c r="D1668" t="s">
        <v>2035</v>
      </c>
      <c r="E1668" t="s">
        <v>2054</v>
      </c>
      <c r="F1668" t="s">
        <v>2062</v>
      </c>
      <c r="G1668">
        <v>10</v>
      </c>
      <c r="H1668">
        <v>900</v>
      </c>
      <c r="I1668">
        <v>1170</v>
      </c>
      <c r="J1668">
        <v>6.37</v>
      </c>
      <c r="K1668">
        <v>10954.69</v>
      </c>
      <c r="L1668">
        <v>1954.69</v>
      </c>
      <c r="M1668">
        <v>74529</v>
      </c>
      <c r="N1668">
        <v>9000</v>
      </c>
      <c r="O1668">
        <v>17.84340770939205</v>
      </c>
      <c r="P1668" t="s">
        <v>2085</v>
      </c>
      <c r="Q1668" t="s">
        <v>2092</v>
      </c>
    </row>
    <row r="1669" spans="1:17" x14ac:dyDescent="0.25">
      <c r="A1669" t="s">
        <v>1099</v>
      </c>
      <c r="B1669" s="18">
        <v>45962</v>
      </c>
      <c r="C1669" t="s">
        <v>2018</v>
      </c>
      <c r="D1669" t="s">
        <v>2038</v>
      </c>
      <c r="E1669" t="s">
        <v>2053</v>
      </c>
      <c r="F1669" t="s">
        <v>2061</v>
      </c>
      <c r="G1669">
        <v>9</v>
      </c>
      <c r="H1669">
        <v>500</v>
      </c>
      <c r="I1669">
        <v>610</v>
      </c>
      <c r="J1669">
        <v>26.74</v>
      </c>
      <c r="K1669">
        <v>4021.93</v>
      </c>
      <c r="L1669">
        <v>-478.07</v>
      </c>
      <c r="M1669">
        <v>146802.6</v>
      </c>
      <c r="N1669">
        <v>4500</v>
      </c>
      <c r="O1669">
        <v>-11.886581815198175</v>
      </c>
      <c r="P1669" t="s">
        <v>2085</v>
      </c>
      <c r="Q1669" t="s">
        <v>2093</v>
      </c>
    </row>
    <row r="1670" spans="1:17" x14ac:dyDescent="0.25">
      <c r="A1670" t="s">
        <v>1149</v>
      </c>
      <c r="B1670" s="18">
        <v>45962</v>
      </c>
      <c r="C1670" t="s">
        <v>2024</v>
      </c>
      <c r="D1670" t="s">
        <v>2044</v>
      </c>
      <c r="E1670" t="s">
        <v>2055</v>
      </c>
      <c r="F1670" t="s">
        <v>2060</v>
      </c>
      <c r="G1670">
        <v>8</v>
      </c>
      <c r="H1670">
        <v>180</v>
      </c>
      <c r="I1670">
        <v>243</v>
      </c>
      <c r="J1670">
        <v>10.72</v>
      </c>
      <c r="K1670">
        <v>1735.55</v>
      </c>
      <c r="L1670">
        <v>295.55</v>
      </c>
      <c r="M1670">
        <v>20839.68</v>
      </c>
      <c r="N1670">
        <v>1440</v>
      </c>
      <c r="O1670">
        <v>17.029183832214574</v>
      </c>
      <c r="P1670" t="s">
        <v>2085</v>
      </c>
      <c r="Q1670" t="s">
        <v>2092</v>
      </c>
    </row>
    <row r="1671" spans="1:17" x14ac:dyDescent="0.25">
      <c r="A1671" t="s">
        <v>1121</v>
      </c>
      <c r="B1671" s="18">
        <v>45963</v>
      </c>
      <c r="C1671" t="s">
        <v>2024</v>
      </c>
      <c r="D1671" t="s">
        <v>2044</v>
      </c>
      <c r="E1671" t="s">
        <v>2055</v>
      </c>
      <c r="F1671" t="s">
        <v>2062</v>
      </c>
      <c r="G1671">
        <v>2</v>
      </c>
      <c r="H1671">
        <v>180</v>
      </c>
      <c r="I1671">
        <v>243</v>
      </c>
      <c r="J1671">
        <v>5.95</v>
      </c>
      <c r="K1671">
        <v>457.1</v>
      </c>
      <c r="L1671">
        <v>97.1</v>
      </c>
      <c r="M1671">
        <v>2891.7000000000003</v>
      </c>
      <c r="N1671">
        <v>360</v>
      </c>
      <c r="O1671">
        <v>21.242616495296431</v>
      </c>
      <c r="P1671" t="s">
        <v>2085</v>
      </c>
      <c r="Q1671" t="s">
        <v>2092</v>
      </c>
    </row>
    <row r="1672" spans="1:17" x14ac:dyDescent="0.25">
      <c r="A1672" t="s">
        <v>1398</v>
      </c>
      <c r="B1672" s="18">
        <v>45963</v>
      </c>
      <c r="C1672" t="s">
        <v>2016</v>
      </c>
      <c r="D1672" t="s">
        <v>2036</v>
      </c>
      <c r="E1672" t="s">
        <v>2052</v>
      </c>
      <c r="F1672" t="s">
        <v>2059</v>
      </c>
      <c r="G1672">
        <v>3</v>
      </c>
      <c r="H1672">
        <v>900</v>
      </c>
      <c r="I1672">
        <v>1170</v>
      </c>
      <c r="J1672">
        <v>15.47</v>
      </c>
      <c r="K1672">
        <v>2966.84</v>
      </c>
      <c r="L1672">
        <v>266.83999999999997</v>
      </c>
      <c r="M1672">
        <v>54299.700000000004</v>
      </c>
      <c r="N1672">
        <v>2700</v>
      </c>
      <c r="O1672">
        <v>8.9940812446913192</v>
      </c>
      <c r="P1672" t="s">
        <v>2085</v>
      </c>
      <c r="Q1672" t="s">
        <v>2091</v>
      </c>
    </row>
    <row r="1673" spans="1:17" x14ac:dyDescent="0.25">
      <c r="A1673" t="s">
        <v>1850</v>
      </c>
      <c r="B1673" s="18">
        <v>45963</v>
      </c>
      <c r="C1673" t="s">
        <v>2028</v>
      </c>
      <c r="D1673" t="s">
        <v>2048</v>
      </c>
      <c r="E1673" t="s">
        <v>2057</v>
      </c>
      <c r="F1673" t="s">
        <v>2060</v>
      </c>
      <c r="G1673">
        <v>4</v>
      </c>
      <c r="H1673">
        <v>80</v>
      </c>
      <c r="I1673">
        <v>116</v>
      </c>
      <c r="J1673">
        <v>0</v>
      </c>
      <c r="K1673">
        <v>464</v>
      </c>
      <c r="L1673">
        <v>144</v>
      </c>
      <c r="M1673">
        <v>0</v>
      </c>
      <c r="N1673">
        <v>320</v>
      </c>
      <c r="O1673">
        <v>31.03448275862069</v>
      </c>
      <c r="P1673" t="s">
        <v>2085</v>
      </c>
      <c r="Q1673" t="s">
        <v>2092</v>
      </c>
    </row>
    <row r="1674" spans="1:17" x14ac:dyDescent="0.25">
      <c r="A1674" t="s">
        <v>671</v>
      </c>
      <c r="B1674" s="18">
        <v>45964</v>
      </c>
      <c r="C1674" t="s">
        <v>2017</v>
      </c>
      <c r="D1674" t="s">
        <v>2037</v>
      </c>
      <c r="E1674" t="s">
        <v>2055</v>
      </c>
      <c r="F1674" t="s">
        <v>2060</v>
      </c>
      <c r="G1674">
        <v>1</v>
      </c>
      <c r="H1674">
        <v>2500</v>
      </c>
      <c r="I1674">
        <v>2875</v>
      </c>
      <c r="J1674">
        <v>13.37</v>
      </c>
      <c r="K1674">
        <v>2490.5100000000002</v>
      </c>
      <c r="L1674">
        <v>-9.49</v>
      </c>
      <c r="M1674">
        <v>38438.75</v>
      </c>
      <c r="N1674">
        <v>2500</v>
      </c>
      <c r="O1674">
        <v>-0.38104645233305623</v>
      </c>
      <c r="P1674" t="s">
        <v>2085</v>
      </c>
      <c r="Q1674" t="s">
        <v>2093</v>
      </c>
    </row>
    <row r="1675" spans="1:17" x14ac:dyDescent="0.25">
      <c r="A1675" t="s">
        <v>756</v>
      </c>
      <c r="B1675" s="18">
        <v>45964</v>
      </c>
      <c r="C1675" t="s">
        <v>2015</v>
      </c>
      <c r="D1675" t="s">
        <v>2035</v>
      </c>
      <c r="E1675" t="s">
        <v>2054</v>
      </c>
      <c r="F1675" t="s">
        <v>2062</v>
      </c>
      <c r="G1675">
        <v>1</v>
      </c>
      <c r="H1675">
        <v>900</v>
      </c>
      <c r="I1675">
        <v>1170</v>
      </c>
      <c r="J1675">
        <v>23.51</v>
      </c>
      <c r="K1675">
        <v>894.99</v>
      </c>
      <c r="L1675">
        <v>-5.01</v>
      </c>
      <c r="M1675">
        <v>27506.7</v>
      </c>
      <c r="N1675">
        <v>900</v>
      </c>
      <c r="O1675">
        <v>-0.55978279086917171</v>
      </c>
      <c r="P1675" t="s">
        <v>2085</v>
      </c>
      <c r="Q1675" t="s">
        <v>2093</v>
      </c>
    </row>
    <row r="1676" spans="1:17" x14ac:dyDescent="0.25">
      <c r="A1676" t="s">
        <v>905</v>
      </c>
      <c r="B1676" s="18">
        <v>45964</v>
      </c>
      <c r="C1676" t="s">
        <v>2023</v>
      </c>
      <c r="D1676" t="s">
        <v>2043</v>
      </c>
      <c r="E1676" t="s">
        <v>2053</v>
      </c>
      <c r="F1676" t="s">
        <v>2059</v>
      </c>
      <c r="G1676">
        <v>2</v>
      </c>
      <c r="H1676">
        <v>550</v>
      </c>
      <c r="I1676">
        <v>742.5</v>
      </c>
      <c r="J1676">
        <v>11.93</v>
      </c>
      <c r="K1676">
        <v>1307.8699999999999</v>
      </c>
      <c r="L1676">
        <v>207.87</v>
      </c>
      <c r="M1676">
        <v>17716.05</v>
      </c>
      <c r="N1676">
        <v>1100</v>
      </c>
      <c r="O1676">
        <v>15.893781492044317</v>
      </c>
      <c r="P1676" t="s">
        <v>2085</v>
      </c>
      <c r="Q1676" t="s">
        <v>2092</v>
      </c>
    </row>
    <row r="1677" spans="1:17" x14ac:dyDescent="0.25">
      <c r="A1677" t="s">
        <v>972</v>
      </c>
      <c r="B1677" s="18">
        <v>45964</v>
      </c>
      <c r="C1677" t="s">
        <v>2023</v>
      </c>
      <c r="D1677" t="s">
        <v>2043</v>
      </c>
      <c r="E1677" t="s">
        <v>2053</v>
      </c>
      <c r="F1677" t="s">
        <v>2062</v>
      </c>
      <c r="G1677">
        <v>3</v>
      </c>
      <c r="H1677">
        <v>550</v>
      </c>
      <c r="I1677">
        <v>742.5</v>
      </c>
      <c r="J1677">
        <v>9.2899999999999991</v>
      </c>
      <c r="K1677">
        <v>2020.63</v>
      </c>
      <c r="L1677">
        <v>370.63</v>
      </c>
      <c r="M1677">
        <v>20693.474999999999</v>
      </c>
      <c r="N1677">
        <v>1650</v>
      </c>
      <c r="O1677">
        <v>18.342299183917884</v>
      </c>
      <c r="P1677" t="s">
        <v>2085</v>
      </c>
      <c r="Q1677" t="s">
        <v>2092</v>
      </c>
    </row>
    <row r="1678" spans="1:17" x14ac:dyDescent="0.25">
      <c r="A1678" t="s">
        <v>1026</v>
      </c>
      <c r="B1678" s="18">
        <v>45964</v>
      </c>
      <c r="C1678" t="s">
        <v>2024</v>
      </c>
      <c r="D1678" t="s">
        <v>2044</v>
      </c>
      <c r="E1678" t="s">
        <v>2055</v>
      </c>
      <c r="F1678" t="s">
        <v>2059</v>
      </c>
      <c r="G1678">
        <v>6</v>
      </c>
      <c r="H1678">
        <v>180</v>
      </c>
      <c r="I1678">
        <v>243</v>
      </c>
      <c r="J1678">
        <v>10.19</v>
      </c>
      <c r="K1678">
        <v>1309.45</v>
      </c>
      <c r="L1678">
        <v>229.45</v>
      </c>
      <c r="M1678">
        <v>14857.019999999999</v>
      </c>
      <c r="N1678">
        <v>1080</v>
      </c>
      <c r="O1678">
        <v>17.522624002443774</v>
      </c>
      <c r="P1678" t="s">
        <v>2085</v>
      </c>
      <c r="Q1678" t="s">
        <v>2092</v>
      </c>
    </row>
    <row r="1679" spans="1:17" x14ac:dyDescent="0.25">
      <c r="A1679" t="s">
        <v>1413</v>
      </c>
      <c r="B1679" s="18">
        <v>45964</v>
      </c>
      <c r="C1679" t="s">
        <v>2018</v>
      </c>
      <c r="D1679" t="s">
        <v>2038</v>
      </c>
      <c r="E1679" t="s">
        <v>2053</v>
      </c>
      <c r="F1679" t="s">
        <v>2061</v>
      </c>
      <c r="G1679">
        <v>7</v>
      </c>
      <c r="H1679">
        <v>500</v>
      </c>
      <c r="I1679">
        <v>610</v>
      </c>
      <c r="J1679">
        <v>9.1300000000000008</v>
      </c>
      <c r="K1679">
        <v>3880.11</v>
      </c>
      <c r="L1679">
        <v>380.11</v>
      </c>
      <c r="M1679">
        <v>38985.100000000006</v>
      </c>
      <c r="N1679">
        <v>3500</v>
      </c>
      <c r="O1679">
        <v>9.7963717523472269</v>
      </c>
      <c r="P1679" t="s">
        <v>2085</v>
      </c>
      <c r="Q1679" t="s">
        <v>2091</v>
      </c>
    </row>
    <row r="1680" spans="1:17" x14ac:dyDescent="0.25">
      <c r="A1680" t="s">
        <v>1556</v>
      </c>
      <c r="B1680" s="18">
        <v>45964</v>
      </c>
      <c r="C1680" t="s">
        <v>2016</v>
      </c>
      <c r="D1680" t="s">
        <v>2036</v>
      </c>
      <c r="E1680" t="s">
        <v>2052</v>
      </c>
      <c r="F1680" t="s">
        <v>2062</v>
      </c>
      <c r="G1680">
        <v>10</v>
      </c>
      <c r="H1680">
        <v>900</v>
      </c>
      <c r="I1680">
        <v>1170</v>
      </c>
      <c r="J1680">
        <v>2.3199999999999998</v>
      </c>
      <c r="K1680">
        <v>11428.24</v>
      </c>
      <c r="L1680">
        <v>2428.2399999999998</v>
      </c>
      <c r="M1680">
        <v>27143.999999999996</v>
      </c>
      <c r="N1680">
        <v>9000</v>
      </c>
      <c r="O1680">
        <v>21.247716183769327</v>
      </c>
      <c r="P1680" t="s">
        <v>2085</v>
      </c>
      <c r="Q1680" t="s">
        <v>2092</v>
      </c>
    </row>
    <row r="1681" spans="1:17" x14ac:dyDescent="0.25">
      <c r="A1681" t="s">
        <v>165</v>
      </c>
      <c r="B1681" s="18">
        <v>45965</v>
      </c>
      <c r="C1681" t="s">
        <v>2023</v>
      </c>
      <c r="D1681" t="s">
        <v>2043</v>
      </c>
      <c r="E1681" t="s">
        <v>2053</v>
      </c>
      <c r="F1681" t="s">
        <v>2059</v>
      </c>
      <c r="G1681">
        <v>2</v>
      </c>
      <c r="H1681">
        <v>550</v>
      </c>
      <c r="I1681">
        <v>742.5</v>
      </c>
      <c r="J1681">
        <v>0</v>
      </c>
      <c r="K1681">
        <v>1485</v>
      </c>
      <c r="L1681">
        <v>385</v>
      </c>
      <c r="M1681">
        <v>0</v>
      </c>
      <c r="N1681">
        <v>1100</v>
      </c>
      <c r="O1681">
        <v>25.925925925925924</v>
      </c>
      <c r="P1681" t="s">
        <v>2085</v>
      </c>
      <c r="Q1681" t="s">
        <v>2092</v>
      </c>
    </row>
    <row r="1682" spans="1:17" x14ac:dyDescent="0.25">
      <c r="A1682" t="s">
        <v>167</v>
      </c>
      <c r="B1682" s="18">
        <v>45965</v>
      </c>
      <c r="C1682" t="s">
        <v>2025</v>
      </c>
      <c r="D1682" t="s">
        <v>2045</v>
      </c>
      <c r="E1682" t="s">
        <v>2057</v>
      </c>
      <c r="F1682" t="s">
        <v>2059</v>
      </c>
      <c r="G1682">
        <v>10</v>
      </c>
      <c r="H1682">
        <v>45</v>
      </c>
      <c r="I1682">
        <v>63</v>
      </c>
      <c r="J1682">
        <v>7.34</v>
      </c>
      <c r="K1682">
        <v>583.76</v>
      </c>
      <c r="L1682">
        <v>133.76</v>
      </c>
      <c r="M1682">
        <v>4624.2</v>
      </c>
      <c r="N1682">
        <v>450</v>
      </c>
      <c r="O1682">
        <v>22.913526106619159</v>
      </c>
      <c r="P1682" t="s">
        <v>2085</v>
      </c>
      <c r="Q1682" t="s">
        <v>2092</v>
      </c>
    </row>
    <row r="1683" spans="1:17" x14ac:dyDescent="0.25">
      <c r="A1683" t="s">
        <v>204</v>
      </c>
      <c r="B1683" s="18">
        <v>45965</v>
      </c>
      <c r="C1683" t="s">
        <v>2023</v>
      </c>
      <c r="D1683" t="s">
        <v>2043</v>
      </c>
      <c r="E1683" t="s">
        <v>2053</v>
      </c>
      <c r="F1683" t="s">
        <v>2059</v>
      </c>
      <c r="G1683">
        <v>10</v>
      </c>
      <c r="H1683">
        <v>550</v>
      </c>
      <c r="I1683">
        <v>742.5</v>
      </c>
      <c r="J1683">
        <v>15.1</v>
      </c>
      <c r="K1683">
        <v>6303.73</v>
      </c>
      <c r="L1683">
        <v>803.73</v>
      </c>
      <c r="M1683">
        <v>112117.5</v>
      </c>
      <c r="N1683">
        <v>5500</v>
      </c>
      <c r="O1683">
        <v>12.750070196534432</v>
      </c>
      <c r="P1683" t="s">
        <v>2085</v>
      </c>
      <c r="Q1683" t="s">
        <v>2092</v>
      </c>
    </row>
    <row r="1684" spans="1:17" x14ac:dyDescent="0.25">
      <c r="A1684" t="s">
        <v>849</v>
      </c>
      <c r="B1684" s="18">
        <v>45965</v>
      </c>
      <c r="C1684" t="s">
        <v>2025</v>
      </c>
      <c r="D1684" t="s">
        <v>2045</v>
      </c>
      <c r="E1684" t="s">
        <v>2057</v>
      </c>
      <c r="F1684" t="s">
        <v>2059</v>
      </c>
      <c r="G1684">
        <v>8</v>
      </c>
      <c r="H1684">
        <v>45</v>
      </c>
      <c r="I1684">
        <v>63</v>
      </c>
      <c r="J1684">
        <v>3.72</v>
      </c>
      <c r="K1684">
        <v>485.23</v>
      </c>
      <c r="L1684">
        <v>125.23</v>
      </c>
      <c r="M1684">
        <v>1874.88</v>
      </c>
      <c r="N1684">
        <v>360</v>
      </c>
      <c r="O1684">
        <v>25.808379531356263</v>
      </c>
      <c r="P1684" t="s">
        <v>2085</v>
      </c>
      <c r="Q1684" t="s">
        <v>2092</v>
      </c>
    </row>
    <row r="1685" spans="1:17" x14ac:dyDescent="0.25">
      <c r="A1685" t="s">
        <v>901</v>
      </c>
      <c r="B1685" s="18">
        <v>45965</v>
      </c>
      <c r="C1685" t="s">
        <v>2023</v>
      </c>
      <c r="D1685" t="s">
        <v>2043</v>
      </c>
      <c r="E1685" t="s">
        <v>2053</v>
      </c>
      <c r="F1685" t="s">
        <v>2062</v>
      </c>
      <c r="G1685">
        <v>6</v>
      </c>
      <c r="H1685">
        <v>550</v>
      </c>
      <c r="I1685">
        <v>742.5</v>
      </c>
      <c r="J1685">
        <v>4.3099999999999996</v>
      </c>
      <c r="K1685">
        <v>4262.8599999999997</v>
      </c>
      <c r="L1685">
        <v>962.86</v>
      </c>
      <c r="M1685">
        <v>19201.05</v>
      </c>
      <c r="N1685">
        <v>3300</v>
      </c>
      <c r="O1685">
        <v>22.587183252558145</v>
      </c>
      <c r="P1685" t="s">
        <v>2085</v>
      </c>
      <c r="Q1685" t="s">
        <v>2092</v>
      </c>
    </row>
    <row r="1686" spans="1:17" x14ac:dyDescent="0.25">
      <c r="A1686" t="s">
        <v>1215</v>
      </c>
      <c r="B1686" s="18">
        <v>45965</v>
      </c>
      <c r="C1686" t="s">
        <v>2027</v>
      </c>
      <c r="D1686" t="s">
        <v>2047</v>
      </c>
      <c r="E1686" t="s">
        <v>2053</v>
      </c>
      <c r="F1686" t="s">
        <v>2061</v>
      </c>
      <c r="G1686">
        <v>10</v>
      </c>
      <c r="H1686">
        <v>1100</v>
      </c>
      <c r="I1686">
        <v>1298</v>
      </c>
      <c r="J1686">
        <v>9.08</v>
      </c>
      <c r="K1686">
        <v>11801.24</v>
      </c>
      <c r="L1686">
        <v>801.24</v>
      </c>
      <c r="M1686">
        <v>117858.4</v>
      </c>
      <c r="N1686">
        <v>11000</v>
      </c>
      <c r="O1686">
        <v>6.7894560232653518</v>
      </c>
      <c r="P1686" t="s">
        <v>2085</v>
      </c>
      <c r="Q1686" t="s">
        <v>2091</v>
      </c>
    </row>
    <row r="1687" spans="1:17" x14ac:dyDescent="0.25">
      <c r="A1687" t="s">
        <v>1618</v>
      </c>
      <c r="B1687" s="18">
        <v>45965</v>
      </c>
      <c r="C1687" t="s">
        <v>2021</v>
      </c>
      <c r="D1687" t="s">
        <v>2041</v>
      </c>
      <c r="E1687" t="s">
        <v>2056</v>
      </c>
      <c r="F1687" t="s">
        <v>2060</v>
      </c>
      <c r="G1687">
        <v>6</v>
      </c>
      <c r="H1687">
        <v>300</v>
      </c>
      <c r="I1687">
        <v>405</v>
      </c>
      <c r="J1687">
        <v>8.6199999999999992</v>
      </c>
      <c r="K1687">
        <v>2220.61</v>
      </c>
      <c r="L1687">
        <v>420.61</v>
      </c>
      <c r="M1687">
        <v>20946.599999999999</v>
      </c>
      <c r="N1687">
        <v>1800</v>
      </c>
      <c r="O1687">
        <v>18.941191834676058</v>
      </c>
      <c r="P1687" t="s">
        <v>2085</v>
      </c>
      <c r="Q1687" t="s">
        <v>2092</v>
      </c>
    </row>
    <row r="1688" spans="1:17" x14ac:dyDescent="0.25">
      <c r="A1688" t="s">
        <v>1912</v>
      </c>
      <c r="B1688" s="18">
        <v>45965</v>
      </c>
      <c r="C1688" t="s">
        <v>2013</v>
      </c>
      <c r="D1688" t="s">
        <v>2033</v>
      </c>
      <c r="E1688" t="s">
        <v>2053</v>
      </c>
      <c r="F1688" t="s">
        <v>2059</v>
      </c>
      <c r="G1688">
        <v>3</v>
      </c>
      <c r="H1688">
        <v>6500</v>
      </c>
      <c r="I1688">
        <v>7150</v>
      </c>
      <c r="J1688">
        <v>11.93</v>
      </c>
      <c r="K1688">
        <v>18891.16</v>
      </c>
      <c r="L1688">
        <v>-608.84</v>
      </c>
      <c r="M1688">
        <v>255898.5</v>
      </c>
      <c r="N1688">
        <v>19500</v>
      </c>
      <c r="O1688">
        <v>-3.2228830839397897</v>
      </c>
      <c r="P1688" t="s">
        <v>2085</v>
      </c>
      <c r="Q1688" t="s">
        <v>2093</v>
      </c>
    </row>
    <row r="1689" spans="1:17" x14ac:dyDescent="0.25">
      <c r="A1689" t="s">
        <v>853</v>
      </c>
      <c r="B1689" s="18">
        <v>45966</v>
      </c>
      <c r="C1689" t="s">
        <v>2020</v>
      </c>
      <c r="D1689" t="s">
        <v>2040</v>
      </c>
      <c r="E1689" t="s">
        <v>2053</v>
      </c>
      <c r="F1689" t="s">
        <v>2059</v>
      </c>
      <c r="G1689">
        <v>10</v>
      </c>
      <c r="H1689">
        <v>350</v>
      </c>
      <c r="I1689">
        <v>455</v>
      </c>
      <c r="J1689">
        <v>0</v>
      </c>
      <c r="K1689">
        <v>4550</v>
      </c>
      <c r="L1689">
        <v>1050</v>
      </c>
      <c r="M1689">
        <v>0</v>
      </c>
      <c r="N1689">
        <v>3500</v>
      </c>
      <c r="O1689">
        <v>23.076923076923077</v>
      </c>
      <c r="P1689" t="s">
        <v>2085</v>
      </c>
      <c r="Q1689" t="s">
        <v>2092</v>
      </c>
    </row>
    <row r="1690" spans="1:17" x14ac:dyDescent="0.25">
      <c r="A1690" t="s">
        <v>1153</v>
      </c>
      <c r="B1690" s="18">
        <v>45966</v>
      </c>
      <c r="C1690" t="s">
        <v>2025</v>
      </c>
      <c r="D1690" t="s">
        <v>2045</v>
      </c>
      <c r="E1690" t="s">
        <v>2057</v>
      </c>
      <c r="F1690" t="s">
        <v>2062</v>
      </c>
      <c r="G1690">
        <v>6</v>
      </c>
      <c r="H1690">
        <v>45</v>
      </c>
      <c r="I1690">
        <v>63</v>
      </c>
      <c r="J1690">
        <v>3.37</v>
      </c>
      <c r="K1690">
        <v>365.27</v>
      </c>
      <c r="L1690">
        <v>95.27</v>
      </c>
      <c r="M1690">
        <v>1273.8600000000001</v>
      </c>
      <c r="N1690">
        <v>270</v>
      </c>
      <c r="O1690">
        <v>26.082076272346484</v>
      </c>
      <c r="P1690" t="s">
        <v>2085</v>
      </c>
      <c r="Q1690" t="s">
        <v>2092</v>
      </c>
    </row>
    <row r="1691" spans="1:17" x14ac:dyDescent="0.25">
      <c r="A1691" t="s">
        <v>104</v>
      </c>
      <c r="B1691" s="18">
        <v>45967</v>
      </c>
      <c r="C1691" t="s">
        <v>2012</v>
      </c>
      <c r="D1691" t="s">
        <v>2032</v>
      </c>
      <c r="E1691" t="s">
        <v>2052</v>
      </c>
      <c r="F1691" t="s">
        <v>2062</v>
      </c>
      <c r="G1691">
        <v>8</v>
      </c>
      <c r="H1691">
        <v>6500</v>
      </c>
      <c r="I1691">
        <v>8125</v>
      </c>
      <c r="J1691">
        <v>4</v>
      </c>
      <c r="K1691">
        <v>62400</v>
      </c>
      <c r="L1691">
        <v>10400</v>
      </c>
      <c r="M1691">
        <v>260000</v>
      </c>
      <c r="N1691">
        <v>52000</v>
      </c>
      <c r="O1691">
        <v>16.666666666666664</v>
      </c>
      <c r="P1691" t="s">
        <v>2085</v>
      </c>
      <c r="Q1691" t="s">
        <v>2092</v>
      </c>
    </row>
    <row r="1692" spans="1:17" x14ac:dyDescent="0.25">
      <c r="A1692" t="s">
        <v>112</v>
      </c>
      <c r="B1692" s="18">
        <v>45967</v>
      </c>
      <c r="C1692" t="s">
        <v>2019</v>
      </c>
      <c r="D1692" t="s">
        <v>2039</v>
      </c>
      <c r="E1692" t="s">
        <v>2053</v>
      </c>
      <c r="F1692" t="s">
        <v>2060</v>
      </c>
      <c r="G1692">
        <v>7</v>
      </c>
      <c r="H1692">
        <v>900</v>
      </c>
      <c r="I1692">
        <v>1152</v>
      </c>
      <c r="J1692">
        <v>21.49</v>
      </c>
      <c r="K1692">
        <v>6330.71</v>
      </c>
      <c r="L1692">
        <v>30.71</v>
      </c>
      <c r="M1692">
        <v>173295.35999999999</v>
      </c>
      <c r="N1692">
        <v>6300</v>
      </c>
      <c r="O1692">
        <v>0.48509566857429892</v>
      </c>
      <c r="P1692" t="s">
        <v>2085</v>
      </c>
      <c r="Q1692" t="s">
        <v>2091</v>
      </c>
    </row>
    <row r="1693" spans="1:17" x14ac:dyDescent="0.25">
      <c r="A1693" t="s">
        <v>426</v>
      </c>
      <c r="B1693" s="18">
        <v>45967</v>
      </c>
      <c r="C1693" t="s">
        <v>2019</v>
      </c>
      <c r="D1693" t="s">
        <v>2039</v>
      </c>
      <c r="E1693" t="s">
        <v>2053</v>
      </c>
      <c r="F1693" t="s">
        <v>2061</v>
      </c>
      <c r="G1693">
        <v>10</v>
      </c>
      <c r="H1693">
        <v>900</v>
      </c>
      <c r="I1693">
        <v>1152</v>
      </c>
      <c r="J1693">
        <v>8.89</v>
      </c>
      <c r="K1693">
        <v>10496.19</v>
      </c>
      <c r="L1693">
        <v>1496.19</v>
      </c>
      <c r="M1693">
        <v>102412.8</v>
      </c>
      <c r="N1693">
        <v>9000</v>
      </c>
      <c r="O1693">
        <v>14.254600955203745</v>
      </c>
      <c r="P1693" t="s">
        <v>2085</v>
      </c>
      <c r="Q1693" t="s">
        <v>2092</v>
      </c>
    </row>
    <row r="1694" spans="1:17" x14ac:dyDescent="0.25">
      <c r="A1694" t="s">
        <v>962</v>
      </c>
      <c r="B1694" s="18">
        <v>45967</v>
      </c>
      <c r="C1694" t="s">
        <v>2022</v>
      </c>
      <c r="D1694" t="s">
        <v>2042</v>
      </c>
      <c r="E1694" t="s">
        <v>2053</v>
      </c>
      <c r="F1694" t="s">
        <v>2062</v>
      </c>
      <c r="G1694">
        <v>3</v>
      </c>
      <c r="H1694">
        <v>8500</v>
      </c>
      <c r="I1694">
        <v>9520</v>
      </c>
      <c r="J1694">
        <v>11.21</v>
      </c>
      <c r="K1694">
        <v>25359.119999999999</v>
      </c>
      <c r="L1694">
        <v>-140.88</v>
      </c>
      <c r="M1694">
        <v>320157.60000000003</v>
      </c>
      <c r="N1694">
        <v>25500</v>
      </c>
      <c r="O1694">
        <v>-0.55553978213755051</v>
      </c>
      <c r="P1694" t="s">
        <v>2085</v>
      </c>
      <c r="Q1694" t="s">
        <v>2093</v>
      </c>
    </row>
    <row r="1695" spans="1:17" x14ac:dyDescent="0.25">
      <c r="A1695" t="s">
        <v>1196</v>
      </c>
      <c r="B1695" s="18">
        <v>45967</v>
      </c>
      <c r="C1695" t="s">
        <v>2028</v>
      </c>
      <c r="D1695" t="s">
        <v>2048</v>
      </c>
      <c r="E1695" t="s">
        <v>2057</v>
      </c>
      <c r="F1695" t="s">
        <v>2061</v>
      </c>
      <c r="G1695">
        <v>4</v>
      </c>
      <c r="H1695">
        <v>80</v>
      </c>
      <c r="I1695">
        <v>116</v>
      </c>
      <c r="J1695">
        <v>16.059999999999999</v>
      </c>
      <c r="K1695">
        <v>389.46</v>
      </c>
      <c r="L1695">
        <v>69.459999999999994</v>
      </c>
      <c r="M1695">
        <v>7451.8399999999992</v>
      </c>
      <c r="N1695">
        <v>320</v>
      </c>
      <c r="O1695">
        <v>17.834950957736353</v>
      </c>
      <c r="P1695" t="s">
        <v>2085</v>
      </c>
      <c r="Q1695" t="s">
        <v>2092</v>
      </c>
    </row>
    <row r="1696" spans="1:17" x14ac:dyDescent="0.25">
      <c r="A1696" t="s">
        <v>1466</v>
      </c>
      <c r="B1696" s="18">
        <v>45967</v>
      </c>
      <c r="C1696" t="s">
        <v>2019</v>
      </c>
      <c r="D1696" t="s">
        <v>2039</v>
      </c>
      <c r="E1696" t="s">
        <v>2053</v>
      </c>
      <c r="F1696" t="s">
        <v>2059</v>
      </c>
      <c r="G1696">
        <v>10</v>
      </c>
      <c r="H1696">
        <v>900</v>
      </c>
      <c r="I1696">
        <v>1152</v>
      </c>
      <c r="J1696">
        <v>7.2</v>
      </c>
      <c r="K1696">
        <v>10690.42</v>
      </c>
      <c r="L1696">
        <v>1690.42</v>
      </c>
      <c r="M1696">
        <v>82944</v>
      </c>
      <c r="N1696">
        <v>9000</v>
      </c>
      <c r="O1696">
        <v>15.812475094523885</v>
      </c>
      <c r="P1696" t="s">
        <v>2085</v>
      </c>
      <c r="Q1696" t="s">
        <v>2092</v>
      </c>
    </row>
    <row r="1697" spans="1:17" x14ac:dyDescent="0.25">
      <c r="A1697" t="s">
        <v>1483</v>
      </c>
      <c r="B1697" s="18">
        <v>45967</v>
      </c>
      <c r="C1697" t="s">
        <v>2031</v>
      </c>
      <c r="D1697" t="s">
        <v>2051</v>
      </c>
      <c r="E1697" t="s">
        <v>2058</v>
      </c>
      <c r="F1697" t="s">
        <v>2062</v>
      </c>
      <c r="G1697">
        <v>4</v>
      </c>
      <c r="H1697">
        <v>3200</v>
      </c>
      <c r="I1697">
        <v>3840</v>
      </c>
      <c r="J1697">
        <v>8.0500000000000007</v>
      </c>
      <c r="K1697">
        <v>14123.84</v>
      </c>
      <c r="L1697">
        <v>1323.84</v>
      </c>
      <c r="M1697">
        <v>123648.00000000001</v>
      </c>
      <c r="N1697">
        <v>12800</v>
      </c>
      <c r="O1697">
        <v>9.3730883385821411</v>
      </c>
      <c r="P1697" t="s">
        <v>2085</v>
      </c>
      <c r="Q1697" t="s">
        <v>2091</v>
      </c>
    </row>
    <row r="1698" spans="1:17" x14ac:dyDescent="0.25">
      <c r="A1698" t="s">
        <v>1864</v>
      </c>
      <c r="B1698" s="18">
        <v>45967</v>
      </c>
      <c r="C1698" t="s">
        <v>2014</v>
      </c>
      <c r="D1698" t="s">
        <v>2034</v>
      </c>
      <c r="E1698" t="s">
        <v>2052</v>
      </c>
      <c r="F1698" t="s">
        <v>2060</v>
      </c>
      <c r="G1698">
        <v>10</v>
      </c>
      <c r="H1698">
        <v>4500</v>
      </c>
      <c r="I1698">
        <v>5220</v>
      </c>
      <c r="J1698">
        <v>8.4700000000000006</v>
      </c>
      <c r="K1698">
        <v>47778.94</v>
      </c>
      <c r="L1698">
        <v>2778.94</v>
      </c>
      <c r="M1698">
        <v>442134.00000000006</v>
      </c>
      <c r="N1698">
        <v>45000</v>
      </c>
      <c r="O1698">
        <v>5.8162445629810957</v>
      </c>
      <c r="P1698" t="s">
        <v>2085</v>
      </c>
      <c r="Q1698" t="s">
        <v>2091</v>
      </c>
    </row>
    <row r="1699" spans="1:17" x14ac:dyDescent="0.25">
      <c r="A1699" t="s">
        <v>2002</v>
      </c>
      <c r="B1699" s="18">
        <v>45967</v>
      </c>
      <c r="C1699" t="s">
        <v>2021</v>
      </c>
      <c r="D1699" t="s">
        <v>2041</v>
      </c>
      <c r="E1699" t="s">
        <v>2056</v>
      </c>
      <c r="F1699" t="s">
        <v>2061</v>
      </c>
      <c r="G1699">
        <v>9</v>
      </c>
      <c r="H1699">
        <v>300</v>
      </c>
      <c r="I1699">
        <v>405</v>
      </c>
      <c r="J1699">
        <v>8.2899999999999991</v>
      </c>
      <c r="K1699">
        <v>3342.96</v>
      </c>
      <c r="L1699">
        <v>642.96</v>
      </c>
      <c r="M1699">
        <v>30217.049999999996</v>
      </c>
      <c r="N1699">
        <v>2700</v>
      </c>
      <c r="O1699">
        <v>19.233254361404263</v>
      </c>
      <c r="P1699" t="s">
        <v>2085</v>
      </c>
      <c r="Q1699" t="s">
        <v>2092</v>
      </c>
    </row>
    <row r="1700" spans="1:17" x14ac:dyDescent="0.25">
      <c r="A1700" t="s">
        <v>21</v>
      </c>
      <c r="B1700" s="18">
        <v>45968</v>
      </c>
      <c r="C1700" t="s">
        <v>2018</v>
      </c>
      <c r="D1700" t="s">
        <v>2038</v>
      </c>
      <c r="E1700" t="s">
        <v>2053</v>
      </c>
      <c r="F1700" t="s">
        <v>2062</v>
      </c>
      <c r="G1700">
        <v>10</v>
      </c>
      <c r="H1700">
        <v>500</v>
      </c>
      <c r="I1700">
        <v>610</v>
      </c>
      <c r="J1700">
        <v>24.94</v>
      </c>
      <c r="K1700">
        <v>4578.37</v>
      </c>
      <c r="L1700">
        <v>-421.63</v>
      </c>
      <c r="M1700">
        <v>152134</v>
      </c>
      <c r="N1700">
        <v>5000</v>
      </c>
      <c r="O1700">
        <v>-9.2091726968331518</v>
      </c>
      <c r="P1700" t="s">
        <v>2085</v>
      </c>
      <c r="Q1700" t="s">
        <v>2093</v>
      </c>
    </row>
    <row r="1701" spans="1:17" x14ac:dyDescent="0.25">
      <c r="A1701" t="s">
        <v>70</v>
      </c>
      <c r="B1701" s="18">
        <v>45968</v>
      </c>
      <c r="C1701" t="s">
        <v>2020</v>
      </c>
      <c r="D1701" t="s">
        <v>2040</v>
      </c>
      <c r="E1701" t="s">
        <v>2053</v>
      </c>
      <c r="F1701" t="s">
        <v>2060</v>
      </c>
      <c r="G1701">
        <v>5</v>
      </c>
      <c r="H1701">
        <v>350</v>
      </c>
      <c r="I1701">
        <v>455</v>
      </c>
      <c r="J1701">
        <v>0</v>
      </c>
      <c r="K1701">
        <v>2275</v>
      </c>
      <c r="L1701">
        <v>525</v>
      </c>
      <c r="M1701">
        <v>0</v>
      </c>
      <c r="N1701">
        <v>1750</v>
      </c>
      <c r="O1701">
        <v>23.076923076923077</v>
      </c>
      <c r="P1701" t="s">
        <v>2085</v>
      </c>
      <c r="Q1701" t="s">
        <v>2092</v>
      </c>
    </row>
    <row r="1702" spans="1:17" x14ac:dyDescent="0.25">
      <c r="A1702" t="s">
        <v>911</v>
      </c>
      <c r="B1702" s="18">
        <v>45968</v>
      </c>
      <c r="C1702" t="s">
        <v>2017</v>
      </c>
      <c r="D1702" t="s">
        <v>2037</v>
      </c>
      <c r="E1702" t="s">
        <v>2055</v>
      </c>
      <c r="F1702" t="s">
        <v>2061</v>
      </c>
      <c r="G1702">
        <v>3</v>
      </c>
      <c r="H1702">
        <v>2500</v>
      </c>
      <c r="I1702">
        <v>2875</v>
      </c>
      <c r="J1702">
        <v>0</v>
      </c>
      <c r="K1702">
        <v>8625</v>
      </c>
      <c r="L1702">
        <v>1125</v>
      </c>
      <c r="M1702">
        <v>0</v>
      </c>
      <c r="N1702">
        <v>7500</v>
      </c>
      <c r="O1702">
        <v>13.043478260869565</v>
      </c>
      <c r="P1702" t="s">
        <v>2085</v>
      </c>
      <c r="Q1702" t="s">
        <v>2092</v>
      </c>
    </row>
    <row r="1703" spans="1:17" x14ac:dyDescent="0.25">
      <c r="A1703" t="s">
        <v>1049</v>
      </c>
      <c r="B1703" s="18">
        <v>45968</v>
      </c>
      <c r="C1703" t="s">
        <v>2014</v>
      </c>
      <c r="D1703" t="s">
        <v>2034</v>
      </c>
      <c r="E1703" t="s">
        <v>2052</v>
      </c>
      <c r="F1703" t="s">
        <v>2059</v>
      </c>
      <c r="G1703">
        <v>5</v>
      </c>
      <c r="H1703">
        <v>4500</v>
      </c>
      <c r="I1703">
        <v>5220</v>
      </c>
      <c r="J1703">
        <v>18.8</v>
      </c>
      <c r="K1703">
        <v>21192.22</v>
      </c>
      <c r="L1703">
        <v>-1307.78</v>
      </c>
      <c r="M1703">
        <v>490680</v>
      </c>
      <c r="N1703">
        <v>22500</v>
      </c>
      <c r="O1703">
        <v>-6.1710382395048748</v>
      </c>
      <c r="P1703" t="s">
        <v>2085</v>
      </c>
      <c r="Q1703" t="s">
        <v>2093</v>
      </c>
    </row>
    <row r="1704" spans="1:17" x14ac:dyDescent="0.25">
      <c r="A1704" t="s">
        <v>1671</v>
      </c>
      <c r="B1704" s="18">
        <v>45968</v>
      </c>
      <c r="C1704" t="s">
        <v>2014</v>
      </c>
      <c r="D1704" t="s">
        <v>2034</v>
      </c>
      <c r="E1704" t="s">
        <v>2052</v>
      </c>
      <c r="F1704" t="s">
        <v>2061</v>
      </c>
      <c r="G1704">
        <v>4</v>
      </c>
      <c r="H1704">
        <v>4500</v>
      </c>
      <c r="I1704">
        <v>5220</v>
      </c>
      <c r="J1704">
        <v>6.45</v>
      </c>
      <c r="K1704">
        <v>19534.150000000001</v>
      </c>
      <c r="L1704">
        <v>1534.15</v>
      </c>
      <c r="M1704">
        <v>134676</v>
      </c>
      <c r="N1704">
        <v>18000</v>
      </c>
      <c r="O1704">
        <v>7.8536818853136676</v>
      </c>
      <c r="P1704" t="s">
        <v>2085</v>
      </c>
      <c r="Q1704" t="s">
        <v>2091</v>
      </c>
    </row>
    <row r="1705" spans="1:17" x14ac:dyDescent="0.25">
      <c r="A1705" t="s">
        <v>413</v>
      </c>
      <c r="B1705" s="18">
        <v>45969</v>
      </c>
      <c r="C1705" t="s">
        <v>2025</v>
      </c>
      <c r="D1705" t="s">
        <v>2045</v>
      </c>
      <c r="E1705" t="s">
        <v>2057</v>
      </c>
      <c r="F1705" t="s">
        <v>2060</v>
      </c>
      <c r="G1705">
        <v>10</v>
      </c>
      <c r="H1705">
        <v>45</v>
      </c>
      <c r="I1705">
        <v>63</v>
      </c>
      <c r="J1705">
        <v>13.28</v>
      </c>
      <c r="K1705">
        <v>546.33000000000004</v>
      </c>
      <c r="L1705">
        <v>96.33</v>
      </c>
      <c r="M1705">
        <v>8366.4</v>
      </c>
      <c r="N1705">
        <v>450</v>
      </c>
      <c r="O1705">
        <v>17.632200318488824</v>
      </c>
      <c r="P1705" t="s">
        <v>2085</v>
      </c>
      <c r="Q1705" t="s">
        <v>2092</v>
      </c>
    </row>
    <row r="1706" spans="1:17" x14ac:dyDescent="0.25">
      <c r="A1706" t="s">
        <v>944</v>
      </c>
      <c r="B1706" s="18">
        <v>45969</v>
      </c>
      <c r="C1706" t="s">
        <v>2014</v>
      </c>
      <c r="D1706" t="s">
        <v>2034</v>
      </c>
      <c r="E1706" t="s">
        <v>2052</v>
      </c>
      <c r="F1706" t="s">
        <v>2062</v>
      </c>
      <c r="G1706">
        <v>7</v>
      </c>
      <c r="H1706">
        <v>4500</v>
      </c>
      <c r="I1706">
        <v>5220</v>
      </c>
      <c r="J1706">
        <v>11.46</v>
      </c>
      <c r="K1706">
        <v>32352.99</v>
      </c>
      <c r="L1706">
        <v>852.99</v>
      </c>
      <c r="M1706">
        <v>418748.4</v>
      </c>
      <c r="N1706">
        <v>31500</v>
      </c>
      <c r="O1706">
        <v>2.6365105667204172</v>
      </c>
      <c r="P1706" t="s">
        <v>2085</v>
      </c>
      <c r="Q1706" t="s">
        <v>2091</v>
      </c>
    </row>
    <row r="1707" spans="1:17" x14ac:dyDescent="0.25">
      <c r="A1707" t="s">
        <v>1580</v>
      </c>
      <c r="B1707" s="18">
        <v>45969</v>
      </c>
      <c r="C1707" t="s">
        <v>2020</v>
      </c>
      <c r="D1707" t="s">
        <v>2040</v>
      </c>
      <c r="E1707" t="s">
        <v>2053</v>
      </c>
      <c r="F1707" t="s">
        <v>2059</v>
      </c>
      <c r="G1707">
        <v>1</v>
      </c>
      <c r="H1707">
        <v>350</v>
      </c>
      <c r="I1707">
        <v>455</v>
      </c>
      <c r="J1707">
        <v>19.07</v>
      </c>
      <c r="K1707">
        <v>368.22</v>
      </c>
      <c r="L1707">
        <v>18.22</v>
      </c>
      <c r="M1707">
        <v>8676.85</v>
      </c>
      <c r="N1707">
        <v>350</v>
      </c>
      <c r="O1707">
        <v>4.9481288360219429</v>
      </c>
      <c r="P1707" t="s">
        <v>2085</v>
      </c>
      <c r="Q1707" t="s">
        <v>2091</v>
      </c>
    </row>
    <row r="1708" spans="1:17" x14ac:dyDescent="0.25">
      <c r="A1708" t="s">
        <v>1777</v>
      </c>
      <c r="B1708" s="18">
        <v>45969</v>
      </c>
      <c r="C1708" t="s">
        <v>2014</v>
      </c>
      <c r="D1708" t="s">
        <v>2034</v>
      </c>
      <c r="E1708" t="s">
        <v>2052</v>
      </c>
      <c r="F1708" t="s">
        <v>2061</v>
      </c>
      <c r="G1708">
        <v>9</v>
      </c>
      <c r="H1708">
        <v>4500</v>
      </c>
      <c r="I1708">
        <v>5220</v>
      </c>
      <c r="J1708">
        <v>24.66</v>
      </c>
      <c r="K1708">
        <v>35393.519999999997</v>
      </c>
      <c r="L1708">
        <v>-5106.4799999999996</v>
      </c>
      <c r="M1708">
        <v>1158526.8</v>
      </c>
      <c r="N1708">
        <v>40500</v>
      </c>
      <c r="O1708">
        <v>-14.427725753188719</v>
      </c>
      <c r="P1708" t="s">
        <v>2085</v>
      </c>
      <c r="Q1708" t="s">
        <v>2093</v>
      </c>
    </row>
    <row r="1709" spans="1:17" x14ac:dyDescent="0.25">
      <c r="A1709" t="s">
        <v>479</v>
      </c>
      <c r="B1709" s="18">
        <v>45970</v>
      </c>
      <c r="C1709" t="s">
        <v>2013</v>
      </c>
      <c r="D1709" t="s">
        <v>2033</v>
      </c>
      <c r="E1709" t="s">
        <v>2053</v>
      </c>
      <c r="F1709" t="s">
        <v>2060</v>
      </c>
      <c r="G1709">
        <v>3</v>
      </c>
      <c r="H1709">
        <v>6500</v>
      </c>
      <c r="I1709">
        <v>7150</v>
      </c>
      <c r="J1709">
        <v>21.56</v>
      </c>
      <c r="K1709">
        <v>16825.86</v>
      </c>
      <c r="L1709">
        <v>-2674.14</v>
      </c>
      <c r="M1709">
        <v>462462</v>
      </c>
      <c r="N1709">
        <v>19500</v>
      </c>
      <c r="O1709">
        <v>-15.893036076610645</v>
      </c>
      <c r="P1709" t="s">
        <v>2085</v>
      </c>
      <c r="Q1709" t="s">
        <v>2093</v>
      </c>
    </row>
    <row r="1710" spans="1:17" x14ac:dyDescent="0.25">
      <c r="A1710" t="s">
        <v>529</v>
      </c>
      <c r="B1710" s="18">
        <v>45970</v>
      </c>
      <c r="C1710" t="s">
        <v>2022</v>
      </c>
      <c r="D1710" t="s">
        <v>2042</v>
      </c>
      <c r="E1710" t="s">
        <v>2053</v>
      </c>
      <c r="F1710" t="s">
        <v>2060</v>
      </c>
      <c r="G1710">
        <v>2</v>
      </c>
      <c r="H1710">
        <v>8500</v>
      </c>
      <c r="I1710">
        <v>9520</v>
      </c>
      <c r="J1710">
        <v>13.12</v>
      </c>
      <c r="K1710">
        <v>16542.47</v>
      </c>
      <c r="L1710">
        <v>-457.53</v>
      </c>
      <c r="M1710">
        <v>249804.79999999999</v>
      </c>
      <c r="N1710">
        <v>17000</v>
      </c>
      <c r="O1710">
        <v>-2.765790114777297</v>
      </c>
      <c r="P1710" t="s">
        <v>2085</v>
      </c>
      <c r="Q1710" t="s">
        <v>2093</v>
      </c>
    </row>
    <row r="1711" spans="1:17" x14ac:dyDescent="0.25">
      <c r="A1711" t="s">
        <v>582</v>
      </c>
      <c r="B1711" s="18">
        <v>45970</v>
      </c>
      <c r="C1711" t="s">
        <v>2026</v>
      </c>
      <c r="D1711" t="s">
        <v>2046</v>
      </c>
      <c r="E1711" t="s">
        <v>2052</v>
      </c>
      <c r="F1711" t="s">
        <v>2061</v>
      </c>
      <c r="G1711">
        <v>10</v>
      </c>
      <c r="H1711">
        <v>3000</v>
      </c>
      <c r="I1711">
        <v>3600</v>
      </c>
      <c r="J1711">
        <v>11.84</v>
      </c>
      <c r="K1711">
        <v>31738.5</v>
      </c>
      <c r="L1711">
        <v>1738.5</v>
      </c>
      <c r="M1711">
        <v>426240</v>
      </c>
      <c r="N1711">
        <v>30000</v>
      </c>
      <c r="O1711">
        <v>5.4775745545630699</v>
      </c>
      <c r="P1711" t="s">
        <v>2085</v>
      </c>
      <c r="Q1711" t="s">
        <v>2091</v>
      </c>
    </row>
    <row r="1712" spans="1:17" x14ac:dyDescent="0.25">
      <c r="A1712" t="s">
        <v>793</v>
      </c>
      <c r="B1712" s="18">
        <v>45970</v>
      </c>
      <c r="C1712" t="s">
        <v>2013</v>
      </c>
      <c r="D1712" t="s">
        <v>2033</v>
      </c>
      <c r="E1712" t="s">
        <v>2053</v>
      </c>
      <c r="F1712" t="s">
        <v>2061</v>
      </c>
      <c r="G1712">
        <v>3</v>
      </c>
      <c r="H1712">
        <v>6500</v>
      </c>
      <c r="I1712">
        <v>7150</v>
      </c>
      <c r="J1712">
        <v>15.37</v>
      </c>
      <c r="K1712">
        <v>18152.27</v>
      </c>
      <c r="L1712">
        <v>-1347.73</v>
      </c>
      <c r="M1712">
        <v>329686.5</v>
      </c>
      <c r="N1712">
        <v>19500</v>
      </c>
      <c r="O1712">
        <v>-7.4245810579062557</v>
      </c>
      <c r="P1712" t="s">
        <v>2085</v>
      </c>
      <c r="Q1712" t="s">
        <v>2093</v>
      </c>
    </row>
    <row r="1713" spans="1:17" x14ac:dyDescent="0.25">
      <c r="A1713" t="s">
        <v>1082</v>
      </c>
      <c r="B1713" s="18">
        <v>45970</v>
      </c>
      <c r="C1713" t="s">
        <v>2030</v>
      </c>
      <c r="D1713" t="s">
        <v>2050</v>
      </c>
      <c r="E1713" t="s">
        <v>2058</v>
      </c>
      <c r="F1713" t="s">
        <v>2061</v>
      </c>
      <c r="G1713">
        <v>6</v>
      </c>
      <c r="H1713">
        <v>1800</v>
      </c>
      <c r="I1713">
        <v>2124</v>
      </c>
      <c r="J1713">
        <v>15.78</v>
      </c>
      <c r="K1713">
        <v>10732.73</v>
      </c>
      <c r="L1713">
        <v>-67.27</v>
      </c>
      <c r="M1713">
        <v>201100.31999999998</v>
      </c>
      <c r="N1713">
        <v>10800</v>
      </c>
      <c r="O1713">
        <v>-0.62677436216135129</v>
      </c>
      <c r="P1713" t="s">
        <v>2085</v>
      </c>
      <c r="Q1713" t="s">
        <v>2093</v>
      </c>
    </row>
    <row r="1714" spans="1:17" x14ac:dyDescent="0.25">
      <c r="A1714" t="s">
        <v>1351</v>
      </c>
      <c r="B1714" s="18">
        <v>45970</v>
      </c>
      <c r="C1714" t="s">
        <v>2029</v>
      </c>
      <c r="D1714" t="s">
        <v>2049</v>
      </c>
      <c r="E1714" t="s">
        <v>2055</v>
      </c>
      <c r="F1714" t="s">
        <v>2059</v>
      </c>
      <c r="G1714">
        <v>6</v>
      </c>
      <c r="H1714">
        <v>1200</v>
      </c>
      <c r="I1714">
        <v>1464</v>
      </c>
      <c r="J1714">
        <v>19.649999999999999</v>
      </c>
      <c r="K1714">
        <v>7057.88</v>
      </c>
      <c r="L1714">
        <v>-142.12</v>
      </c>
      <c r="M1714">
        <v>172605.59999999998</v>
      </c>
      <c r="N1714">
        <v>7200</v>
      </c>
      <c r="O1714">
        <v>-2.0136358226549618</v>
      </c>
      <c r="P1714" t="s">
        <v>2085</v>
      </c>
      <c r="Q1714" t="s">
        <v>2093</v>
      </c>
    </row>
    <row r="1715" spans="1:17" x14ac:dyDescent="0.25">
      <c r="A1715" t="s">
        <v>1491</v>
      </c>
      <c r="B1715" s="18">
        <v>45970</v>
      </c>
      <c r="C1715" t="s">
        <v>2030</v>
      </c>
      <c r="D1715" t="s">
        <v>2050</v>
      </c>
      <c r="E1715" t="s">
        <v>2058</v>
      </c>
      <c r="F1715" t="s">
        <v>2059</v>
      </c>
      <c r="G1715">
        <v>1</v>
      </c>
      <c r="H1715">
        <v>1800</v>
      </c>
      <c r="I1715">
        <v>2124</v>
      </c>
      <c r="J1715">
        <v>20.68</v>
      </c>
      <c r="K1715">
        <v>1684.74</v>
      </c>
      <c r="L1715">
        <v>-115.26</v>
      </c>
      <c r="M1715">
        <v>43924.32</v>
      </c>
      <c r="N1715">
        <v>1800</v>
      </c>
      <c r="O1715">
        <v>-6.8414117311870086</v>
      </c>
      <c r="P1715" t="s">
        <v>2085</v>
      </c>
      <c r="Q1715" t="s">
        <v>2093</v>
      </c>
    </row>
    <row r="1716" spans="1:17" x14ac:dyDescent="0.25">
      <c r="A1716" t="s">
        <v>1547</v>
      </c>
      <c r="B1716" s="18">
        <v>45970</v>
      </c>
      <c r="C1716" t="s">
        <v>2029</v>
      </c>
      <c r="D1716" t="s">
        <v>2049</v>
      </c>
      <c r="E1716" t="s">
        <v>2055</v>
      </c>
      <c r="F1716" t="s">
        <v>2059</v>
      </c>
      <c r="G1716">
        <v>6</v>
      </c>
      <c r="H1716">
        <v>1200</v>
      </c>
      <c r="I1716">
        <v>1464</v>
      </c>
      <c r="J1716">
        <v>4.43</v>
      </c>
      <c r="K1716">
        <v>8394.7000000000007</v>
      </c>
      <c r="L1716">
        <v>1194.7</v>
      </c>
      <c r="M1716">
        <v>38913.119999999995</v>
      </c>
      <c r="N1716">
        <v>7200</v>
      </c>
      <c r="O1716">
        <v>14.231598508582795</v>
      </c>
      <c r="P1716" t="s">
        <v>2085</v>
      </c>
      <c r="Q1716" t="s">
        <v>2092</v>
      </c>
    </row>
    <row r="1717" spans="1:17" x14ac:dyDescent="0.25">
      <c r="A1717" t="s">
        <v>1827</v>
      </c>
      <c r="B1717" s="18">
        <v>45970</v>
      </c>
      <c r="C1717" t="s">
        <v>2015</v>
      </c>
      <c r="D1717" t="s">
        <v>2035</v>
      </c>
      <c r="E1717" t="s">
        <v>2054</v>
      </c>
      <c r="F1717" t="s">
        <v>2060</v>
      </c>
      <c r="G1717">
        <v>10</v>
      </c>
      <c r="H1717">
        <v>900</v>
      </c>
      <c r="I1717">
        <v>1170</v>
      </c>
      <c r="J1717">
        <v>15.47</v>
      </c>
      <c r="K1717">
        <v>9889.9</v>
      </c>
      <c r="L1717">
        <v>889.9</v>
      </c>
      <c r="M1717">
        <v>180999</v>
      </c>
      <c r="N1717">
        <v>9000</v>
      </c>
      <c r="O1717">
        <v>8.9980687367920815</v>
      </c>
      <c r="P1717" t="s">
        <v>2085</v>
      </c>
      <c r="Q1717" t="s">
        <v>2091</v>
      </c>
    </row>
    <row r="1718" spans="1:17" x14ac:dyDescent="0.25">
      <c r="A1718" t="s">
        <v>1833</v>
      </c>
      <c r="B1718" s="18">
        <v>45970</v>
      </c>
      <c r="C1718" t="s">
        <v>2012</v>
      </c>
      <c r="D1718" t="s">
        <v>2032</v>
      </c>
      <c r="E1718" t="s">
        <v>2052</v>
      </c>
      <c r="F1718" t="s">
        <v>2059</v>
      </c>
      <c r="G1718">
        <v>9</v>
      </c>
      <c r="H1718">
        <v>6500</v>
      </c>
      <c r="I1718">
        <v>8125</v>
      </c>
      <c r="J1718">
        <v>28.42</v>
      </c>
      <c r="K1718">
        <v>52339.9</v>
      </c>
      <c r="L1718">
        <v>-6160.1</v>
      </c>
      <c r="M1718">
        <v>2078212.5000000002</v>
      </c>
      <c r="N1718">
        <v>58500</v>
      </c>
      <c r="O1718">
        <v>-11.769414920548186</v>
      </c>
      <c r="P1718" t="s">
        <v>2085</v>
      </c>
      <c r="Q1718" t="s">
        <v>2093</v>
      </c>
    </row>
    <row r="1719" spans="1:17" x14ac:dyDescent="0.25">
      <c r="A1719" t="s">
        <v>1903</v>
      </c>
      <c r="B1719" s="18">
        <v>45970</v>
      </c>
      <c r="C1719" t="s">
        <v>2021</v>
      </c>
      <c r="D1719" t="s">
        <v>2041</v>
      </c>
      <c r="E1719" t="s">
        <v>2056</v>
      </c>
      <c r="F1719" t="s">
        <v>2062</v>
      </c>
      <c r="G1719">
        <v>3</v>
      </c>
      <c r="H1719">
        <v>300</v>
      </c>
      <c r="I1719">
        <v>405</v>
      </c>
      <c r="J1719">
        <v>5.89</v>
      </c>
      <c r="K1719">
        <v>1143.44</v>
      </c>
      <c r="L1719">
        <v>243.44</v>
      </c>
      <c r="M1719">
        <v>7156.3499999999995</v>
      </c>
      <c r="N1719">
        <v>900</v>
      </c>
      <c r="O1719">
        <v>21.290142027565938</v>
      </c>
      <c r="P1719" t="s">
        <v>2085</v>
      </c>
      <c r="Q1719" t="s">
        <v>2092</v>
      </c>
    </row>
    <row r="1720" spans="1:17" x14ac:dyDescent="0.25">
      <c r="A1720" t="s">
        <v>1960</v>
      </c>
      <c r="B1720" s="18">
        <v>45970</v>
      </c>
      <c r="C1720" t="s">
        <v>2020</v>
      </c>
      <c r="D1720" t="s">
        <v>2040</v>
      </c>
      <c r="E1720" t="s">
        <v>2053</v>
      </c>
      <c r="F1720" t="s">
        <v>2059</v>
      </c>
      <c r="G1720">
        <v>8</v>
      </c>
      <c r="H1720">
        <v>350</v>
      </c>
      <c r="I1720">
        <v>455</v>
      </c>
      <c r="J1720">
        <v>12.28</v>
      </c>
      <c r="K1720">
        <v>3192.83</v>
      </c>
      <c r="L1720">
        <v>392.83</v>
      </c>
      <c r="M1720">
        <v>44699.199999999997</v>
      </c>
      <c r="N1720">
        <v>2800</v>
      </c>
      <c r="O1720">
        <v>12.303505040982451</v>
      </c>
      <c r="P1720" t="s">
        <v>2085</v>
      </c>
      <c r="Q1720" t="s">
        <v>2092</v>
      </c>
    </row>
    <row r="1721" spans="1:17" x14ac:dyDescent="0.25">
      <c r="A1721" t="s">
        <v>191</v>
      </c>
      <c r="B1721" s="18">
        <v>45971</v>
      </c>
      <c r="C1721" t="s">
        <v>2021</v>
      </c>
      <c r="D1721" t="s">
        <v>2041</v>
      </c>
      <c r="E1721" t="s">
        <v>2056</v>
      </c>
      <c r="F1721" t="s">
        <v>2060</v>
      </c>
      <c r="G1721">
        <v>3</v>
      </c>
      <c r="H1721">
        <v>300</v>
      </c>
      <c r="I1721">
        <v>405</v>
      </c>
      <c r="J1721">
        <v>17.48</v>
      </c>
      <c r="K1721">
        <v>1002.56</v>
      </c>
      <c r="L1721">
        <v>102.56</v>
      </c>
      <c r="M1721">
        <v>21238.2</v>
      </c>
      <c r="N1721">
        <v>900</v>
      </c>
      <c r="O1721">
        <v>10.229811682093841</v>
      </c>
      <c r="P1721" t="s">
        <v>2085</v>
      </c>
      <c r="Q1721" t="s">
        <v>2092</v>
      </c>
    </row>
    <row r="1722" spans="1:17" x14ac:dyDescent="0.25">
      <c r="A1722" t="s">
        <v>235</v>
      </c>
      <c r="B1722" s="18">
        <v>45971</v>
      </c>
      <c r="C1722" t="s">
        <v>2026</v>
      </c>
      <c r="D1722" t="s">
        <v>2046</v>
      </c>
      <c r="E1722" t="s">
        <v>2052</v>
      </c>
      <c r="F1722" t="s">
        <v>2061</v>
      </c>
      <c r="G1722">
        <v>6</v>
      </c>
      <c r="H1722">
        <v>3000</v>
      </c>
      <c r="I1722">
        <v>3600</v>
      </c>
      <c r="J1722">
        <v>7.23</v>
      </c>
      <c r="K1722">
        <v>20038.61</v>
      </c>
      <c r="L1722">
        <v>2038.61</v>
      </c>
      <c r="M1722">
        <v>156168</v>
      </c>
      <c r="N1722">
        <v>18000</v>
      </c>
      <c r="O1722">
        <v>10.173410231547996</v>
      </c>
      <c r="P1722" t="s">
        <v>2085</v>
      </c>
      <c r="Q1722" t="s">
        <v>2092</v>
      </c>
    </row>
    <row r="1723" spans="1:17" x14ac:dyDescent="0.25">
      <c r="A1723" t="s">
        <v>264</v>
      </c>
      <c r="B1723" s="18">
        <v>45971</v>
      </c>
      <c r="C1723" t="s">
        <v>2026</v>
      </c>
      <c r="D1723" t="s">
        <v>2046</v>
      </c>
      <c r="E1723" t="s">
        <v>2052</v>
      </c>
      <c r="F1723" t="s">
        <v>2060</v>
      </c>
      <c r="G1723">
        <v>6</v>
      </c>
      <c r="H1723">
        <v>3000</v>
      </c>
      <c r="I1723">
        <v>3600</v>
      </c>
      <c r="J1723">
        <v>6.84</v>
      </c>
      <c r="K1723">
        <v>20122.689999999999</v>
      </c>
      <c r="L1723">
        <v>2122.69</v>
      </c>
      <c r="M1723">
        <v>147744</v>
      </c>
      <c r="N1723">
        <v>18000</v>
      </c>
      <c r="O1723">
        <v>10.548738762064119</v>
      </c>
      <c r="P1723" t="s">
        <v>2085</v>
      </c>
      <c r="Q1723" t="s">
        <v>2092</v>
      </c>
    </row>
    <row r="1724" spans="1:17" x14ac:dyDescent="0.25">
      <c r="A1724" t="s">
        <v>402</v>
      </c>
      <c r="B1724" s="18">
        <v>45971</v>
      </c>
      <c r="C1724" t="s">
        <v>2026</v>
      </c>
      <c r="D1724" t="s">
        <v>2046</v>
      </c>
      <c r="E1724" t="s">
        <v>2052</v>
      </c>
      <c r="F1724" t="s">
        <v>2061</v>
      </c>
      <c r="G1724">
        <v>10</v>
      </c>
      <c r="H1724">
        <v>3000</v>
      </c>
      <c r="I1724">
        <v>3600</v>
      </c>
      <c r="J1724">
        <v>6.69</v>
      </c>
      <c r="K1724">
        <v>33591.24</v>
      </c>
      <c r="L1724">
        <v>3591.24</v>
      </c>
      <c r="M1724">
        <v>240840</v>
      </c>
      <c r="N1724">
        <v>30000</v>
      </c>
      <c r="O1724">
        <v>10.691001582555453</v>
      </c>
      <c r="P1724" t="s">
        <v>2085</v>
      </c>
      <c r="Q1724" t="s">
        <v>2092</v>
      </c>
    </row>
    <row r="1725" spans="1:17" x14ac:dyDescent="0.25">
      <c r="A1725" t="s">
        <v>461</v>
      </c>
      <c r="B1725" s="18">
        <v>45971</v>
      </c>
      <c r="C1725" t="s">
        <v>2027</v>
      </c>
      <c r="D1725" t="s">
        <v>2047</v>
      </c>
      <c r="E1725" t="s">
        <v>2053</v>
      </c>
      <c r="F1725" t="s">
        <v>2062</v>
      </c>
      <c r="G1725">
        <v>5</v>
      </c>
      <c r="H1725">
        <v>1100</v>
      </c>
      <c r="I1725">
        <v>1298</v>
      </c>
      <c r="J1725">
        <v>7.2</v>
      </c>
      <c r="K1725">
        <v>6022.81</v>
      </c>
      <c r="L1725">
        <v>522.80999999999995</v>
      </c>
      <c r="M1725">
        <v>46728</v>
      </c>
      <c r="N1725">
        <v>5500</v>
      </c>
      <c r="O1725">
        <v>8.6804996338918201</v>
      </c>
      <c r="P1725" t="s">
        <v>2085</v>
      </c>
      <c r="Q1725" t="s">
        <v>2091</v>
      </c>
    </row>
    <row r="1726" spans="1:17" x14ac:dyDescent="0.25">
      <c r="A1726" t="s">
        <v>584</v>
      </c>
      <c r="B1726" s="18">
        <v>45971</v>
      </c>
      <c r="C1726" t="s">
        <v>2021</v>
      </c>
      <c r="D1726" t="s">
        <v>2041</v>
      </c>
      <c r="E1726" t="s">
        <v>2056</v>
      </c>
      <c r="F1726" t="s">
        <v>2061</v>
      </c>
      <c r="G1726">
        <v>2</v>
      </c>
      <c r="H1726">
        <v>300</v>
      </c>
      <c r="I1726">
        <v>405</v>
      </c>
      <c r="J1726">
        <v>11.51</v>
      </c>
      <c r="K1726">
        <v>716.74</v>
      </c>
      <c r="L1726">
        <v>116.74</v>
      </c>
      <c r="M1726">
        <v>9323.1</v>
      </c>
      <c r="N1726">
        <v>600</v>
      </c>
      <c r="O1726">
        <v>16.287635683790494</v>
      </c>
      <c r="P1726" t="s">
        <v>2085</v>
      </c>
      <c r="Q1726" t="s">
        <v>2092</v>
      </c>
    </row>
    <row r="1727" spans="1:17" x14ac:dyDescent="0.25">
      <c r="A1727" t="s">
        <v>758</v>
      </c>
      <c r="B1727" s="18">
        <v>45971</v>
      </c>
      <c r="C1727" t="s">
        <v>2031</v>
      </c>
      <c r="D1727" t="s">
        <v>2051</v>
      </c>
      <c r="E1727" t="s">
        <v>2058</v>
      </c>
      <c r="F1727" t="s">
        <v>2060</v>
      </c>
      <c r="G1727">
        <v>4</v>
      </c>
      <c r="H1727">
        <v>3200</v>
      </c>
      <c r="I1727">
        <v>3840</v>
      </c>
      <c r="J1727">
        <v>5.62</v>
      </c>
      <c r="K1727">
        <v>14497.04</v>
      </c>
      <c r="L1727">
        <v>1697.04</v>
      </c>
      <c r="M1727">
        <v>86323.199999999997</v>
      </c>
      <c r="N1727">
        <v>12800</v>
      </c>
      <c r="O1727">
        <v>11.706113799782575</v>
      </c>
      <c r="P1727" t="s">
        <v>2085</v>
      </c>
      <c r="Q1727" t="s">
        <v>2092</v>
      </c>
    </row>
    <row r="1728" spans="1:17" x14ac:dyDescent="0.25">
      <c r="A1728" t="s">
        <v>1849</v>
      </c>
      <c r="B1728" s="18">
        <v>45971</v>
      </c>
      <c r="C1728" t="s">
        <v>2030</v>
      </c>
      <c r="D1728" t="s">
        <v>2050</v>
      </c>
      <c r="E1728" t="s">
        <v>2058</v>
      </c>
      <c r="F1728" t="s">
        <v>2059</v>
      </c>
      <c r="G1728">
        <v>2</v>
      </c>
      <c r="H1728">
        <v>1800</v>
      </c>
      <c r="I1728">
        <v>2124</v>
      </c>
      <c r="J1728">
        <v>5.72</v>
      </c>
      <c r="K1728">
        <v>4005.06</v>
      </c>
      <c r="L1728">
        <v>405.06</v>
      </c>
      <c r="M1728">
        <v>24298.559999999998</v>
      </c>
      <c r="N1728">
        <v>3600</v>
      </c>
      <c r="O1728">
        <v>10.113706161705442</v>
      </c>
      <c r="P1728" t="s">
        <v>2085</v>
      </c>
      <c r="Q1728" t="s">
        <v>2092</v>
      </c>
    </row>
    <row r="1729" spans="1:17" x14ac:dyDescent="0.25">
      <c r="A1729" t="s">
        <v>1933</v>
      </c>
      <c r="B1729" s="18">
        <v>45971</v>
      </c>
      <c r="C1729" t="s">
        <v>2018</v>
      </c>
      <c r="D1729" t="s">
        <v>2038</v>
      </c>
      <c r="E1729" t="s">
        <v>2053</v>
      </c>
      <c r="F1729" t="s">
        <v>2062</v>
      </c>
      <c r="G1729">
        <v>6</v>
      </c>
      <c r="H1729">
        <v>500</v>
      </c>
      <c r="I1729">
        <v>610</v>
      </c>
      <c r="J1729">
        <v>1.56</v>
      </c>
      <c r="K1729">
        <v>3602.89</v>
      </c>
      <c r="L1729">
        <v>602.89</v>
      </c>
      <c r="M1729">
        <v>5709.6</v>
      </c>
      <c r="N1729">
        <v>3000</v>
      </c>
      <c r="O1729">
        <v>16.733511153546182</v>
      </c>
      <c r="P1729" t="s">
        <v>2085</v>
      </c>
      <c r="Q1729" t="s">
        <v>2092</v>
      </c>
    </row>
    <row r="1730" spans="1:17" x14ac:dyDescent="0.25">
      <c r="A1730" t="s">
        <v>315</v>
      </c>
      <c r="B1730" s="18">
        <v>45972</v>
      </c>
      <c r="C1730" t="s">
        <v>2030</v>
      </c>
      <c r="D1730" t="s">
        <v>2050</v>
      </c>
      <c r="E1730" t="s">
        <v>2058</v>
      </c>
      <c r="F1730" t="s">
        <v>2061</v>
      </c>
      <c r="G1730">
        <v>9</v>
      </c>
      <c r="H1730">
        <v>1800</v>
      </c>
      <c r="I1730">
        <v>2124</v>
      </c>
      <c r="J1730">
        <v>8.83</v>
      </c>
      <c r="K1730">
        <v>17428.66</v>
      </c>
      <c r="L1730">
        <v>1228.6600000000001</v>
      </c>
      <c r="M1730">
        <v>168794.28</v>
      </c>
      <c r="N1730">
        <v>16200</v>
      </c>
      <c r="O1730">
        <v>7.0496526984862875</v>
      </c>
      <c r="P1730" t="s">
        <v>2085</v>
      </c>
      <c r="Q1730" t="s">
        <v>2091</v>
      </c>
    </row>
    <row r="1731" spans="1:17" x14ac:dyDescent="0.25">
      <c r="A1731" t="s">
        <v>1123</v>
      </c>
      <c r="B1731" s="18">
        <v>45972</v>
      </c>
      <c r="C1731" t="s">
        <v>2030</v>
      </c>
      <c r="D1731" t="s">
        <v>2050</v>
      </c>
      <c r="E1731" t="s">
        <v>2058</v>
      </c>
      <c r="F1731" t="s">
        <v>2062</v>
      </c>
      <c r="G1731">
        <v>10</v>
      </c>
      <c r="H1731">
        <v>1800</v>
      </c>
      <c r="I1731">
        <v>2124</v>
      </c>
      <c r="J1731">
        <v>4</v>
      </c>
      <c r="K1731">
        <v>20390.400000000001</v>
      </c>
      <c r="L1731">
        <v>2390.4</v>
      </c>
      <c r="M1731">
        <v>84960</v>
      </c>
      <c r="N1731">
        <v>18000</v>
      </c>
      <c r="O1731">
        <v>11.72316384180791</v>
      </c>
      <c r="P1731" t="s">
        <v>2085</v>
      </c>
      <c r="Q1731" t="s">
        <v>2092</v>
      </c>
    </row>
    <row r="1732" spans="1:17" x14ac:dyDescent="0.25">
      <c r="A1732" t="s">
        <v>1764</v>
      </c>
      <c r="B1732" s="18">
        <v>45972</v>
      </c>
      <c r="C1732" t="s">
        <v>2013</v>
      </c>
      <c r="D1732" t="s">
        <v>2033</v>
      </c>
      <c r="E1732" t="s">
        <v>2053</v>
      </c>
      <c r="F1732" t="s">
        <v>2059</v>
      </c>
      <c r="G1732">
        <v>8</v>
      </c>
      <c r="H1732">
        <v>6500</v>
      </c>
      <c r="I1732">
        <v>7150</v>
      </c>
      <c r="J1732">
        <v>14.96</v>
      </c>
      <c r="K1732">
        <v>48642.15</v>
      </c>
      <c r="L1732">
        <v>-3357.85</v>
      </c>
      <c r="M1732">
        <v>855712</v>
      </c>
      <c r="N1732">
        <v>52000</v>
      </c>
      <c r="O1732">
        <v>-6.9031693705973103</v>
      </c>
      <c r="P1732" t="s">
        <v>2085</v>
      </c>
      <c r="Q1732" t="s">
        <v>2093</v>
      </c>
    </row>
    <row r="1733" spans="1:17" x14ac:dyDescent="0.25">
      <c r="A1733" t="s">
        <v>1940</v>
      </c>
      <c r="B1733" s="18">
        <v>45972</v>
      </c>
      <c r="C1733" t="s">
        <v>2023</v>
      </c>
      <c r="D1733" t="s">
        <v>2043</v>
      </c>
      <c r="E1733" t="s">
        <v>2053</v>
      </c>
      <c r="F1733" t="s">
        <v>2061</v>
      </c>
      <c r="G1733">
        <v>1</v>
      </c>
      <c r="H1733">
        <v>550</v>
      </c>
      <c r="I1733">
        <v>742.5</v>
      </c>
      <c r="J1733">
        <v>0.94</v>
      </c>
      <c r="K1733">
        <v>735.52</v>
      </c>
      <c r="L1733">
        <v>185.52</v>
      </c>
      <c r="M1733">
        <v>697.94999999999993</v>
      </c>
      <c r="N1733">
        <v>550</v>
      </c>
      <c r="O1733">
        <v>25.222971503154234</v>
      </c>
      <c r="P1733" t="s">
        <v>2085</v>
      </c>
      <c r="Q1733" t="s">
        <v>2092</v>
      </c>
    </row>
    <row r="1734" spans="1:17" x14ac:dyDescent="0.25">
      <c r="A1734" t="s">
        <v>74</v>
      </c>
      <c r="B1734" s="18">
        <v>45973</v>
      </c>
      <c r="C1734" t="s">
        <v>2026</v>
      </c>
      <c r="D1734" t="s">
        <v>2046</v>
      </c>
      <c r="E1734" t="s">
        <v>2052</v>
      </c>
      <c r="F1734" t="s">
        <v>2060</v>
      </c>
      <c r="G1734">
        <v>2</v>
      </c>
      <c r="H1734">
        <v>3000</v>
      </c>
      <c r="I1734">
        <v>3600</v>
      </c>
      <c r="J1734">
        <v>21.17</v>
      </c>
      <c r="K1734">
        <v>5675.65</v>
      </c>
      <c r="L1734">
        <v>-324.35000000000002</v>
      </c>
      <c r="M1734">
        <v>152424</v>
      </c>
      <c r="N1734">
        <v>6000</v>
      </c>
      <c r="O1734">
        <v>-5.7147639477416687</v>
      </c>
      <c r="P1734" t="s">
        <v>2085</v>
      </c>
      <c r="Q1734" t="s">
        <v>2093</v>
      </c>
    </row>
    <row r="1735" spans="1:17" x14ac:dyDescent="0.25">
      <c r="A1735" t="s">
        <v>131</v>
      </c>
      <c r="B1735" s="18">
        <v>45973</v>
      </c>
      <c r="C1735" t="s">
        <v>2017</v>
      </c>
      <c r="D1735" t="s">
        <v>2037</v>
      </c>
      <c r="E1735" t="s">
        <v>2055</v>
      </c>
      <c r="F1735" t="s">
        <v>2060</v>
      </c>
      <c r="G1735">
        <v>3</v>
      </c>
      <c r="H1735">
        <v>2500</v>
      </c>
      <c r="I1735">
        <v>2875</v>
      </c>
      <c r="J1735">
        <v>10.1</v>
      </c>
      <c r="K1735">
        <v>7753.75</v>
      </c>
      <c r="L1735">
        <v>253.75</v>
      </c>
      <c r="M1735">
        <v>87112.5</v>
      </c>
      <c r="N1735">
        <v>7500</v>
      </c>
      <c r="O1735">
        <v>3.2726100274060941</v>
      </c>
      <c r="P1735" t="s">
        <v>2085</v>
      </c>
      <c r="Q1735" t="s">
        <v>2091</v>
      </c>
    </row>
    <row r="1736" spans="1:17" x14ac:dyDescent="0.25">
      <c r="A1736" t="s">
        <v>535</v>
      </c>
      <c r="B1736" s="18">
        <v>45973</v>
      </c>
      <c r="C1736" t="s">
        <v>2013</v>
      </c>
      <c r="D1736" t="s">
        <v>2033</v>
      </c>
      <c r="E1736" t="s">
        <v>2053</v>
      </c>
      <c r="F1736" t="s">
        <v>2059</v>
      </c>
      <c r="G1736">
        <v>6</v>
      </c>
      <c r="H1736">
        <v>6500</v>
      </c>
      <c r="I1736">
        <v>7150</v>
      </c>
      <c r="J1736">
        <v>4</v>
      </c>
      <c r="K1736">
        <v>41184</v>
      </c>
      <c r="L1736">
        <v>2184</v>
      </c>
      <c r="M1736">
        <v>171600</v>
      </c>
      <c r="N1736">
        <v>39000</v>
      </c>
      <c r="O1736">
        <v>5.3030303030303028</v>
      </c>
      <c r="P1736" t="s">
        <v>2085</v>
      </c>
      <c r="Q1736" t="s">
        <v>2091</v>
      </c>
    </row>
    <row r="1737" spans="1:17" x14ac:dyDescent="0.25">
      <c r="A1737" t="s">
        <v>686</v>
      </c>
      <c r="B1737" s="18">
        <v>45973</v>
      </c>
      <c r="C1737" t="s">
        <v>2025</v>
      </c>
      <c r="D1737" t="s">
        <v>2045</v>
      </c>
      <c r="E1737" t="s">
        <v>2057</v>
      </c>
      <c r="F1737" t="s">
        <v>2061</v>
      </c>
      <c r="G1737">
        <v>5</v>
      </c>
      <c r="H1737">
        <v>45</v>
      </c>
      <c r="I1737">
        <v>63</v>
      </c>
      <c r="J1737">
        <v>9.98</v>
      </c>
      <c r="K1737">
        <v>283.55</v>
      </c>
      <c r="L1737">
        <v>58.55</v>
      </c>
      <c r="M1737">
        <v>3143.7000000000003</v>
      </c>
      <c r="N1737">
        <v>225</v>
      </c>
      <c r="O1737">
        <v>20.648915535178979</v>
      </c>
      <c r="P1737" t="s">
        <v>2085</v>
      </c>
      <c r="Q1737" t="s">
        <v>2092</v>
      </c>
    </row>
    <row r="1738" spans="1:17" x14ac:dyDescent="0.25">
      <c r="A1738" t="s">
        <v>1423</v>
      </c>
      <c r="B1738" s="18">
        <v>45973</v>
      </c>
      <c r="C1738" t="s">
        <v>2012</v>
      </c>
      <c r="D1738" t="s">
        <v>2032</v>
      </c>
      <c r="E1738" t="s">
        <v>2052</v>
      </c>
      <c r="F1738" t="s">
        <v>2060</v>
      </c>
      <c r="G1738">
        <v>6</v>
      </c>
      <c r="H1738">
        <v>6500</v>
      </c>
      <c r="I1738">
        <v>8125</v>
      </c>
      <c r="J1738">
        <v>23.56</v>
      </c>
      <c r="K1738">
        <v>37263.980000000003</v>
      </c>
      <c r="L1738">
        <v>-1736.02</v>
      </c>
      <c r="M1738">
        <v>1148550</v>
      </c>
      <c r="N1738">
        <v>39000</v>
      </c>
      <c r="O1738">
        <v>-4.6587079533640798</v>
      </c>
      <c r="P1738" t="s">
        <v>2085</v>
      </c>
      <c r="Q1738" t="s">
        <v>2093</v>
      </c>
    </row>
    <row r="1739" spans="1:17" x14ac:dyDescent="0.25">
      <c r="A1739" t="s">
        <v>843</v>
      </c>
      <c r="B1739" s="18">
        <v>45974</v>
      </c>
      <c r="C1739" t="s">
        <v>2031</v>
      </c>
      <c r="D1739" t="s">
        <v>2051</v>
      </c>
      <c r="E1739" t="s">
        <v>2058</v>
      </c>
      <c r="F1739" t="s">
        <v>2061</v>
      </c>
      <c r="G1739">
        <v>8</v>
      </c>
      <c r="H1739">
        <v>3200</v>
      </c>
      <c r="I1739">
        <v>3840</v>
      </c>
      <c r="J1739">
        <v>17.48</v>
      </c>
      <c r="K1739">
        <v>25351.279999999999</v>
      </c>
      <c r="L1739">
        <v>-248.72</v>
      </c>
      <c r="M1739">
        <v>536985.59999999998</v>
      </c>
      <c r="N1739">
        <v>25600</v>
      </c>
      <c r="O1739">
        <v>-0.98109444572423954</v>
      </c>
      <c r="P1739" t="s">
        <v>2085</v>
      </c>
      <c r="Q1739" t="s">
        <v>2093</v>
      </c>
    </row>
    <row r="1740" spans="1:17" x14ac:dyDescent="0.25">
      <c r="A1740" t="s">
        <v>1838</v>
      </c>
      <c r="B1740" s="18">
        <v>45974</v>
      </c>
      <c r="C1740" t="s">
        <v>2024</v>
      </c>
      <c r="D1740" t="s">
        <v>2044</v>
      </c>
      <c r="E1740" t="s">
        <v>2055</v>
      </c>
      <c r="F1740" t="s">
        <v>2059</v>
      </c>
      <c r="G1740">
        <v>10</v>
      </c>
      <c r="H1740">
        <v>180</v>
      </c>
      <c r="I1740">
        <v>243</v>
      </c>
      <c r="J1740">
        <v>6.46</v>
      </c>
      <c r="K1740">
        <v>2273.02</v>
      </c>
      <c r="L1740">
        <v>473.02</v>
      </c>
      <c r="M1740">
        <v>15697.8</v>
      </c>
      <c r="N1740">
        <v>1800</v>
      </c>
      <c r="O1740">
        <v>20.810199646285557</v>
      </c>
      <c r="P1740" t="s">
        <v>2085</v>
      </c>
      <c r="Q1740" t="s">
        <v>2092</v>
      </c>
    </row>
    <row r="1741" spans="1:17" x14ac:dyDescent="0.25">
      <c r="A1741" t="s">
        <v>959</v>
      </c>
      <c r="B1741" s="18">
        <v>45975</v>
      </c>
      <c r="C1741" t="s">
        <v>2015</v>
      </c>
      <c r="D1741" t="s">
        <v>2035</v>
      </c>
      <c r="E1741" t="s">
        <v>2054</v>
      </c>
      <c r="F1741" t="s">
        <v>2061</v>
      </c>
      <c r="G1741">
        <v>1</v>
      </c>
      <c r="H1741">
        <v>900</v>
      </c>
      <c r="I1741">
        <v>1170</v>
      </c>
      <c r="J1741">
        <v>13.69</v>
      </c>
      <c r="K1741">
        <v>1009.8</v>
      </c>
      <c r="L1741">
        <v>109.8</v>
      </c>
      <c r="M1741">
        <v>16017.3</v>
      </c>
      <c r="N1741">
        <v>900</v>
      </c>
      <c r="O1741">
        <v>10.873440285204991</v>
      </c>
      <c r="P1741" t="s">
        <v>2085</v>
      </c>
      <c r="Q1741" t="s">
        <v>2092</v>
      </c>
    </row>
    <row r="1742" spans="1:17" x14ac:dyDescent="0.25">
      <c r="A1742" t="s">
        <v>1825</v>
      </c>
      <c r="B1742" s="18">
        <v>45975</v>
      </c>
      <c r="C1742" t="s">
        <v>2017</v>
      </c>
      <c r="D1742" t="s">
        <v>2037</v>
      </c>
      <c r="E1742" t="s">
        <v>2055</v>
      </c>
      <c r="F1742" t="s">
        <v>2060</v>
      </c>
      <c r="G1742">
        <v>7</v>
      </c>
      <c r="H1742">
        <v>2500</v>
      </c>
      <c r="I1742">
        <v>2875</v>
      </c>
      <c r="J1742">
        <v>17.059999999999999</v>
      </c>
      <c r="K1742">
        <v>16691.099999999999</v>
      </c>
      <c r="L1742">
        <v>-808.9</v>
      </c>
      <c r="M1742">
        <v>343332.5</v>
      </c>
      <c r="N1742">
        <v>17500</v>
      </c>
      <c r="O1742">
        <v>-4.846295331044689</v>
      </c>
      <c r="P1742" t="s">
        <v>2085</v>
      </c>
      <c r="Q1742" t="s">
        <v>2093</v>
      </c>
    </row>
    <row r="1743" spans="1:17" x14ac:dyDescent="0.25">
      <c r="A1743" t="s">
        <v>1986</v>
      </c>
      <c r="B1743" s="18">
        <v>45975</v>
      </c>
      <c r="C1743" t="s">
        <v>2016</v>
      </c>
      <c r="D1743" t="s">
        <v>2036</v>
      </c>
      <c r="E1743" t="s">
        <v>2052</v>
      </c>
      <c r="F1743" t="s">
        <v>2061</v>
      </c>
      <c r="G1743">
        <v>3</v>
      </c>
      <c r="H1743">
        <v>900</v>
      </c>
      <c r="I1743">
        <v>1170</v>
      </c>
      <c r="J1743">
        <v>0</v>
      </c>
      <c r="K1743">
        <v>3510</v>
      </c>
      <c r="L1743">
        <v>810</v>
      </c>
      <c r="M1743">
        <v>0</v>
      </c>
      <c r="N1743">
        <v>2700</v>
      </c>
      <c r="O1743">
        <v>23.076923076923077</v>
      </c>
      <c r="P1743" t="s">
        <v>2085</v>
      </c>
      <c r="Q1743" t="s">
        <v>2092</v>
      </c>
    </row>
    <row r="1744" spans="1:17" x14ac:dyDescent="0.25">
      <c r="A1744" t="s">
        <v>455</v>
      </c>
      <c r="B1744" s="18">
        <v>45976</v>
      </c>
      <c r="C1744" t="s">
        <v>2029</v>
      </c>
      <c r="D1744" t="s">
        <v>2049</v>
      </c>
      <c r="E1744" t="s">
        <v>2055</v>
      </c>
      <c r="F1744" t="s">
        <v>2060</v>
      </c>
      <c r="G1744">
        <v>10</v>
      </c>
      <c r="H1744">
        <v>1200</v>
      </c>
      <c r="I1744">
        <v>1464</v>
      </c>
      <c r="J1744">
        <v>1.86</v>
      </c>
      <c r="K1744">
        <v>14368.32</v>
      </c>
      <c r="L1744">
        <v>2368.3200000000002</v>
      </c>
      <c r="M1744">
        <v>27230.400000000001</v>
      </c>
      <c r="N1744">
        <v>12000</v>
      </c>
      <c r="O1744">
        <v>16.482929110710231</v>
      </c>
      <c r="P1744" t="s">
        <v>2085</v>
      </c>
      <c r="Q1744" t="s">
        <v>2092</v>
      </c>
    </row>
    <row r="1745" spans="1:17" x14ac:dyDescent="0.25">
      <c r="A1745" t="s">
        <v>473</v>
      </c>
      <c r="B1745" s="18">
        <v>45976</v>
      </c>
      <c r="C1745" t="s">
        <v>2024</v>
      </c>
      <c r="D1745" t="s">
        <v>2044</v>
      </c>
      <c r="E1745" t="s">
        <v>2055</v>
      </c>
      <c r="F1745" t="s">
        <v>2060</v>
      </c>
      <c r="G1745">
        <v>10</v>
      </c>
      <c r="H1745">
        <v>180</v>
      </c>
      <c r="I1745">
        <v>243</v>
      </c>
      <c r="J1745">
        <v>12.08</v>
      </c>
      <c r="K1745">
        <v>2136.4699999999998</v>
      </c>
      <c r="L1745">
        <v>336.47</v>
      </c>
      <c r="M1745">
        <v>29354.400000000001</v>
      </c>
      <c r="N1745">
        <v>1800</v>
      </c>
      <c r="O1745">
        <v>15.748875481518581</v>
      </c>
      <c r="P1745" t="s">
        <v>2085</v>
      </c>
      <c r="Q1745" t="s">
        <v>2092</v>
      </c>
    </row>
    <row r="1746" spans="1:17" x14ac:dyDescent="0.25">
      <c r="A1746" t="s">
        <v>638</v>
      </c>
      <c r="B1746" s="18">
        <v>45976</v>
      </c>
      <c r="C1746" t="s">
        <v>2025</v>
      </c>
      <c r="D1746" t="s">
        <v>2045</v>
      </c>
      <c r="E1746" t="s">
        <v>2057</v>
      </c>
      <c r="F1746" t="s">
        <v>2062</v>
      </c>
      <c r="G1746">
        <v>10</v>
      </c>
      <c r="H1746">
        <v>45</v>
      </c>
      <c r="I1746">
        <v>63</v>
      </c>
      <c r="J1746">
        <v>0.66</v>
      </c>
      <c r="K1746">
        <v>625.80999999999995</v>
      </c>
      <c r="L1746">
        <v>175.81</v>
      </c>
      <c r="M1746">
        <v>415.8</v>
      </c>
      <c r="N1746">
        <v>450</v>
      </c>
      <c r="O1746">
        <v>28.093191224173474</v>
      </c>
      <c r="P1746" t="s">
        <v>2085</v>
      </c>
      <c r="Q1746" t="s">
        <v>2092</v>
      </c>
    </row>
    <row r="1747" spans="1:17" x14ac:dyDescent="0.25">
      <c r="A1747" t="s">
        <v>2007</v>
      </c>
      <c r="B1747" s="18">
        <v>45976</v>
      </c>
      <c r="C1747" t="s">
        <v>2020</v>
      </c>
      <c r="D1747" t="s">
        <v>2040</v>
      </c>
      <c r="E1747" t="s">
        <v>2053</v>
      </c>
      <c r="F1747" t="s">
        <v>2059</v>
      </c>
      <c r="G1747">
        <v>1</v>
      </c>
      <c r="H1747">
        <v>350</v>
      </c>
      <c r="I1747">
        <v>455</v>
      </c>
      <c r="J1747">
        <v>20.440000000000001</v>
      </c>
      <c r="K1747">
        <v>362.01</v>
      </c>
      <c r="L1747">
        <v>12.01</v>
      </c>
      <c r="M1747">
        <v>9300.2000000000007</v>
      </c>
      <c r="N1747">
        <v>350</v>
      </c>
      <c r="O1747">
        <v>3.3175879119361347</v>
      </c>
      <c r="P1747" t="s">
        <v>2085</v>
      </c>
      <c r="Q1747" t="s">
        <v>2091</v>
      </c>
    </row>
    <row r="1748" spans="1:17" x14ac:dyDescent="0.25">
      <c r="A1748" t="s">
        <v>275</v>
      </c>
      <c r="B1748" s="18">
        <v>45977</v>
      </c>
      <c r="C1748" t="s">
        <v>2019</v>
      </c>
      <c r="D1748" t="s">
        <v>2039</v>
      </c>
      <c r="E1748" t="s">
        <v>2053</v>
      </c>
      <c r="F1748" t="s">
        <v>2062</v>
      </c>
      <c r="G1748">
        <v>8</v>
      </c>
      <c r="H1748">
        <v>900</v>
      </c>
      <c r="I1748">
        <v>1152</v>
      </c>
      <c r="J1748">
        <v>15.15</v>
      </c>
      <c r="K1748">
        <v>7819.54</v>
      </c>
      <c r="L1748">
        <v>619.54</v>
      </c>
      <c r="M1748">
        <v>139622.39999999999</v>
      </c>
      <c r="N1748">
        <v>7200</v>
      </c>
      <c r="O1748">
        <v>7.9229724510648953</v>
      </c>
      <c r="P1748" t="s">
        <v>2085</v>
      </c>
      <c r="Q1748" t="s">
        <v>2091</v>
      </c>
    </row>
    <row r="1749" spans="1:17" x14ac:dyDescent="0.25">
      <c r="A1749" t="s">
        <v>389</v>
      </c>
      <c r="B1749" s="18">
        <v>45977</v>
      </c>
      <c r="C1749" t="s">
        <v>2019</v>
      </c>
      <c r="D1749" t="s">
        <v>2039</v>
      </c>
      <c r="E1749" t="s">
        <v>2053</v>
      </c>
      <c r="F1749" t="s">
        <v>2060</v>
      </c>
      <c r="G1749">
        <v>10</v>
      </c>
      <c r="H1749">
        <v>900</v>
      </c>
      <c r="I1749">
        <v>1152</v>
      </c>
      <c r="J1749">
        <v>16.61</v>
      </c>
      <c r="K1749">
        <v>9606.75</v>
      </c>
      <c r="L1749">
        <v>606.75</v>
      </c>
      <c r="M1749">
        <v>191347.19999999998</v>
      </c>
      <c r="N1749">
        <v>9000</v>
      </c>
      <c r="O1749">
        <v>6.3158716527441632</v>
      </c>
      <c r="P1749" t="s">
        <v>2085</v>
      </c>
      <c r="Q1749" t="s">
        <v>2091</v>
      </c>
    </row>
    <row r="1750" spans="1:17" x14ac:dyDescent="0.25">
      <c r="A1750" t="s">
        <v>515</v>
      </c>
      <c r="B1750" s="18">
        <v>45977</v>
      </c>
      <c r="C1750" t="s">
        <v>2025</v>
      </c>
      <c r="D1750" t="s">
        <v>2045</v>
      </c>
      <c r="E1750" t="s">
        <v>2057</v>
      </c>
      <c r="F1750" t="s">
        <v>2061</v>
      </c>
      <c r="G1750">
        <v>9</v>
      </c>
      <c r="H1750">
        <v>45</v>
      </c>
      <c r="I1750">
        <v>63</v>
      </c>
      <c r="J1750">
        <v>0</v>
      </c>
      <c r="K1750">
        <v>567</v>
      </c>
      <c r="L1750">
        <v>162</v>
      </c>
      <c r="M1750">
        <v>0</v>
      </c>
      <c r="N1750">
        <v>405</v>
      </c>
      <c r="O1750">
        <v>28.571428571428569</v>
      </c>
      <c r="P1750" t="s">
        <v>2085</v>
      </c>
      <c r="Q1750" t="s">
        <v>2092</v>
      </c>
    </row>
    <row r="1751" spans="1:17" x14ac:dyDescent="0.25">
      <c r="A1751" t="s">
        <v>847</v>
      </c>
      <c r="B1751" s="18">
        <v>45977</v>
      </c>
      <c r="C1751" t="s">
        <v>2022</v>
      </c>
      <c r="D1751" t="s">
        <v>2042</v>
      </c>
      <c r="E1751" t="s">
        <v>2053</v>
      </c>
      <c r="F1751" t="s">
        <v>2062</v>
      </c>
      <c r="G1751">
        <v>3</v>
      </c>
      <c r="H1751">
        <v>8500</v>
      </c>
      <c r="I1751">
        <v>9520</v>
      </c>
      <c r="J1751">
        <v>10.54</v>
      </c>
      <c r="K1751">
        <v>25549.62</v>
      </c>
      <c r="L1751">
        <v>49.62</v>
      </c>
      <c r="M1751">
        <v>301022.39999999997</v>
      </c>
      <c r="N1751">
        <v>25500</v>
      </c>
      <c r="O1751">
        <v>0.1942103248502326</v>
      </c>
      <c r="P1751" t="s">
        <v>2085</v>
      </c>
      <c r="Q1751" t="s">
        <v>2091</v>
      </c>
    </row>
    <row r="1752" spans="1:17" x14ac:dyDescent="0.25">
      <c r="A1752" t="s">
        <v>1263</v>
      </c>
      <c r="B1752" s="18">
        <v>45977</v>
      </c>
      <c r="C1752" t="s">
        <v>2019</v>
      </c>
      <c r="D1752" t="s">
        <v>2039</v>
      </c>
      <c r="E1752" t="s">
        <v>2053</v>
      </c>
      <c r="F1752" t="s">
        <v>2062</v>
      </c>
      <c r="G1752">
        <v>9</v>
      </c>
      <c r="H1752">
        <v>900</v>
      </c>
      <c r="I1752">
        <v>1152</v>
      </c>
      <c r="J1752">
        <v>0</v>
      </c>
      <c r="K1752">
        <v>10368</v>
      </c>
      <c r="L1752">
        <v>2268</v>
      </c>
      <c r="M1752">
        <v>0</v>
      </c>
      <c r="N1752">
        <v>8100</v>
      </c>
      <c r="O1752">
        <v>21.875</v>
      </c>
      <c r="P1752" t="s">
        <v>2085</v>
      </c>
      <c r="Q1752" t="s">
        <v>2092</v>
      </c>
    </row>
    <row r="1753" spans="1:17" x14ac:dyDescent="0.25">
      <c r="A1753" t="s">
        <v>1401</v>
      </c>
      <c r="B1753" s="18">
        <v>45977</v>
      </c>
      <c r="C1753" t="s">
        <v>2023</v>
      </c>
      <c r="D1753" t="s">
        <v>2043</v>
      </c>
      <c r="E1753" t="s">
        <v>2053</v>
      </c>
      <c r="F1753" t="s">
        <v>2059</v>
      </c>
      <c r="G1753">
        <v>6</v>
      </c>
      <c r="H1753">
        <v>550</v>
      </c>
      <c r="I1753">
        <v>742.5</v>
      </c>
      <c r="J1753">
        <v>7.62</v>
      </c>
      <c r="K1753">
        <v>4115.37</v>
      </c>
      <c r="L1753">
        <v>815.37</v>
      </c>
      <c r="M1753">
        <v>33947.1</v>
      </c>
      <c r="N1753">
        <v>3300</v>
      </c>
      <c r="O1753">
        <v>19.81279933517521</v>
      </c>
      <c r="P1753" t="s">
        <v>2085</v>
      </c>
      <c r="Q1753" t="s">
        <v>2092</v>
      </c>
    </row>
    <row r="1754" spans="1:17" x14ac:dyDescent="0.25">
      <c r="A1754" t="s">
        <v>1662</v>
      </c>
      <c r="B1754" s="18">
        <v>45977</v>
      </c>
      <c r="C1754" t="s">
        <v>2012</v>
      </c>
      <c r="D1754" t="s">
        <v>2032</v>
      </c>
      <c r="E1754" t="s">
        <v>2052</v>
      </c>
      <c r="F1754" t="s">
        <v>2062</v>
      </c>
      <c r="G1754">
        <v>2</v>
      </c>
      <c r="H1754">
        <v>6500</v>
      </c>
      <c r="I1754">
        <v>8125</v>
      </c>
      <c r="J1754">
        <v>4</v>
      </c>
      <c r="K1754">
        <v>15600</v>
      </c>
      <c r="L1754">
        <v>2600</v>
      </c>
      <c r="M1754">
        <v>65000</v>
      </c>
      <c r="N1754">
        <v>13000</v>
      </c>
      <c r="O1754">
        <v>16.666666666666664</v>
      </c>
      <c r="P1754" t="s">
        <v>2085</v>
      </c>
      <c r="Q1754" t="s">
        <v>2092</v>
      </c>
    </row>
    <row r="1755" spans="1:17" x14ac:dyDescent="0.25">
      <c r="A1755" t="s">
        <v>1949</v>
      </c>
      <c r="B1755" s="18">
        <v>45977</v>
      </c>
      <c r="C1755" t="s">
        <v>2024</v>
      </c>
      <c r="D1755" t="s">
        <v>2044</v>
      </c>
      <c r="E1755" t="s">
        <v>2055</v>
      </c>
      <c r="F1755" t="s">
        <v>2062</v>
      </c>
      <c r="G1755">
        <v>5</v>
      </c>
      <c r="H1755">
        <v>180</v>
      </c>
      <c r="I1755">
        <v>243</v>
      </c>
      <c r="J1755">
        <v>2.96</v>
      </c>
      <c r="K1755">
        <v>1179.08</v>
      </c>
      <c r="L1755">
        <v>279.08</v>
      </c>
      <c r="M1755">
        <v>3596.4</v>
      </c>
      <c r="N1755">
        <v>900</v>
      </c>
      <c r="O1755">
        <v>23.669301489296739</v>
      </c>
      <c r="P1755" t="s">
        <v>2085</v>
      </c>
      <c r="Q1755" t="s">
        <v>2092</v>
      </c>
    </row>
    <row r="1756" spans="1:17" x14ac:dyDescent="0.25">
      <c r="A1756" t="s">
        <v>43</v>
      </c>
      <c r="B1756" s="18">
        <v>45978</v>
      </c>
      <c r="C1756" t="s">
        <v>2028</v>
      </c>
      <c r="D1756" t="s">
        <v>2048</v>
      </c>
      <c r="E1756" t="s">
        <v>2057</v>
      </c>
      <c r="F1756" t="s">
        <v>2061</v>
      </c>
      <c r="G1756">
        <v>6</v>
      </c>
      <c r="H1756">
        <v>80</v>
      </c>
      <c r="I1756">
        <v>116</v>
      </c>
      <c r="J1756">
        <v>3.04</v>
      </c>
      <c r="K1756">
        <v>674.81</v>
      </c>
      <c r="L1756">
        <v>194.81</v>
      </c>
      <c r="M1756">
        <v>2115.84</v>
      </c>
      <c r="N1756">
        <v>480</v>
      </c>
      <c r="O1756">
        <v>28.868866792134085</v>
      </c>
      <c r="P1756" t="s">
        <v>2085</v>
      </c>
      <c r="Q1756" t="s">
        <v>2092</v>
      </c>
    </row>
    <row r="1757" spans="1:17" x14ac:dyDescent="0.25">
      <c r="A1757" t="s">
        <v>109</v>
      </c>
      <c r="B1757" s="18">
        <v>45978</v>
      </c>
      <c r="C1757" t="s">
        <v>2023</v>
      </c>
      <c r="D1757" t="s">
        <v>2043</v>
      </c>
      <c r="E1757" t="s">
        <v>2053</v>
      </c>
      <c r="F1757" t="s">
        <v>2059</v>
      </c>
      <c r="G1757">
        <v>2</v>
      </c>
      <c r="H1757">
        <v>550</v>
      </c>
      <c r="I1757">
        <v>742.5</v>
      </c>
      <c r="J1757">
        <v>27.43</v>
      </c>
      <c r="K1757">
        <v>1077.72</v>
      </c>
      <c r="L1757">
        <v>-22.28</v>
      </c>
      <c r="M1757">
        <v>40733.550000000003</v>
      </c>
      <c r="N1757">
        <v>1100</v>
      </c>
      <c r="O1757">
        <v>-2.0673273206398695</v>
      </c>
      <c r="P1757" t="s">
        <v>2085</v>
      </c>
      <c r="Q1757" t="s">
        <v>2093</v>
      </c>
    </row>
    <row r="1758" spans="1:17" x14ac:dyDescent="0.25">
      <c r="A1758" t="s">
        <v>1048</v>
      </c>
      <c r="B1758" s="18">
        <v>45978</v>
      </c>
      <c r="C1758" t="s">
        <v>2017</v>
      </c>
      <c r="D1758" t="s">
        <v>2037</v>
      </c>
      <c r="E1758" t="s">
        <v>2055</v>
      </c>
      <c r="F1758" t="s">
        <v>2062</v>
      </c>
      <c r="G1758">
        <v>7</v>
      </c>
      <c r="H1758">
        <v>2500</v>
      </c>
      <c r="I1758">
        <v>2875</v>
      </c>
      <c r="J1758">
        <v>18.82</v>
      </c>
      <c r="K1758">
        <v>16338.39</v>
      </c>
      <c r="L1758">
        <v>-1161.6099999999999</v>
      </c>
      <c r="M1758">
        <v>378752.5</v>
      </c>
      <c r="N1758">
        <v>17500</v>
      </c>
      <c r="O1758">
        <v>-7.1096968550756836</v>
      </c>
      <c r="P1758" t="s">
        <v>2085</v>
      </c>
      <c r="Q1758" t="s">
        <v>2093</v>
      </c>
    </row>
    <row r="1759" spans="1:17" x14ac:dyDescent="0.25">
      <c r="A1759" t="s">
        <v>1091</v>
      </c>
      <c r="B1759" s="18">
        <v>45978</v>
      </c>
      <c r="C1759" t="s">
        <v>2029</v>
      </c>
      <c r="D1759" t="s">
        <v>2049</v>
      </c>
      <c r="E1759" t="s">
        <v>2055</v>
      </c>
      <c r="F1759" t="s">
        <v>2059</v>
      </c>
      <c r="G1759">
        <v>9</v>
      </c>
      <c r="H1759">
        <v>1200</v>
      </c>
      <c r="I1759">
        <v>1464</v>
      </c>
      <c r="J1759">
        <v>6.05</v>
      </c>
      <c r="K1759">
        <v>12378.54</v>
      </c>
      <c r="L1759">
        <v>1578.54</v>
      </c>
      <c r="M1759">
        <v>79714.8</v>
      </c>
      <c r="N1759">
        <v>10800</v>
      </c>
      <c r="O1759">
        <v>12.75223087698549</v>
      </c>
      <c r="P1759" t="s">
        <v>2085</v>
      </c>
      <c r="Q1759" t="s">
        <v>2092</v>
      </c>
    </row>
    <row r="1760" spans="1:17" x14ac:dyDescent="0.25">
      <c r="A1760" t="s">
        <v>1106</v>
      </c>
      <c r="B1760" s="18">
        <v>45978</v>
      </c>
      <c r="C1760" t="s">
        <v>2015</v>
      </c>
      <c r="D1760" t="s">
        <v>2035</v>
      </c>
      <c r="E1760" t="s">
        <v>2054</v>
      </c>
      <c r="F1760" t="s">
        <v>2059</v>
      </c>
      <c r="G1760">
        <v>10</v>
      </c>
      <c r="H1760">
        <v>900</v>
      </c>
      <c r="I1760">
        <v>1170</v>
      </c>
      <c r="J1760">
        <v>0</v>
      </c>
      <c r="K1760">
        <v>11700</v>
      </c>
      <c r="L1760">
        <v>2700</v>
      </c>
      <c r="M1760">
        <v>0</v>
      </c>
      <c r="N1760">
        <v>9000</v>
      </c>
      <c r="O1760">
        <v>23.076923076923077</v>
      </c>
      <c r="P1760" t="s">
        <v>2085</v>
      </c>
      <c r="Q1760" t="s">
        <v>2092</v>
      </c>
    </row>
    <row r="1761" spans="1:17" x14ac:dyDescent="0.25">
      <c r="A1761" t="s">
        <v>1344</v>
      </c>
      <c r="B1761" s="18">
        <v>45978</v>
      </c>
      <c r="C1761" t="s">
        <v>2024</v>
      </c>
      <c r="D1761" t="s">
        <v>2044</v>
      </c>
      <c r="E1761" t="s">
        <v>2055</v>
      </c>
      <c r="F1761" t="s">
        <v>2062</v>
      </c>
      <c r="G1761">
        <v>7</v>
      </c>
      <c r="H1761">
        <v>180</v>
      </c>
      <c r="I1761">
        <v>243</v>
      </c>
      <c r="J1761">
        <v>11.79</v>
      </c>
      <c r="K1761">
        <v>1500.48</v>
      </c>
      <c r="L1761">
        <v>240.48</v>
      </c>
      <c r="M1761">
        <v>20054.789999999997</v>
      </c>
      <c r="N1761">
        <v>1260</v>
      </c>
      <c r="O1761">
        <v>16.026871401151631</v>
      </c>
      <c r="P1761" t="s">
        <v>2085</v>
      </c>
      <c r="Q1761" t="s">
        <v>2092</v>
      </c>
    </row>
    <row r="1762" spans="1:17" x14ac:dyDescent="0.25">
      <c r="A1762" t="s">
        <v>1523</v>
      </c>
      <c r="B1762" s="18">
        <v>45978</v>
      </c>
      <c r="C1762" t="s">
        <v>2013</v>
      </c>
      <c r="D1762" t="s">
        <v>2033</v>
      </c>
      <c r="E1762" t="s">
        <v>2053</v>
      </c>
      <c r="F1762" t="s">
        <v>2060</v>
      </c>
      <c r="G1762">
        <v>9</v>
      </c>
      <c r="H1762">
        <v>6500</v>
      </c>
      <c r="I1762">
        <v>7150</v>
      </c>
      <c r="J1762">
        <v>15.42</v>
      </c>
      <c r="K1762">
        <v>54428.04</v>
      </c>
      <c r="L1762">
        <v>-4071.96</v>
      </c>
      <c r="M1762">
        <v>992277</v>
      </c>
      <c r="N1762">
        <v>58500</v>
      </c>
      <c r="O1762">
        <v>-7.4813643849750981</v>
      </c>
      <c r="P1762" t="s">
        <v>2085</v>
      </c>
      <c r="Q1762" t="s">
        <v>2093</v>
      </c>
    </row>
    <row r="1763" spans="1:17" x14ac:dyDescent="0.25">
      <c r="A1763" t="s">
        <v>1602</v>
      </c>
      <c r="B1763" s="18">
        <v>45978</v>
      </c>
      <c r="C1763" t="s">
        <v>2016</v>
      </c>
      <c r="D1763" t="s">
        <v>2036</v>
      </c>
      <c r="E1763" t="s">
        <v>2052</v>
      </c>
      <c r="F1763" t="s">
        <v>2062</v>
      </c>
      <c r="G1763">
        <v>10</v>
      </c>
      <c r="H1763">
        <v>900</v>
      </c>
      <c r="I1763">
        <v>1170</v>
      </c>
      <c r="J1763">
        <v>3.9</v>
      </c>
      <c r="K1763">
        <v>11244.03</v>
      </c>
      <c r="L1763">
        <v>2244.0300000000002</v>
      </c>
      <c r="M1763">
        <v>45630</v>
      </c>
      <c r="N1763">
        <v>9000</v>
      </c>
      <c r="O1763">
        <v>19.957524126136271</v>
      </c>
      <c r="P1763" t="s">
        <v>2085</v>
      </c>
      <c r="Q1763" t="s">
        <v>2092</v>
      </c>
    </row>
    <row r="1764" spans="1:17" x14ac:dyDescent="0.25">
      <c r="A1764" t="s">
        <v>1692</v>
      </c>
      <c r="B1764" s="18">
        <v>45978</v>
      </c>
      <c r="C1764" t="s">
        <v>2012</v>
      </c>
      <c r="D1764" t="s">
        <v>2032</v>
      </c>
      <c r="E1764" t="s">
        <v>2052</v>
      </c>
      <c r="F1764" t="s">
        <v>2059</v>
      </c>
      <c r="G1764">
        <v>7</v>
      </c>
      <c r="H1764">
        <v>6500</v>
      </c>
      <c r="I1764">
        <v>8125</v>
      </c>
      <c r="J1764">
        <v>15.1</v>
      </c>
      <c r="K1764">
        <v>48288.82</v>
      </c>
      <c r="L1764">
        <v>2788.82</v>
      </c>
      <c r="M1764">
        <v>858812.5</v>
      </c>
      <c r="N1764">
        <v>45500</v>
      </c>
      <c r="O1764">
        <v>5.7752912578936488</v>
      </c>
      <c r="P1764" t="s">
        <v>2085</v>
      </c>
      <c r="Q1764" t="s">
        <v>2091</v>
      </c>
    </row>
    <row r="1765" spans="1:17" x14ac:dyDescent="0.25">
      <c r="A1765" t="s">
        <v>1888</v>
      </c>
      <c r="B1765" s="18">
        <v>45978</v>
      </c>
      <c r="C1765" t="s">
        <v>2013</v>
      </c>
      <c r="D1765" t="s">
        <v>2033</v>
      </c>
      <c r="E1765" t="s">
        <v>2053</v>
      </c>
      <c r="F1765" t="s">
        <v>2061</v>
      </c>
      <c r="G1765">
        <v>9</v>
      </c>
      <c r="H1765">
        <v>6500</v>
      </c>
      <c r="I1765">
        <v>7150</v>
      </c>
      <c r="J1765">
        <v>4</v>
      </c>
      <c r="K1765">
        <v>61776</v>
      </c>
      <c r="L1765">
        <v>3276</v>
      </c>
      <c r="M1765">
        <v>257400</v>
      </c>
      <c r="N1765">
        <v>58500</v>
      </c>
      <c r="O1765">
        <v>5.3030303030303028</v>
      </c>
      <c r="P1765" t="s">
        <v>2085</v>
      </c>
      <c r="Q1765" t="s">
        <v>2091</v>
      </c>
    </row>
    <row r="1766" spans="1:17" x14ac:dyDescent="0.25">
      <c r="A1766" t="s">
        <v>1329</v>
      </c>
      <c r="B1766" s="18">
        <v>45979</v>
      </c>
      <c r="C1766" t="s">
        <v>2016</v>
      </c>
      <c r="D1766" t="s">
        <v>2036</v>
      </c>
      <c r="E1766" t="s">
        <v>2052</v>
      </c>
      <c r="F1766" t="s">
        <v>2060</v>
      </c>
      <c r="G1766">
        <v>4</v>
      </c>
      <c r="H1766">
        <v>900</v>
      </c>
      <c r="I1766">
        <v>1170</v>
      </c>
      <c r="J1766">
        <v>18.309999999999999</v>
      </c>
      <c r="K1766">
        <v>3823.25</v>
      </c>
      <c r="L1766">
        <v>223.25</v>
      </c>
      <c r="M1766">
        <v>85690.799999999988</v>
      </c>
      <c r="N1766">
        <v>3600</v>
      </c>
      <c r="O1766">
        <v>5.8392728699404959</v>
      </c>
      <c r="P1766" t="s">
        <v>2085</v>
      </c>
      <c r="Q1766" t="s">
        <v>2091</v>
      </c>
    </row>
    <row r="1767" spans="1:17" x14ac:dyDescent="0.25">
      <c r="A1767" t="s">
        <v>1714</v>
      </c>
      <c r="B1767" s="18">
        <v>45979</v>
      </c>
      <c r="C1767" t="s">
        <v>2023</v>
      </c>
      <c r="D1767" t="s">
        <v>2043</v>
      </c>
      <c r="E1767" t="s">
        <v>2053</v>
      </c>
      <c r="F1767" t="s">
        <v>2060</v>
      </c>
      <c r="G1767">
        <v>1</v>
      </c>
      <c r="H1767">
        <v>550</v>
      </c>
      <c r="I1767">
        <v>742.5</v>
      </c>
      <c r="J1767">
        <v>1.48</v>
      </c>
      <c r="K1767">
        <v>731.48</v>
      </c>
      <c r="L1767">
        <v>181.48</v>
      </c>
      <c r="M1767">
        <v>1098.9000000000001</v>
      </c>
      <c r="N1767">
        <v>550</v>
      </c>
      <c r="O1767">
        <v>24.809974298682121</v>
      </c>
      <c r="P1767" t="s">
        <v>2085</v>
      </c>
      <c r="Q1767" t="s">
        <v>2092</v>
      </c>
    </row>
    <row r="1768" spans="1:17" x14ac:dyDescent="0.25">
      <c r="A1768" t="s">
        <v>65</v>
      </c>
      <c r="B1768" s="18">
        <v>45980</v>
      </c>
      <c r="C1768" t="s">
        <v>2022</v>
      </c>
      <c r="D1768" t="s">
        <v>2042</v>
      </c>
      <c r="E1768" t="s">
        <v>2053</v>
      </c>
      <c r="F1768" t="s">
        <v>2062</v>
      </c>
      <c r="G1768">
        <v>9</v>
      </c>
      <c r="H1768">
        <v>8500</v>
      </c>
      <c r="I1768">
        <v>9520</v>
      </c>
      <c r="J1768">
        <v>14.24</v>
      </c>
      <c r="K1768">
        <v>73476.23</v>
      </c>
      <c r="L1768">
        <v>-3023.77</v>
      </c>
      <c r="M1768">
        <v>1220083.2</v>
      </c>
      <c r="N1768">
        <v>76500</v>
      </c>
      <c r="O1768">
        <v>-4.115303683926081</v>
      </c>
      <c r="P1768" t="s">
        <v>2085</v>
      </c>
      <c r="Q1768" t="s">
        <v>2093</v>
      </c>
    </row>
    <row r="1769" spans="1:17" x14ac:dyDescent="0.25">
      <c r="A1769" t="s">
        <v>1249</v>
      </c>
      <c r="B1769" s="18">
        <v>45980</v>
      </c>
      <c r="C1769" t="s">
        <v>2029</v>
      </c>
      <c r="D1769" t="s">
        <v>2049</v>
      </c>
      <c r="E1769" t="s">
        <v>2055</v>
      </c>
      <c r="F1769" t="s">
        <v>2062</v>
      </c>
      <c r="G1769">
        <v>10</v>
      </c>
      <c r="H1769">
        <v>1200</v>
      </c>
      <c r="I1769">
        <v>1464</v>
      </c>
      <c r="J1769">
        <v>7.99</v>
      </c>
      <c r="K1769">
        <v>13470.4</v>
      </c>
      <c r="L1769">
        <v>1470.4</v>
      </c>
      <c r="M1769">
        <v>116973.6</v>
      </c>
      <c r="N1769">
        <v>12000</v>
      </c>
      <c r="O1769">
        <v>10.915785722769925</v>
      </c>
      <c r="P1769" t="s">
        <v>2085</v>
      </c>
      <c r="Q1769" t="s">
        <v>2092</v>
      </c>
    </row>
    <row r="1770" spans="1:17" x14ac:dyDescent="0.25">
      <c r="A1770" t="s">
        <v>1260</v>
      </c>
      <c r="B1770" s="18">
        <v>45980</v>
      </c>
      <c r="C1770" t="s">
        <v>2021</v>
      </c>
      <c r="D1770" t="s">
        <v>2041</v>
      </c>
      <c r="E1770" t="s">
        <v>2056</v>
      </c>
      <c r="F1770" t="s">
        <v>2062</v>
      </c>
      <c r="G1770">
        <v>6</v>
      </c>
      <c r="H1770">
        <v>300</v>
      </c>
      <c r="I1770">
        <v>405</v>
      </c>
      <c r="J1770">
        <v>4.8899999999999997</v>
      </c>
      <c r="K1770">
        <v>2311.13</v>
      </c>
      <c r="L1770">
        <v>511.13</v>
      </c>
      <c r="M1770">
        <v>11882.699999999999</v>
      </c>
      <c r="N1770">
        <v>1800</v>
      </c>
      <c r="O1770">
        <v>22.11602116713469</v>
      </c>
      <c r="P1770" t="s">
        <v>2085</v>
      </c>
      <c r="Q1770" t="s">
        <v>2092</v>
      </c>
    </row>
    <row r="1771" spans="1:17" x14ac:dyDescent="0.25">
      <c r="A1771" t="s">
        <v>1737</v>
      </c>
      <c r="B1771" s="18">
        <v>45980</v>
      </c>
      <c r="C1771" t="s">
        <v>2030</v>
      </c>
      <c r="D1771" t="s">
        <v>2050</v>
      </c>
      <c r="E1771" t="s">
        <v>2058</v>
      </c>
      <c r="F1771" t="s">
        <v>2061</v>
      </c>
      <c r="G1771">
        <v>6</v>
      </c>
      <c r="H1771">
        <v>1800</v>
      </c>
      <c r="I1771">
        <v>2124</v>
      </c>
      <c r="J1771">
        <v>15.68</v>
      </c>
      <c r="K1771">
        <v>10745.56</v>
      </c>
      <c r="L1771">
        <v>-54.44</v>
      </c>
      <c r="M1771">
        <v>199825.91999999998</v>
      </c>
      <c r="N1771">
        <v>10800</v>
      </c>
      <c r="O1771">
        <v>-0.50662785373679919</v>
      </c>
      <c r="P1771" t="s">
        <v>2085</v>
      </c>
      <c r="Q1771" t="s">
        <v>2093</v>
      </c>
    </row>
    <row r="1772" spans="1:17" x14ac:dyDescent="0.25">
      <c r="A1772" t="s">
        <v>1814</v>
      </c>
      <c r="B1772" s="18">
        <v>45980</v>
      </c>
      <c r="C1772" t="s">
        <v>2020</v>
      </c>
      <c r="D1772" t="s">
        <v>2040</v>
      </c>
      <c r="E1772" t="s">
        <v>2053</v>
      </c>
      <c r="F1772" t="s">
        <v>2062</v>
      </c>
      <c r="G1772">
        <v>2</v>
      </c>
      <c r="H1772">
        <v>350</v>
      </c>
      <c r="I1772">
        <v>455</v>
      </c>
      <c r="J1772">
        <v>3.84</v>
      </c>
      <c r="K1772">
        <v>875.04</v>
      </c>
      <c r="L1772">
        <v>175.04</v>
      </c>
      <c r="M1772">
        <v>3494.4</v>
      </c>
      <c r="N1772">
        <v>700</v>
      </c>
      <c r="O1772">
        <v>20.00365697568111</v>
      </c>
      <c r="P1772" t="s">
        <v>2085</v>
      </c>
      <c r="Q1772" t="s">
        <v>2092</v>
      </c>
    </row>
    <row r="1773" spans="1:17" x14ac:dyDescent="0.25">
      <c r="A1773" t="s">
        <v>288</v>
      </c>
      <c r="B1773" s="18">
        <v>45981</v>
      </c>
      <c r="C1773" t="s">
        <v>2023</v>
      </c>
      <c r="D1773" t="s">
        <v>2043</v>
      </c>
      <c r="E1773" t="s">
        <v>2053</v>
      </c>
      <c r="F1773" t="s">
        <v>2061</v>
      </c>
      <c r="G1773">
        <v>10</v>
      </c>
      <c r="H1773">
        <v>550</v>
      </c>
      <c r="I1773">
        <v>742.5</v>
      </c>
      <c r="J1773">
        <v>3.37</v>
      </c>
      <c r="K1773">
        <v>7175.13</v>
      </c>
      <c r="L1773">
        <v>1675.13</v>
      </c>
      <c r="M1773">
        <v>25022.25</v>
      </c>
      <c r="N1773">
        <v>5500</v>
      </c>
      <c r="O1773">
        <v>23.34633658205496</v>
      </c>
      <c r="P1773" t="s">
        <v>2085</v>
      </c>
      <c r="Q1773" t="s">
        <v>2092</v>
      </c>
    </row>
    <row r="1774" spans="1:17" x14ac:dyDescent="0.25">
      <c r="A1774" t="s">
        <v>886</v>
      </c>
      <c r="B1774" s="18">
        <v>45981</v>
      </c>
      <c r="C1774" t="s">
        <v>2027</v>
      </c>
      <c r="D1774" t="s">
        <v>2047</v>
      </c>
      <c r="E1774" t="s">
        <v>2053</v>
      </c>
      <c r="F1774" t="s">
        <v>2061</v>
      </c>
      <c r="G1774">
        <v>4</v>
      </c>
      <c r="H1774">
        <v>1100</v>
      </c>
      <c r="I1774">
        <v>1298</v>
      </c>
      <c r="J1774">
        <v>8.93</v>
      </c>
      <c r="K1774">
        <v>4728.3599999999997</v>
      </c>
      <c r="L1774">
        <v>328.36</v>
      </c>
      <c r="M1774">
        <v>46364.56</v>
      </c>
      <c r="N1774">
        <v>4400</v>
      </c>
      <c r="O1774">
        <v>6.944479692747592</v>
      </c>
      <c r="P1774" t="s">
        <v>2085</v>
      </c>
      <c r="Q1774" t="s">
        <v>2091</v>
      </c>
    </row>
    <row r="1775" spans="1:17" x14ac:dyDescent="0.25">
      <c r="A1775" t="s">
        <v>1009</v>
      </c>
      <c r="B1775" s="18">
        <v>45981</v>
      </c>
      <c r="C1775" t="s">
        <v>2015</v>
      </c>
      <c r="D1775" t="s">
        <v>2035</v>
      </c>
      <c r="E1775" t="s">
        <v>2054</v>
      </c>
      <c r="F1775" t="s">
        <v>2060</v>
      </c>
      <c r="G1775">
        <v>8</v>
      </c>
      <c r="H1775">
        <v>900</v>
      </c>
      <c r="I1775">
        <v>1170</v>
      </c>
      <c r="J1775">
        <v>12.28</v>
      </c>
      <c r="K1775">
        <v>8210.84</v>
      </c>
      <c r="L1775">
        <v>1010.84</v>
      </c>
      <c r="M1775">
        <v>114940.79999999999</v>
      </c>
      <c r="N1775">
        <v>7200</v>
      </c>
      <c r="O1775">
        <v>12.311042475556704</v>
      </c>
      <c r="P1775" t="s">
        <v>2085</v>
      </c>
      <c r="Q1775" t="s">
        <v>2092</v>
      </c>
    </row>
    <row r="1776" spans="1:17" x14ac:dyDescent="0.25">
      <c r="A1776" t="s">
        <v>1165</v>
      </c>
      <c r="B1776" s="18">
        <v>45981</v>
      </c>
      <c r="C1776" t="s">
        <v>2015</v>
      </c>
      <c r="D1776" t="s">
        <v>2035</v>
      </c>
      <c r="E1776" t="s">
        <v>2054</v>
      </c>
      <c r="F1776" t="s">
        <v>2059</v>
      </c>
      <c r="G1776">
        <v>5</v>
      </c>
      <c r="H1776">
        <v>900</v>
      </c>
      <c r="I1776">
        <v>1170</v>
      </c>
      <c r="J1776">
        <v>6.65</v>
      </c>
      <c r="K1776">
        <v>5460.96</v>
      </c>
      <c r="L1776">
        <v>960.96</v>
      </c>
      <c r="M1776">
        <v>38902.5</v>
      </c>
      <c r="N1776">
        <v>4500</v>
      </c>
      <c r="O1776">
        <v>17.596906038498723</v>
      </c>
      <c r="P1776" t="s">
        <v>2085</v>
      </c>
      <c r="Q1776" t="s">
        <v>2092</v>
      </c>
    </row>
    <row r="1777" spans="1:17" x14ac:dyDescent="0.25">
      <c r="A1777" t="s">
        <v>1755</v>
      </c>
      <c r="B1777" s="18">
        <v>45981</v>
      </c>
      <c r="C1777" t="s">
        <v>2015</v>
      </c>
      <c r="D1777" t="s">
        <v>2035</v>
      </c>
      <c r="E1777" t="s">
        <v>2054</v>
      </c>
      <c r="F1777" t="s">
        <v>2061</v>
      </c>
      <c r="G1777">
        <v>7</v>
      </c>
      <c r="H1777">
        <v>900</v>
      </c>
      <c r="I1777">
        <v>1170</v>
      </c>
      <c r="J1777">
        <v>4.43</v>
      </c>
      <c r="K1777">
        <v>7827.03</v>
      </c>
      <c r="L1777">
        <v>1527.03</v>
      </c>
      <c r="M1777">
        <v>36281.699999999997</v>
      </c>
      <c r="N1777">
        <v>6300</v>
      </c>
      <c r="O1777">
        <v>19.50969908126071</v>
      </c>
      <c r="P1777" t="s">
        <v>2085</v>
      </c>
      <c r="Q1777" t="s">
        <v>2092</v>
      </c>
    </row>
    <row r="1778" spans="1:17" x14ac:dyDescent="0.25">
      <c r="A1778" t="s">
        <v>1803</v>
      </c>
      <c r="B1778" s="18">
        <v>45981</v>
      </c>
      <c r="C1778" t="s">
        <v>2022</v>
      </c>
      <c r="D1778" t="s">
        <v>2042</v>
      </c>
      <c r="E1778" t="s">
        <v>2053</v>
      </c>
      <c r="F1778" t="s">
        <v>2060</v>
      </c>
      <c r="G1778">
        <v>3</v>
      </c>
      <c r="H1778">
        <v>8500</v>
      </c>
      <c r="I1778">
        <v>9520</v>
      </c>
      <c r="J1778">
        <v>4</v>
      </c>
      <c r="K1778">
        <v>27417.599999999999</v>
      </c>
      <c r="L1778">
        <v>1917.6</v>
      </c>
      <c r="M1778">
        <v>114240</v>
      </c>
      <c r="N1778">
        <v>25500</v>
      </c>
      <c r="O1778">
        <v>6.9940476190476195</v>
      </c>
      <c r="P1778" t="s">
        <v>2085</v>
      </c>
      <c r="Q1778" t="s">
        <v>2091</v>
      </c>
    </row>
    <row r="1779" spans="1:17" x14ac:dyDescent="0.25">
      <c r="A1779" t="s">
        <v>1880</v>
      </c>
      <c r="B1779" s="18">
        <v>45981</v>
      </c>
      <c r="C1779" t="s">
        <v>2014</v>
      </c>
      <c r="D1779" t="s">
        <v>2034</v>
      </c>
      <c r="E1779" t="s">
        <v>2052</v>
      </c>
      <c r="F1779" t="s">
        <v>2059</v>
      </c>
      <c r="G1779">
        <v>5</v>
      </c>
      <c r="H1779">
        <v>4500</v>
      </c>
      <c r="I1779">
        <v>5220</v>
      </c>
      <c r="J1779">
        <v>22.8</v>
      </c>
      <c r="K1779">
        <v>20150.25</v>
      </c>
      <c r="L1779">
        <v>-2349.75</v>
      </c>
      <c r="M1779">
        <v>595080</v>
      </c>
      <c r="N1779">
        <v>22500</v>
      </c>
      <c r="O1779">
        <v>-11.661145643354301</v>
      </c>
      <c r="P1779" t="s">
        <v>2085</v>
      </c>
      <c r="Q1779" t="s">
        <v>2093</v>
      </c>
    </row>
    <row r="1780" spans="1:17" x14ac:dyDescent="0.25">
      <c r="A1780" t="s">
        <v>496</v>
      </c>
      <c r="B1780" s="18">
        <v>45982</v>
      </c>
      <c r="C1780" t="s">
        <v>2027</v>
      </c>
      <c r="D1780" t="s">
        <v>2047</v>
      </c>
      <c r="E1780" t="s">
        <v>2053</v>
      </c>
      <c r="F1780" t="s">
        <v>2059</v>
      </c>
      <c r="G1780">
        <v>2</v>
      </c>
      <c r="H1780">
        <v>1100</v>
      </c>
      <c r="I1780">
        <v>1298</v>
      </c>
      <c r="J1780">
        <v>9.8699999999999992</v>
      </c>
      <c r="K1780">
        <v>2339.66</v>
      </c>
      <c r="L1780">
        <v>139.66</v>
      </c>
      <c r="M1780">
        <v>25622.519999999997</v>
      </c>
      <c r="N1780">
        <v>2200</v>
      </c>
      <c r="O1780">
        <v>5.9692433943393484</v>
      </c>
      <c r="P1780" t="s">
        <v>2085</v>
      </c>
      <c r="Q1780" t="s">
        <v>2091</v>
      </c>
    </row>
    <row r="1781" spans="1:17" x14ac:dyDescent="0.25">
      <c r="A1781" t="s">
        <v>725</v>
      </c>
      <c r="B1781" s="18">
        <v>45982</v>
      </c>
      <c r="C1781" t="s">
        <v>2028</v>
      </c>
      <c r="D1781" t="s">
        <v>2048</v>
      </c>
      <c r="E1781" t="s">
        <v>2057</v>
      </c>
      <c r="F1781" t="s">
        <v>2059</v>
      </c>
      <c r="G1781">
        <v>8</v>
      </c>
      <c r="H1781">
        <v>80</v>
      </c>
      <c r="I1781">
        <v>116</v>
      </c>
      <c r="J1781">
        <v>11.85</v>
      </c>
      <c r="K1781">
        <v>818.01</v>
      </c>
      <c r="L1781">
        <v>178.01</v>
      </c>
      <c r="M1781">
        <v>10996.8</v>
      </c>
      <c r="N1781">
        <v>640</v>
      </c>
      <c r="O1781">
        <v>21.761347660786541</v>
      </c>
      <c r="P1781" t="s">
        <v>2085</v>
      </c>
      <c r="Q1781" t="s">
        <v>2092</v>
      </c>
    </row>
    <row r="1782" spans="1:17" x14ac:dyDescent="0.25">
      <c r="A1782" t="s">
        <v>764</v>
      </c>
      <c r="B1782" s="18">
        <v>45982</v>
      </c>
      <c r="C1782" t="s">
        <v>2027</v>
      </c>
      <c r="D1782" t="s">
        <v>2047</v>
      </c>
      <c r="E1782" t="s">
        <v>2053</v>
      </c>
      <c r="F1782" t="s">
        <v>2062</v>
      </c>
      <c r="G1782">
        <v>9</v>
      </c>
      <c r="H1782">
        <v>1100</v>
      </c>
      <c r="I1782">
        <v>1298</v>
      </c>
      <c r="J1782">
        <v>21.37</v>
      </c>
      <c r="K1782">
        <v>9185.1</v>
      </c>
      <c r="L1782">
        <v>-714.9</v>
      </c>
      <c r="M1782">
        <v>249644.34000000003</v>
      </c>
      <c r="N1782">
        <v>9900</v>
      </c>
      <c r="O1782">
        <v>-7.7832576673090115</v>
      </c>
      <c r="P1782" t="s">
        <v>2085</v>
      </c>
      <c r="Q1782" t="s">
        <v>2093</v>
      </c>
    </row>
    <row r="1783" spans="1:17" x14ac:dyDescent="0.25">
      <c r="A1783" t="s">
        <v>880</v>
      </c>
      <c r="B1783" s="18">
        <v>45982</v>
      </c>
      <c r="C1783" t="s">
        <v>2016</v>
      </c>
      <c r="D1783" t="s">
        <v>2036</v>
      </c>
      <c r="E1783" t="s">
        <v>2052</v>
      </c>
      <c r="F1783" t="s">
        <v>2062</v>
      </c>
      <c r="G1783">
        <v>3</v>
      </c>
      <c r="H1783">
        <v>900</v>
      </c>
      <c r="I1783">
        <v>1170</v>
      </c>
      <c r="J1783">
        <v>7.27</v>
      </c>
      <c r="K1783">
        <v>3254.75</v>
      </c>
      <c r="L1783">
        <v>554.75</v>
      </c>
      <c r="M1783">
        <v>25517.699999999997</v>
      </c>
      <c r="N1783">
        <v>2700</v>
      </c>
      <c r="O1783">
        <v>17.044319840233506</v>
      </c>
      <c r="P1783" t="s">
        <v>2085</v>
      </c>
      <c r="Q1783" t="s">
        <v>2092</v>
      </c>
    </row>
    <row r="1784" spans="1:17" x14ac:dyDescent="0.25">
      <c r="A1784" t="s">
        <v>1102</v>
      </c>
      <c r="B1784" s="18">
        <v>45982</v>
      </c>
      <c r="C1784" t="s">
        <v>2023</v>
      </c>
      <c r="D1784" t="s">
        <v>2043</v>
      </c>
      <c r="E1784" t="s">
        <v>2053</v>
      </c>
      <c r="F1784" t="s">
        <v>2060</v>
      </c>
      <c r="G1784">
        <v>9</v>
      </c>
      <c r="H1784">
        <v>550</v>
      </c>
      <c r="I1784">
        <v>742.5</v>
      </c>
      <c r="J1784">
        <v>7.63</v>
      </c>
      <c r="K1784">
        <v>6172.64</v>
      </c>
      <c r="L1784">
        <v>1222.6400000000001</v>
      </c>
      <c r="M1784">
        <v>50987.474999999999</v>
      </c>
      <c r="N1784">
        <v>4950</v>
      </c>
      <c r="O1784">
        <v>19.807408175432233</v>
      </c>
      <c r="P1784" t="s">
        <v>2085</v>
      </c>
      <c r="Q1784" t="s">
        <v>2092</v>
      </c>
    </row>
    <row r="1785" spans="1:17" x14ac:dyDescent="0.25">
      <c r="A1785" t="s">
        <v>1110</v>
      </c>
      <c r="B1785" s="18">
        <v>45982</v>
      </c>
      <c r="C1785" t="s">
        <v>2021</v>
      </c>
      <c r="D1785" t="s">
        <v>2041</v>
      </c>
      <c r="E1785" t="s">
        <v>2056</v>
      </c>
      <c r="F1785" t="s">
        <v>2062</v>
      </c>
      <c r="G1785">
        <v>3</v>
      </c>
      <c r="H1785">
        <v>300</v>
      </c>
      <c r="I1785">
        <v>405</v>
      </c>
      <c r="J1785">
        <v>6.76</v>
      </c>
      <c r="K1785">
        <v>1132.8499999999999</v>
      </c>
      <c r="L1785">
        <v>232.85</v>
      </c>
      <c r="M1785">
        <v>8213.4</v>
      </c>
      <c r="N1785">
        <v>900</v>
      </c>
      <c r="O1785">
        <v>20.554354062762062</v>
      </c>
      <c r="P1785" t="s">
        <v>2085</v>
      </c>
      <c r="Q1785" t="s">
        <v>2092</v>
      </c>
    </row>
    <row r="1786" spans="1:17" x14ac:dyDescent="0.25">
      <c r="A1786" t="s">
        <v>1250</v>
      </c>
      <c r="B1786" s="18">
        <v>45982</v>
      </c>
      <c r="C1786" t="s">
        <v>2029</v>
      </c>
      <c r="D1786" t="s">
        <v>2049</v>
      </c>
      <c r="E1786" t="s">
        <v>2055</v>
      </c>
      <c r="F1786" t="s">
        <v>2060</v>
      </c>
      <c r="G1786">
        <v>8</v>
      </c>
      <c r="H1786">
        <v>1200</v>
      </c>
      <c r="I1786">
        <v>1464</v>
      </c>
      <c r="J1786">
        <v>11.2</v>
      </c>
      <c r="K1786">
        <v>10400.75</v>
      </c>
      <c r="L1786">
        <v>800.75</v>
      </c>
      <c r="M1786">
        <v>131174.39999999999</v>
      </c>
      <c r="N1786">
        <v>9600</v>
      </c>
      <c r="O1786">
        <v>7.6989640170180031</v>
      </c>
      <c r="P1786" t="s">
        <v>2085</v>
      </c>
      <c r="Q1786" t="s">
        <v>2091</v>
      </c>
    </row>
    <row r="1787" spans="1:17" x14ac:dyDescent="0.25">
      <c r="A1787" t="s">
        <v>1400</v>
      </c>
      <c r="B1787" s="18">
        <v>45982</v>
      </c>
      <c r="C1787" t="s">
        <v>2031</v>
      </c>
      <c r="D1787" t="s">
        <v>2051</v>
      </c>
      <c r="E1787" t="s">
        <v>2058</v>
      </c>
      <c r="F1787" t="s">
        <v>2059</v>
      </c>
      <c r="G1787">
        <v>9</v>
      </c>
      <c r="H1787">
        <v>3200</v>
      </c>
      <c r="I1787">
        <v>3840</v>
      </c>
      <c r="J1787">
        <v>11.2</v>
      </c>
      <c r="K1787">
        <v>30690.44</v>
      </c>
      <c r="L1787">
        <v>1890.44</v>
      </c>
      <c r="M1787">
        <v>387072</v>
      </c>
      <c r="N1787">
        <v>28800</v>
      </c>
      <c r="O1787">
        <v>6.1597031518609704</v>
      </c>
      <c r="P1787" t="s">
        <v>2085</v>
      </c>
      <c r="Q1787" t="s">
        <v>2091</v>
      </c>
    </row>
    <row r="1788" spans="1:17" x14ac:dyDescent="0.25">
      <c r="A1788" t="s">
        <v>531</v>
      </c>
      <c r="B1788" s="18">
        <v>45983</v>
      </c>
      <c r="C1788" t="s">
        <v>2016</v>
      </c>
      <c r="D1788" t="s">
        <v>2036</v>
      </c>
      <c r="E1788" t="s">
        <v>2052</v>
      </c>
      <c r="F1788" t="s">
        <v>2060</v>
      </c>
      <c r="G1788">
        <v>2</v>
      </c>
      <c r="H1788">
        <v>900</v>
      </c>
      <c r="I1788">
        <v>1170</v>
      </c>
      <c r="J1788">
        <v>16</v>
      </c>
      <c r="K1788">
        <v>1965.49</v>
      </c>
      <c r="L1788">
        <v>165.49</v>
      </c>
      <c r="M1788">
        <v>37440</v>
      </c>
      <c r="N1788">
        <v>1800</v>
      </c>
      <c r="O1788">
        <v>8.4197833619097544</v>
      </c>
      <c r="P1788" t="s">
        <v>2085</v>
      </c>
      <c r="Q1788" t="s">
        <v>2091</v>
      </c>
    </row>
    <row r="1789" spans="1:17" x14ac:dyDescent="0.25">
      <c r="A1789" t="s">
        <v>1480</v>
      </c>
      <c r="B1789" s="18">
        <v>45983</v>
      </c>
      <c r="C1789" t="s">
        <v>2018</v>
      </c>
      <c r="D1789" t="s">
        <v>2038</v>
      </c>
      <c r="E1789" t="s">
        <v>2053</v>
      </c>
      <c r="F1789" t="s">
        <v>2060</v>
      </c>
      <c r="G1789">
        <v>10</v>
      </c>
      <c r="H1789">
        <v>500</v>
      </c>
      <c r="I1789">
        <v>610</v>
      </c>
      <c r="J1789">
        <v>17.440000000000001</v>
      </c>
      <c r="K1789">
        <v>5036.37</v>
      </c>
      <c r="L1789">
        <v>36.369999999999997</v>
      </c>
      <c r="M1789">
        <v>106384.00000000001</v>
      </c>
      <c r="N1789">
        <v>5000</v>
      </c>
      <c r="O1789">
        <v>0.72214710198019605</v>
      </c>
      <c r="P1789" t="s">
        <v>2085</v>
      </c>
      <c r="Q1789" t="s">
        <v>2091</v>
      </c>
    </row>
    <row r="1790" spans="1:17" x14ac:dyDescent="0.25">
      <c r="A1790" t="s">
        <v>1831</v>
      </c>
      <c r="B1790" s="18">
        <v>45983</v>
      </c>
      <c r="C1790" t="s">
        <v>2023</v>
      </c>
      <c r="D1790" t="s">
        <v>2043</v>
      </c>
      <c r="E1790" t="s">
        <v>2053</v>
      </c>
      <c r="F1790" t="s">
        <v>2062</v>
      </c>
      <c r="G1790">
        <v>8</v>
      </c>
      <c r="H1790">
        <v>550</v>
      </c>
      <c r="I1790">
        <v>742.5</v>
      </c>
      <c r="J1790">
        <v>7.49</v>
      </c>
      <c r="K1790">
        <v>5494.93</v>
      </c>
      <c r="L1790">
        <v>1094.93</v>
      </c>
      <c r="M1790">
        <v>44490.6</v>
      </c>
      <c r="N1790">
        <v>4400</v>
      </c>
      <c r="O1790">
        <v>19.926186502830792</v>
      </c>
      <c r="P1790" t="s">
        <v>2085</v>
      </c>
      <c r="Q1790" t="s">
        <v>2092</v>
      </c>
    </row>
    <row r="1791" spans="1:17" x14ac:dyDescent="0.25">
      <c r="A1791" t="s">
        <v>598</v>
      </c>
      <c r="B1791" s="18">
        <v>45984</v>
      </c>
      <c r="C1791" t="s">
        <v>2028</v>
      </c>
      <c r="D1791" t="s">
        <v>2048</v>
      </c>
      <c r="E1791" t="s">
        <v>2057</v>
      </c>
      <c r="F1791" t="s">
        <v>2060</v>
      </c>
      <c r="G1791">
        <v>5</v>
      </c>
      <c r="H1791">
        <v>80</v>
      </c>
      <c r="I1791">
        <v>116</v>
      </c>
      <c r="J1791">
        <v>6.19</v>
      </c>
      <c r="K1791">
        <v>544.07000000000005</v>
      </c>
      <c r="L1791">
        <v>144.07</v>
      </c>
      <c r="M1791">
        <v>3590.2000000000003</v>
      </c>
      <c r="N1791">
        <v>400</v>
      </c>
      <c r="O1791">
        <v>26.480048523167969</v>
      </c>
      <c r="P1791" t="s">
        <v>2085</v>
      </c>
      <c r="Q1791" t="s">
        <v>2092</v>
      </c>
    </row>
    <row r="1792" spans="1:17" x14ac:dyDescent="0.25">
      <c r="A1792" t="s">
        <v>834</v>
      </c>
      <c r="B1792" s="18">
        <v>45984</v>
      </c>
      <c r="C1792" t="s">
        <v>2024</v>
      </c>
      <c r="D1792" t="s">
        <v>2044</v>
      </c>
      <c r="E1792" t="s">
        <v>2055</v>
      </c>
      <c r="F1792" t="s">
        <v>2062</v>
      </c>
      <c r="G1792">
        <v>8</v>
      </c>
      <c r="H1792">
        <v>180</v>
      </c>
      <c r="I1792">
        <v>243</v>
      </c>
      <c r="J1792">
        <v>6.29</v>
      </c>
      <c r="K1792">
        <v>1821.69</v>
      </c>
      <c r="L1792">
        <v>381.69</v>
      </c>
      <c r="M1792">
        <v>12227.76</v>
      </c>
      <c r="N1792">
        <v>1440</v>
      </c>
      <c r="O1792">
        <v>20.952522108591474</v>
      </c>
      <c r="P1792" t="s">
        <v>2085</v>
      </c>
      <c r="Q1792" t="s">
        <v>2092</v>
      </c>
    </row>
    <row r="1793" spans="1:17" x14ac:dyDescent="0.25">
      <c r="A1793" t="s">
        <v>1281</v>
      </c>
      <c r="B1793" s="18">
        <v>45984</v>
      </c>
      <c r="C1793" t="s">
        <v>2025</v>
      </c>
      <c r="D1793" t="s">
        <v>2045</v>
      </c>
      <c r="E1793" t="s">
        <v>2057</v>
      </c>
      <c r="F1793" t="s">
        <v>2061</v>
      </c>
      <c r="G1793">
        <v>9</v>
      </c>
      <c r="H1793">
        <v>45</v>
      </c>
      <c r="I1793">
        <v>63</v>
      </c>
      <c r="J1793">
        <v>9.1300000000000008</v>
      </c>
      <c r="K1793">
        <v>515.25</v>
      </c>
      <c r="L1793">
        <v>110.25</v>
      </c>
      <c r="M1793">
        <v>5176.71</v>
      </c>
      <c r="N1793">
        <v>405</v>
      </c>
      <c r="O1793">
        <v>21.397379912663755</v>
      </c>
      <c r="P1793" t="s">
        <v>2085</v>
      </c>
      <c r="Q1793" t="s">
        <v>2092</v>
      </c>
    </row>
    <row r="1794" spans="1:17" x14ac:dyDescent="0.25">
      <c r="A1794" t="s">
        <v>1735</v>
      </c>
      <c r="B1794" s="18">
        <v>45984</v>
      </c>
      <c r="C1794" t="s">
        <v>2013</v>
      </c>
      <c r="D1794" t="s">
        <v>2033</v>
      </c>
      <c r="E1794" t="s">
        <v>2053</v>
      </c>
      <c r="F1794" t="s">
        <v>2059</v>
      </c>
      <c r="G1794">
        <v>9</v>
      </c>
      <c r="H1794">
        <v>6500</v>
      </c>
      <c r="I1794">
        <v>7150</v>
      </c>
      <c r="J1794">
        <v>9.76</v>
      </c>
      <c r="K1794">
        <v>58070.13</v>
      </c>
      <c r="L1794">
        <v>-429.87</v>
      </c>
      <c r="M1794">
        <v>628056</v>
      </c>
      <c r="N1794">
        <v>58500</v>
      </c>
      <c r="O1794">
        <v>-0.74026009585306596</v>
      </c>
      <c r="P1794" t="s">
        <v>2085</v>
      </c>
      <c r="Q1794" t="s">
        <v>2093</v>
      </c>
    </row>
    <row r="1795" spans="1:17" x14ac:dyDescent="0.25">
      <c r="A1795" t="s">
        <v>1786</v>
      </c>
      <c r="B1795" s="18">
        <v>45984</v>
      </c>
      <c r="C1795" t="s">
        <v>2014</v>
      </c>
      <c r="D1795" t="s">
        <v>2034</v>
      </c>
      <c r="E1795" t="s">
        <v>2052</v>
      </c>
      <c r="F1795" t="s">
        <v>2061</v>
      </c>
      <c r="G1795">
        <v>5</v>
      </c>
      <c r="H1795">
        <v>4500</v>
      </c>
      <c r="I1795">
        <v>5220</v>
      </c>
      <c r="J1795">
        <v>14.95</v>
      </c>
      <c r="K1795">
        <v>22198.98</v>
      </c>
      <c r="L1795">
        <v>-301.02</v>
      </c>
      <c r="M1795">
        <v>390195</v>
      </c>
      <c r="N1795">
        <v>22500</v>
      </c>
      <c r="O1795">
        <v>-1.3560082490276579</v>
      </c>
      <c r="P1795" t="s">
        <v>2085</v>
      </c>
      <c r="Q1795" t="s">
        <v>2093</v>
      </c>
    </row>
    <row r="1796" spans="1:17" x14ac:dyDescent="0.25">
      <c r="A1796" t="s">
        <v>814</v>
      </c>
      <c r="B1796" s="18">
        <v>45985</v>
      </c>
      <c r="C1796" t="s">
        <v>2018</v>
      </c>
      <c r="D1796" t="s">
        <v>2038</v>
      </c>
      <c r="E1796" t="s">
        <v>2053</v>
      </c>
      <c r="F1796" t="s">
        <v>2059</v>
      </c>
      <c r="G1796">
        <v>4</v>
      </c>
      <c r="H1796">
        <v>500</v>
      </c>
      <c r="I1796">
        <v>610</v>
      </c>
      <c r="J1796">
        <v>14.65</v>
      </c>
      <c r="K1796">
        <v>2082.4299999999998</v>
      </c>
      <c r="L1796">
        <v>82.43</v>
      </c>
      <c r="M1796">
        <v>35746</v>
      </c>
      <c r="N1796">
        <v>2000</v>
      </c>
      <c r="O1796">
        <v>3.9583563433104603</v>
      </c>
      <c r="P1796" t="s">
        <v>2085</v>
      </c>
      <c r="Q1796" t="s">
        <v>2091</v>
      </c>
    </row>
    <row r="1797" spans="1:17" x14ac:dyDescent="0.25">
      <c r="A1797" t="s">
        <v>1239</v>
      </c>
      <c r="B1797" s="18">
        <v>45985</v>
      </c>
      <c r="C1797" t="s">
        <v>2012</v>
      </c>
      <c r="D1797" t="s">
        <v>2032</v>
      </c>
      <c r="E1797" t="s">
        <v>2052</v>
      </c>
      <c r="F1797" t="s">
        <v>2062</v>
      </c>
      <c r="G1797">
        <v>1</v>
      </c>
      <c r="H1797">
        <v>6500</v>
      </c>
      <c r="I1797">
        <v>8125</v>
      </c>
      <c r="J1797">
        <v>5.56</v>
      </c>
      <c r="K1797">
        <v>7673.65</v>
      </c>
      <c r="L1797">
        <v>1173.6500000000001</v>
      </c>
      <c r="M1797">
        <v>45175</v>
      </c>
      <c r="N1797">
        <v>6500</v>
      </c>
      <c r="O1797">
        <v>15.294546923563104</v>
      </c>
      <c r="P1797" t="s">
        <v>2085</v>
      </c>
      <c r="Q1797" t="s">
        <v>2092</v>
      </c>
    </row>
    <row r="1798" spans="1:17" x14ac:dyDescent="0.25">
      <c r="A1798" t="s">
        <v>1245</v>
      </c>
      <c r="B1798" s="18">
        <v>45985</v>
      </c>
      <c r="C1798" t="s">
        <v>2028</v>
      </c>
      <c r="D1798" t="s">
        <v>2048</v>
      </c>
      <c r="E1798" t="s">
        <v>2057</v>
      </c>
      <c r="F1798" t="s">
        <v>2061</v>
      </c>
      <c r="G1798">
        <v>10</v>
      </c>
      <c r="H1798">
        <v>80</v>
      </c>
      <c r="I1798">
        <v>116</v>
      </c>
      <c r="J1798">
        <v>10.61</v>
      </c>
      <c r="K1798">
        <v>1036.8699999999999</v>
      </c>
      <c r="L1798">
        <v>236.87</v>
      </c>
      <c r="M1798">
        <v>12307.599999999999</v>
      </c>
      <c r="N1798">
        <v>800</v>
      </c>
      <c r="O1798">
        <v>22.84471534522168</v>
      </c>
      <c r="P1798" t="s">
        <v>2085</v>
      </c>
      <c r="Q1798" t="s">
        <v>2092</v>
      </c>
    </row>
    <row r="1799" spans="1:17" x14ac:dyDescent="0.25">
      <c r="A1799" t="s">
        <v>1961</v>
      </c>
      <c r="B1799" s="18">
        <v>45985</v>
      </c>
      <c r="C1799" t="s">
        <v>2019</v>
      </c>
      <c r="D1799" t="s">
        <v>2039</v>
      </c>
      <c r="E1799" t="s">
        <v>2053</v>
      </c>
      <c r="F1799" t="s">
        <v>2059</v>
      </c>
      <c r="G1799">
        <v>8</v>
      </c>
      <c r="H1799">
        <v>900</v>
      </c>
      <c r="I1799">
        <v>1152</v>
      </c>
      <c r="J1799">
        <v>18.68</v>
      </c>
      <c r="K1799">
        <v>7494.12</v>
      </c>
      <c r="L1799">
        <v>294.12</v>
      </c>
      <c r="M1799">
        <v>172154.88</v>
      </c>
      <c r="N1799">
        <v>7200</v>
      </c>
      <c r="O1799">
        <v>3.9246769467262332</v>
      </c>
      <c r="P1799" t="s">
        <v>2085</v>
      </c>
      <c r="Q1799" t="s">
        <v>2091</v>
      </c>
    </row>
    <row r="1800" spans="1:17" x14ac:dyDescent="0.25">
      <c r="A1800" t="s">
        <v>1969</v>
      </c>
      <c r="B1800" s="18">
        <v>45985</v>
      </c>
      <c r="C1800" t="s">
        <v>2015</v>
      </c>
      <c r="D1800" t="s">
        <v>2035</v>
      </c>
      <c r="E1800" t="s">
        <v>2054</v>
      </c>
      <c r="F1800" t="s">
        <v>2062</v>
      </c>
      <c r="G1800">
        <v>1</v>
      </c>
      <c r="H1800">
        <v>900</v>
      </c>
      <c r="I1800">
        <v>1170</v>
      </c>
      <c r="J1800">
        <v>17.87</v>
      </c>
      <c r="K1800">
        <v>960.93</v>
      </c>
      <c r="L1800">
        <v>60.93</v>
      </c>
      <c r="M1800">
        <v>20907.900000000001</v>
      </c>
      <c r="N1800">
        <v>900</v>
      </c>
      <c r="O1800">
        <v>6.3407324154725107</v>
      </c>
      <c r="P1800" t="s">
        <v>2085</v>
      </c>
      <c r="Q1800" t="s">
        <v>2091</v>
      </c>
    </row>
    <row r="1801" spans="1:17" x14ac:dyDescent="0.25">
      <c r="A1801" t="s">
        <v>151</v>
      </c>
      <c r="B1801" s="18">
        <v>45986</v>
      </c>
      <c r="C1801" t="s">
        <v>2013</v>
      </c>
      <c r="D1801" t="s">
        <v>2033</v>
      </c>
      <c r="E1801" t="s">
        <v>2053</v>
      </c>
      <c r="F1801" t="s">
        <v>2059</v>
      </c>
      <c r="G1801">
        <v>5</v>
      </c>
      <c r="H1801">
        <v>6500</v>
      </c>
      <c r="I1801">
        <v>7150</v>
      </c>
      <c r="J1801">
        <v>16.21</v>
      </c>
      <c r="K1801">
        <v>29954.58</v>
      </c>
      <c r="L1801">
        <v>-2545.42</v>
      </c>
      <c r="M1801">
        <v>579507.5</v>
      </c>
      <c r="N1801">
        <v>32500</v>
      </c>
      <c r="O1801">
        <v>-8.4975986977617453</v>
      </c>
      <c r="P1801" t="s">
        <v>2085</v>
      </c>
      <c r="Q1801" t="s">
        <v>2093</v>
      </c>
    </row>
    <row r="1802" spans="1:17" x14ac:dyDescent="0.25">
      <c r="A1802" t="s">
        <v>285</v>
      </c>
      <c r="B1802" s="18">
        <v>45986</v>
      </c>
      <c r="C1802" t="s">
        <v>2017</v>
      </c>
      <c r="D1802" t="s">
        <v>2037</v>
      </c>
      <c r="E1802" t="s">
        <v>2055</v>
      </c>
      <c r="F1802" t="s">
        <v>2062</v>
      </c>
      <c r="G1802">
        <v>5</v>
      </c>
      <c r="H1802">
        <v>2500</v>
      </c>
      <c r="I1802">
        <v>2875</v>
      </c>
      <c r="J1802">
        <v>11.68</v>
      </c>
      <c r="K1802">
        <v>12695.36</v>
      </c>
      <c r="L1802">
        <v>195.36</v>
      </c>
      <c r="M1802">
        <v>167900</v>
      </c>
      <c r="N1802">
        <v>12500</v>
      </c>
      <c r="O1802">
        <v>1.5388299347163059</v>
      </c>
      <c r="P1802" t="s">
        <v>2085</v>
      </c>
      <c r="Q1802" t="s">
        <v>2091</v>
      </c>
    </row>
    <row r="1803" spans="1:17" x14ac:dyDescent="0.25">
      <c r="A1803" t="s">
        <v>559</v>
      </c>
      <c r="B1803" s="18">
        <v>45986</v>
      </c>
      <c r="C1803" t="s">
        <v>2024</v>
      </c>
      <c r="D1803" t="s">
        <v>2044</v>
      </c>
      <c r="E1803" t="s">
        <v>2055</v>
      </c>
      <c r="F1803" t="s">
        <v>2060</v>
      </c>
      <c r="G1803">
        <v>7</v>
      </c>
      <c r="H1803">
        <v>180</v>
      </c>
      <c r="I1803">
        <v>243</v>
      </c>
      <c r="J1803">
        <v>8.14</v>
      </c>
      <c r="K1803">
        <v>1562.54</v>
      </c>
      <c r="L1803">
        <v>302.54000000000002</v>
      </c>
      <c r="M1803">
        <v>13846.140000000001</v>
      </c>
      <c r="N1803">
        <v>1260</v>
      </c>
      <c r="O1803">
        <v>19.362064331153125</v>
      </c>
      <c r="P1803" t="s">
        <v>2085</v>
      </c>
      <c r="Q1803" t="s">
        <v>2092</v>
      </c>
    </row>
    <row r="1804" spans="1:17" x14ac:dyDescent="0.25">
      <c r="A1804" t="s">
        <v>1238</v>
      </c>
      <c r="B1804" s="18">
        <v>45986</v>
      </c>
      <c r="C1804" t="s">
        <v>2026</v>
      </c>
      <c r="D1804" t="s">
        <v>2046</v>
      </c>
      <c r="E1804" t="s">
        <v>2052</v>
      </c>
      <c r="F1804" t="s">
        <v>2059</v>
      </c>
      <c r="G1804">
        <v>1</v>
      </c>
      <c r="H1804">
        <v>3000</v>
      </c>
      <c r="I1804">
        <v>3600</v>
      </c>
      <c r="J1804">
        <v>7.17</v>
      </c>
      <c r="K1804">
        <v>3342.05</v>
      </c>
      <c r="L1804">
        <v>342.05</v>
      </c>
      <c r="M1804">
        <v>25812</v>
      </c>
      <c r="N1804">
        <v>3000</v>
      </c>
      <c r="O1804">
        <v>10.234736164928711</v>
      </c>
      <c r="P1804" t="s">
        <v>2085</v>
      </c>
      <c r="Q1804" t="s">
        <v>2092</v>
      </c>
    </row>
    <row r="1805" spans="1:17" x14ac:dyDescent="0.25">
      <c r="A1805" t="s">
        <v>1464</v>
      </c>
      <c r="B1805" s="18">
        <v>45986</v>
      </c>
      <c r="C1805" t="s">
        <v>2021</v>
      </c>
      <c r="D1805" t="s">
        <v>2041</v>
      </c>
      <c r="E1805" t="s">
        <v>2056</v>
      </c>
      <c r="F1805" t="s">
        <v>2062</v>
      </c>
      <c r="G1805">
        <v>2</v>
      </c>
      <c r="H1805">
        <v>300</v>
      </c>
      <c r="I1805">
        <v>405</v>
      </c>
      <c r="J1805">
        <v>8.4499999999999993</v>
      </c>
      <c r="K1805">
        <v>741.53</v>
      </c>
      <c r="L1805">
        <v>141.53</v>
      </c>
      <c r="M1805">
        <v>6844.4999999999991</v>
      </c>
      <c r="N1805">
        <v>600</v>
      </c>
      <c r="O1805">
        <v>19.086213639367255</v>
      </c>
      <c r="P1805" t="s">
        <v>2085</v>
      </c>
      <c r="Q1805" t="s">
        <v>2092</v>
      </c>
    </row>
    <row r="1806" spans="1:17" x14ac:dyDescent="0.25">
      <c r="A1806" t="s">
        <v>616</v>
      </c>
      <c r="B1806" s="18">
        <v>45987</v>
      </c>
      <c r="C1806" t="s">
        <v>2023</v>
      </c>
      <c r="D1806" t="s">
        <v>2043</v>
      </c>
      <c r="E1806" t="s">
        <v>2053</v>
      </c>
      <c r="F1806" t="s">
        <v>2061</v>
      </c>
      <c r="G1806">
        <v>4</v>
      </c>
      <c r="H1806">
        <v>550</v>
      </c>
      <c r="I1806">
        <v>742.5</v>
      </c>
      <c r="J1806">
        <v>4.96</v>
      </c>
      <c r="K1806">
        <v>2822.74</v>
      </c>
      <c r="L1806">
        <v>622.74</v>
      </c>
      <c r="M1806">
        <v>14731.2</v>
      </c>
      <c r="N1806">
        <v>2200</v>
      </c>
      <c r="O1806">
        <v>22.06154303974153</v>
      </c>
      <c r="P1806" t="s">
        <v>2085</v>
      </c>
      <c r="Q1806" t="s">
        <v>2092</v>
      </c>
    </row>
    <row r="1807" spans="1:17" x14ac:dyDescent="0.25">
      <c r="A1807" t="s">
        <v>624</v>
      </c>
      <c r="B1807" s="18">
        <v>45987</v>
      </c>
      <c r="C1807" t="s">
        <v>2023</v>
      </c>
      <c r="D1807" t="s">
        <v>2043</v>
      </c>
      <c r="E1807" t="s">
        <v>2053</v>
      </c>
      <c r="F1807" t="s">
        <v>2060</v>
      </c>
      <c r="G1807">
        <v>7</v>
      </c>
      <c r="H1807">
        <v>550</v>
      </c>
      <c r="I1807">
        <v>742.5</v>
      </c>
      <c r="J1807">
        <v>0</v>
      </c>
      <c r="K1807">
        <v>5197.5</v>
      </c>
      <c r="L1807">
        <v>1347.5</v>
      </c>
      <c r="M1807">
        <v>0</v>
      </c>
      <c r="N1807">
        <v>3850</v>
      </c>
      <c r="O1807">
        <v>25.925925925925924</v>
      </c>
      <c r="P1807" t="s">
        <v>2085</v>
      </c>
      <c r="Q1807" t="s">
        <v>2092</v>
      </c>
    </row>
    <row r="1808" spans="1:17" x14ac:dyDescent="0.25">
      <c r="A1808" t="s">
        <v>64</v>
      </c>
      <c r="B1808" s="18">
        <v>45988</v>
      </c>
      <c r="C1808" t="s">
        <v>2020</v>
      </c>
      <c r="D1808" t="s">
        <v>2040</v>
      </c>
      <c r="E1808" t="s">
        <v>2053</v>
      </c>
      <c r="F1808" t="s">
        <v>2062</v>
      </c>
      <c r="G1808">
        <v>10</v>
      </c>
      <c r="H1808">
        <v>350</v>
      </c>
      <c r="I1808">
        <v>455</v>
      </c>
      <c r="J1808">
        <v>9.34</v>
      </c>
      <c r="K1808">
        <v>4125.2299999999996</v>
      </c>
      <c r="L1808">
        <v>625.23</v>
      </c>
      <c r="M1808">
        <v>42497</v>
      </c>
      <c r="N1808">
        <v>3500</v>
      </c>
      <c r="O1808">
        <v>15.156245833565645</v>
      </c>
      <c r="P1808" t="s">
        <v>2085</v>
      </c>
      <c r="Q1808" t="s">
        <v>2092</v>
      </c>
    </row>
    <row r="1809" spans="1:17" x14ac:dyDescent="0.25">
      <c r="A1809" t="s">
        <v>1027</v>
      </c>
      <c r="B1809" s="18">
        <v>45988</v>
      </c>
      <c r="C1809" t="s">
        <v>2012</v>
      </c>
      <c r="D1809" t="s">
        <v>2032</v>
      </c>
      <c r="E1809" t="s">
        <v>2052</v>
      </c>
      <c r="F1809" t="s">
        <v>2061</v>
      </c>
      <c r="G1809">
        <v>8</v>
      </c>
      <c r="H1809">
        <v>6500</v>
      </c>
      <c r="I1809">
        <v>8125</v>
      </c>
      <c r="J1809">
        <v>16.5</v>
      </c>
      <c r="K1809">
        <v>54275.83</v>
      </c>
      <c r="L1809">
        <v>2275.83</v>
      </c>
      <c r="M1809">
        <v>1072500</v>
      </c>
      <c r="N1809">
        <v>52000</v>
      </c>
      <c r="O1809">
        <v>4.1930818929899365</v>
      </c>
      <c r="P1809" t="s">
        <v>2085</v>
      </c>
      <c r="Q1809" t="s">
        <v>2091</v>
      </c>
    </row>
    <row r="1810" spans="1:17" x14ac:dyDescent="0.25">
      <c r="A1810" t="s">
        <v>1558</v>
      </c>
      <c r="B1810" s="18">
        <v>45988</v>
      </c>
      <c r="C1810" t="s">
        <v>2017</v>
      </c>
      <c r="D1810" t="s">
        <v>2037</v>
      </c>
      <c r="E1810" t="s">
        <v>2055</v>
      </c>
      <c r="F1810" t="s">
        <v>2059</v>
      </c>
      <c r="G1810">
        <v>10</v>
      </c>
      <c r="H1810">
        <v>2500</v>
      </c>
      <c r="I1810">
        <v>2875</v>
      </c>
      <c r="J1810">
        <v>21.2</v>
      </c>
      <c r="K1810">
        <v>22654.67</v>
      </c>
      <c r="L1810">
        <v>-2345.33</v>
      </c>
      <c r="M1810">
        <v>609500</v>
      </c>
      <c r="N1810">
        <v>25000</v>
      </c>
      <c r="O1810">
        <v>-10.352523342869263</v>
      </c>
      <c r="P1810" t="s">
        <v>2085</v>
      </c>
      <c r="Q1810" t="s">
        <v>2093</v>
      </c>
    </row>
    <row r="1811" spans="1:17" x14ac:dyDescent="0.25">
      <c r="A1811" t="s">
        <v>1582</v>
      </c>
      <c r="B1811" s="18">
        <v>45988</v>
      </c>
      <c r="C1811" t="s">
        <v>2012</v>
      </c>
      <c r="D1811" t="s">
        <v>2032</v>
      </c>
      <c r="E1811" t="s">
        <v>2052</v>
      </c>
      <c r="F1811" t="s">
        <v>2060</v>
      </c>
      <c r="G1811">
        <v>4</v>
      </c>
      <c r="H1811">
        <v>6500</v>
      </c>
      <c r="I1811">
        <v>8125</v>
      </c>
      <c r="J1811">
        <v>20.16</v>
      </c>
      <c r="K1811">
        <v>25946.98</v>
      </c>
      <c r="L1811">
        <v>-53.02</v>
      </c>
      <c r="M1811">
        <v>655200</v>
      </c>
      <c r="N1811">
        <v>26000</v>
      </c>
      <c r="O1811">
        <v>-0.20433977287530186</v>
      </c>
      <c r="P1811" t="s">
        <v>2085</v>
      </c>
      <c r="Q1811" t="s">
        <v>2093</v>
      </c>
    </row>
    <row r="1812" spans="1:17" x14ac:dyDescent="0.25">
      <c r="A1812" t="s">
        <v>1648</v>
      </c>
      <c r="B1812" s="18">
        <v>45988</v>
      </c>
      <c r="C1812" t="s">
        <v>2021</v>
      </c>
      <c r="D1812" t="s">
        <v>2041</v>
      </c>
      <c r="E1812" t="s">
        <v>2056</v>
      </c>
      <c r="F1812" t="s">
        <v>2060</v>
      </c>
      <c r="G1812">
        <v>8</v>
      </c>
      <c r="H1812">
        <v>300</v>
      </c>
      <c r="I1812">
        <v>405</v>
      </c>
      <c r="J1812">
        <v>27.99</v>
      </c>
      <c r="K1812">
        <v>2333.2399999999998</v>
      </c>
      <c r="L1812">
        <v>-66.760000000000005</v>
      </c>
      <c r="M1812">
        <v>90687.599999999991</v>
      </c>
      <c r="N1812">
        <v>2400</v>
      </c>
      <c r="O1812">
        <v>-2.8612573074351553</v>
      </c>
      <c r="P1812" t="s">
        <v>2085</v>
      </c>
      <c r="Q1812" t="s">
        <v>2093</v>
      </c>
    </row>
    <row r="1813" spans="1:17" x14ac:dyDescent="0.25">
      <c r="A1813" t="s">
        <v>1975</v>
      </c>
      <c r="B1813" s="18">
        <v>45988</v>
      </c>
      <c r="C1813" t="s">
        <v>2025</v>
      </c>
      <c r="D1813" t="s">
        <v>2045</v>
      </c>
      <c r="E1813" t="s">
        <v>2057</v>
      </c>
      <c r="F1813" t="s">
        <v>2059</v>
      </c>
      <c r="G1813">
        <v>5</v>
      </c>
      <c r="H1813">
        <v>45</v>
      </c>
      <c r="I1813">
        <v>63</v>
      </c>
      <c r="J1813">
        <v>16.54</v>
      </c>
      <c r="K1813">
        <v>262.91000000000003</v>
      </c>
      <c r="L1813">
        <v>37.909999999999997</v>
      </c>
      <c r="M1813">
        <v>5210.0999999999995</v>
      </c>
      <c r="N1813">
        <v>225</v>
      </c>
      <c r="O1813">
        <v>14.419383058841426</v>
      </c>
      <c r="P1813" t="s">
        <v>2085</v>
      </c>
      <c r="Q1813" t="s">
        <v>2092</v>
      </c>
    </row>
    <row r="1814" spans="1:17" x14ac:dyDescent="0.25">
      <c r="A1814" t="s">
        <v>893</v>
      </c>
      <c r="B1814" s="18">
        <v>45989</v>
      </c>
      <c r="C1814" t="s">
        <v>2029</v>
      </c>
      <c r="D1814" t="s">
        <v>2049</v>
      </c>
      <c r="E1814" t="s">
        <v>2055</v>
      </c>
      <c r="F1814" t="s">
        <v>2059</v>
      </c>
      <c r="G1814">
        <v>10</v>
      </c>
      <c r="H1814">
        <v>1200</v>
      </c>
      <c r="I1814">
        <v>1464</v>
      </c>
      <c r="J1814">
        <v>8.74</v>
      </c>
      <c r="K1814">
        <v>13360.64</v>
      </c>
      <c r="L1814">
        <v>1360.64</v>
      </c>
      <c r="M1814">
        <v>127953.60000000001</v>
      </c>
      <c r="N1814">
        <v>12000</v>
      </c>
      <c r="O1814">
        <v>10.183943284154054</v>
      </c>
      <c r="P1814" t="s">
        <v>2085</v>
      </c>
      <c r="Q1814" t="s">
        <v>2092</v>
      </c>
    </row>
    <row r="1815" spans="1:17" x14ac:dyDescent="0.25">
      <c r="A1815" t="s">
        <v>988</v>
      </c>
      <c r="B1815" s="18">
        <v>45989</v>
      </c>
      <c r="C1815" t="s">
        <v>2030</v>
      </c>
      <c r="D1815" t="s">
        <v>2050</v>
      </c>
      <c r="E1815" t="s">
        <v>2058</v>
      </c>
      <c r="F1815" t="s">
        <v>2060</v>
      </c>
      <c r="G1815">
        <v>5</v>
      </c>
      <c r="H1815">
        <v>1800</v>
      </c>
      <c r="I1815">
        <v>2124</v>
      </c>
      <c r="J1815">
        <v>14.15</v>
      </c>
      <c r="K1815">
        <v>9117.07</v>
      </c>
      <c r="L1815">
        <v>117.07</v>
      </c>
      <c r="M1815">
        <v>150273</v>
      </c>
      <c r="N1815">
        <v>9000</v>
      </c>
      <c r="O1815">
        <v>1.2840748178965391</v>
      </c>
      <c r="P1815" t="s">
        <v>2085</v>
      </c>
      <c r="Q1815" t="s">
        <v>2091</v>
      </c>
    </row>
    <row r="1816" spans="1:17" x14ac:dyDescent="0.25">
      <c r="A1816" t="s">
        <v>1018</v>
      </c>
      <c r="B1816" s="18">
        <v>45989</v>
      </c>
      <c r="C1816" t="s">
        <v>2017</v>
      </c>
      <c r="D1816" t="s">
        <v>2037</v>
      </c>
      <c r="E1816" t="s">
        <v>2055</v>
      </c>
      <c r="F1816" t="s">
        <v>2061</v>
      </c>
      <c r="G1816">
        <v>10</v>
      </c>
      <c r="H1816">
        <v>2500</v>
      </c>
      <c r="I1816">
        <v>2875</v>
      </c>
      <c r="J1816">
        <v>13.46</v>
      </c>
      <c r="K1816">
        <v>24879.37</v>
      </c>
      <c r="L1816">
        <v>-120.63</v>
      </c>
      <c r="M1816">
        <v>386975</v>
      </c>
      <c r="N1816">
        <v>25000</v>
      </c>
      <c r="O1816">
        <v>-0.48485954427302619</v>
      </c>
      <c r="P1816" t="s">
        <v>2085</v>
      </c>
      <c r="Q1816" t="s">
        <v>2093</v>
      </c>
    </row>
    <row r="1817" spans="1:17" x14ac:dyDescent="0.25">
      <c r="A1817" t="s">
        <v>1665</v>
      </c>
      <c r="B1817" s="18">
        <v>45989</v>
      </c>
      <c r="C1817" t="s">
        <v>2017</v>
      </c>
      <c r="D1817" t="s">
        <v>2037</v>
      </c>
      <c r="E1817" t="s">
        <v>2055</v>
      </c>
      <c r="F1817" t="s">
        <v>2060</v>
      </c>
      <c r="G1817">
        <v>3</v>
      </c>
      <c r="H1817">
        <v>2500</v>
      </c>
      <c r="I1817">
        <v>2875</v>
      </c>
      <c r="J1817">
        <v>0</v>
      </c>
      <c r="K1817">
        <v>8625</v>
      </c>
      <c r="L1817">
        <v>1125</v>
      </c>
      <c r="M1817">
        <v>0</v>
      </c>
      <c r="N1817">
        <v>7500</v>
      </c>
      <c r="O1817">
        <v>13.043478260869565</v>
      </c>
      <c r="P1817" t="s">
        <v>2085</v>
      </c>
      <c r="Q1817" t="s">
        <v>2092</v>
      </c>
    </row>
    <row r="1818" spans="1:17" x14ac:dyDescent="0.25">
      <c r="A1818" t="s">
        <v>1844</v>
      </c>
      <c r="B1818" s="18">
        <v>45989</v>
      </c>
      <c r="C1818" t="s">
        <v>2016</v>
      </c>
      <c r="D1818" t="s">
        <v>2036</v>
      </c>
      <c r="E1818" t="s">
        <v>2052</v>
      </c>
      <c r="F1818" t="s">
        <v>2061</v>
      </c>
      <c r="G1818">
        <v>5</v>
      </c>
      <c r="H1818">
        <v>900</v>
      </c>
      <c r="I1818">
        <v>1170</v>
      </c>
      <c r="J1818">
        <v>2.64</v>
      </c>
      <c r="K1818">
        <v>5695.69</v>
      </c>
      <c r="L1818">
        <v>1195.69</v>
      </c>
      <c r="M1818">
        <v>15444</v>
      </c>
      <c r="N1818">
        <v>4500</v>
      </c>
      <c r="O1818">
        <v>20.992891115913963</v>
      </c>
      <c r="P1818" t="s">
        <v>2085</v>
      </c>
      <c r="Q1818" t="s">
        <v>2092</v>
      </c>
    </row>
    <row r="1819" spans="1:17" x14ac:dyDescent="0.25">
      <c r="A1819" t="s">
        <v>18</v>
      </c>
      <c r="B1819" s="18">
        <v>45990</v>
      </c>
      <c r="C1819" t="s">
        <v>2017</v>
      </c>
      <c r="D1819" t="s">
        <v>2037</v>
      </c>
      <c r="E1819" t="s">
        <v>2055</v>
      </c>
      <c r="F1819" t="s">
        <v>2060</v>
      </c>
      <c r="G1819">
        <v>9</v>
      </c>
      <c r="H1819">
        <v>2500</v>
      </c>
      <c r="I1819">
        <v>2875</v>
      </c>
      <c r="J1819">
        <v>17.53</v>
      </c>
      <c r="K1819">
        <v>21337.89</v>
      </c>
      <c r="L1819">
        <v>-1162.1099999999999</v>
      </c>
      <c r="M1819">
        <v>453588.75000000006</v>
      </c>
      <c r="N1819">
        <v>22500</v>
      </c>
      <c r="O1819">
        <v>-5.4462273448780545</v>
      </c>
      <c r="P1819" t="s">
        <v>2085</v>
      </c>
      <c r="Q1819" t="s">
        <v>2093</v>
      </c>
    </row>
    <row r="1820" spans="1:17" x14ac:dyDescent="0.25">
      <c r="A1820" t="s">
        <v>253</v>
      </c>
      <c r="B1820" s="18">
        <v>45990</v>
      </c>
      <c r="C1820" t="s">
        <v>2022</v>
      </c>
      <c r="D1820" t="s">
        <v>2042</v>
      </c>
      <c r="E1820" t="s">
        <v>2053</v>
      </c>
      <c r="F1820" t="s">
        <v>2062</v>
      </c>
      <c r="G1820">
        <v>10</v>
      </c>
      <c r="H1820">
        <v>8500</v>
      </c>
      <c r="I1820">
        <v>9520</v>
      </c>
      <c r="J1820">
        <v>9.57</v>
      </c>
      <c r="K1820">
        <v>86093.47</v>
      </c>
      <c r="L1820">
        <v>1093.47</v>
      </c>
      <c r="M1820">
        <v>911064</v>
      </c>
      <c r="N1820">
        <v>85000</v>
      </c>
      <c r="O1820">
        <v>1.2700963267016652</v>
      </c>
      <c r="P1820" t="s">
        <v>2085</v>
      </c>
      <c r="Q1820" t="s">
        <v>2091</v>
      </c>
    </row>
    <row r="1821" spans="1:17" x14ac:dyDescent="0.25">
      <c r="A1821" t="s">
        <v>800</v>
      </c>
      <c r="B1821" s="18">
        <v>45990</v>
      </c>
      <c r="C1821" t="s">
        <v>2022</v>
      </c>
      <c r="D1821" t="s">
        <v>2042</v>
      </c>
      <c r="E1821" t="s">
        <v>2053</v>
      </c>
      <c r="F1821" t="s">
        <v>2062</v>
      </c>
      <c r="G1821">
        <v>8</v>
      </c>
      <c r="H1821">
        <v>8500</v>
      </c>
      <c r="I1821">
        <v>9520</v>
      </c>
      <c r="J1821">
        <v>15.45</v>
      </c>
      <c r="K1821">
        <v>64394.78</v>
      </c>
      <c r="L1821">
        <v>-3605.22</v>
      </c>
      <c r="M1821">
        <v>1176672</v>
      </c>
      <c r="N1821">
        <v>68000</v>
      </c>
      <c r="O1821">
        <v>-5.5986215031715307</v>
      </c>
      <c r="P1821" t="s">
        <v>2085</v>
      </c>
      <c r="Q1821" t="s">
        <v>2093</v>
      </c>
    </row>
    <row r="1822" spans="1:17" x14ac:dyDescent="0.25">
      <c r="A1822" t="s">
        <v>980</v>
      </c>
      <c r="B1822" s="18">
        <v>45990</v>
      </c>
      <c r="C1822" t="s">
        <v>2018</v>
      </c>
      <c r="D1822" t="s">
        <v>2038</v>
      </c>
      <c r="E1822" t="s">
        <v>2053</v>
      </c>
      <c r="F1822" t="s">
        <v>2062</v>
      </c>
      <c r="G1822">
        <v>5</v>
      </c>
      <c r="H1822">
        <v>500</v>
      </c>
      <c r="I1822">
        <v>610</v>
      </c>
      <c r="J1822">
        <v>7.94</v>
      </c>
      <c r="K1822">
        <v>2807.94</v>
      </c>
      <c r="L1822">
        <v>307.94</v>
      </c>
      <c r="M1822">
        <v>24217</v>
      </c>
      <c r="N1822">
        <v>2500</v>
      </c>
      <c r="O1822">
        <v>10.966758548971844</v>
      </c>
      <c r="P1822" t="s">
        <v>2085</v>
      </c>
      <c r="Q1822" t="s">
        <v>2092</v>
      </c>
    </row>
    <row r="1823" spans="1:17" x14ac:dyDescent="0.25">
      <c r="A1823" t="s">
        <v>1649</v>
      </c>
      <c r="B1823" s="18">
        <v>45990</v>
      </c>
      <c r="C1823" t="s">
        <v>2013</v>
      </c>
      <c r="D1823" t="s">
        <v>2033</v>
      </c>
      <c r="E1823" t="s">
        <v>2053</v>
      </c>
      <c r="F1823" t="s">
        <v>2062</v>
      </c>
      <c r="G1823">
        <v>1</v>
      </c>
      <c r="H1823">
        <v>6500</v>
      </c>
      <c r="I1823">
        <v>7150</v>
      </c>
      <c r="J1823">
        <v>17.77</v>
      </c>
      <c r="K1823">
        <v>5879.29</v>
      </c>
      <c r="L1823">
        <v>-620.71</v>
      </c>
      <c r="M1823">
        <v>127055.5</v>
      </c>
      <c r="N1823">
        <v>6500</v>
      </c>
      <c r="O1823">
        <v>-10.557567325306287</v>
      </c>
      <c r="P1823" t="s">
        <v>2085</v>
      </c>
      <c r="Q1823" t="s">
        <v>2093</v>
      </c>
    </row>
    <row r="1824" spans="1:17" x14ac:dyDescent="0.25">
      <c r="A1824" t="s">
        <v>128</v>
      </c>
      <c r="B1824" s="18">
        <v>45991</v>
      </c>
      <c r="C1824" t="s">
        <v>2014</v>
      </c>
      <c r="D1824" t="s">
        <v>2034</v>
      </c>
      <c r="E1824" t="s">
        <v>2052</v>
      </c>
      <c r="F1824" t="s">
        <v>2062</v>
      </c>
      <c r="G1824">
        <v>10</v>
      </c>
      <c r="H1824">
        <v>4500</v>
      </c>
      <c r="I1824">
        <v>5220</v>
      </c>
      <c r="J1824">
        <v>16.45</v>
      </c>
      <c r="K1824">
        <v>43613.06</v>
      </c>
      <c r="L1824">
        <v>-1386.94</v>
      </c>
      <c r="M1824">
        <v>858690</v>
      </c>
      <c r="N1824">
        <v>45000</v>
      </c>
      <c r="O1824">
        <v>-3.1801024738919952</v>
      </c>
      <c r="P1824" t="s">
        <v>2085</v>
      </c>
      <c r="Q1824" t="s">
        <v>2093</v>
      </c>
    </row>
    <row r="1825" spans="1:17" x14ac:dyDescent="0.25">
      <c r="A1825" t="s">
        <v>316</v>
      </c>
      <c r="B1825" s="18">
        <v>45991</v>
      </c>
      <c r="C1825" t="s">
        <v>2029</v>
      </c>
      <c r="D1825" t="s">
        <v>2049</v>
      </c>
      <c r="E1825" t="s">
        <v>2055</v>
      </c>
      <c r="F1825" t="s">
        <v>2060</v>
      </c>
      <c r="G1825">
        <v>3</v>
      </c>
      <c r="H1825">
        <v>1200</v>
      </c>
      <c r="I1825">
        <v>1464</v>
      </c>
      <c r="J1825">
        <v>10.99</v>
      </c>
      <c r="K1825">
        <v>3909.28</v>
      </c>
      <c r="L1825">
        <v>309.27999999999997</v>
      </c>
      <c r="M1825">
        <v>48268.08</v>
      </c>
      <c r="N1825">
        <v>3600</v>
      </c>
      <c r="O1825">
        <v>7.9114312609994668</v>
      </c>
      <c r="P1825" t="s">
        <v>2085</v>
      </c>
      <c r="Q1825" t="s">
        <v>2091</v>
      </c>
    </row>
    <row r="1826" spans="1:17" x14ac:dyDescent="0.25">
      <c r="A1826" t="s">
        <v>819</v>
      </c>
      <c r="B1826" s="18">
        <v>45991</v>
      </c>
      <c r="C1826" t="s">
        <v>2017</v>
      </c>
      <c r="D1826" t="s">
        <v>2037</v>
      </c>
      <c r="E1826" t="s">
        <v>2055</v>
      </c>
      <c r="F1826" t="s">
        <v>2061</v>
      </c>
      <c r="G1826">
        <v>10</v>
      </c>
      <c r="H1826">
        <v>2500</v>
      </c>
      <c r="I1826">
        <v>2875</v>
      </c>
      <c r="J1826">
        <v>16.52</v>
      </c>
      <c r="K1826">
        <v>24001.439999999999</v>
      </c>
      <c r="L1826">
        <v>-998.56</v>
      </c>
      <c r="M1826">
        <v>474950</v>
      </c>
      <c r="N1826">
        <v>25000</v>
      </c>
      <c r="O1826">
        <v>-4.1604170416441679</v>
      </c>
      <c r="P1826" t="s">
        <v>2085</v>
      </c>
      <c r="Q1826" t="s">
        <v>2093</v>
      </c>
    </row>
    <row r="1827" spans="1:17" x14ac:dyDescent="0.25">
      <c r="A1827" t="s">
        <v>855</v>
      </c>
      <c r="B1827" s="18">
        <v>45991</v>
      </c>
      <c r="C1827" t="s">
        <v>2016</v>
      </c>
      <c r="D1827" t="s">
        <v>2036</v>
      </c>
      <c r="E1827" t="s">
        <v>2052</v>
      </c>
      <c r="F1827" t="s">
        <v>2062</v>
      </c>
      <c r="G1827">
        <v>8</v>
      </c>
      <c r="H1827">
        <v>900</v>
      </c>
      <c r="I1827">
        <v>1170</v>
      </c>
      <c r="J1827">
        <v>2.39</v>
      </c>
      <c r="K1827">
        <v>9136.65</v>
      </c>
      <c r="L1827">
        <v>1936.65</v>
      </c>
      <c r="M1827">
        <v>22370.400000000001</v>
      </c>
      <c r="N1827">
        <v>7200</v>
      </c>
      <c r="O1827">
        <v>21.196499811199949</v>
      </c>
      <c r="P1827" t="s">
        <v>2085</v>
      </c>
      <c r="Q1827" t="s">
        <v>2092</v>
      </c>
    </row>
    <row r="1828" spans="1:17" x14ac:dyDescent="0.25">
      <c r="A1828" t="s">
        <v>1981</v>
      </c>
      <c r="B1828" s="18">
        <v>45991</v>
      </c>
      <c r="C1828" t="s">
        <v>2027</v>
      </c>
      <c r="D1828" t="s">
        <v>2047</v>
      </c>
      <c r="E1828" t="s">
        <v>2053</v>
      </c>
      <c r="F1828" t="s">
        <v>2059</v>
      </c>
      <c r="G1828">
        <v>1</v>
      </c>
      <c r="H1828">
        <v>1100</v>
      </c>
      <c r="I1828">
        <v>1298</v>
      </c>
      <c r="J1828">
        <v>12.2</v>
      </c>
      <c r="K1828">
        <v>1139.5899999999999</v>
      </c>
      <c r="L1828">
        <v>39.590000000000003</v>
      </c>
      <c r="M1828">
        <v>15835.599999999999</v>
      </c>
      <c r="N1828">
        <v>1100</v>
      </c>
      <c r="O1828">
        <v>3.4740564589018863</v>
      </c>
      <c r="P1828" t="s">
        <v>2085</v>
      </c>
      <c r="Q1828" t="s">
        <v>2091</v>
      </c>
    </row>
    <row r="1829" spans="1:17" x14ac:dyDescent="0.25">
      <c r="A1829" t="s">
        <v>1074</v>
      </c>
      <c r="B1829" s="18">
        <v>45992</v>
      </c>
      <c r="C1829" t="s">
        <v>2027</v>
      </c>
      <c r="D1829" t="s">
        <v>2047</v>
      </c>
      <c r="E1829" t="s">
        <v>2053</v>
      </c>
      <c r="F1829" t="s">
        <v>2061</v>
      </c>
      <c r="G1829">
        <v>5</v>
      </c>
      <c r="H1829">
        <v>1100</v>
      </c>
      <c r="I1829">
        <v>1298</v>
      </c>
      <c r="J1829">
        <v>6.72</v>
      </c>
      <c r="K1829">
        <v>6054.15</v>
      </c>
      <c r="L1829">
        <v>554.15</v>
      </c>
      <c r="M1829">
        <v>43612.799999999996</v>
      </c>
      <c r="N1829">
        <v>5500</v>
      </c>
      <c r="O1829">
        <v>9.1532254734355778</v>
      </c>
      <c r="P1829" t="s">
        <v>2086</v>
      </c>
      <c r="Q1829" t="s">
        <v>2091</v>
      </c>
    </row>
    <row r="1830" spans="1:17" x14ac:dyDescent="0.25">
      <c r="A1830" t="s">
        <v>1368</v>
      </c>
      <c r="B1830" s="18">
        <v>45992</v>
      </c>
      <c r="C1830" t="s">
        <v>2019</v>
      </c>
      <c r="D1830" t="s">
        <v>2039</v>
      </c>
      <c r="E1830" t="s">
        <v>2053</v>
      </c>
      <c r="F1830" t="s">
        <v>2060</v>
      </c>
      <c r="G1830">
        <v>7</v>
      </c>
      <c r="H1830">
        <v>900</v>
      </c>
      <c r="I1830">
        <v>1152</v>
      </c>
      <c r="J1830">
        <v>4.49</v>
      </c>
      <c r="K1830">
        <v>7701.71</v>
      </c>
      <c r="L1830">
        <v>1401.71</v>
      </c>
      <c r="M1830">
        <v>36207.360000000001</v>
      </c>
      <c r="N1830">
        <v>6300</v>
      </c>
      <c r="O1830">
        <v>18.19998415936201</v>
      </c>
      <c r="P1830" t="s">
        <v>2086</v>
      </c>
      <c r="Q1830" t="s">
        <v>2092</v>
      </c>
    </row>
    <row r="1831" spans="1:17" x14ac:dyDescent="0.25">
      <c r="A1831" t="s">
        <v>89</v>
      </c>
      <c r="B1831" s="18">
        <v>45993</v>
      </c>
      <c r="C1831" t="s">
        <v>2028</v>
      </c>
      <c r="D1831" t="s">
        <v>2048</v>
      </c>
      <c r="E1831" t="s">
        <v>2057</v>
      </c>
      <c r="F1831" t="s">
        <v>2061</v>
      </c>
      <c r="G1831">
        <v>6</v>
      </c>
      <c r="H1831">
        <v>80</v>
      </c>
      <c r="I1831">
        <v>116</v>
      </c>
      <c r="J1831">
        <v>15.56</v>
      </c>
      <c r="K1831">
        <v>587.69000000000005</v>
      </c>
      <c r="L1831">
        <v>107.69</v>
      </c>
      <c r="M1831">
        <v>10829.76</v>
      </c>
      <c r="N1831">
        <v>480</v>
      </c>
      <c r="O1831">
        <v>18.324286613690891</v>
      </c>
      <c r="P1831" t="s">
        <v>2086</v>
      </c>
      <c r="Q1831" t="s">
        <v>2092</v>
      </c>
    </row>
    <row r="1832" spans="1:17" x14ac:dyDescent="0.25">
      <c r="A1832" t="s">
        <v>111</v>
      </c>
      <c r="B1832" s="18">
        <v>45993</v>
      </c>
      <c r="C1832" t="s">
        <v>2027</v>
      </c>
      <c r="D1832" t="s">
        <v>2047</v>
      </c>
      <c r="E1832" t="s">
        <v>2053</v>
      </c>
      <c r="F1832" t="s">
        <v>2062</v>
      </c>
      <c r="G1832">
        <v>8</v>
      </c>
      <c r="H1832">
        <v>1100</v>
      </c>
      <c r="I1832">
        <v>1298</v>
      </c>
      <c r="J1832">
        <v>21.06</v>
      </c>
      <c r="K1832">
        <v>8197.17</v>
      </c>
      <c r="L1832">
        <v>-602.83000000000004</v>
      </c>
      <c r="M1832">
        <v>218687.03999999998</v>
      </c>
      <c r="N1832">
        <v>8800</v>
      </c>
      <c r="O1832">
        <v>-7.3541234352831522</v>
      </c>
      <c r="P1832" t="s">
        <v>2086</v>
      </c>
      <c r="Q1832" t="s">
        <v>2093</v>
      </c>
    </row>
    <row r="1833" spans="1:17" x14ac:dyDescent="0.25">
      <c r="A1833" t="s">
        <v>443</v>
      </c>
      <c r="B1833" s="18">
        <v>45993</v>
      </c>
      <c r="C1833" t="s">
        <v>2020</v>
      </c>
      <c r="D1833" t="s">
        <v>2040</v>
      </c>
      <c r="E1833" t="s">
        <v>2053</v>
      </c>
      <c r="F1833" t="s">
        <v>2060</v>
      </c>
      <c r="G1833">
        <v>8</v>
      </c>
      <c r="H1833">
        <v>350</v>
      </c>
      <c r="I1833">
        <v>455</v>
      </c>
      <c r="J1833">
        <v>21.66</v>
      </c>
      <c r="K1833">
        <v>2851.68</v>
      </c>
      <c r="L1833">
        <v>51.68</v>
      </c>
      <c r="M1833">
        <v>78842.399999999994</v>
      </c>
      <c r="N1833">
        <v>2800</v>
      </c>
      <c r="O1833">
        <v>1.8122650507770857</v>
      </c>
      <c r="P1833" t="s">
        <v>2086</v>
      </c>
      <c r="Q1833" t="s">
        <v>2091</v>
      </c>
    </row>
    <row r="1834" spans="1:17" x14ac:dyDescent="0.25">
      <c r="A1834" t="s">
        <v>552</v>
      </c>
      <c r="B1834" s="18">
        <v>45993</v>
      </c>
      <c r="C1834" t="s">
        <v>2013</v>
      </c>
      <c r="D1834" t="s">
        <v>2033</v>
      </c>
      <c r="E1834" t="s">
        <v>2053</v>
      </c>
      <c r="F1834" t="s">
        <v>2060</v>
      </c>
      <c r="G1834">
        <v>4</v>
      </c>
      <c r="H1834">
        <v>6500</v>
      </c>
      <c r="I1834">
        <v>7150</v>
      </c>
      <c r="J1834">
        <v>8.4499999999999993</v>
      </c>
      <c r="K1834">
        <v>26183.48</v>
      </c>
      <c r="L1834">
        <v>183.48</v>
      </c>
      <c r="M1834">
        <v>241669.99999999997</v>
      </c>
      <c r="N1834">
        <v>26000</v>
      </c>
      <c r="O1834">
        <v>0.70074718868538477</v>
      </c>
      <c r="P1834" t="s">
        <v>2086</v>
      </c>
      <c r="Q1834" t="s">
        <v>2091</v>
      </c>
    </row>
    <row r="1835" spans="1:17" x14ac:dyDescent="0.25">
      <c r="A1835" t="s">
        <v>689</v>
      </c>
      <c r="B1835" s="18">
        <v>45993</v>
      </c>
      <c r="C1835" t="s">
        <v>2027</v>
      </c>
      <c r="D1835" t="s">
        <v>2047</v>
      </c>
      <c r="E1835" t="s">
        <v>2053</v>
      </c>
      <c r="F1835" t="s">
        <v>2059</v>
      </c>
      <c r="G1835">
        <v>6</v>
      </c>
      <c r="H1835">
        <v>1100</v>
      </c>
      <c r="I1835">
        <v>1298</v>
      </c>
      <c r="J1835">
        <v>3.68</v>
      </c>
      <c r="K1835">
        <v>7501.51</v>
      </c>
      <c r="L1835">
        <v>901.51</v>
      </c>
      <c r="M1835">
        <v>28659.84</v>
      </c>
      <c r="N1835">
        <v>6600</v>
      </c>
      <c r="O1835">
        <v>12.017713766961585</v>
      </c>
      <c r="P1835" t="s">
        <v>2086</v>
      </c>
      <c r="Q1835" t="s">
        <v>2092</v>
      </c>
    </row>
    <row r="1836" spans="1:17" x14ac:dyDescent="0.25">
      <c r="A1836" t="s">
        <v>1684</v>
      </c>
      <c r="B1836" s="18">
        <v>45993</v>
      </c>
      <c r="C1836" t="s">
        <v>2022</v>
      </c>
      <c r="D1836" t="s">
        <v>2042</v>
      </c>
      <c r="E1836" t="s">
        <v>2053</v>
      </c>
      <c r="F1836" t="s">
        <v>2059</v>
      </c>
      <c r="G1836">
        <v>2</v>
      </c>
      <c r="H1836">
        <v>8500</v>
      </c>
      <c r="I1836">
        <v>9520</v>
      </c>
      <c r="J1836">
        <v>15.22</v>
      </c>
      <c r="K1836">
        <v>16141.62</v>
      </c>
      <c r="L1836">
        <v>-858.38</v>
      </c>
      <c r="M1836">
        <v>289788.79999999999</v>
      </c>
      <c r="N1836">
        <v>17000</v>
      </c>
      <c r="O1836">
        <v>-5.3178057716635623</v>
      </c>
      <c r="P1836" t="s">
        <v>2086</v>
      </c>
      <c r="Q1836" t="s">
        <v>2093</v>
      </c>
    </row>
    <row r="1837" spans="1:17" x14ac:dyDescent="0.25">
      <c r="A1837" t="s">
        <v>1946</v>
      </c>
      <c r="B1837" s="18">
        <v>45993</v>
      </c>
      <c r="C1837" t="s">
        <v>2021</v>
      </c>
      <c r="D1837" t="s">
        <v>2041</v>
      </c>
      <c r="E1837" t="s">
        <v>2056</v>
      </c>
      <c r="F1837" t="s">
        <v>2060</v>
      </c>
      <c r="G1837">
        <v>6</v>
      </c>
      <c r="H1837">
        <v>300</v>
      </c>
      <c r="I1837">
        <v>405</v>
      </c>
      <c r="J1837">
        <v>14.7</v>
      </c>
      <c r="K1837">
        <v>2072.8000000000002</v>
      </c>
      <c r="L1837">
        <v>272.8</v>
      </c>
      <c r="M1837">
        <v>35721</v>
      </c>
      <c r="N1837">
        <v>1800</v>
      </c>
      <c r="O1837">
        <v>13.160941721343111</v>
      </c>
      <c r="P1837" t="s">
        <v>2086</v>
      </c>
      <c r="Q1837" t="s">
        <v>2092</v>
      </c>
    </row>
    <row r="1838" spans="1:17" x14ac:dyDescent="0.25">
      <c r="A1838" t="s">
        <v>280</v>
      </c>
      <c r="B1838" s="18">
        <v>45994</v>
      </c>
      <c r="C1838" t="s">
        <v>2017</v>
      </c>
      <c r="D1838" t="s">
        <v>2037</v>
      </c>
      <c r="E1838" t="s">
        <v>2055</v>
      </c>
      <c r="F1838" t="s">
        <v>2061</v>
      </c>
      <c r="G1838">
        <v>3</v>
      </c>
      <c r="H1838">
        <v>2500</v>
      </c>
      <c r="I1838">
        <v>2875</v>
      </c>
      <c r="J1838">
        <v>21.67</v>
      </c>
      <c r="K1838">
        <v>6756.01</v>
      </c>
      <c r="L1838">
        <v>-743.99</v>
      </c>
      <c r="M1838">
        <v>186903.75000000003</v>
      </c>
      <c r="N1838">
        <v>7500</v>
      </c>
      <c r="O1838">
        <v>-11.012269075978278</v>
      </c>
      <c r="P1838" t="s">
        <v>2086</v>
      </c>
      <c r="Q1838" t="s">
        <v>2093</v>
      </c>
    </row>
    <row r="1839" spans="1:17" x14ac:dyDescent="0.25">
      <c r="A1839" t="s">
        <v>507</v>
      </c>
      <c r="B1839" s="18">
        <v>45994</v>
      </c>
      <c r="C1839" t="s">
        <v>2027</v>
      </c>
      <c r="D1839" t="s">
        <v>2047</v>
      </c>
      <c r="E1839" t="s">
        <v>2053</v>
      </c>
      <c r="F1839" t="s">
        <v>2060</v>
      </c>
      <c r="G1839">
        <v>2</v>
      </c>
      <c r="H1839">
        <v>1100</v>
      </c>
      <c r="I1839">
        <v>1298</v>
      </c>
      <c r="J1839">
        <v>12.64</v>
      </c>
      <c r="K1839">
        <v>2267.81</v>
      </c>
      <c r="L1839">
        <v>67.81</v>
      </c>
      <c r="M1839">
        <v>32813.440000000002</v>
      </c>
      <c r="N1839">
        <v>2200</v>
      </c>
      <c r="O1839">
        <v>2.9901094006993532</v>
      </c>
      <c r="P1839" t="s">
        <v>2086</v>
      </c>
      <c r="Q1839" t="s">
        <v>2091</v>
      </c>
    </row>
    <row r="1840" spans="1:17" x14ac:dyDescent="0.25">
      <c r="A1840" t="s">
        <v>1241</v>
      </c>
      <c r="B1840" s="18">
        <v>45994</v>
      </c>
      <c r="C1840" t="s">
        <v>2012</v>
      </c>
      <c r="D1840" t="s">
        <v>2032</v>
      </c>
      <c r="E1840" t="s">
        <v>2052</v>
      </c>
      <c r="F1840" t="s">
        <v>2061</v>
      </c>
      <c r="G1840">
        <v>5</v>
      </c>
      <c r="H1840">
        <v>6500</v>
      </c>
      <c r="I1840">
        <v>8125</v>
      </c>
      <c r="J1840">
        <v>7.66</v>
      </c>
      <c r="K1840">
        <v>37515.11</v>
      </c>
      <c r="L1840">
        <v>5015.1099999999997</v>
      </c>
      <c r="M1840">
        <v>311187.5</v>
      </c>
      <c r="N1840">
        <v>32500</v>
      </c>
      <c r="O1840">
        <v>13.368240157099365</v>
      </c>
      <c r="P1840" t="s">
        <v>2086</v>
      </c>
      <c r="Q1840" t="s">
        <v>2092</v>
      </c>
    </row>
    <row r="1841" spans="1:17" x14ac:dyDescent="0.25">
      <c r="A1841" t="s">
        <v>1242</v>
      </c>
      <c r="B1841" s="18">
        <v>45994</v>
      </c>
      <c r="C1841" t="s">
        <v>2030</v>
      </c>
      <c r="D1841" t="s">
        <v>2050</v>
      </c>
      <c r="E1841" t="s">
        <v>2058</v>
      </c>
      <c r="F1841" t="s">
        <v>2060</v>
      </c>
      <c r="G1841">
        <v>10</v>
      </c>
      <c r="H1841">
        <v>1800</v>
      </c>
      <c r="I1841">
        <v>2124</v>
      </c>
      <c r="J1841">
        <v>13.49</v>
      </c>
      <c r="K1841">
        <v>18374.04</v>
      </c>
      <c r="L1841">
        <v>374.04</v>
      </c>
      <c r="M1841">
        <v>286527.59999999998</v>
      </c>
      <c r="N1841">
        <v>18000</v>
      </c>
      <c r="O1841">
        <v>2.0356981915789882</v>
      </c>
      <c r="P1841" t="s">
        <v>2086</v>
      </c>
      <c r="Q1841" t="s">
        <v>2091</v>
      </c>
    </row>
    <row r="1842" spans="1:17" x14ac:dyDescent="0.25">
      <c r="A1842" t="s">
        <v>1355</v>
      </c>
      <c r="B1842" s="18">
        <v>45994</v>
      </c>
      <c r="C1842" t="s">
        <v>2019</v>
      </c>
      <c r="D1842" t="s">
        <v>2039</v>
      </c>
      <c r="E1842" t="s">
        <v>2053</v>
      </c>
      <c r="F1842" t="s">
        <v>2059</v>
      </c>
      <c r="G1842">
        <v>3</v>
      </c>
      <c r="H1842">
        <v>900</v>
      </c>
      <c r="I1842">
        <v>1152</v>
      </c>
      <c r="J1842">
        <v>11.42</v>
      </c>
      <c r="K1842">
        <v>3061.19</v>
      </c>
      <c r="L1842">
        <v>361.19</v>
      </c>
      <c r="M1842">
        <v>39467.519999999997</v>
      </c>
      <c r="N1842">
        <v>2700</v>
      </c>
      <c r="O1842">
        <v>11.799006268803963</v>
      </c>
      <c r="P1842" t="s">
        <v>2086</v>
      </c>
      <c r="Q1842" t="s">
        <v>2092</v>
      </c>
    </row>
    <row r="1843" spans="1:17" x14ac:dyDescent="0.25">
      <c r="A1843" t="s">
        <v>1507</v>
      </c>
      <c r="B1843" s="18">
        <v>45994</v>
      </c>
      <c r="C1843" t="s">
        <v>2014</v>
      </c>
      <c r="D1843" t="s">
        <v>2034</v>
      </c>
      <c r="E1843" t="s">
        <v>2052</v>
      </c>
      <c r="F1843" t="s">
        <v>2062</v>
      </c>
      <c r="G1843">
        <v>1</v>
      </c>
      <c r="H1843">
        <v>4500</v>
      </c>
      <c r="I1843">
        <v>5220</v>
      </c>
      <c r="J1843">
        <v>12.64</v>
      </c>
      <c r="K1843">
        <v>4560.0600000000004</v>
      </c>
      <c r="L1843">
        <v>60.06</v>
      </c>
      <c r="M1843">
        <v>65980.800000000003</v>
      </c>
      <c r="N1843">
        <v>4500</v>
      </c>
      <c r="O1843">
        <v>1.3170879330535123</v>
      </c>
      <c r="P1843" t="s">
        <v>2086</v>
      </c>
      <c r="Q1843" t="s">
        <v>2091</v>
      </c>
    </row>
    <row r="1844" spans="1:17" x14ac:dyDescent="0.25">
      <c r="A1844" t="s">
        <v>1915</v>
      </c>
      <c r="B1844" s="18">
        <v>45994</v>
      </c>
      <c r="C1844" t="s">
        <v>2023</v>
      </c>
      <c r="D1844" t="s">
        <v>2043</v>
      </c>
      <c r="E1844" t="s">
        <v>2053</v>
      </c>
      <c r="F1844" t="s">
        <v>2061</v>
      </c>
      <c r="G1844">
        <v>7</v>
      </c>
      <c r="H1844">
        <v>550</v>
      </c>
      <c r="I1844">
        <v>742.5</v>
      </c>
      <c r="J1844">
        <v>8.69</v>
      </c>
      <c r="K1844">
        <v>4745.63</v>
      </c>
      <c r="L1844">
        <v>895.63</v>
      </c>
      <c r="M1844">
        <v>45166.274999999994</v>
      </c>
      <c r="N1844">
        <v>3850</v>
      </c>
      <c r="O1844">
        <v>18.872731333879798</v>
      </c>
      <c r="P1844" t="s">
        <v>2086</v>
      </c>
      <c r="Q1844" t="s">
        <v>2092</v>
      </c>
    </row>
    <row r="1845" spans="1:17" x14ac:dyDescent="0.25">
      <c r="A1845" t="s">
        <v>1924</v>
      </c>
      <c r="B1845" s="18">
        <v>45994</v>
      </c>
      <c r="C1845" t="s">
        <v>2025</v>
      </c>
      <c r="D1845" t="s">
        <v>2045</v>
      </c>
      <c r="E1845" t="s">
        <v>2057</v>
      </c>
      <c r="F1845" t="s">
        <v>2059</v>
      </c>
      <c r="G1845">
        <v>4</v>
      </c>
      <c r="H1845">
        <v>45</v>
      </c>
      <c r="I1845">
        <v>63</v>
      </c>
      <c r="J1845">
        <v>13.46</v>
      </c>
      <c r="K1845">
        <v>218.08</v>
      </c>
      <c r="L1845">
        <v>38.08</v>
      </c>
      <c r="M1845">
        <v>3391.92</v>
      </c>
      <c r="N1845">
        <v>180</v>
      </c>
      <c r="O1845">
        <v>17.461482024944971</v>
      </c>
      <c r="P1845" t="s">
        <v>2086</v>
      </c>
      <c r="Q1845" t="s">
        <v>2092</v>
      </c>
    </row>
    <row r="1846" spans="1:17" x14ac:dyDescent="0.25">
      <c r="A1846" t="s">
        <v>198</v>
      </c>
      <c r="B1846" s="18">
        <v>45995</v>
      </c>
      <c r="C1846" t="s">
        <v>2013</v>
      </c>
      <c r="D1846" t="s">
        <v>2033</v>
      </c>
      <c r="E1846" t="s">
        <v>2053</v>
      </c>
      <c r="F1846" t="s">
        <v>2059</v>
      </c>
      <c r="G1846">
        <v>4</v>
      </c>
      <c r="H1846">
        <v>6500</v>
      </c>
      <c r="I1846">
        <v>7150</v>
      </c>
      <c r="J1846">
        <v>12.99</v>
      </c>
      <c r="K1846">
        <v>24885.07</v>
      </c>
      <c r="L1846">
        <v>-1114.93</v>
      </c>
      <c r="M1846">
        <v>371514</v>
      </c>
      <c r="N1846">
        <v>26000</v>
      </c>
      <c r="O1846">
        <v>-4.4803169129120395</v>
      </c>
      <c r="P1846" t="s">
        <v>2086</v>
      </c>
      <c r="Q1846" t="s">
        <v>2093</v>
      </c>
    </row>
    <row r="1847" spans="1:17" x14ac:dyDescent="0.25">
      <c r="A1847" t="s">
        <v>565</v>
      </c>
      <c r="B1847" s="18">
        <v>45995</v>
      </c>
      <c r="C1847" t="s">
        <v>2031</v>
      </c>
      <c r="D1847" t="s">
        <v>2051</v>
      </c>
      <c r="E1847" t="s">
        <v>2058</v>
      </c>
      <c r="F1847" t="s">
        <v>2062</v>
      </c>
      <c r="G1847">
        <v>9</v>
      </c>
      <c r="H1847">
        <v>3200</v>
      </c>
      <c r="I1847">
        <v>3840</v>
      </c>
      <c r="J1847">
        <v>12.76</v>
      </c>
      <c r="K1847">
        <v>30151.4</v>
      </c>
      <c r="L1847">
        <v>1351.4</v>
      </c>
      <c r="M1847">
        <v>440985.59999999998</v>
      </c>
      <c r="N1847">
        <v>28800</v>
      </c>
      <c r="O1847">
        <v>4.4820472681202199</v>
      </c>
      <c r="P1847" t="s">
        <v>2086</v>
      </c>
      <c r="Q1847" t="s">
        <v>2091</v>
      </c>
    </row>
    <row r="1848" spans="1:17" x14ac:dyDescent="0.25">
      <c r="A1848" t="s">
        <v>757</v>
      </c>
      <c r="B1848" s="18">
        <v>45995</v>
      </c>
      <c r="C1848" t="s">
        <v>2014</v>
      </c>
      <c r="D1848" t="s">
        <v>2034</v>
      </c>
      <c r="E1848" t="s">
        <v>2052</v>
      </c>
      <c r="F1848" t="s">
        <v>2060</v>
      </c>
      <c r="G1848">
        <v>9</v>
      </c>
      <c r="H1848">
        <v>4500</v>
      </c>
      <c r="I1848">
        <v>5220</v>
      </c>
      <c r="J1848">
        <v>9.76</v>
      </c>
      <c r="K1848">
        <v>42393.2</v>
      </c>
      <c r="L1848">
        <v>1893.2</v>
      </c>
      <c r="M1848">
        <v>458524.8</v>
      </c>
      <c r="N1848">
        <v>40500</v>
      </c>
      <c r="O1848">
        <v>4.4658105545228954</v>
      </c>
      <c r="P1848" t="s">
        <v>2086</v>
      </c>
      <c r="Q1848" t="s">
        <v>2091</v>
      </c>
    </row>
    <row r="1849" spans="1:17" x14ac:dyDescent="0.25">
      <c r="A1849" t="s">
        <v>1007</v>
      </c>
      <c r="B1849" s="18">
        <v>45995</v>
      </c>
      <c r="C1849" t="s">
        <v>2019</v>
      </c>
      <c r="D1849" t="s">
        <v>2039</v>
      </c>
      <c r="E1849" t="s">
        <v>2053</v>
      </c>
      <c r="F1849" t="s">
        <v>2060</v>
      </c>
      <c r="G1849">
        <v>3</v>
      </c>
      <c r="H1849">
        <v>900</v>
      </c>
      <c r="I1849">
        <v>1152</v>
      </c>
      <c r="J1849">
        <v>11.84</v>
      </c>
      <c r="K1849">
        <v>3046.76</v>
      </c>
      <c r="L1849">
        <v>346.76</v>
      </c>
      <c r="M1849">
        <v>40919.040000000001</v>
      </c>
      <c r="N1849">
        <v>2700</v>
      </c>
      <c r="O1849">
        <v>11.381270595649147</v>
      </c>
      <c r="P1849" t="s">
        <v>2086</v>
      </c>
      <c r="Q1849" t="s">
        <v>2092</v>
      </c>
    </row>
    <row r="1850" spans="1:17" x14ac:dyDescent="0.25">
      <c r="A1850" t="s">
        <v>1175</v>
      </c>
      <c r="B1850" s="18">
        <v>45995</v>
      </c>
      <c r="C1850" t="s">
        <v>2012</v>
      </c>
      <c r="D1850" t="s">
        <v>2032</v>
      </c>
      <c r="E1850" t="s">
        <v>2052</v>
      </c>
      <c r="F1850" t="s">
        <v>2060</v>
      </c>
      <c r="G1850">
        <v>2</v>
      </c>
      <c r="H1850">
        <v>6500</v>
      </c>
      <c r="I1850">
        <v>8125</v>
      </c>
      <c r="J1850">
        <v>13.91</v>
      </c>
      <c r="K1850">
        <v>13989.31</v>
      </c>
      <c r="L1850">
        <v>989.31</v>
      </c>
      <c r="M1850">
        <v>226037.5</v>
      </c>
      <c r="N1850">
        <v>13000</v>
      </c>
      <c r="O1850">
        <v>7.0718999007098997</v>
      </c>
      <c r="P1850" t="s">
        <v>2086</v>
      </c>
      <c r="Q1850" t="s">
        <v>2091</v>
      </c>
    </row>
    <row r="1851" spans="1:17" x14ac:dyDescent="0.25">
      <c r="A1851" t="s">
        <v>1379</v>
      </c>
      <c r="B1851" s="18">
        <v>45995</v>
      </c>
      <c r="C1851" t="s">
        <v>2022</v>
      </c>
      <c r="D1851" t="s">
        <v>2042</v>
      </c>
      <c r="E1851" t="s">
        <v>2053</v>
      </c>
      <c r="F1851" t="s">
        <v>2060</v>
      </c>
      <c r="G1851">
        <v>5</v>
      </c>
      <c r="H1851">
        <v>8500</v>
      </c>
      <c r="I1851">
        <v>9520</v>
      </c>
      <c r="J1851">
        <v>11.7</v>
      </c>
      <c r="K1851">
        <v>42032.12</v>
      </c>
      <c r="L1851">
        <v>-467.88</v>
      </c>
      <c r="M1851">
        <v>556920</v>
      </c>
      <c r="N1851">
        <v>42500</v>
      </c>
      <c r="O1851">
        <v>-1.1131487062751058</v>
      </c>
      <c r="P1851" t="s">
        <v>2086</v>
      </c>
      <c r="Q1851" t="s">
        <v>2093</v>
      </c>
    </row>
    <row r="1852" spans="1:17" x14ac:dyDescent="0.25">
      <c r="A1852" t="s">
        <v>1412</v>
      </c>
      <c r="B1852" s="18">
        <v>45995</v>
      </c>
      <c r="C1852" t="s">
        <v>2025</v>
      </c>
      <c r="D1852" t="s">
        <v>2045</v>
      </c>
      <c r="E1852" t="s">
        <v>2057</v>
      </c>
      <c r="F1852" t="s">
        <v>2060</v>
      </c>
      <c r="G1852">
        <v>10</v>
      </c>
      <c r="H1852">
        <v>45</v>
      </c>
      <c r="I1852">
        <v>63</v>
      </c>
      <c r="J1852">
        <v>23.27</v>
      </c>
      <c r="K1852">
        <v>483.38</v>
      </c>
      <c r="L1852">
        <v>33.380000000000003</v>
      </c>
      <c r="M1852">
        <v>14660.1</v>
      </c>
      <c r="N1852">
        <v>450</v>
      </c>
      <c r="O1852">
        <v>6.9055401547436803</v>
      </c>
      <c r="P1852" t="s">
        <v>2086</v>
      </c>
      <c r="Q1852" t="s">
        <v>2091</v>
      </c>
    </row>
    <row r="1853" spans="1:17" x14ac:dyDescent="0.25">
      <c r="A1853" t="s">
        <v>2006</v>
      </c>
      <c r="B1853" s="18">
        <v>45995</v>
      </c>
      <c r="C1853" t="s">
        <v>2021</v>
      </c>
      <c r="D1853" t="s">
        <v>2041</v>
      </c>
      <c r="E1853" t="s">
        <v>2056</v>
      </c>
      <c r="F1853" t="s">
        <v>2059</v>
      </c>
      <c r="G1853">
        <v>4</v>
      </c>
      <c r="H1853">
        <v>300</v>
      </c>
      <c r="I1853">
        <v>405</v>
      </c>
      <c r="J1853">
        <v>6.81</v>
      </c>
      <c r="K1853">
        <v>1509.75</v>
      </c>
      <c r="L1853">
        <v>309.75</v>
      </c>
      <c r="M1853">
        <v>11032.199999999999</v>
      </c>
      <c r="N1853">
        <v>1200</v>
      </c>
      <c r="O1853">
        <v>20.516641828117237</v>
      </c>
      <c r="P1853" t="s">
        <v>2086</v>
      </c>
      <c r="Q1853" t="s">
        <v>2092</v>
      </c>
    </row>
    <row r="1854" spans="1:17" x14ac:dyDescent="0.25">
      <c r="A1854" t="s">
        <v>1596</v>
      </c>
      <c r="B1854" s="18">
        <v>45996</v>
      </c>
      <c r="C1854" t="s">
        <v>2028</v>
      </c>
      <c r="D1854" t="s">
        <v>2048</v>
      </c>
      <c r="E1854" t="s">
        <v>2057</v>
      </c>
      <c r="F1854" t="s">
        <v>2059</v>
      </c>
      <c r="G1854">
        <v>7</v>
      </c>
      <c r="H1854">
        <v>80</v>
      </c>
      <c r="I1854">
        <v>116</v>
      </c>
      <c r="J1854">
        <v>14</v>
      </c>
      <c r="K1854">
        <v>698.34</v>
      </c>
      <c r="L1854">
        <v>138.34</v>
      </c>
      <c r="M1854">
        <v>11368</v>
      </c>
      <c r="N1854">
        <v>560</v>
      </c>
      <c r="O1854">
        <v>19.809834750980897</v>
      </c>
      <c r="P1854" t="s">
        <v>2086</v>
      </c>
      <c r="Q1854" t="s">
        <v>2092</v>
      </c>
    </row>
    <row r="1855" spans="1:17" x14ac:dyDescent="0.25">
      <c r="A1855" t="s">
        <v>1930</v>
      </c>
      <c r="B1855" s="18">
        <v>45996</v>
      </c>
      <c r="C1855" t="s">
        <v>2018</v>
      </c>
      <c r="D1855" t="s">
        <v>2038</v>
      </c>
      <c r="E1855" t="s">
        <v>2053</v>
      </c>
      <c r="F1855" t="s">
        <v>2061</v>
      </c>
      <c r="G1855">
        <v>2</v>
      </c>
      <c r="H1855">
        <v>500</v>
      </c>
      <c r="I1855">
        <v>610</v>
      </c>
      <c r="J1855">
        <v>13.03</v>
      </c>
      <c r="K1855">
        <v>1061.01</v>
      </c>
      <c r="L1855">
        <v>61.01</v>
      </c>
      <c r="M1855">
        <v>15896.599999999999</v>
      </c>
      <c r="N1855">
        <v>1000</v>
      </c>
      <c r="O1855">
        <v>5.7501814309007457</v>
      </c>
      <c r="P1855" t="s">
        <v>2086</v>
      </c>
      <c r="Q1855" t="s">
        <v>2091</v>
      </c>
    </row>
    <row r="1856" spans="1:17" x14ac:dyDescent="0.25">
      <c r="A1856" t="s">
        <v>1941</v>
      </c>
      <c r="B1856" s="18">
        <v>45996</v>
      </c>
      <c r="C1856" t="s">
        <v>2029</v>
      </c>
      <c r="D1856" t="s">
        <v>2049</v>
      </c>
      <c r="E1856" t="s">
        <v>2055</v>
      </c>
      <c r="F1856" t="s">
        <v>2062</v>
      </c>
      <c r="G1856">
        <v>8</v>
      </c>
      <c r="H1856">
        <v>1200</v>
      </c>
      <c r="I1856">
        <v>1464</v>
      </c>
      <c r="J1856">
        <v>9.41</v>
      </c>
      <c r="K1856">
        <v>10609.77</v>
      </c>
      <c r="L1856">
        <v>1009.77</v>
      </c>
      <c r="M1856">
        <v>110209.92</v>
      </c>
      <c r="N1856">
        <v>9600</v>
      </c>
      <c r="O1856">
        <v>9.5173599427697297</v>
      </c>
      <c r="P1856" t="s">
        <v>2086</v>
      </c>
      <c r="Q1856" t="s">
        <v>2091</v>
      </c>
    </row>
    <row r="1857" spans="1:17" x14ac:dyDescent="0.25">
      <c r="A1857" t="s">
        <v>1943</v>
      </c>
      <c r="B1857" s="18">
        <v>45996</v>
      </c>
      <c r="C1857" t="s">
        <v>2014</v>
      </c>
      <c r="D1857" t="s">
        <v>2034</v>
      </c>
      <c r="E1857" t="s">
        <v>2052</v>
      </c>
      <c r="F1857" t="s">
        <v>2061</v>
      </c>
      <c r="G1857">
        <v>3</v>
      </c>
      <c r="H1857">
        <v>4500</v>
      </c>
      <c r="I1857">
        <v>5220</v>
      </c>
      <c r="J1857">
        <v>15.37</v>
      </c>
      <c r="K1857">
        <v>13253.1</v>
      </c>
      <c r="L1857">
        <v>-246.9</v>
      </c>
      <c r="M1857">
        <v>240694.19999999998</v>
      </c>
      <c r="N1857">
        <v>13500</v>
      </c>
      <c r="O1857">
        <v>-1.8629603639903118</v>
      </c>
      <c r="P1857" t="s">
        <v>2086</v>
      </c>
      <c r="Q1857" t="s">
        <v>2093</v>
      </c>
    </row>
    <row r="1858" spans="1:17" x14ac:dyDescent="0.25">
      <c r="A1858" t="s">
        <v>943</v>
      </c>
      <c r="B1858" s="18">
        <v>45997</v>
      </c>
      <c r="C1858" t="s">
        <v>2013</v>
      </c>
      <c r="D1858" t="s">
        <v>2033</v>
      </c>
      <c r="E1858" t="s">
        <v>2053</v>
      </c>
      <c r="F1858" t="s">
        <v>2061</v>
      </c>
      <c r="G1858">
        <v>2</v>
      </c>
      <c r="H1858">
        <v>6500</v>
      </c>
      <c r="I1858">
        <v>7150</v>
      </c>
      <c r="J1858">
        <v>17.059999999999999</v>
      </c>
      <c r="K1858">
        <v>11860.12</v>
      </c>
      <c r="L1858">
        <v>-1139.8800000000001</v>
      </c>
      <c r="M1858">
        <v>243957.99999999997</v>
      </c>
      <c r="N1858">
        <v>13000</v>
      </c>
      <c r="O1858">
        <v>-9.6110326033800675</v>
      </c>
      <c r="P1858" t="s">
        <v>2086</v>
      </c>
      <c r="Q1858" t="s">
        <v>2093</v>
      </c>
    </row>
    <row r="1859" spans="1:17" x14ac:dyDescent="0.25">
      <c r="A1859" t="s">
        <v>1006</v>
      </c>
      <c r="B1859" s="18">
        <v>45997</v>
      </c>
      <c r="C1859" t="s">
        <v>2028</v>
      </c>
      <c r="D1859" t="s">
        <v>2048</v>
      </c>
      <c r="E1859" t="s">
        <v>2057</v>
      </c>
      <c r="F1859" t="s">
        <v>2062</v>
      </c>
      <c r="G1859">
        <v>4</v>
      </c>
      <c r="H1859">
        <v>80</v>
      </c>
      <c r="I1859">
        <v>116</v>
      </c>
      <c r="J1859">
        <v>15.52</v>
      </c>
      <c r="K1859">
        <v>391.98</v>
      </c>
      <c r="L1859">
        <v>71.98</v>
      </c>
      <c r="M1859">
        <v>7201.28</v>
      </c>
      <c r="N1859">
        <v>320</v>
      </c>
      <c r="O1859">
        <v>18.36318179498954</v>
      </c>
      <c r="P1859" t="s">
        <v>2086</v>
      </c>
      <c r="Q1859" t="s">
        <v>2092</v>
      </c>
    </row>
    <row r="1860" spans="1:17" x14ac:dyDescent="0.25">
      <c r="A1860" t="s">
        <v>1440</v>
      </c>
      <c r="B1860" s="18">
        <v>45997</v>
      </c>
      <c r="C1860" t="s">
        <v>2019</v>
      </c>
      <c r="D1860" t="s">
        <v>2039</v>
      </c>
      <c r="E1860" t="s">
        <v>2053</v>
      </c>
      <c r="F1860" t="s">
        <v>2060</v>
      </c>
      <c r="G1860">
        <v>4</v>
      </c>
      <c r="H1860">
        <v>900</v>
      </c>
      <c r="I1860">
        <v>1152</v>
      </c>
      <c r="J1860">
        <v>8.5500000000000007</v>
      </c>
      <c r="K1860">
        <v>4214.08</v>
      </c>
      <c r="L1860">
        <v>614.08000000000004</v>
      </c>
      <c r="M1860">
        <v>39398.400000000001</v>
      </c>
      <c r="N1860">
        <v>3600</v>
      </c>
      <c r="O1860">
        <v>14.572101146632244</v>
      </c>
      <c r="P1860" t="s">
        <v>2086</v>
      </c>
      <c r="Q1860" t="s">
        <v>2092</v>
      </c>
    </row>
    <row r="1861" spans="1:17" x14ac:dyDescent="0.25">
      <c r="A1861" t="s">
        <v>1524</v>
      </c>
      <c r="B1861" s="18">
        <v>45997</v>
      </c>
      <c r="C1861" t="s">
        <v>2012</v>
      </c>
      <c r="D1861" t="s">
        <v>2032</v>
      </c>
      <c r="E1861" t="s">
        <v>2052</v>
      </c>
      <c r="F1861" t="s">
        <v>2061</v>
      </c>
      <c r="G1861">
        <v>2</v>
      </c>
      <c r="H1861">
        <v>6500</v>
      </c>
      <c r="I1861">
        <v>8125</v>
      </c>
      <c r="J1861">
        <v>27.3</v>
      </c>
      <c r="K1861">
        <v>11813.82</v>
      </c>
      <c r="L1861">
        <v>-1186.18</v>
      </c>
      <c r="M1861">
        <v>443625</v>
      </c>
      <c r="N1861">
        <v>13000</v>
      </c>
      <c r="O1861">
        <v>-10.040613451026003</v>
      </c>
      <c r="P1861" t="s">
        <v>2086</v>
      </c>
      <c r="Q1861" t="s">
        <v>2093</v>
      </c>
    </row>
    <row r="1862" spans="1:17" x14ac:dyDescent="0.25">
      <c r="A1862" t="s">
        <v>1911</v>
      </c>
      <c r="B1862" s="18">
        <v>45997</v>
      </c>
      <c r="C1862" t="s">
        <v>2018</v>
      </c>
      <c r="D1862" t="s">
        <v>2038</v>
      </c>
      <c r="E1862" t="s">
        <v>2053</v>
      </c>
      <c r="F1862" t="s">
        <v>2059</v>
      </c>
      <c r="G1862">
        <v>1</v>
      </c>
      <c r="H1862">
        <v>500</v>
      </c>
      <c r="I1862">
        <v>610</v>
      </c>
      <c r="J1862">
        <v>11.41</v>
      </c>
      <c r="K1862">
        <v>540.38</v>
      </c>
      <c r="L1862">
        <v>40.380000000000003</v>
      </c>
      <c r="M1862">
        <v>6960.1</v>
      </c>
      <c r="N1862">
        <v>500</v>
      </c>
      <c r="O1862">
        <v>7.4725193382434592</v>
      </c>
      <c r="P1862" t="s">
        <v>2086</v>
      </c>
      <c r="Q1862" t="s">
        <v>2091</v>
      </c>
    </row>
    <row r="1863" spans="1:17" x14ac:dyDescent="0.25">
      <c r="A1863" t="s">
        <v>61</v>
      </c>
      <c r="B1863" s="18">
        <v>45998</v>
      </c>
      <c r="C1863" t="s">
        <v>2029</v>
      </c>
      <c r="D1863" t="s">
        <v>2049</v>
      </c>
      <c r="E1863" t="s">
        <v>2055</v>
      </c>
      <c r="F1863" t="s">
        <v>2062</v>
      </c>
      <c r="G1863">
        <v>4</v>
      </c>
      <c r="H1863">
        <v>1200</v>
      </c>
      <c r="I1863">
        <v>1464</v>
      </c>
      <c r="J1863">
        <v>13.98</v>
      </c>
      <c r="K1863">
        <v>5037.2700000000004</v>
      </c>
      <c r="L1863">
        <v>237.27</v>
      </c>
      <c r="M1863">
        <v>81866.880000000005</v>
      </c>
      <c r="N1863">
        <v>4800</v>
      </c>
      <c r="O1863">
        <v>4.7102895020517064</v>
      </c>
      <c r="P1863" t="s">
        <v>2086</v>
      </c>
      <c r="Q1863" t="s">
        <v>2091</v>
      </c>
    </row>
    <row r="1864" spans="1:17" x14ac:dyDescent="0.25">
      <c r="A1864" t="s">
        <v>593</v>
      </c>
      <c r="B1864" s="18">
        <v>45998</v>
      </c>
      <c r="C1864" t="s">
        <v>2029</v>
      </c>
      <c r="D1864" t="s">
        <v>2049</v>
      </c>
      <c r="E1864" t="s">
        <v>2055</v>
      </c>
      <c r="F1864" t="s">
        <v>2060</v>
      </c>
      <c r="G1864">
        <v>10</v>
      </c>
      <c r="H1864">
        <v>1200</v>
      </c>
      <c r="I1864">
        <v>1464</v>
      </c>
      <c r="J1864">
        <v>25.3</v>
      </c>
      <c r="K1864">
        <v>10936.01</v>
      </c>
      <c r="L1864">
        <v>-1063.99</v>
      </c>
      <c r="M1864">
        <v>370392</v>
      </c>
      <c r="N1864">
        <v>12000</v>
      </c>
      <c r="O1864">
        <v>-9.729233971073544</v>
      </c>
      <c r="P1864" t="s">
        <v>2086</v>
      </c>
      <c r="Q1864" t="s">
        <v>2093</v>
      </c>
    </row>
    <row r="1865" spans="1:17" x14ac:dyDescent="0.25">
      <c r="A1865" t="s">
        <v>617</v>
      </c>
      <c r="B1865" s="18">
        <v>45998</v>
      </c>
      <c r="C1865" t="s">
        <v>2023</v>
      </c>
      <c r="D1865" t="s">
        <v>2043</v>
      </c>
      <c r="E1865" t="s">
        <v>2053</v>
      </c>
      <c r="F1865" t="s">
        <v>2062</v>
      </c>
      <c r="G1865">
        <v>2</v>
      </c>
      <c r="H1865">
        <v>550</v>
      </c>
      <c r="I1865">
        <v>742.5</v>
      </c>
      <c r="J1865">
        <v>0</v>
      </c>
      <c r="K1865">
        <v>1485</v>
      </c>
      <c r="L1865">
        <v>385</v>
      </c>
      <c r="M1865">
        <v>0</v>
      </c>
      <c r="N1865">
        <v>1100</v>
      </c>
      <c r="O1865">
        <v>25.925925925925924</v>
      </c>
      <c r="P1865" t="s">
        <v>2086</v>
      </c>
      <c r="Q1865" t="s">
        <v>2092</v>
      </c>
    </row>
    <row r="1866" spans="1:17" x14ac:dyDescent="0.25">
      <c r="A1866" t="s">
        <v>956</v>
      </c>
      <c r="B1866" s="18">
        <v>45998</v>
      </c>
      <c r="C1866" t="s">
        <v>2015</v>
      </c>
      <c r="D1866" t="s">
        <v>2035</v>
      </c>
      <c r="E1866" t="s">
        <v>2054</v>
      </c>
      <c r="F1866" t="s">
        <v>2062</v>
      </c>
      <c r="G1866">
        <v>6</v>
      </c>
      <c r="H1866">
        <v>900</v>
      </c>
      <c r="I1866">
        <v>1170</v>
      </c>
      <c r="J1866">
        <v>7.99</v>
      </c>
      <c r="K1866">
        <v>6459.39</v>
      </c>
      <c r="L1866">
        <v>1059.3900000000001</v>
      </c>
      <c r="M1866">
        <v>56089.8</v>
      </c>
      <c r="N1866">
        <v>5400</v>
      </c>
      <c r="O1866">
        <v>16.400774686154577</v>
      </c>
      <c r="P1866" t="s">
        <v>2086</v>
      </c>
      <c r="Q1866" t="s">
        <v>2092</v>
      </c>
    </row>
    <row r="1867" spans="1:17" x14ac:dyDescent="0.25">
      <c r="A1867" t="s">
        <v>1160</v>
      </c>
      <c r="B1867" s="18">
        <v>45998</v>
      </c>
      <c r="C1867" t="s">
        <v>2025</v>
      </c>
      <c r="D1867" t="s">
        <v>2045</v>
      </c>
      <c r="E1867" t="s">
        <v>2057</v>
      </c>
      <c r="F1867" t="s">
        <v>2062</v>
      </c>
      <c r="G1867">
        <v>3</v>
      </c>
      <c r="H1867">
        <v>45</v>
      </c>
      <c r="I1867">
        <v>63</v>
      </c>
      <c r="J1867">
        <v>19.78</v>
      </c>
      <c r="K1867">
        <v>151.62</v>
      </c>
      <c r="L1867">
        <v>16.62</v>
      </c>
      <c r="M1867">
        <v>3738.42</v>
      </c>
      <c r="N1867">
        <v>135</v>
      </c>
      <c r="O1867">
        <v>10.961614562722596</v>
      </c>
      <c r="P1867" t="s">
        <v>2086</v>
      </c>
      <c r="Q1867" t="s">
        <v>2092</v>
      </c>
    </row>
    <row r="1868" spans="1:17" x14ac:dyDescent="0.25">
      <c r="A1868" t="s">
        <v>1183</v>
      </c>
      <c r="B1868" s="18">
        <v>45998</v>
      </c>
      <c r="C1868" t="s">
        <v>2014</v>
      </c>
      <c r="D1868" t="s">
        <v>2034</v>
      </c>
      <c r="E1868" t="s">
        <v>2052</v>
      </c>
      <c r="F1868" t="s">
        <v>2060</v>
      </c>
      <c r="G1868">
        <v>4</v>
      </c>
      <c r="H1868">
        <v>4500</v>
      </c>
      <c r="I1868">
        <v>5220</v>
      </c>
      <c r="J1868">
        <v>4.1500000000000004</v>
      </c>
      <c r="K1868">
        <v>20012.5</v>
      </c>
      <c r="L1868">
        <v>2012.5</v>
      </c>
      <c r="M1868">
        <v>86652.000000000015</v>
      </c>
      <c r="N1868">
        <v>18000</v>
      </c>
      <c r="O1868">
        <v>10.056214865708931</v>
      </c>
      <c r="P1868" t="s">
        <v>2086</v>
      </c>
      <c r="Q1868" t="s">
        <v>2092</v>
      </c>
    </row>
    <row r="1869" spans="1:17" x14ac:dyDescent="0.25">
      <c r="A1869" t="s">
        <v>73</v>
      </c>
      <c r="B1869" s="18">
        <v>45999</v>
      </c>
      <c r="C1869" t="s">
        <v>2030</v>
      </c>
      <c r="D1869" t="s">
        <v>2050</v>
      </c>
      <c r="E1869" t="s">
        <v>2058</v>
      </c>
      <c r="F1869" t="s">
        <v>2061</v>
      </c>
      <c r="G1869">
        <v>4</v>
      </c>
      <c r="H1869">
        <v>1800</v>
      </c>
      <c r="I1869">
        <v>2124</v>
      </c>
      <c r="J1869">
        <v>15.72</v>
      </c>
      <c r="K1869">
        <v>7160.25</v>
      </c>
      <c r="L1869">
        <v>-39.75</v>
      </c>
      <c r="M1869">
        <v>133557.12</v>
      </c>
      <c r="N1869">
        <v>7200</v>
      </c>
      <c r="O1869">
        <v>-0.55514821409866966</v>
      </c>
      <c r="P1869" t="s">
        <v>2086</v>
      </c>
      <c r="Q1869" t="s">
        <v>2093</v>
      </c>
    </row>
    <row r="1870" spans="1:17" x14ac:dyDescent="0.25">
      <c r="A1870" t="s">
        <v>546</v>
      </c>
      <c r="B1870" s="18">
        <v>45999</v>
      </c>
      <c r="C1870" t="s">
        <v>2017</v>
      </c>
      <c r="D1870" t="s">
        <v>2037</v>
      </c>
      <c r="E1870" t="s">
        <v>2055</v>
      </c>
      <c r="F1870" t="s">
        <v>2060</v>
      </c>
      <c r="G1870">
        <v>4</v>
      </c>
      <c r="H1870">
        <v>2500</v>
      </c>
      <c r="I1870">
        <v>2875</v>
      </c>
      <c r="J1870">
        <v>14.97</v>
      </c>
      <c r="K1870">
        <v>9778.4500000000007</v>
      </c>
      <c r="L1870">
        <v>-221.55</v>
      </c>
      <c r="M1870">
        <v>172155</v>
      </c>
      <c r="N1870">
        <v>10000</v>
      </c>
      <c r="O1870">
        <v>-2.2656965060924787</v>
      </c>
      <c r="P1870" t="s">
        <v>2086</v>
      </c>
      <c r="Q1870" t="s">
        <v>2093</v>
      </c>
    </row>
    <row r="1871" spans="1:17" x14ac:dyDescent="0.25">
      <c r="A1871" t="s">
        <v>917</v>
      </c>
      <c r="B1871" s="18">
        <v>45999</v>
      </c>
      <c r="C1871" t="s">
        <v>2012</v>
      </c>
      <c r="D1871" t="s">
        <v>2032</v>
      </c>
      <c r="E1871" t="s">
        <v>2052</v>
      </c>
      <c r="F1871" t="s">
        <v>2059</v>
      </c>
      <c r="G1871">
        <v>1</v>
      </c>
      <c r="H1871">
        <v>6500</v>
      </c>
      <c r="I1871">
        <v>8125</v>
      </c>
      <c r="J1871">
        <v>6.88</v>
      </c>
      <c r="K1871">
        <v>7566.11</v>
      </c>
      <c r="L1871">
        <v>1066.1099999999999</v>
      </c>
      <c r="M1871">
        <v>55900</v>
      </c>
      <c r="N1871">
        <v>6500</v>
      </c>
      <c r="O1871">
        <v>14.090596092311635</v>
      </c>
      <c r="P1871" t="s">
        <v>2086</v>
      </c>
      <c r="Q1871" t="s">
        <v>2092</v>
      </c>
    </row>
    <row r="1872" spans="1:17" x14ac:dyDescent="0.25">
      <c r="A1872" t="s">
        <v>1152</v>
      </c>
      <c r="B1872" s="18">
        <v>45999</v>
      </c>
      <c r="C1872" t="s">
        <v>2021</v>
      </c>
      <c r="D1872" t="s">
        <v>2041</v>
      </c>
      <c r="E1872" t="s">
        <v>2056</v>
      </c>
      <c r="F1872" t="s">
        <v>2059</v>
      </c>
      <c r="G1872">
        <v>4</v>
      </c>
      <c r="H1872">
        <v>300</v>
      </c>
      <c r="I1872">
        <v>405</v>
      </c>
      <c r="J1872">
        <v>11.52</v>
      </c>
      <c r="K1872">
        <v>1433.4</v>
      </c>
      <c r="L1872">
        <v>233.4</v>
      </c>
      <c r="M1872">
        <v>18662.399999999998</v>
      </c>
      <c r="N1872">
        <v>1200</v>
      </c>
      <c r="O1872">
        <v>16.282963583089156</v>
      </c>
      <c r="P1872" t="s">
        <v>2086</v>
      </c>
      <c r="Q1872" t="s">
        <v>2092</v>
      </c>
    </row>
    <row r="1873" spans="1:17" x14ac:dyDescent="0.25">
      <c r="A1873" t="s">
        <v>1699</v>
      </c>
      <c r="B1873" s="18">
        <v>45999</v>
      </c>
      <c r="C1873" t="s">
        <v>2023</v>
      </c>
      <c r="D1873" t="s">
        <v>2043</v>
      </c>
      <c r="E1873" t="s">
        <v>2053</v>
      </c>
      <c r="F1873" t="s">
        <v>2062</v>
      </c>
      <c r="G1873">
        <v>8</v>
      </c>
      <c r="H1873">
        <v>550</v>
      </c>
      <c r="I1873">
        <v>742.5</v>
      </c>
      <c r="J1873">
        <v>14.59</v>
      </c>
      <c r="K1873">
        <v>5073.1400000000003</v>
      </c>
      <c r="L1873">
        <v>673.14</v>
      </c>
      <c r="M1873">
        <v>86664.6</v>
      </c>
      <c r="N1873">
        <v>4400</v>
      </c>
      <c r="O1873">
        <v>13.268705377734499</v>
      </c>
      <c r="P1873" t="s">
        <v>2086</v>
      </c>
      <c r="Q1873" t="s">
        <v>2092</v>
      </c>
    </row>
    <row r="1874" spans="1:17" x14ac:dyDescent="0.25">
      <c r="A1874" t="s">
        <v>1842</v>
      </c>
      <c r="B1874" s="18">
        <v>45999</v>
      </c>
      <c r="C1874" t="s">
        <v>2015</v>
      </c>
      <c r="D1874" t="s">
        <v>2035</v>
      </c>
      <c r="E1874" t="s">
        <v>2054</v>
      </c>
      <c r="F1874" t="s">
        <v>2062</v>
      </c>
      <c r="G1874">
        <v>9</v>
      </c>
      <c r="H1874">
        <v>900</v>
      </c>
      <c r="I1874">
        <v>1170</v>
      </c>
      <c r="J1874">
        <v>19.3</v>
      </c>
      <c r="K1874">
        <v>8497.76</v>
      </c>
      <c r="L1874">
        <v>397.76</v>
      </c>
      <c r="M1874">
        <v>203229</v>
      </c>
      <c r="N1874">
        <v>8100</v>
      </c>
      <c r="O1874">
        <v>4.6807629304663818</v>
      </c>
      <c r="P1874" t="s">
        <v>2086</v>
      </c>
      <c r="Q1874" t="s">
        <v>2091</v>
      </c>
    </row>
    <row r="1875" spans="1:17" x14ac:dyDescent="0.25">
      <c r="A1875" t="s">
        <v>246</v>
      </c>
      <c r="B1875" s="18">
        <v>46000</v>
      </c>
      <c r="C1875" t="s">
        <v>2013</v>
      </c>
      <c r="D1875" t="s">
        <v>2033</v>
      </c>
      <c r="E1875" t="s">
        <v>2053</v>
      </c>
      <c r="F1875" t="s">
        <v>2059</v>
      </c>
      <c r="G1875">
        <v>5</v>
      </c>
      <c r="H1875">
        <v>6500</v>
      </c>
      <c r="I1875">
        <v>7150</v>
      </c>
      <c r="J1875">
        <v>9.6</v>
      </c>
      <c r="K1875">
        <v>32317.41</v>
      </c>
      <c r="L1875">
        <v>-182.59</v>
      </c>
      <c r="M1875">
        <v>343200</v>
      </c>
      <c r="N1875">
        <v>32500</v>
      </c>
      <c r="O1875">
        <v>-0.56498958301423297</v>
      </c>
      <c r="P1875" t="s">
        <v>2086</v>
      </c>
      <c r="Q1875" t="s">
        <v>2093</v>
      </c>
    </row>
    <row r="1876" spans="1:17" x14ac:dyDescent="0.25">
      <c r="A1876" t="s">
        <v>782</v>
      </c>
      <c r="B1876" s="18">
        <v>46000</v>
      </c>
      <c r="C1876" t="s">
        <v>2020</v>
      </c>
      <c r="D1876" t="s">
        <v>2040</v>
      </c>
      <c r="E1876" t="s">
        <v>2053</v>
      </c>
      <c r="F1876" t="s">
        <v>2061</v>
      </c>
      <c r="G1876">
        <v>8</v>
      </c>
      <c r="H1876">
        <v>350</v>
      </c>
      <c r="I1876">
        <v>455</v>
      </c>
      <c r="J1876">
        <v>14.94</v>
      </c>
      <c r="K1876">
        <v>3096.05</v>
      </c>
      <c r="L1876">
        <v>296.05</v>
      </c>
      <c r="M1876">
        <v>54381.599999999999</v>
      </c>
      <c r="N1876">
        <v>2800</v>
      </c>
      <c r="O1876">
        <v>9.5621840732546293</v>
      </c>
      <c r="P1876" t="s">
        <v>2086</v>
      </c>
      <c r="Q1876" t="s">
        <v>2091</v>
      </c>
    </row>
    <row r="1877" spans="1:17" x14ac:dyDescent="0.25">
      <c r="A1877" t="s">
        <v>892</v>
      </c>
      <c r="B1877" s="18">
        <v>46000</v>
      </c>
      <c r="C1877" t="s">
        <v>2025</v>
      </c>
      <c r="D1877" t="s">
        <v>2045</v>
      </c>
      <c r="E1877" t="s">
        <v>2057</v>
      </c>
      <c r="F1877" t="s">
        <v>2061</v>
      </c>
      <c r="G1877">
        <v>10</v>
      </c>
      <c r="H1877">
        <v>45</v>
      </c>
      <c r="I1877">
        <v>63</v>
      </c>
      <c r="J1877">
        <v>6.45</v>
      </c>
      <c r="K1877">
        <v>589.37</v>
      </c>
      <c r="L1877">
        <v>139.37</v>
      </c>
      <c r="M1877">
        <v>4063.5</v>
      </c>
      <c r="N1877">
        <v>450</v>
      </c>
      <c r="O1877">
        <v>23.64728438841475</v>
      </c>
      <c r="P1877" t="s">
        <v>2086</v>
      </c>
      <c r="Q1877" t="s">
        <v>2092</v>
      </c>
    </row>
    <row r="1878" spans="1:17" x14ac:dyDescent="0.25">
      <c r="A1878" t="s">
        <v>1001</v>
      </c>
      <c r="B1878" s="18">
        <v>46000</v>
      </c>
      <c r="C1878" t="s">
        <v>2014</v>
      </c>
      <c r="D1878" t="s">
        <v>2034</v>
      </c>
      <c r="E1878" t="s">
        <v>2052</v>
      </c>
      <c r="F1878" t="s">
        <v>2061</v>
      </c>
      <c r="G1878">
        <v>3</v>
      </c>
      <c r="H1878">
        <v>4500</v>
      </c>
      <c r="I1878">
        <v>5220</v>
      </c>
      <c r="J1878">
        <v>7.57</v>
      </c>
      <c r="K1878">
        <v>14474.34</v>
      </c>
      <c r="L1878">
        <v>974.34</v>
      </c>
      <c r="M1878">
        <v>118546.20000000001</v>
      </c>
      <c r="N1878">
        <v>13500</v>
      </c>
      <c r="O1878">
        <v>6.7314986382798798</v>
      </c>
      <c r="P1878" t="s">
        <v>2086</v>
      </c>
      <c r="Q1878" t="s">
        <v>2091</v>
      </c>
    </row>
    <row r="1879" spans="1:17" x14ac:dyDescent="0.25">
      <c r="A1879" t="s">
        <v>1154</v>
      </c>
      <c r="B1879" s="18">
        <v>46000</v>
      </c>
      <c r="C1879" t="s">
        <v>2022</v>
      </c>
      <c r="D1879" t="s">
        <v>2042</v>
      </c>
      <c r="E1879" t="s">
        <v>2053</v>
      </c>
      <c r="F1879" t="s">
        <v>2060</v>
      </c>
      <c r="G1879">
        <v>5</v>
      </c>
      <c r="H1879">
        <v>8500</v>
      </c>
      <c r="I1879">
        <v>9520</v>
      </c>
      <c r="J1879">
        <v>6.49</v>
      </c>
      <c r="K1879">
        <v>44512.7</v>
      </c>
      <c r="L1879">
        <v>2012.7</v>
      </c>
      <c r="M1879">
        <v>308924</v>
      </c>
      <c r="N1879">
        <v>42500</v>
      </c>
      <c r="O1879">
        <v>4.5216309053371289</v>
      </c>
      <c r="P1879" t="s">
        <v>2086</v>
      </c>
      <c r="Q1879" t="s">
        <v>2091</v>
      </c>
    </row>
    <row r="1880" spans="1:17" x14ac:dyDescent="0.25">
      <c r="A1880" t="s">
        <v>1396</v>
      </c>
      <c r="B1880" s="18">
        <v>46000</v>
      </c>
      <c r="C1880" t="s">
        <v>2016</v>
      </c>
      <c r="D1880" t="s">
        <v>2036</v>
      </c>
      <c r="E1880" t="s">
        <v>2052</v>
      </c>
      <c r="F1880" t="s">
        <v>2060</v>
      </c>
      <c r="G1880">
        <v>3</v>
      </c>
      <c r="H1880">
        <v>900</v>
      </c>
      <c r="I1880">
        <v>1170</v>
      </c>
      <c r="J1880">
        <v>17.21</v>
      </c>
      <c r="K1880">
        <v>2905.78</v>
      </c>
      <c r="L1880">
        <v>205.78</v>
      </c>
      <c r="M1880">
        <v>60407.100000000006</v>
      </c>
      <c r="N1880">
        <v>2700</v>
      </c>
      <c r="O1880">
        <v>7.081747413775302</v>
      </c>
      <c r="P1880" t="s">
        <v>2086</v>
      </c>
      <c r="Q1880" t="s">
        <v>2091</v>
      </c>
    </row>
    <row r="1881" spans="1:17" x14ac:dyDescent="0.25">
      <c r="A1881" t="s">
        <v>1469</v>
      </c>
      <c r="B1881" s="18">
        <v>46000</v>
      </c>
      <c r="C1881" t="s">
        <v>2012</v>
      </c>
      <c r="D1881" t="s">
        <v>2032</v>
      </c>
      <c r="E1881" t="s">
        <v>2052</v>
      </c>
      <c r="F1881" t="s">
        <v>2059</v>
      </c>
      <c r="G1881">
        <v>3</v>
      </c>
      <c r="H1881">
        <v>6500</v>
      </c>
      <c r="I1881">
        <v>8125</v>
      </c>
      <c r="J1881">
        <v>8.75</v>
      </c>
      <c r="K1881">
        <v>22243.09</v>
      </c>
      <c r="L1881">
        <v>2743.09</v>
      </c>
      <c r="M1881">
        <v>213281.25</v>
      </c>
      <c r="N1881">
        <v>19500</v>
      </c>
      <c r="O1881">
        <v>12.332324330837128</v>
      </c>
      <c r="P1881" t="s">
        <v>2086</v>
      </c>
      <c r="Q1881" t="s">
        <v>2092</v>
      </c>
    </row>
    <row r="1882" spans="1:17" x14ac:dyDescent="0.25">
      <c r="A1882" t="s">
        <v>1762</v>
      </c>
      <c r="B1882" s="18">
        <v>46000</v>
      </c>
      <c r="C1882" t="s">
        <v>2021</v>
      </c>
      <c r="D1882" t="s">
        <v>2041</v>
      </c>
      <c r="E1882" t="s">
        <v>2056</v>
      </c>
      <c r="F1882" t="s">
        <v>2060</v>
      </c>
      <c r="G1882">
        <v>5</v>
      </c>
      <c r="H1882">
        <v>300</v>
      </c>
      <c r="I1882">
        <v>405</v>
      </c>
      <c r="J1882">
        <v>9.26</v>
      </c>
      <c r="K1882">
        <v>1837.5</v>
      </c>
      <c r="L1882">
        <v>337.5</v>
      </c>
      <c r="M1882">
        <v>18751.5</v>
      </c>
      <c r="N1882">
        <v>1500</v>
      </c>
      <c r="O1882">
        <v>18.367346938775512</v>
      </c>
      <c r="P1882" t="s">
        <v>2086</v>
      </c>
      <c r="Q1882" t="s">
        <v>2092</v>
      </c>
    </row>
    <row r="1883" spans="1:17" x14ac:dyDescent="0.25">
      <c r="A1883" t="s">
        <v>1848</v>
      </c>
      <c r="B1883" s="18">
        <v>46000</v>
      </c>
      <c r="C1883" t="s">
        <v>2020</v>
      </c>
      <c r="D1883" t="s">
        <v>2040</v>
      </c>
      <c r="E1883" t="s">
        <v>2053</v>
      </c>
      <c r="F1883" t="s">
        <v>2060</v>
      </c>
      <c r="G1883">
        <v>2</v>
      </c>
      <c r="H1883">
        <v>350</v>
      </c>
      <c r="I1883">
        <v>455</v>
      </c>
      <c r="J1883">
        <v>15.07</v>
      </c>
      <c r="K1883">
        <v>772.88</v>
      </c>
      <c r="L1883">
        <v>72.88</v>
      </c>
      <c r="M1883">
        <v>13713.7</v>
      </c>
      <c r="N1883">
        <v>700</v>
      </c>
      <c r="O1883">
        <v>9.4296656660801155</v>
      </c>
      <c r="P1883" t="s">
        <v>2086</v>
      </c>
      <c r="Q1883" t="s">
        <v>2091</v>
      </c>
    </row>
    <row r="1884" spans="1:17" x14ac:dyDescent="0.25">
      <c r="A1884" t="s">
        <v>247</v>
      </c>
      <c r="B1884" s="18">
        <v>46001</v>
      </c>
      <c r="C1884" t="s">
        <v>2023</v>
      </c>
      <c r="D1884" t="s">
        <v>2043</v>
      </c>
      <c r="E1884" t="s">
        <v>2053</v>
      </c>
      <c r="F1884" t="s">
        <v>2061</v>
      </c>
      <c r="G1884">
        <v>6</v>
      </c>
      <c r="H1884">
        <v>550</v>
      </c>
      <c r="I1884">
        <v>742.5</v>
      </c>
      <c r="J1884">
        <v>9.3000000000000007</v>
      </c>
      <c r="K1884">
        <v>4040.78</v>
      </c>
      <c r="L1884">
        <v>740.78</v>
      </c>
      <c r="M1884">
        <v>41431.5</v>
      </c>
      <c r="N1884">
        <v>3300</v>
      </c>
      <c r="O1884">
        <v>18.332599151648939</v>
      </c>
      <c r="P1884" t="s">
        <v>2086</v>
      </c>
      <c r="Q1884" t="s">
        <v>2092</v>
      </c>
    </row>
    <row r="1885" spans="1:17" x14ac:dyDescent="0.25">
      <c r="A1885" t="s">
        <v>631</v>
      </c>
      <c r="B1885" s="18">
        <v>46001</v>
      </c>
      <c r="C1885" t="s">
        <v>2024</v>
      </c>
      <c r="D1885" t="s">
        <v>2044</v>
      </c>
      <c r="E1885" t="s">
        <v>2055</v>
      </c>
      <c r="F1885" t="s">
        <v>2062</v>
      </c>
      <c r="G1885">
        <v>7</v>
      </c>
      <c r="H1885">
        <v>180</v>
      </c>
      <c r="I1885">
        <v>243</v>
      </c>
      <c r="J1885">
        <v>4.41</v>
      </c>
      <c r="K1885">
        <v>1626.07</v>
      </c>
      <c r="L1885">
        <v>366.07</v>
      </c>
      <c r="M1885">
        <v>7501.41</v>
      </c>
      <c r="N1885">
        <v>1260</v>
      </c>
      <c r="O1885">
        <v>22.512560959860277</v>
      </c>
      <c r="P1885" t="s">
        <v>2086</v>
      </c>
      <c r="Q1885" t="s">
        <v>2092</v>
      </c>
    </row>
    <row r="1886" spans="1:17" x14ac:dyDescent="0.25">
      <c r="A1886" t="s">
        <v>822</v>
      </c>
      <c r="B1886" s="18">
        <v>46001</v>
      </c>
      <c r="C1886" t="s">
        <v>2015</v>
      </c>
      <c r="D1886" t="s">
        <v>2035</v>
      </c>
      <c r="E1886" t="s">
        <v>2054</v>
      </c>
      <c r="F1886" t="s">
        <v>2059</v>
      </c>
      <c r="G1886">
        <v>1</v>
      </c>
      <c r="H1886">
        <v>900</v>
      </c>
      <c r="I1886">
        <v>1170</v>
      </c>
      <c r="J1886">
        <v>0</v>
      </c>
      <c r="K1886">
        <v>1170</v>
      </c>
      <c r="L1886">
        <v>270</v>
      </c>
      <c r="M1886">
        <v>0</v>
      </c>
      <c r="N1886">
        <v>900</v>
      </c>
      <c r="O1886">
        <v>23.076923076923077</v>
      </c>
      <c r="P1886" t="s">
        <v>2086</v>
      </c>
      <c r="Q1886" t="s">
        <v>2092</v>
      </c>
    </row>
    <row r="1887" spans="1:17" x14ac:dyDescent="0.25">
      <c r="A1887" t="s">
        <v>965</v>
      </c>
      <c r="B1887" s="18">
        <v>46001</v>
      </c>
      <c r="C1887" t="s">
        <v>2014</v>
      </c>
      <c r="D1887" t="s">
        <v>2034</v>
      </c>
      <c r="E1887" t="s">
        <v>2052</v>
      </c>
      <c r="F1887" t="s">
        <v>2061</v>
      </c>
      <c r="G1887">
        <v>1</v>
      </c>
      <c r="H1887">
        <v>4500</v>
      </c>
      <c r="I1887">
        <v>5220</v>
      </c>
      <c r="J1887">
        <v>24.27</v>
      </c>
      <c r="K1887">
        <v>3953.22</v>
      </c>
      <c r="L1887">
        <v>-546.78</v>
      </c>
      <c r="M1887">
        <v>126689.4</v>
      </c>
      <c r="N1887">
        <v>4500</v>
      </c>
      <c r="O1887">
        <v>-13.831256545297252</v>
      </c>
      <c r="P1887" t="s">
        <v>2086</v>
      </c>
      <c r="Q1887" t="s">
        <v>2093</v>
      </c>
    </row>
    <row r="1888" spans="1:17" x14ac:dyDescent="0.25">
      <c r="A1888" t="s">
        <v>970</v>
      </c>
      <c r="B1888" s="18">
        <v>46001</v>
      </c>
      <c r="C1888" t="s">
        <v>2016</v>
      </c>
      <c r="D1888" t="s">
        <v>2036</v>
      </c>
      <c r="E1888" t="s">
        <v>2052</v>
      </c>
      <c r="F1888" t="s">
        <v>2061</v>
      </c>
      <c r="G1888">
        <v>1</v>
      </c>
      <c r="H1888">
        <v>900</v>
      </c>
      <c r="I1888">
        <v>1170</v>
      </c>
      <c r="J1888">
        <v>11.28</v>
      </c>
      <c r="K1888">
        <v>1038.05</v>
      </c>
      <c r="L1888">
        <v>138.05000000000001</v>
      </c>
      <c r="M1888">
        <v>13197.599999999999</v>
      </c>
      <c r="N1888">
        <v>900</v>
      </c>
      <c r="O1888">
        <v>13.298974037859448</v>
      </c>
      <c r="P1888" t="s">
        <v>2086</v>
      </c>
      <c r="Q1888" t="s">
        <v>2092</v>
      </c>
    </row>
    <row r="1889" spans="1:17" x14ac:dyDescent="0.25">
      <c r="A1889" t="s">
        <v>1111</v>
      </c>
      <c r="B1889" s="18">
        <v>46001</v>
      </c>
      <c r="C1889" t="s">
        <v>2013</v>
      </c>
      <c r="D1889" t="s">
        <v>2033</v>
      </c>
      <c r="E1889" t="s">
        <v>2053</v>
      </c>
      <c r="F1889" t="s">
        <v>2062</v>
      </c>
      <c r="G1889">
        <v>4</v>
      </c>
      <c r="H1889">
        <v>6500</v>
      </c>
      <c r="I1889">
        <v>7150</v>
      </c>
      <c r="J1889">
        <v>12.38</v>
      </c>
      <c r="K1889">
        <v>25060.51</v>
      </c>
      <c r="L1889">
        <v>-939.49</v>
      </c>
      <c r="M1889">
        <v>354068</v>
      </c>
      <c r="N1889">
        <v>26000</v>
      </c>
      <c r="O1889">
        <v>-3.7488861958515614</v>
      </c>
      <c r="P1889" t="s">
        <v>2086</v>
      </c>
      <c r="Q1889" t="s">
        <v>2093</v>
      </c>
    </row>
    <row r="1890" spans="1:17" x14ac:dyDescent="0.25">
      <c r="A1890" t="s">
        <v>142</v>
      </c>
      <c r="B1890" s="18">
        <v>46002</v>
      </c>
      <c r="C1890" t="s">
        <v>2031</v>
      </c>
      <c r="D1890" t="s">
        <v>2051</v>
      </c>
      <c r="E1890" t="s">
        <v>2058</v>
      </c>
      <c r="F1890" t="s">
        <v>2062</v>
      </c>
      <c r="G1890">
        <v>10</v>
      </c>
      <c r="H1890">
        <v>3200</v>
      </c>
      <c r="I1890">
        <v>3840</v>
      </c>
      <c r="J1890">
        <v>17.78</v>
      </c>
      <c r="K1890">
        <v>31573.95</v>
      </c>
      <c r="L1890">
        <v>-426.05</v>
      </c>
      <c r="M1890">
        <v>682752</v>
      </c>
      <c r="N1890">
        <v>32000</v>
      </c>
      <c r="O1890">
        <v>-1.3493718714319873</v>
      </c>
      <c r="P1890" t="s">
        <v>2086</v>
      </c>
      <c r="Q1890" t="s">
        <v>2093</v>
      </c>
    </row>
    <row r="1891" spans="1:17" x14ac:dyDescent="0.25">
      <c r="A1891" t="s">
        <v>348</v>
      </c>
      <c r="B1891" s="18">
        <v>46002</v>
      </c>
      <c r="C1891" t="s">
        <v>2013</v>
      </c>
      <c r="D1891" t="s">
        <v>2033</v>
      </c>
      <c r="E1891" t="s">
        <v>2053</v>
      </c>
      <c r="F1891" t="s">
        <v>2062</v>
      </c>
      <c r="G1891">
        <v>3</v>
      </c>
      <c r="H1891">
        <v>6500</v>
      </c>
      <c r="I1891">
        <v>7150</v>
      </c>
      <c r="J1891">
        <v>10.91</v>
      </c>
      <c r="K1891">
        <v>19110.669999999998</v>
      </c>
      <c r="L1891">
        <v>-389.33</v>
      </c>
      <c r="M1891">
        <v>234019.5</v>
      </c>
      <c r="N1891">
        <v>19500</v>
      </c>
      <c r="O1891">
        <v>-2.0372388827811898</v>
      </c>
      <c r="P1891" t="s">
        <v>2086</v>
      </c>
      <c r="Q1891" t="s">
        <v>2093</v>
      </c>
    </row>
    <row r="1892" spans="1:17" x14ac:dyDescent="0.25">
      <c r="A1892" t="s">
        <v>592</v>
      </c>
      <c r="B1892" s="18">
        <v>46002</v>
      </c>
      <c r="C1892" t="s">
        <v>2016</v>
      </c>
      <c r="D1892" t="s">
        <v>2036</v>
      </c>
      <c r="E1892" t="s">
        <v>2052</v>
      </c>
      <c r="F1892" t="s">
        <v>2059</v>
      </c>
      <c r="G1892">
        <v>8</v>
      </c>
      <c r="H1892">
        <v>900</v>
      </c>
      <c r="I1892">
        <v>1170</v>
      </c>
      <c r="J1892">
        <v>17.739999999999998</v>
      </c>
      <c r="K1892">
        <v>7699.99</v>
      </c>
      <c r="L1892">
        <v>499.99</v>
      </c>
      <c r="M1892">
        <v>166046.39999999999</v>
      </c>
      <c r="N1892">
        <v>7200</v>
      </c>
      <c r="O1892">
        <v>6.4933850563442297</v>
      </c>
      <c r="P1892" t="s">
        <v>2086</v>
      </c>
      <c r="Q1892" t="s">
        <v>2091</v>
      </c>
    </row>
    <row r="1893" spans="1:17" x14ac:dyDescent="0.25">
      <c r="A1893" t="s">
        <v>1521</v>
      </c>
      <c r="B1893" s="18">
        <v>46003</v>
      </c>
      <c r="C1893" t="s">
        <v>2030</v>
      </c>
      <c r="D1893" t="s">
        <v>2050</v>
      </c>
      <c r="E1893" t="s">
        <v>2058</v>
      </c>
      <c r="F1893" t="s">
        <v>2062</v>
      </c>
      <c r="G1893">
        <v>2</v>
      </c>
      <c r="H1893">
        <v>1800</v>
      </c>
      <c r="I1893">
        <v>2124</v>
      </c>
      <c r="J1893">
        <v>11.35</v>
      </c>
      <c r="K1893">
        <v>3765.82</v>
      </c>
      <c r="L1893">
        <v>165.82</v>
      </c>
      <c r="M1893">
        <v>48214.799999999996</v>
      </c>
      <c r="N1893">
        <v>3600</v>
      </c>
      <c r="O1893">
        <v>4.4032906511729184</v>
      </c>
      <c r="P1893" t="s">
        <v>2086</v>
      </c>
      <c r="Q1893" t="s">
        <v>2091</v>
      </c>
    </row>
    <row r="1894" spans="1:17" x14ac:dyDescent="0.25">
      <c r="A1894" t="s">
        <v>1745</v>
      </c>
      <c r="B1894" s="18">
        <v>46003</v>
      </c>
      <c r="C1894" t="s">
        <v>2027</v>
      </c>
      <c r="D1894" t="s">
        <v>2047</v>
      </c>
      <c r="E1894" t="s">
        <v>2053</v>
      </c>
      <c r="F1894" t="s">
        <v>2061</v>
      </c>
      <c r="G1894">
        <v>5</v>
      </c>
      <c r="H1894">
        <v>1100</v>
      </c>
      <c r="I1894">
        <v>1298</v>
      </c>
      <c r="J1894">
        <v>0</v>
      </c>
      <c r="K1894">
        <v>6490</v>
      </c>
      <c r="L1894">
        <v>990</v>
      </c>
      <c r="M1894">
        <v>0</v>
      </c>
      <c r="N1894">
        <v>5500</v>
      </c>
      <c r="O1894">
        <v>15.254237288135593</v>
      </c>
      <c r="P1894" t="s">
        <v>2086</v>
      </c>
      <c r="Q1894" t="s">
        <v>2092</v>
      </c>
    </row>
    <row r="1895" spans="1:17" x14ac:dyDescent="0.25">
      <c r="A1895" t="s">
        <v>95</v>
      </c>
      <c r="B1895" s="18">
        <v>46004</v>
      </c>
      <c r="C1895" t="s">
        <v>2024</v>
      </c>
      <c r="D1895" t="s">
        <v>2044</v>
      </c>
      <c r="E1895" t="s">
        <v>2055</v>
      </c>
      <c r="F1895" t="s">
        <v>2062</v>
      </c>
      <c r="G1895">
        <v>2</v>
      </c>
      <c r="H1895">
        <v>180</v>
      </c>
      <c r="I1895">
        <v>243</v>
      </c>
      <c r="J1895">
        <v>13.22</v>
      </c>
      <c r="K1895">
        <v>421.77</v>
      </c>
      <c r="L1895">
        <v>61.77</v>
      </c>
      <c r="M1895">
        <v>6424.92</v>
      </c>
      <c r="N1895">
        <v>360</v>
      </c>
      <c r="O1895">
        <v>14.645422860800911</v>
      </c>
      <c r="P1895" t="s">
        <v>2086</v>
      </c>
      <c r="Q1895" t="s">
        <v>2092</v>
      </c>
    </row>
    <row r="1896" spans="1:17" x14ac:dyDescent="0.25">
      <c r="A1896" t="s">
        <v>300</v>
      </c>
      <c r="B1896" s="18">
        <v>46004</v>
      </c>
      <c r="C1896" t="s">
        <v>2022</v>
      </c>
      <c r="D1896" t="s">
        <v>2042</v>
      </c>
      <c r="E1896" t="s">
        <v>2053</v>
      </c>
      <c r="F1896" t="s">
        <v>2062</v>
      </c>
      <c r="G1896">
        <v>1</v>
      </c>
      <c r="H1896">
        <v>8500</v>
      </c>
      <c r="I1896">
        <v>9520</v>
      </c>
      <c r="J1896">
        <v>7.01</v>
      </c>
      <c r="K1896">
        <v>8853.07</v>
      </c>
      <c r="L1896">
        <v>353.07</v>
      </c>
      <c r="M1896">
        <v>66735.199999999997</v>
      </c>
      <c r="N1896">
        <v>8500</v>
      </c>
      <c r="O1896">
        <v>3.9881080800219584</v>
      </c>
      <c r="P1896" t="s">
        <v>2086</v>
      </c>
      <c r="Q1896" t="s">
        <v>2091</v>
      </c>
    </row>
    <row r="1897" spans="1:17" x14ac:dyDescent="0.25">
      <c r="A1897" t="s">
        <v>769</v>
      </c>
      <c r="B1897" s="18">
        <v>46004</v>
      </c>
      <c r="C1897" t="s">
        <v>2021</v>
      </c>
      <c r="D1897" t="s">
        <v>2041</v>
      </c>
      <c r="E1897" t="s">
        <v>2056</v>
      </c>
      <c r="F1897" t="s">
        <v>2059</v>
      </c>
      <c r="G1897">
        <v>8</v>
      </c>
      <c r="H1897">
        <v>300</v>
      </c>
      <c r="I1897">
        <v>405</v>
      </c>
      <c r="J1897">
        <v>15.63</v>
      </c>
      <c r="K1897">
        <v>2733.48</v>
      </c>
      <c r="L1897">
        <v>333.48</v>
      </c>
      <c r="M1897">
        <v>50641.200000000004</v>
      </c>
      <c r="N1897">
        <v>2400</v>
      </c>
      <c r="O1897">
        <v>12.199833179683042</v>
      </c>
      <c r="P1897" t="s">
        <v>2086</v>
      </c>
      <c r="Q1897" t="s">
        <v>2092</v>
      </c>
    </row>
    <row r="1898" spans="1:17" x14ac:dyDescent="0.25">
      <c r="A1898" t="s">
        <v>920</v>
      </c>
      <c r="B1898" s="18">
        <v>46004</v>
      </c>
      <c r="C1898" t="s">
        <v>2025</v>
      </c>
      <c r="D1898" t="s">
        <v>2045</v>
      </c>
      <c r="E1898" t="s">
        <v>2057</v>
      </c>
      <c r="F1898" t="s">
        <v>2060</v>
      </c>
      <c r="G1898">
        <v>5</v>
      </c>
      <c r="H1898">
        <v>45</v>
      </c>
      <c r="I1898">
        <v>63</v>
      </c>
      <c r="J1898">
        <v>2.0499999999999998</v>
      </c>
      <c r="K1898">
        <v>308.52999999999997</v>
      </c>
      <c r="L1898">
        <v>83.53</v>
      </c>
      <c r="M1898">
        <v>645.75</v>
      </c>
      <c r="N1898">
        <v>225</v>
      </c>
      <c r="O1898">
        <v>27.073542281139602</v>
      </c>
      <c r="P1898" t="s">
        <v>2086</v>
      </c>
      <c r="Q1898" t="s">
        <v>2092</v>
      </c>
    </row>
    <row r="1899" spans="1:17" x14ac:dyDescent="0.25">
      <c r="A1899" t="s">
        <v>999</v>
      </c>
      <c r="B1899" s="18">
        <v>46004</v>
      </c>
      <c r="C1899" t="s">
        <v>2016</v>
      </c>
      <c r="D1899" t="s">
        <v>2036</v>
      </c>
      <c r="E1899" t="s">
        <v>2052</v>
      </c>
      <c r="F1899" t="s">
        <v>2061</v>
      </c>
      <c r="G1899">
        <v>7</v>
      </c>
      <c r="H1899">
        <v>900</v>
      </c>
      <c r="I1899">
        <v>1170</v>
      </c>
      <c r="J1899">
        <v>5.75</v>
      </c>
      <c r="K1899">
        <v>7719.42</v>
      </c>
      <c r="L1899">
        <v>1419.42</v>
      </c>
      <c r="M1899">
        <v>47092.5</v>
      </c>
      <c r="N1899">
        <v>6300</v>
      </c>
      <c r="O1899">
        <v>18.387650885688302</v>
      </c>
      <c r="P1899" t="s">
        <v>2086</v>
      </c>
      <c r="Q1899" t="s">
        <v>2092</v>
      </c>
    </row>
    <row r="1900" spans="1:17" x14ac:dyDescent="0.25">
      <c r="A1900" t="s">
        <v>35</v>
      </c>
      <c r="B1900" s="18">
        <v>46005</v>
      </c>
      <c r="C1900" t="s">
        <v>2014</v>
      </c>
      <c r="D1900" t="s">
        <v>2034</v>
      </c>
      <c r="E1900" t="s">
        <v>2052</v>
      </c>
      <c r="F1900" t="s">
        <v>2061</v>
      </c>
      <c r="G1900">
        <v>6</v>
      </c>
      <c r="H1900">
        <v>4500</v>
      </c>
      <c r="I1900">
        <v>5220</v>
      </c>
      <c r="J1900">
        <v>34</v>
      </c>
      <c r="K1900">
        <v>20671.2</v>
      </c>
      <c r="L1900">
        <v>-6328.8</v>
      </c>
      <c r="M1900">
        <v>1064880</v>
      </c>
      <c r="N1900">
        <v>27000</v>
      </c>
      <c r="O1900">
        <v>-30.616509926854757</v>
      </c>
      <c r="P1900" t="s">
        <v>2086</v>
      </c>
      <c r="Q1900" t="s">
        <v>2093</v>
      </c>
    </row>
    <row r="1901" spans="1:17" x14ac:dyDescent="0.25">
      <c r="A1901" t="s">
        <v>350</v>
      </c>
      <c r="B1901" s="18">
        <v>46005</v>
      </c>
      <c r="C1901" t="s">
        <v>2022</v>
      </c>
      <c r="D1901" t="s">
        <v>2042</v>
      </c>
      <c r="E1901" t="s">
        <v>2053</v>
      </c>
      <c r="F1901" t="s">
        <v>2061</v>
      </c>
      <c r="G1901">
        <v>8</v>
      </c>
      <c r="H1901">
        <v>8500</v>
      </c>
      <c r="I1901">
        <v>9520</v>
      </c>
      <c r="J1901">
        <v>4</v>
      </c>
      <c r="K1901">
        <v>73113.600000000006</v>
      </c>
      <c r="L1901">
        <v>5113.6000000000004</v>
      </c>
      <c r="M1901">
        <v>304640</v>
      </c>
      <c r="N1901">
        <v>68000</v>
      </c>
      <c r="O1901">
        <v>6.9940476190476195</v>
      </c>
      <c r="P1901" t="s">
        <v>2086</v>
      </c>
      <c r="Q1901" t="s">
        <v>2091</v>
      </c>
    </row>
    <row r="1902" spans="1:17" x14ac:dyDescent="0.25">
      <c r="A1902" t="s">
        <v>912</v>
      </c>
      <c r="B1902" s="18">
        <v>46005</v>
      </c>
      <c r="C1902" t="s">
        <v>2012</v>
      </c>
      <c r="D1902" t="s">
        <v>2032</v>
      </c>
      <c r="E1902" t="s">
        <v>2052</v>
      </c>
      <c r="F1902" t="s">
        <v>2060</v>
      </c>
      <c r="G1902">
        <v>8</v>
      </c>
      <c r="H1902">
        <v>6500</v>
      </c>
      <c r="I1902">
        <v>8125</v>
      </c>
      <c r="J1902">
        <v>15.11</v>
      </c>
      <c r="K1902">
        <v>55177.31</v>
      </c>
      <c r="L1902">
        <v>3177.31</v>
      </c>
      <c r="M1902">
        <v>982150</v>
      </c>
      <c r="N1902">
        <v>52000</v>
      </c>
      <c r="O1902">
        <v>5.7583633562419045</v>
      </c>
      <c r="P1902" t="s">
        <v>2086</v>
      </c>
      <c r="Q1902" t="s">
        <v>2091</v>
      </c>
    </row>
    <row r="1903" spans="1:17" x14ac:dyDescent="0.25">
      <c r="A1903" t="s">
        <v>133</v>
      </c>
      <c r="B1903" s="18">
        <v>46006</v>
      </c>
      <c r="C1903" t="s">
        <v>2024</v>
      </c>
      <c r="D1903" t="s">
        <v>2044</v>
      </c>
      <c r="E1903" t="s">
        <v>2055</v>
      </c>
      <c r="F1903" t="s">
        <v>2059</v>
      </c>
      <c r="G1903">
        <v>8</v>
      </c>
      <c r="H1903">
        <v>180</v>
      </c>
      <c r="I1903">
        <v>243</v>
      </c>
      <c r="J1903">
        <v>11.13</v>
      </c>
      <c r="K1903">
        <v>1727.67</v>
      </c>
      <c r="L1903">
        <v>287.67</v>
      </c>
      <c r="M1903">
        <v>21636.720000000001</v>
      </c>
      <c r="N1903">
        <v>1440</v>
      </c>
      <c r="O1903">
        <v>16.650749275035164</v>
      </c>
      <c r="P1903" t="s">
        <v>2086</v>
      </c>
      <c r="Q1903" t="s">
        <v>2092</v>
      </c>
    </row>
    <row r="1904" spans="1:17" x14ac:dyDescent="0.25">
      <c r="A1904" t="s">
        <v>514</v>
      </c>
      <c r="B1904" s="18">
        <v>46006</v>
      </c>
      <c r="C1904" t="s">
        <v>2028</v>
      </c>
      <c r="D1904" t="s">
        <v>2048</v>
      </c>
      <c r="E1904" t="s">
        <v>2057</v>
      </c>
      <c r="F1904" t="s">
        <v>2060</v>
      </c>
      <c r="G1904">
        <v>9</v>
      </c>
      <c r="H1904">
        <v>80</v>
      </c>
      <c r="I1904">
        <v>116</v>
      </c>
      <c r="J1904">
        <v>13.61</v>
      </c>
      <c r="K1904">
        <v>901.96</v>
      </c>
      <c r="L1904">
        <v>181.96</v>
      </c>
      <c r="M1904">
        <v>14208.84</v>
      </c>
      <c r="N1904">
        <v>720</v>
      </c>
      <c r="O1904">
        <v>20.173843629429243</v>
      </c>
      <c r="P1904" t="s">
        <v>2086</v>
      </c>
      <c r="Q1904" t="s">
        <v>2092</v>
      </c>
    </row>
    <row r="1905" spans="1:17" x14ac:dyDescent="0.25">
      <c r="A1905" t="s">
        <v>1257</v>
      </c>
      <c r="B1905" s="18">
        <v>46006</v>
      </c>
      <c r="C1905" t="s">
        <v>2024</v>
      </c>
      <c r="D1905" t="s">
        <v>2044</v>
      </c>
      <c r="E1905" t="s">
        <v>2055</v>
      </c>
      <c r="F1905" t="s">
        <v>2059</v>
      </c>
      <c r="G1905">
        <v>2</v>
      </c>
      <c r="H1905">
        <v>180</v>
      </c>
      <c r="I1905">
        <v>243</v>
      </c>
      <c r="J1905">
        <v>12.29</v>
      </c>
      <c r="K1905">
        <v>426.27</v>
      </c>
      <c r="L1905">
        <v>66.27</v>
      </c>
      <c r="M1905">
        <v>5972.94</v>
      </c>
      <c r="N1905">
        <v>360</v>
      </c>
      <c r="O1905">
        <v>15.546484622422408</v>
      </c>
      <c r="P1905" t="s">
        <v>2086</v>
      </c>
      <c r="Q1905" t="s">
        <v>2092</v>
      </c>
    </row>
    <row r="1906" spans="1:17" x14ac:dyDescent="0.25">
      <c r="A1906" t="s">
        <v>1389</v>
      </c>
      <c r="B1906" s="18">
        <v>46006</v>
      </c>
      <c r="C1906" t="s">
        <v>2031</v>
      </c>
      <c r="D1906" t="s">
        <v>2051</v>
      </c>
      <c r="E1906" t="s">
        <v>2058</v>
      </c>
      <c r="F1906" t="s">
        <v>2059</v>
      </c>
      <c r="G1906">
        <v>3</v>
      </c>
      <c r="H1906">
        <v>3200</v>
      </c>
      <c r="I1906">
        <v>3840</v>
      </c>
      <c r="J1906">
        <v>8.56</v>
      </c>
      <c r="K1906">
        <v>10533.96</v>
      </c>
      <c r="L1906">
        <v>933.96</v>
      </c>
      <c r="M1906">
        <v>98611.200000000012</v>
      </c>
      <c r="N1906">
        <v>9600</v>
      </c>
      <c r="O1906">
        <v>8.8661813790825121</v>
      </c>
      <c r="P1906" t="s">
        <v>2086</v>
      </c>
      <c r="Q1906" t="s">
        <v>2091</v>
      </c>
    </row>
    <row r="1907" spans="1:17" x14ac:dyDescent="0.25">
      <c r="A1907" t="s">
        <v>1720</v>
      </c>
      <c r="B1907" s="18">
        <v>46006</v>
      </c>
      <c r="C1907" t="s">
        <v>2023</v>
      </c>
      <c r="D1907" t="s">
        <v>2043</v>
      </c>
      <c r="E1907" t="s">
        <v>2053</v>
      </c>
      <c r="F1907" t="s">
        <v>2062</v>
      </c>
      <c r="G1907">
        <v>8</v>
      </c>
      <c r="H1907">
        <v>550</v>
      </c>
      <c r="I1907">
        <v>742.5</v>
      </c>
      <c r="J1907">
        <v>0</v>
      </c>
      <c r="K1907">
        <v>5940</v>
      </c>
      <c r="L1907">
        <v>1540</v>
      </c>
      <c r="M1907">
        <v>0</v>
      </c>
      <c r="N1907">
        <v>4400</v>
      </c>
      <c r="O1907">
        <v>25.925925925925924</v>
      </c>
      <c r="P1907" t="s">
        <v>2086</v>
      </c>
      <c r="Q1907" t="s">
        <v>2092</v>
      </c>
    </row>
    <row r="1908" spans="1:17" x14ac:dyDescent="0.25">
      <c r="A1908" t="s">
        <v>1751</v>
      </c>
      <c r="B1908" s="18">
        <v>46006</v>
      </c>
      <c r="C1908" t="s">
        <v>2021</v>
      </c>
      <c r="D1908" t="s">
        <v>2041</v>
      </c>
      <c r="E1908" t="s">
        <v>2056</v>
      </c>
      <c r="F1908" t="s">
        <v>2062</v>
      </c>
      <c r="G1908">
        <v>3</v>
      </c>
      <c r="H1908">
        <v>300</v>
      </c>
      <c r="I1908">
        <v>405</v>
      </c>
      <c r="J1908">
        <v>9.3699999999999992</v>
      </c>
      <c r="K1908">
        <v>1101.21</v>
      </c>
      <c r="L1908">
        <v>201.21</v>
      </c>
      <c r="M1908">
        <v>11384.55</v>
      </c>
      <c r="N1908">
        <v>900</v>
      </c>
      <c r="O1908">
        <v>18.271719290598522</v>
      </c>
      <c r="P1908" t="s">
        <v>2086</v>
      </c>
      <c r="Q1908" t="s">
        <v>2092</v>
      </c>
    </row>
    <row r="1909" spans="1:17" x14ac:dyDescent="0.25">
      <c r="A1909" t="s">
        <v>272</v>
      </c>
      <c r="B1909" s="18">
        <v>46007</v>
      </c>
      <c r="C1909" t="s">
        <v>2013</v>
      </c>
      <c r="D1909" t="s">
        <v>2033</v>
      </c>
      <c r="E1909" t="s">
        <v>2053</v>
      </c>
      <c r="F1909" t="s">
        <v>2060</v>
      </c>
      <c r="G1909">
        <v>3</v>
      </c>
      <c r="H1909">
        <v>6500</v>
      </c>
      <c r="I1909">
        <v>7150</v>
      </c>
      <c r="J1909">
        <v>5.9</v>
      </c>
      <c r="K1909">
        <v>20184.009999999998</v>
      </c>
      <c r="L1909">
        <v>684.01</v>
      </c>
      <c r="M1909">
        <v>126555.00000000001</v>
      </c>
      <c r="N1909">
        <v>19500</v>
      </c>
      <c r="O1909">
        <v>3.3888706951690968</v>
      </c>
      <c r="P1909" t="s">
        <v>2086</v>
      </c>
      <c r="Q1909" t="s">
        <v>2091</v>
      </c>
    </row>
    <row r="1910" spans="1:17" x14ac:dyDescent="0.25">
      <c r="A1910" t="s">
        <v>468</v>
      </c>
      <c r="B1910" s="18">
        <v>46007</v>
      </c>
      <c r="C1910" t="s">
        <v>2029</v>
      </c>
      <c r="D1910" t="s">
        <v>2049</v>
      </c>
      <c r="E1910" t="s">
        <v>2055</v>
      </c>
      <c r="F1910" t="s">
        <v>2059</v>
      </c>
      <c r="G1910">
        <v>8</v>
      </c>
      <c r="H1910">
        <v>1200</v>
      </c>
      <c r="I1910">
        <v>1464</v>
      </c>
      <c r="J1910">
        <v>18.11</v>
      </c>
      <c r="K1910">
        <v>9590.41</v>
      </c>
      <c r="L1910">
        <v>-9.59</v>
      </c>
      <c r="M1910">
        <v>212104.32000000001</v>
      </c>
      <c r="N1910">
        <v>9600</v>
      </c>
      <c r="O1910">
        <v>-9.9995724896015922E-2</v>
      </c>
      <c r="P1910" t="s">
        <v>2086</v>
      </c>
      <c r="Q1910" t="s">
        <v>2093</v>
      </c>
    </row>
    <row r="1911" spans="1:17" x14ac:dyDescent="0.25">
      <c r="A1911" t="s">
        <v>503</v>
      </c>
      <c r="B1911" s="18">
        <v>46007</v>
      </c>
      <c r="C1911" t="s">
        <v>2031</v>
      </c>
      <c r="D1911" t="s">
        <v>2051</v>
      </c>
      <c r="E1911" t="s">
        <v>2058</v>
      </c>
      <c r="F1911" t="s">
        <v>2059</v>
      </c>
      <c r="G1911">
        <v>9</v>
      </c>
      <c r="H1911">
        <v>3200</v>
      </c>
      <c r="I1911">
        <v>3840</v>
      </c>
      <c r="J1911">
        <v>7.25</v>
      </c>
      <c r="K1911">
        <v>32052.959999999999</v>
      </c>
      <c r="L1911">
        <v>3252.96</v>
      </c>
      <c r="M1911">
        <v>250560</v>
      </c>
      <c r="N1911">
        <v>28800</v>
      </c>
      <c r="O1911">
        <v>10.148703895053686</v>
      </c>
      <c r="P1911" t="s">
        <v>2086</v>
      </c>
      <c r="Q1911" t="s">
        <v>2092</v>
      </c>
    </row>
    <row r="1912" spans="1:17" x14ac:dyDescent="0.25">
      <c r="A1912" t="s">
        <v>767</v>
      </c>
      <c r="B1912" s="18">
        <v>46007</v>
      </c>
      <c r="C1912" t="s">
        <v>2024</v>
      </c>
      <c r="D1912" t="s">
        <v>2044</v>
      </c>
      <c r="E1912" t="s">
        <v>2055</v>
      </c>
      <c r="F1912" t="s">
        <v>2059</v>
      </c>
      <c r="G1912">
        <v>9</v>
      </c>
      <c r="H1912">
        <v>180</v>
      </c>
      <c r="I1912">
        <v>243</v>
      </c>
      <c r="J1912">
        <v>15.77</v>
      </c>
      <c r="K1912">
        <v>1842.14</v>
      </c>
      <c r="L1912">
        <v>222.14</v>
      </c>
      <c r="M1912">
        <v>34488.99</v>
      </c>
      <c r="N1912">
        <v>1620</v>
      </c>
      <c r="O1912">
        <v>12.058801176892093</v>
      </c>
      <c r="P1912" t="s">
        <v>2086</v>
      </c>
      <c r="Q1912" t="s">
        <v>2092</v>
      </c>
    </row>
    <row r="1913" spans="1:17" x14ac:dyDescent="0.25">
      <c r="A1913" t="s">
        <v>1042</v>
      </c>
      <c r="B1913" s="18">
        <v>46007</v>
      </c>
      <c r="C1913" t="s">
        <v>2026</v>
      </c>
      <c r="D1913" t="s">
        <v>2046</v>
      </c>
      <c r="E1913" t="s">
        <v>2052</v>
      </c>
      <c r="F1913" t="s">
        <v>2060</v>
      </c>
      <c r="G1913">
        <v>2</v>
      </c>
      <c r="H1913">
        <v>3000</v>
      </c>
      <c r="I1913">
        <v>3600</v>
      </c>
      <c r="J1913">
        <v>15.06</v>
      </c>
      <c r="K1913">
        <v>6115.81</v>
      </c>
      <c r="L1913">
        <v>115.81</v>
      </c>
      <c r="M1913">
        <v>108432</v>
      </c>
      <c r="N1913">
        <v>6000</v>
      </c>
      <c r="O1913">
        <v>1.893616708171117</v>
      </c>
      <c r="P1913" t="s">
        <v>2086</v>
      </c>
      <c r="Q1913" t="s">
        <v>2091</v>
      </c>
    </row>
    <row r="1914" spans="1:17" x14ac:dyDescent="0.25">
      <c r="A1914" t="s">
        <v>305</v>
      </c>
      <c r="B1914" s="18">
        <v>46008</v>
      </c>
      <c r="C1914" t="s">
        <v>2030</v>
      </c>
      <c r="D1914" t="s">
        <v>2050</v>
      </c>
      <c r="E1914" t="s">
        <v>2058</v>
      </c>
      <c r="F1914" t="s">
        <v>2059</v>
      </c>
      <c r="G1914">
        <v>5</v>
      </c>
      <c r="H1914">
        <v>1800</v>
      </c>
      <c r="I1914">
        <v>2124</v>
      </c>
      <c r="J1914">
        <v>6.94</v>
      </c>
      <c r="K1914">
        <v>9882.86</v>
      </c>
      <c r="L1914">
        <v>882.86</v>
      </c>
      <c r="M1914">
        <v>73702.8</v>
      </c>
      <c r="N1914">
        <v>9000</v>
      </c>
      <c r="O1914">
        <v>8.9332440204556161</v>
      </c>
      <c r="P1914" t="s">
        <v>2086</v>
      </c>
      <c r="Q1914" t="s">
        <v>2091</v>
      </c>
    </row>
    <row r="1915" spans="1:17" x14ac:dyDescent="0.25">
      <c r="A1915" t="s">
        <v>1601</v>
      </c>
      <c r="B1915" s="18">
        <v>46008</v>
      </c>
      <c r="C1915" t="s">
        <v>2016</v>
      </c>
      <c r="D1915" t="s">
        <v>2036</v>
      </c>
      <c r="E1915" t="s">
        <v>2052</v>
      </c>
      <c r="F1915" t="s">
        <v>2060</v>
      </c>
      <c r="G1915">
        <v>9</v>
      </c>
      <c r="H1915">
        <v>900</v>
      </c>
      <c r="I1915">
        <v>1170</v>
      </c>
      <c r="J1915">
        <v>0</v>
      </c>
      <c r="K1915">
        <v>10530</v>
      </c>
      <c r="L1915">
        <v>2430</v>
      </c>
      <c r="M1915">
        <v>0</v>
      </c>
      <c r="N1915">
        <v>8100</v>
      </c>
      <c r="O1915">
        <v>23.076923076923077</v>
      </c>
      <c r="P1915" t="s">
        <v>2086</v>
      </c>
      <c r="Q1915" t="s">
        <v>2092</v>
      </c>
    </row>
    <row r="1916" spans="1:17" x14ac:dyDescent="0.25">
      <c r="A1916" t="s">
        <v>1652</v>
      </c>
      <c r="B1916" s="18">
        <v>46008</v>
      </c>
      <c r="C1916" t="s">
        <v>2017</v>
      </c>
      <c r="D1916" t="s">
        <v>2037</v>
      </c>
      <c r="E1916" t="s">
        <v>2055</v>
      </c>
      <c r="F1916" t="s">
        <v>2061</v>
      </c>
      <c r="G1916">
        <v>9</v>
      </c>
      <c r="H1916">
        <v>2500</v>
      </c>
      <c r="I1916">
        <v>2875</v>
      </c>
      <c r="J1916">
        <v>9.5</v>
      </c>
      <c r="K1916">
        <v>23416.720000000001</v>
      </c>
      <c r="L1916">
        <v>916.72</v>
      </c>
      <c r="M1916">
        <v>245812.5</v>
      </c>
      <c r="N1916">
        <v>22500</v>
      </c>
      <c r="O1916">
        <v>3.9148095890457757</v>
      </c>
      <c r="P1916" t="s">
        <v>2086</v>
      </c>
      <c r="Q1916" t="s">
        <v>2091</v>
      </c>
    </row>
    <row r="1917" spans="1:17" x14ac:dyDescent="0.25">
      <c r="A1917" t="s">
        <v>1822</v>
      </c>
      <c r="B1917" s="18">
        <v>46008</v>
      </c>
      <c r="C1917" t="s">
        <v>2029</v>
      </c>
      <c r="D1917" t="s">
        <v>2049</v>
      </c>
      <c r="E1917" t="s">
        <v>2055</v>
      </c>
      <c r="F1917" t="s">
        <v>2062</v>
      </c>
      <c r="G1917">
        <v>10</v>
      </c>
      <c r="H1917">
        <v>1200</v>
      </c>
      <c r="I1917">
        <v>1464</v>
      </c>
      <c r="J1917">
        <v>8.1</v>
      </c>
      <c r="K1917">
        <v>13454.1</v>
      </c>
      <c r="L1917">
        <v>1454.1</v>
      </c>
      <c r="M1917">
        <v>118584</v>
      </c>
      <c r="N1917">
        <v>12000</v>
      </c>
      <c r="O1917">
        <v>10.807857827725377</v>
      </c>
      <c r="P1917" t="s">
        <v>2086</v>
      </c>
      <c r="Q1917" t="s">
        <v>2092</v>
      </c>
    </row>
    <row r="1918" spans="1:17" x14ac:dyDescent="0.25">
      <c r="A1918" t="s">
        <v>273</v>
      </c>
      <c r="B1918" s="18">
        <v>46009</v>
      </c>
      <c r="C1918" t="s">
        <v>2016</v>
      </c>
      <c r="D1918" t="s">
        <v>2036</v>
      </c>
      <c r="E1918" t="s">
        <v>2052</v>
      </c>
      <c r="F1918" t="s">
        <v>2062</v>
      </c>
      <c r="G1918">
        <v>3</v>
      </c>
      <c r="H1918">
        <v>900</v>
      </c>
      <c r="I1918">
        <v>1170</v>
      </c>
      <c r="J1918">
        <v>16.47</v>
      </c>
      <c r="K1918">
        <v>2932.01</v>
      </c>
      <c r="L1918">
        <v>232.01</v>
      </c>
      <c r="M1918">
        <v>57809.7</v>
      </c>
      <c r="N1918">
        <v>2700</v>
      </c>
      <c r="O1918">
        <v>7.9130016609765983</v>
      </c>
      <c r="P1918" t="s">
        <v>2086</v>
      </c>
      <c r="Q1918" t="s">
        <v>2091</v>
      </c>
    </row>
    <row r="1919" spans="1:17" x14ac:dyDescent="0.25">
      <c r="A1919" t="s">
        <v>1216</v>
      </c>
      <c r="B1919" s="18">
        <v>46009</v>
      </c>
      <c r="C1919" t="s">
        <v>2021</v>
      </c>
      <c r="D1919" t="s">
        <v>2041</v>
      </c>
      <c r="E1919" t="s">
        <v>2056</v>
      </c>
      <c r="F1919" t="s">
        <v>2059</v>
      </c>
      <c r="G1919">
        <v>3</v>
      </c>
      <c r="H1919">
        <v>300</v>
      </c>
      <c r="I1919">
        <v>405</v>
      </c>
      <c r="J1919">
        <v>8.6</v>
      </c>
      <c r="K1919">
        <v>1110.52</v>
      </c>
      <c r="L1919">
        <v>210.52</v>
      </c>
      <c r="M1919">
        <v>10449</v>
      </c>
      <c r="N1919">
        <v>900</v>
      </c>
      <c r="O1919">
        <v>18.956885062853441</v>
      </c>
      <c r="P1919" t="s">
        <v>2086</v>
      </c>
      <c r="Q1919" t="s">
        <v>2092</v>
      </c>
    </row>
    <row r="1920" spans="1:17" x14ac:dyDescent="0.25">
      <c r="A1920" t="s">
        <v>1244</v>
      </c>
      <c r="B1920" s="18">
        <v>46009</v>
      </c>
      <c r="C1920" t="s">
        <v>2012</v>
      </c>
      <c r="D1920" t="s">
        <v>2032</v>
      </c>
      <c r="E1920" t="s">
        <v>2052</v>
      </c>
      <c r="F1920" t="s">
        <v>2061</v>
      </c>
      <c r="G1920">
        <v>2</v>
      </c>
      <c r="H1920">
        <v>6500</v>
      </c>
      <c r="I1920">
        <v>8125</v>
      </c>
      <c r="J1920">
        <v>4.34</v>
      </c>
      <c r="K1920">
        <v>15544.5</v>
      </c>
      <c r="L1920">
        <v>2544.5</v>
      </c>
      <c r="M1920">
        <v>70525</v>
      </c>
      <c r="N1920">
        <v>13000</v>
      </c>
      <c r="O1920">
        <v>16.369133777220238</v>
      </c>
      <c r="P1920" t="s">
        <v>2086</v>
      </c>
      <c r="Q1920" t="s">
        <v>2092</v>
      </c>
    </row>
    <row r="1921" spans="1:17" x14ac:dyDescent="0.25">
      <c r="A1921" t="s">
        <v>1690</v>
      </c>
      <c r="B1921" s="18">
        <v>46009</v>
      </c>
      <c r="C1921" t="s">
        <v>2013</v>
      </c>
      <c r="D1921" t="s">
        <v>2033</v>
      </c>
      <c r="E1921" t="s">
        <v>2053</v>
      </c>
      <c r="F1921" t="s">
        <v>2059</v>
      </c>
      <c r="G1921">
        <v>2</v>
      </c>
      <c r="H1921">
        <v>6500</v>
      </c>
      <c r="I1921">
        <v>7150</v>
      </c>
      <c r="J1921">
        <v>15.77</v>
      </c>
      <c r="K1921">
        <v>12045.59</v>
      </c>
      <c r="L1921">
        <v>-954.41</v>
      </c>
      <c r="M1921">
        <v>225511</v>
      </c>
      <c r="N1921">
        <v>13000</v>
      </c>
      <c r="O1921">
        <v>-7.9233146736689521</v>
      </c>
      <c r="P1921" t="s">
        <v>2086</v>
      </c>
      <c r="Q1921" t="s">
        <v>2093</v>
      </c>
    </row>
    <row r="1922" spans="1:17" x14ac:dyDescent="0.25">
      <c r="A1922" t="s">
        <v>1928</v>
      </c>
      <c r="B1922" s="18">
        <v>46009</v>
      </c>
      <c r="C1922" t="s">
        <v>2024</v>
      </c>
      <c r="D1922" t="s">
        <v>2044</v>
      </c>
      <c r="E1922" t="s">
        <v>2055</v>
      </c>
      <c r="F1922" t="s">
        <v>2061</v>
      </c>
      <c r="G1922">
        <v>7</v>
      </c>
      <c r="H1922">
        <v>180</v>
      </c>
      <c r="I1922">
        <v>243</v>
      </c>
      <c r="J1922">
        <v>12.2</v>
      </c>
      <c r="K1922">
        <v>1493.44</v>
      </c>
      <c r="L1922">
        <v>233.44</v>
      </c>
      <c r="M1922">
        <v>20752.199999999997</v>
      </c>
      <c r="N1922">
        <v>1260</v>
      </c>
      <c r="O1922">
        <v>15.631026355260339</v>
      </c>
      <c r="P1922" t="s">
        <v>2086</v>
      </c>
      <c r="Q1922" t="s">
        <v>2092</v>
      </c>
    </row>
    <row r="1923" spans="1:17" x14ac:dyDescent="0.25">
      <c r="A1923" t="s">
        <v>364</v>
      </c>
      <c r="B1923" s="18">
        <v>46010</v>
      </c>
      <c r="C1923" t="s">
        <v>2014</v>
      </c>
      <c r="D1923" t="s">
        <v>2034</v>
      </c>
      <c r="E1923" t="s">
        <v>2052</v>
      </c>
      <c r="F1923" t="s">
        <v>2059</v>
      </c>
      <c r="G1923">
        <v>10</v>
      </c>
      <c r="H1923">
        <v>4500</v>
      </c>
      <c r="I1923">
        <v>5220</v>
      </c>
      <c r="J1923">
        <v>15.3</v>
      </c>
      <c r="K1923">
        <v>44212.31</v>
      </c>
      <c r="L1923">
        <v>-787.69</v>
      </c>
      <c r="M1923">
        <v>798660</v>
      </c>
      <c r="N1923">
        <v>45000</v>
      </c>
      <c r="O1923">
        <v>-1.7816078825105501</v>
      </c>
      <c r="P1923" t="s">
        <v>2086</v>
      </c>
      <c r="Q1923" t="s">
        <v>2093</v>
      </c>
    </row>
    <row r="1924" spans="1:17" x14ac:dyDescent="0.25">
      <c r="A1924" t="s">
        <v>728</v>
      </c>
      <c r="B1924" s="18">
        <v>46010</v>
      </c>
      <c r="C1924" t="s">
        <v>2020</v>
      </c>
      <c r="D1924" t="s">
        <v>2040</v>
      </c>
      <c r="E1924" t="s">
        <v>2053</v>
      </c>
      <c r="F1924" t="s">
        <v>2061</v>
      </c>
      <c r="G1924">
        <v>8</v>
      </c>
      <c r="H1924">
        <v>350</v>
      </c>
      <c r="I1924">
        <v>455</v>
      </c>
      <c r="J1924">
        <v>0.46</v>
      </c>
      <c r="K1924">
        <v>3623.43</v>
      </c>
      <c r="L1924">
        <v>823.43</v>
      </c>
      <c r="M1924">
        <v>1674.4</v>
      </c>
      <c r="N1924">
        <v>2800</v>
      </c>
      <c r="O1924">
        <v>22.725152686818841</v>
      </c>
      <c r="P1924" t="s">
        <v>2086</v>
      </c>
      <c r="Q1924" t="s">
        <v>2092</v>
      </c>
    </row>
    <row r="1925" spans="1:17" x14ac:dyDescent="0.25">
      <c r="A1925" t="s">
        <v>953</v>
      </c>
      <c r="B1925" s="18">
        <v>46010</v>
      </c>
      <c r="C1925" t="s">
        <v>2017</v>
      </c>
      <c r="D1925" t="s">
        <v>2037</v>
      </c>
      <c r="E1925" t="s">
        <v>2055</v>
      </c>
      <c r="F1925" t="s">
        <v>2060</v>
      </c>
      <c r="G1925">
        <v>1</v>
      </c>
      <c r="H1925">
        <v>2500</v>
      </c>
      <c r="I1925">
        <v>2875</v>
      </c>
      <c r="J1925">
        <v>20.3</v>
      </c>
      <c r="K1925">
        <v>2291.2800000000002</v>
      </c>
      <c r="L1925">
        <v>-208.72</v>
      </c>
      <c r="M1925">
        <v>58362.5</v>
      </c>
      <c r="N1925">
        <v>2500</v>
      </c>
      <c r="O1925">
        <v>-9.109318808700813</v>
      </c>
      <c r="P1925" t="s">
        <v>2086</v>
      </c>
      <c r="Q1925" t="s">
        <v>2093</v>
      </c>
    </row>
    <row r="1926" spans="1:17" x14ac:dyDescent="0.25">
      <c r="A1926" t="s">
        <v>391</v>
      </c>
      <c r="B1926" s="18">
        <v>46011</v>
      </c>
      <c r="C1926" t="s">
        <v>2026</v>
      </c>
      <c r="D1926" t="s">
        <v>2046</v>
      </c>
      <c r="E1926" t="s">
        <v>2052</v>
      </c>
      <c r="F1926" t="s">
        <v>2062</v>
      </c>
      <c r="G1926">
        <v>8</v>
      </c>
      <c r="H1926">
        <v>3000</v>
      </c>
      <c r="I1926">
        <v>3600</v>
      </c>
      <c r="J1926">
        <v>16.88</v>
      </c>
      <c r="K1926">
        <v>23938.52</v>
      </c>
      <c r="L1926">
        <v>-61.48</v>
      </c>
      <c r="M1926">
        <v>486144</v>
      </c>
      <c r="N1926">
        <v>24000</v>
      </c>
      <c r="O1926">
        <v>-0.2568245655955339</v>
      </c>
      <c r="P1926" t="s">
        <v>2086</v>
      </c>
      <c r="Q1926" t="s">
        <v>2093</v>
      </c>
    </row>
    <row r="1927" spans="1:17" x14ac:dyDescent="0.25">
      <c r="A1927" t="s">
        <v>605</v>
      </c>
      <c r="B1927" s="18">
        <v>46011</v>
      </c>
      <c r="C1927" t="s">
        <v>2019</v>
      </c>
      <c r="D1927" t="s">
        <v>2039</v>
      </c>
      <c r="E1927" t="s">
        <v>2053</v>
      </c>
      <c r="F1927" t="s">
        <v>2059</v>
      </c>
      <c r="G1927">
        <v>8</v>
      </c>
      <c r="H1927">
        <v>900</v>
      </c>
      <c r="I1927">
        <v>1152</v>
      </c>
      <c r="J1927">
        <v>21.16</v>
      </c>
      <c r="K1927">
        <v>7265.46</v>
      </c>
      <c r="L1927">
        <v>65.459999999999994</v>
      </c>
      <c r="M1927">
        <v>195010.56</v>
      </c>
      <c r="N1927">
        <v>7200</v>
      </c>
      <c r="O1927">
        <v>0.9009752995680933</v>
      </c>
      <c r="P1927" t="s">
        <v>2086</v>
      </c>
      <c r="Q1927" t="s">
        <v>2091</v>
      </c>
    </row>
    <row r="1928" spans="1:17" x14ac:dyDescent="0.25">
      <c r="A1928" t="s">
        <v>809</v>
      </c>
      <c r="B1928" s="18">
        <v>46011</v>
      </c>
      <c r="C1928" t="s">
        <v>2018</v>
      </c>
      <c r="D1928" t="s">
        <v>2038</v>
      </c>
      <c r="E1928" t="s">
        <v>2053</v>
      </c>
      <c r="F1928" t="s">
        <v>2060</v>
      </c>
      <c r="G1928">
        <v>6</v>
      </c>
      <c r="H1928">
        <v>500</v>
      </c>
      <c r="I1928">
        <v>610</v>
      </c>
      <c r="J1928">
        <v>14.83</v>
      </c>
      <c r="K1928">
        <v>3117.15</v>
      </c>
      <c r="L1928">
        <v>117.15</v>
      </c>
      <c r="M1928">
        <v>54277.8</v>
      </c>
      <c r="N1928">
        <v>3000</v>
      </c>
      <c r="O1928">
        <v>3.758240700640008</v>
      </c>
      <c r="P1928" t="s">
        <v>2086</v>
      </c>
      <c r="Q1928" t="s">
        <v>2091</v>
      </c>
    </row>
    <row r="1929" spans="1:17" x14ac:dyDescent="0.25">
      <c r="A1929" t="s">
        <v>1069</v>
      </c>
      <c r="B1929" s="18">
        <v>46011</v>
      </c>
      <c r="C1929" t="s">
        <v>2016</v>
      </c>
      <c r="D1929" t="s">
        <v>2036</v>
      </c>
      <c r="E1929" t="s">
        <v>2052</v>
      </c>
      <c r="F1929" t="s">
        <v>2060</v>
      </c>
      <c r="G1929">
        <v>4</v>
      </c>
      <c r="H1929">
        <v>900</v>
      </c>
      <c r="I1929">
        <v>1170</v>
      </c>
      <c r="J1929">
        <v>14.15</v>
      </c>
      <c r="K1929">
        <v>4017.59</v>
      </c>
      <c r="L1929">
        <v>417.59</v>
      </c>
      <c r="M1929">
        <v>66222</v>
      </c>
      <c r="N1929">
        <v>3600</v>
      </c>
      <c r="O1929">
        <v>10.394042199428014</v>
      </c>
      <c r="P1929" t="s">
        <v>2086</v>
      </c>
      <c r="Q1929" t="s">
        <v>2092</v>
      </c>
    </row>
    <row r="1930" spans="1:17" x14ac:dyDescent="0.25">
      <c r="A1930" t="s">
        <v>1156</v>
      </c>
      <c r="B1930" s="18">
        <v>46011</v>
      </c>
      <c r="C1930" t="s">
        <v>2020</v>
      </c>
      <c r="D1930" t="s">
        <v>2040</v>
      </c>
      <c r="E1930" t="s">
        <v>2053</v>
      </c>
      <c r="F1930" t="s">
        <v>2060</v>
      </c>
      <c r="G1930">
        <v>10</v>
      </c>
      <c r="H1930">
        <v>350</v>
      </c>
      <c r="I1930">
        <v>455</v>
      </c>
      <c r="J1930">
        <v>8.6</v>
      </c>
      <c r="K1930">
        <v>4158.72</v>
      </c>
      <c r="L1930">
        <v>658.72</v>
      </c>
      <c r="M1930">
        <v>39130</v>
      </c>
      <c r="N1930">
        <v>3500</v>
      </c>
      <c r="O1930">
        <v>15.839489073561094</v>
      </c>
      <c r="P1930" t="s">
        <v>2086</v>
      </c>
      <c r="Q1930" t="s">
        <v>2092</v>
      </c>
    </row>
    <row r="1931" spans="1:17" x14ac:dyDescent="0.25">
      <c r="A1931" t="s">
        <v>1170</v>
      </c>
      <c r="B1931" s="18">
        <v>46011</v>
      </c>
      <c r="C1931" t="s">
        <v>2015</v>
      </c>
      <c r="D1931" t="s">
        <v>2035</v>
      </c>
      <c r="E1931" t="s">
        <v>2054</v>
      </c>
      <c r="F1931" t="s">
        <v>2059</v>
      </c>
      <c r="G1931">
        <v>9</v>
      </c>
      <c r="H1931">
        <v>900</v>
      </c>
      <c r="I1931">
        <v>1170</v>
      </c>
      <c r="J1931">
        <v>24.14</v>
      </c>
      <c r="K1931">
        <v>7987.79</v>
      </c>
      <c r="L1931">
        <v>-112.21</v>
      </c>
      <c r="M1931">
        <v>254194.2</v>
      </c>
      <c r="N1931">
        <v>8100</v>
      </c>
      <c r="O1931">
        <v>-1.4047690287300991</v>
      </c>
      <c r="P1931" t="s">
        <v>2086</v>
      </c>
      <c r="Q1931" t="s">
        <v>2093</v>
      </c>
    </row>
    <row r="1932" spans="1:17" x14ac:dyDescent="0.25">
      <c r="A1932" t="s">
        <v>1194</v>
      </c>
      <c r="B1932" s="18">
        <v>46011</v>
      </c>
      <c r="C1932" t="s">
        <v>2020</v>
      </c>
      <c r="D1932" t="s">
        <v>2040</v>
      </c>
      <c r="E1932" t="s">
        <v>2053</v>
      </c>
      <c r="F1932" t="s">
        <v>2059</v>
      </c>
      <c r="G1932">
        <v>4</v>
      </c>
      <c r="H1932">
        <v>350</v>
      </c>
      <c r="I1932">
        <v>455</v>
      </c>
      <c r="J1932">
        <v>10.37</v>
      </c>
      <c r="K1932">
        <v>1631.18</v>
      </c>
      <c r="L1932">
        <v>231.18</v>
      </c>
      <c r="M1932">
        <v>18873.399999999998</v>
      </c>
      <c r="N1932">
        <v>1400</v>
      </c>
      <c r="O1932">
        <v>14.172562194239752</v>
      </c>
      <c r="P1932" t="s">
        <v>2086</v>
      </c>
      <c r="Q1932" t="s">
        <v>2092</v>
      </c>
    </row>
    <row r="1933" spans="1:17" x14ac:dyDescent="0.25">
      <c r="A1933" t="s">
        <v>1381</v>
      </c>
      <c r="B1933" s="18">
        <v>46011</v>
      </c>
      <c r="C1933" t="s">
        <v>2027</v>
      </c>
      <c r="D1933" t="s">
        <v>2047</v>
      </c>
      <c r="E1933" t="s">
        <v>2053</v>
      </c>
      <c r="F1933" t="s">
        <v>2062</v>
      </c>
      <c r="G1933">
        <v>1</v>
      </c>
      <c r="H1933">
        <v>1100</v>
      </c>
      <c r="I1933">
        <v>1298</v>
      </c>
      <c r="J1933">
        <v>3.9</v>
      </c>
      <c r="K1933">
        <v>1247.3599999999999</v>
      </c>
      <c r="L1933">
        <v>147.36000000000001</v>
      </c>
      <c r="M1933">
        <v>5062.2</v>
      </c>
      <c r="N1933">
        <v>1100</v>
      </c>
      <c r="O1933">
        <v>11.813750641354542</v>
      </c>
      <c r="P1933" t="s">
        <v>2086</v>
      </c>
      <c r="Q1933" t="s">
        <v>2092</v>
      </c>
    </row>
    <row r="1934" spans="1:17" x14ac:dyDescent="0.25">
      <c r="A1934" t="s">
        <v>1679</v>
      </c>
      <c r="B1934" s="18">
        <v>46011</v>
      </c>
      <c r="C1934" t="s">
        <v>2030</v>
      </c>
      <c r="D1934" t="s">
        <v>2050</v>
      </c>
      <c r="E1934" t="s">
        <v>2058</v>
      </c>
      <c r="F1934" t="s">
        <v>2059</v>
      </c>
      <c r="G1934">
        <v>7</v>
      </c>
      <c r="H1934">
        <v>1800</v>
      </c>
      <c r="I1934">
        <v>2124</v>
      </c>
      <c r="J1934">
        <v>7.48</v>
      </c>
      <c r="K1934">
        <v>13756.23</v>
      </c>
      <c r="L1934">
        <v>1156.23</v>
      </c>
      <c r="M1934">
        <v>111212.64</v>
      </c>
      <c r="N1934">
        <v>12600</v>
      </c>
      <c r="O1934">
        <v>8.4051371633070993</v>
      </c>
      <c r="P1934" t="s">
        <v>2086</v>
      </c>
      <c r="Q1934" t="s">
        <v>2091</v>
      </c>
    </row>
    <row r="1935" spans="1:17" x14ac:dyDescent="0.25">
      <c r="A1935" t="s">
        <v>1770</v>
      </c>
      <c r="B1935" s="18">
        <v>46011</v>
      </c>
      <c r="C1935" t="s">
        <v>2016</v>
      </c>
      <c r="D1935" t="s">
        <v>2036</v>
      </c>
      <c r="E1935" t="s">
        <v>2052</v>
      </c>
      <c r="F1935" t="s">
        <v>2059</v>
      </c>
      <c r="G1935">
        <v>5</v>
      </c>
      <c r="H1935">
        <v>900</v>
      </c>
      <c r="I1935">
        <v>1170</v>
      </c>
      <c r="J1935">
        <v>15.37</v>
      </c>
      <c r="K1935">
        <v>4950.71</v>
      </c>
      <c r="L1935">
        <v>450.71</v>
      </c>
      <c r="M1935">
        <v>89914.5</v>
      </c>
      <c r="N1935">
        <v>4500</v>
      </c>
      <c r="O1935">
        <v>9.1039467066339981</v>
      </c>
      <c r="P1935" t="s">
        <v>2086</v>
      </c>
      <c r="Q1935" t="s">
        <v>2091</v>
      </c>
    </row>
    <row r="1936" spans="1:17" x14ac:dyDescent="0.25">
      <c r="A1936" t="s">
        <v>798</v>
      </c>
      <c r="B1936" s="18">
        <v>46012</v>
      </c>
      <c r="C1936" t="s">
        <v>2023</v>
      </c>
      <c r="D1936" t="s">
        <v>2043</v>
      </c>
      <c r="E1936" t="s">
        <v>2053</v>
      </c>
      <c r="F1936" t="s">
        <v>2062</v>
      </c>
      <c r="G1936">
        <v>3</v>
      </c>
      <c r="H1936">
        <v>550</v>
      </c>
      <c r="I1936">
        <v>742.5</v>
      </c>
      <c r="J1936">
        <v>17.62</v>
      </c>
      <c r="K1936">
        <v>1834.95</v>
      </c>
      <c r="L1936">
        <v>184.95</v>
      </c>
      <c r="M1936">
        <v>39248.550000000003</v>
      </c>
      <c r="N1936">
        <v>1650</v>
      </c>
      <c r="O1936">
        <v>10.079293713725168</v>
      </c>
      <c r="P1936" t="s">
        <v>2086</v>
      </c>
      <c r="Q1936" t="s">
        <v>2092</v>
      </c>
    </row>
    <row r="1937" spans="1:17" x14ac:dyDescent="0.25">
      <c r="A1937" t="s">
        <v>939</v>
      </c>
      <c r="B1937" s="18">
        <v>46012</v>
      </c>
      <c r="C1937" t="s">
        <v>2031</v>
      </c>
      <c r="D1937" t="s">
        <v>2051</v>
      </c>
      <c r="E1937" t="s">
        <v>2058</v>
      </c>
      <c r="F1937" t="s">
        <v>2059</v>
      </c>
      <c r="G1937">
        <v>7</v>
      </c>
      <c r="H1937">
        <v>3200</v>
      </c>
      <c r="I1937">
        <v>3840</v>
      </c>
      <c r="J1937">
        <v>4</v>
      </c>
      <c r="K1937">
        <v>25804.799999999999</v>
      </c>
      <c r="L1937">
        <v>3404.8</v>
      </c>
      <c r="M1937">
        <v>107520</v>
      </c>
      <c r="N1937">
        <v>22400</v>
      </c>
      <c r="O1937">
        <v>13.194444444444445</v>
      </c>
      <c r="P1937" t="s">
        <v>2086</v>
      </c>
      <c r="Q1937" t="s">
        <v>2092</v>
      </c>
    </row>
    <row r="1938" spans="1:17" x14ac:dyDescent="0.25">
      <c r="A1938" t="s">
        <v>1310</v>
      </c>
      <c r="B1938" s="18">
        <v>46012</v>
      </c>
      <c r="C1938" t="s">
        <v>2030</v>
      </c>
      <c r="D1938" t="s">
        <v>2050</v>
      </c>
      <c r="E1938" t="s">
        <v>2058</v>
      </c>
      <c r="F1938" t="s">
        <v>2062</v>
      </c>
      <c r="G1938">
        <v>2</v>
      </c>
      <c r="H1938">
        <v>1800</v>
      </c>
      <c r="I1938">
        <v>2124</v>
      </c>
      <c r="J1938">
        <v>17.43</v>
      </c>
      <c r="K1938">
        <v>3507.38</v>
      </c>
      <c r="L1938">
        <v>-92.62</v>
      </c>
      <c r="M1938">
        <v>74042.64</v>
      </c>
      <c r="N1938">
        <v>3600</v>
      </c>
      <c r="O1938">
        <v>-2.6407175726610745</v>
      </c>
      <c r="P1938" t="s">
        <v>2086</v>
      </c>
      <c r="Q1938" t="s">
        <v>2093</v>
      </c>
    </row>
    <row r="1939" spans="1:17" x14ac:dyDescent="0.25">
      <c r="A1939" t="s">
        <v>1450</v>
      </c>
      <c r="B1939" s="18">
        <v>46012</v>
      </c>
      <c r="C1939" t="s">
        <v>2018</v>
      </c>
      <c r="D1939" t="s">
        <v>2038</v>
      </c>
      <c r="E1939" t="s">
        <v>2053</v>
      </c>
      <c r="F1939" t="s">
        <v>2059</v>
      </c>
      <c r="G1939">
        <v>9</v>
      </c>
      <c r="H1939">
        <v>500</v>
      </c>
      <c r="I1939">
        <v>610</v>
      </c>
      <c r="J1939">
        <v>3.74</v>
      </c>
      <c r="K1939">
        <v>5284.55</v>
      </c>
      <c r="L1939">
        <v>784.55</v>
      </c>
      <c r="M1939">
        <v>20532.600000000002</v>
      </c>
      <c r="N1939">
        <v>4500</v>
      </c>
      <c r="O1939">
        <v>14.84610799405815</v>
      </c>
      <c r="P1939" t="s">
        <v>2086</v>
      </c>
      <c r="Q1939" t="s">
        <v>2092</v>
      </c>
    </row>
    <row r="1940" spans="1:17" x14ac:dyDescent="0.25">
      <c r="A1940" t="s">
        <v>1658</v>
      </c>
      <c r="B1940" s="18">
        <v>46012</v>
      </c>
      <c r="C1940" t="s">
        <v>2014</v>
      </c>
      <c r="D1940" t="s">
        <v>2034</v>
      </c>
      <c r="E1940" t="s">
        <v>2052</v>
      </c>
      <c r="F1940" t="s">
        <v>2059</v>
      </c>
      <c r="G1940">
        <v>7</v>
      </c>
      <c r="H1940">
        <v>4500</v>
      </c>
      <c r="I1940">
        <v>5220</v>
      </c>
      <c r="J1940">
        <v>14.3</v>
      </c>
      <c r="K1940">
        <v>31315.96</v>
      </c>
      <c r="L1940">
        <v>-184.04</v>
      </c>
      <c r="M1940">
        <v>522522</v>
      </c>
      <c r="N1940">
        <v>31500</v>
      </c>
      <c r="O1940">
        <v>-0.58768755612154311</v>
      </c>
      <c r="P1940" t="s">
        <v>2086</v>
      </c>
      <c r="Q1940" t="s">
        <v>2093</v>
      </c>
    </row>
    <row r="1941" spans="1:17" x14ac:dyDescent="0.25">
      <c r="A1941" t="s">
        <v>463</v>
      </c>
      <c r="B1941" s="18">
        <v>46013</v>
      </c>
      <c r="C1941" t="s">
        <v>2019</v>
      </c>
      <c r="D1941" t="s">
        <v>2039</v>
      </c>
      <c r="E1941" t="s">
        <v>2053</v>
      </c>
      <c r="F1941" t="s">
        <v>2061</v>
      </c>
      <c r="G1941">
        <v>6</v>
      </c>
      <c r="H1941">
        <v>900</v>
      </c>
      <c r="I1941">
        <v>1152</v>
      </c>
      <c r="J1941">
        <v>13.76</v>
      </c>
      <c r="K1941">
        <v>5960.73</v>
      </c>
      <c r="L1941">
        <v>560.73</v>
      </c>
      <c r="M1941">
        <v>95109.119999999995</v>
      </c>
      <c r="N1941">
        <v>5400</v>
      </c>
      <c r="O1941">
        <v>9.4070692683614254</v>
      </c>
      <c r="P1941" t="s">
        <v>2086</v>
      </c>
      <c r="Q1941" t="s">
        <v>2091</v>
      </c>
    </row>
    <row r="1942" spans="1:17" x14ac:dyDescent="0.25">
      <c r="A1942" t="s">
        <v>520</v>
      </c>
      <c r="B1942" s="18">
        <v>46013</v>
      </c>
      <c r="C1942" t="s">
        <v>2030</v>
      </c>
      <c r="D1942" t="s">
        <v>2050</v>
      </c>
      <c r="E1942" t="s">
        <v>2058</v>
      </c>
      <c r="F1942" t="s">
        <v>2061</v>
      </c>
      <c r="G1942">
        <v>1</v>
      </c>
      <c r="H1942">
        <v>1800</v>
      </c>
      <c r="I1942">
        <v>2124</v>
      </c>
      <c r="J1942">
        <v>20.27</v>
      </c>
      <c r="K1942">
        <v>1693.38</v>
      </c>
      <c r="L1942">
        <v>-106.62</v>
      </c>
      <c r="M1942">
        <v>43053.479999999996</v>
      </c>
      <c r="N1942">
        <v>1800</v>
      </c>
      <c r="O1942">
        <v>-6.2962831732983737</v>
      </c>
      <c r="P1942" t="s">
        <v>2086</v>
      </c>
      <c r="Q1942" t="s">
        <v>2093</v>
      </c>
    </row>
    <row r="1943" spans="1:17" x14ac:dyDescent="0.25">
      <c r="A1943" t="s">
        <v>1485</v>
      </c>
      <c r="B1943" s="18">
        <v>46013</v>
      </c>
      <c r="C1943" t="s">
        <v>2012</v>
      </c>
      <c r="D1943" t="s">
        <v>2032</v>
      </c>
      <c r="E1943" t="s">
        <v>2052</v>
      </c>
      <c r="F1943" t="s">
        <v>2062</v>
      </c>
      <c r="G1943">
        <v>6</v>
      </c>
      <c r="H1943">
        <v>6500</v>
      </c>
      <c r="I1943">
        <v>8125</v>
      </c>
      <c r="J1943">
        <v>21.82</v>
      </c>
      <c r="K1943">
        <v>38112.089999999997</v>
      </c>
      <c r="L1943">
        <v>-887.91</v>
      </c>
      <c r="M1943">
        <v>1063725</v>
      </c>
      <c r="N1943">
        <v>39000</v>
      </c>
      <c r="O1943">
        <v>-2.3297331634134997</v>
      </c>
      <c r="P1943" t="s">
        <v>2086</v>
      </c>
      <c r="Q1943" t="s">
        <v>2093</v>
      </c>
    </row>
    <row r="1944" spans="1:17" x14ac:dyDescent="0.25">
      <c r="A1944" t="s">
        <v>1508</v>
      </c>
      <c r="B1944" s="18">
        <v>46013</v>
      </c>
      <c r="C1944" t="s">
        <v>2020</v>
      </c>
      <c r="D1944" t="s">
        <v>2040</v>
      </c>
      <c r="E1944" t="s">
        <v>2053</v>
      </c>
      <c r="F1944" t="s">
        <v>2059</v>
      </c>
      <c r="G1944">
        <v>4</v>
      </c>
      <c r="H1944">
        <v>350</v>
      </c>
      <c r="I1944">
        <v>455</v>
      </c>
      <c r="J1944">
        <v>24.85</v>
      </c>
      <c r="K1944">
        <v>1367.65</v>
      </c>
      <c r="L1944">
        <v>-32.35</v>
      </c>
      <c r="M1944">
        <v>45227</v>
      </c>
      <c r="N1944">
        <v>1400</v>
      </c>
      <c r="O1944">
        <v>-2.3653712572661134</v>
      </c>
      <c r="P1944" t="s">
        <v>2086</v>
      </c>
      <c r="Q1944" t="s">
        <v>2093</v>
      </c>
    </row>
    <row r="1945" spans="1:17" x14ac:dyDescent="0.25">
      <c r="A1945" t="s">
        <v>883</v>
      </c>
      <c r="B1945" s="18">
        <v>46014</v>
      </c>
      <c r="C1945" t="s">
        <v>2027</v>
      </c>
      <c r="D1945" t="s">
        <v>2047</v>
      </c>
      <c r="E1945" t="s">
        <v>2053</v>
      </c>
      <c r="F1945" t="s">
        <v>2060</v>
      </c>
      <c r="G1945">
        <v>9</v>
      </c>
      <c r="H1945">
        <v>1100</v>
      </c>
      <c r="I1945">
        <v>1298</v>
      </c>
      <c r="J1945">
        <v>11.33</v>
      </c>
      <c r="K1945">
        <v>10358.92</v>
      </c>
      <c r="L1945">
        <v>458.92</v>
      </c>
      <c r="M1945">
        <v>132357.06</v>
      </c>
      <c r="N1945">
        <v>9900</v>
      </c>
      <c r="O1945">
        <v>4.4301915643715759</v>
      </c>
      <c r="P1945" t="s">
        <v>2086</v>
      </c>
      <c r="Q1945" t="s">
        <v>2091</v>
      </c>
    </row>
    <row r="1946" spans="1:17" x14ac:dyDescent="0.25">
      <c r="A1946" t="s">
        <v>1051</v>
      </c>
      <c r="B1946" s="18">
        <v>46014</v>
      </c>
      <c r="C1946" t="s">
        <v>2020</v>
      </c>
      <c r="D1946" t="s">
        <v>2040</v>
      </c>
      <c r="E1946" t="s">
        <v>2053</v>
      </c>
      <c r="F1946" t="s">
        <v>2059</v>
      </c>
      <c r="G1946">
        <v>8</v>
      </c>
      <c r="H1946">
        <v>350</v>
      </c>
      <c r="I1946">
        <v>455</v>
      </c>
      <c r="J1946">
        <v>13.99</v>
      </c>
      <c r="K1946">
        <v>3130.59</v>
      </c>
      <c r="L1946">
        <v>330.59</v>
      </c>
      <c r="M1946">
        <v>50923.6</v>
      </c>
      <c r="N1946">
        <v>2800</v>
      </c>
      <c r="O1946">
        <v>10.559990289370374</v>
      </c>
      <c r="P1946" t="s">
        <v>2086</v>
      </c>
      <c r="Q1946" t="s">
        <v>2092</v>
      </c>
    </row>
    <row r="1947" spans="1:17" x14ac:dyDescent="0.25">
      <c r="A1947" t="s">
        <v>1132</v>
      </c>
      <c r="B1947" s="18">
        <v>46014</v>
      </c>
      <c r="C1947" t="s">
        <v>2031</v>
      </c>
      <c r="D1947" t="s">
        <v>2051</v>
      </c>
      <c r="E1947" t="s">
        <v>2058</v>
      </c>
      <c r="F1947" t="s">
        <v>2062</v>
      </c>
      <c r="G1947">
        <v>6</v>
      </c>
      <c r="H1947">
        <v>3200</v>
      </c>
      <c r="I1947">
        <v>3840</v>
      </c>
      <c r="J1947">
        <v>4.8499999999999996</v>
      </c>
      <c r="K1947">
        <v>21922.09</v>
      </c>
      <c r="L1947">
        <v>2722.09</v>
      </c>
      <c r="M1947">
        <v>111743.99999999999</v>
      </c>
      <c r="N1947">
        <v>19200</v>
      </c>
      <c r="O1947">
        <v>12.41710986498094</v>
      </c>
      <c r="P1947" t="s">
        <v>2086</v>
      </c>
      <c r="Q1947" t="s">
        <v>2092</v>
      </c>
    </row>
    <row r="1948" spans="1:17" x14ac:dyDescent="0.25">
      <c r="A1948" t="s">
        <v>1667</v>
      </c>
      <c r="B1948" s="18">
        <v>46014</v>
      </c>
      <c r="C1948" t="s">
        <v>2019</v>
      </c>
      <c r="D1948" t="s">
        <v>2039</v>
      </c>
      <c r="E1948" t="s">
        <v>2053</v>
      </c>
      <c r="F1948" t="s">
        <v>2061</v>
      </c>
      <c r="G1948">
        <v>9</v>
      </c>
      <c r="H1948">
        <v>900</v>
      </c>
      <c r="I1948">
        <v>1152</v>
      </c>
      <c r="J1948">
        <v>12.95</v>
      </c>
      <c r="K1948">
        <v>9025.5300000000007</v>
      </c>
      <c r="L1948">
        <v>925.53</v>
      </c>
      <c r="M1948">
        <v>134265.60000000001</v>
      </c>
      <c r="N1948">
        <v>8100</v>
      </c>
      <c r="O1948">
        <v>10.254577847505907</v>
      </c>
      <c r="P1948" t="s">
        <v>2086</v>
      </c>
      <c r="Q1948" t="s">
        <v>2092</v>
      </c>
    </row>
    <row r="1949" spans="1:17" x14ac:dyDescent="0.25">
      <c r="A1949" t="s">
        <v>1832</v>
      </c>
      <c r="B1949" s="18">
        <v>46014</v>
      </c>
      <c r="C1949" t="s">
        <v>2021</v>
      </c>
      <c r="D1949" t="s">
        <v>2041</v>
      </c>
      <c r="E1949" t="s">
        <v>2056</v>
      </c>
      <c r="F1949" t="s">
        <v>2059</v>
      </c>
      <c r="G1949">
        <v>4</v>
      </c>
      <c r="H1949">
        <v>300</v>
      </c>
      <c r="I1949">
        <v>405</v>
      </c>
      <c r="J1949">
        <v>10.73</v>
      </c>
      <c r="K1949">
        <v>1446.21</v>
      </c>
      <c r="L1949">
        <v>246.21</v>
      </c>
      <c r="M1949">
        <v>17382.600000000002</v>
      </c>
      <c r="N1949">
        <v>1200</v>
      </c>
      <c r="O1949">
        <v>17.024498516812912</v>
      </c>
      <c r="P1949" t="s">
        <v>2086</v>
      </c>
      <c r="Q1949" t="s">
        <v>2092</v>
      </c>
    </row>
    <row r="1950" spans="1:17" x14ac:dyDescent="0.25">
      <c r="A1950" t="s">
        <v>1853</v>
      </c>
      <c r="B1950" s="18">
        <v>46014</v>
      </c>
      <c r="C1950" t="s">
        <v>2026</v>
      </c>
      <c r="D1950" t="s">
        <v>2046</v>
      </c>
      <c r="E1950" t="s">
        <v>2052</v>
      </c>
      <c r="F1950" t="s">
        <v>2060</v>
      </c>
      <c r="G1950">
        <v>9</v>
      </c>
      <c r="H1950">
        <v>3000</v>
      </c>
      <c r="I1950">
        <v>3600</v>
      </c>
      <c r="J1950">
        <v>24.88</v>
      </c>
      <c r="K1950">
        <v>24339.62</v>
      </c>
      <c r="L1950">
        <v>-2660.38</v>
      </c>
      <c r="M1950">
        <v>806112</v>
      </c>
      <c r="N1950">
        <v>27000</v>
      </c>
      <c r="O1950">
        <v>-10.93024459708081</v>
      </c>
      <c r="P1950" t="s">
        <v>2086</v>
      </c>
      <c r="Q1950" t="s">
        <v>2093</v>
      </c>
    </row>
    <row r="1951" spans="1:17" x14ac:dyDescent="0.25">
      <c r="A1951" t="s">
        <v>1885</v>
      </c>
      <c r="B1951" s="18">
        <v>46014</v>
      </c>
      <c r="C1951" t="s">
        <v>2030</v>
      </c>
      <c r="D1951" t="s">
        <v>2050</v>
      </c>
      <c r="E1951" t="s">
        <v>2058</v>
      </c>
      <c r="F1951" t="s">
        <v>2062</v>
      </c>
      <c r="G1951">
        <v>7</v>
      </c>
      <c r="H1951">
        <v>1800</v>
      </c>
      <c r="I1951">
        <v>2124</v>
      </c>
      <c r="J1951">
        <v>4</v>
      </c>
      <c r="K1951">
        <v>14273.28</v>
      </c>
      <c r="L1951">
        <v>1673.28</v>
      </c>
      <c r="M1951">
        <v>59472</v>
      </c>
      <c r="N1951">
        <v>12600</v>
      </c>
      <c r="O1951">
        <v>11.723163841807908</v>
      </c>
      <c r="P1951" t="s">
        <v>2086</v>
      </c>
      <c r="Q1951" t="s">
        <v>2092</v>
      </c>
    </row>
    <row r="1952" spans="1:17" x14ac:dyDescent="0.25">
      <c r="A1952" t="s">
        <v>1308</v>
      </c>
      <c r="B1952" s="18">
        <v>46015</v>
      </c>
      <c r="C1952" t="s">
        <v>2026</v>
      </c>
      <c r="D1952" t="s">
        <v>2046</v>
      </c>
      <c r="E1952" t="s">
        <v>2052</v>
      </c>
      <c r="F1952" t="s">
        <v>2059</v>
      </c>
      <c r="G1952">
        <v>2</v>
      </c>
      <c r="H1952">
        <v>3000</v>
      </c>
      <c r="I1952">
        <v>3600</v>
      </c>
      <c r="J1952">
        <v>21.87</v>
      </c>
      <c r="K1952">
        <v>5625.36</v>
      </c>
      <c r="L1952">
        <v>-374.64</v>
      </c>
      <c r="M1952">
        <v>157464</v>
      </c>
      <c r="N1952">
        <v>6000</v>
      </c>
      <c r="O1952">
        <v>-6.6598404368787074</v>
      </c>
      <c r="P1952" t="s">
        <v>2086</v>
      </c>
      <c r="Q1952" t="s">
        <v>2093</v>
      </c>
    </row>
    <row r="1953" spans="1:17" x14ac:dyDescent="0.25">
      <c r="A1953" t="s">
        <v>1320</v>
      </c>
      <c r="B1953" s="18">
        <v>46015</v>
      </c>
      <c r="C1953" t="s">
        <v>2022</v>
      </c>
      <c r="D1953" t="s">
        <v>2042</v>
      </c>
      <c r="E1953" t="s">
        <v>2053</v>
      </c>
      <c r="F1953" t="s">
        <v>2061</v>
      </c>
      <c r="G1953">
        <v>9</v>
      </c>
      <c r="H1953">
        <v>8500</v>
      </c>
      <c r="I1953">
        <v>9520</v>
      </c>
      <c r="J1953">
        <v>12.34</v>
      </c>
      <c r="K1953">
        <v>75103.16</v>
      </c>
      <c r="L1953">
        <v>-1396.84</v>
      </c>
      <c r="M1953">
        <v>1057291.2</v>
      </c>
      <c r="N1953">
        <v>76500</v>
      </c>
      <c r="O1953">
        <v>-1.859895109606573</v>
      </c>
      <c r="P1953" t="s">
        <v>2086</v>
      </c>
      <c r="Q1953" t="s">
        <v>2093</v>
      </c>
    </row>
    <row r="1954" spans="1:17" x14ac:dyDescent="0.25">
      <c r="A1954" t="s">
        <v>1327</v>
      </c>
      <c r="B1954" s="18">
        <v>46015</v>
      </c>
      <c r="C1954" t="s">
        <v>2013</v>
      </c>
      <c r="D1954" t="s">
        <v>2033</v>
      </c>
      <c r="E1954" t="s">
        <v>2053</v>
      </c>
      <c r="F1954" t="s">
        <v>2059</v>
      </c>
      <c r="G1954">
        <v>7</v>
      </c>
      <c r="H1954">
        <v>6500</v>
      </c>
      <c r="I1954">
        <v>7150</v>
      </c>
      <c r="J1954">
        <v>19.079999999999998</v>
      </c>
      <c r="K1954">
        <v>40499.89</v>
      </c>
      <c r="L1954">
        <v>-5000.1099999999997</v>
      </c>
      <c r="M1954">
        <v>954953.99999999988</v>
      </c>
      <c r="N1954">
        <v>45500</v>
      </c>
      <c r="O1954">
        <v>-12.345984149586577</v>
      </c>
      <c r="P1954" t="s">
        <v>2086</v>
      </c>
      <c r="Q1954" t="s">
        <v>2093</v>
      </c>
    </row>
    <row r="1955" spans="1:17" x14ac:dyDescent="0.25">
      <c r="A1955" t="s">
        <v>1672</v>
      </c>
      <c r="B1955" s="18">
        <v>46015</v>
      </c>
      <c r="C1955" t="s">
        <v>2023</v>
      </c>
      <c r="D1955" t="s">
        <v>2043</v>
      </c>
      <c r="E1955" t="s">
        <v>2053</v>
      </c>
      <c r="F1955" t="s">
        <v>2061</v>
      </c>
      <c r="G1955">
        <v>9</v>
      </c>
      <c r="H1955">
        <v>550</v>
      </c>
      <c r="I1955">
        <v>742.5</v>
      </c>
      <c r="J1955">
        <v>25.14</v>
      </c>
      <c r="K1955">
        <v>5002.41</v>
      </c>
      <c r="L1955">
        <v>52.41</v>
      </c>
      <c r="M1955">
        <v>167998.05000000002</v>
      </c>
      <c r="N1955">
        <v>4950</v>
      </c>
      <c r="O1955">
        <v>1.0476950110046956</v>
      </c>
      <c r="P1955" t="s">
        <v>2086</v>
      </c>
      <c r="Q1955" t="s">
        <v>2091</v>
      </c>
    </row>
    <row r="1956" spans="1:17" x14ac:dyDescent="0.25">
      <c r="A1956" t="s">
        <v>164</v>
      </c>
      <c r="B1956" s="18">
        <v>46016</v>
      </c>
      <c r="C1956" t="s">
        <v>2027</v>
      </c>
      <c r="D1956" t="s">
        <v>2047</v>
      </c>
      <c r="E1956" t="s">
        <v>2053</v>
      </c>
      <c r="F1956" t="s">
        <v>2059</v>
      </c>
      <c r="G1956">
        <v>2</v>
      </c>
      <c r="H1956">
        <v>1100</v>
      </c>
      <c r="I1956">
        <v>1298</v>
      </c>
      <c r="J1956">
        <v>12.33</v>
      </c>
      <c r="K1956">
        <v>2275.89</v>
      </c>
      <c r="L1956">
        <v>75.89</v>
      </c>
      <c r="M1956">
        <v>32008.68</v>
      </c>
      <c r="N1956">
        <v>2200</v>
      </c>
      <c r="O1956">
        <v>3.334519682409959</v>
      </c>
      <c r="P1956" t="s">
        <v>2086</v>
      </c>
      <c r="Q1956" t="s">
        <v>2091</v>
      </c>
    </row>
    <row r="1957" spans="1:17" x14ac:dyDescent="0.25">
      <c r="A1957" t="s">
        <v>427</v>
      </c>
      <c r="B1957" s="18">
        <v>46016</v>
      </c>
      <c r="C1957" t="s">
        <v>2023</v>
      </c>
      <c r="D1957" t="s">
        <v>2043</v>
      </c>
      <c r="E1957" t="s">
        <v>2053</v>
      </c>
      <c r="F1957" t="s">
        <v>2062</v>
      </c>
      <c r="G1957">
        <v>5</v>
      </c>
      <c r="H1957">
        <v>550</v>
      </c>
      <c r="I1957">
        <v>742.5</v>
      </c>
      <c r="J1957">
        <v>3.75</v>
      </c>
      <c r="K1957">
        <v>3573.28</v>
      </c>
      <c r="L1957">
        <v>823.28</v>
      </c>
      <c r="M1957">
        <v>13921.875</v>
      </c>
      <c r="N1957">
        <v>2750</v>
      </c>
      <c r="O1957">
        <v>23.039896117852503</v>
      </c>
      <c r="P1957" t="s">
        <v>2086</v>
      </c>
      <c r="Q1957" t="s">
        <v>2092</v>
      </c>
    </row>
    <row r="1958" spans="1:17" x14ac:dyDescent="0.25">
      <c r="A1958" t="s">
        <v>493</v>
      </c>
      <c r="B1958" s="18">
        <v>46016</v>
      </c>
      <c r="C1958" t="s">
        <v>2017</v>
      </c>
      <c r="D1958" t="s">
        <v>2037</v>
      </c>
      <c r="E1958" t="s">
        <v>2055</v>
      </c>
      <c r="F1958" t="s">
        <v>2060</v>
      </c>
      <c r="G1958">
        <v>5</v>
      </c>
      <c r="H1958">
        <v>2500</v>
      </c>
      <c r="I1958">
        <v>2875</v>
      </c>
      <c r="J1958">
        <v>10.78</v>
      </c>
      <c r="K1958">
        <v>12824.73</v>
      </c>
      <c r="L1958">
        <v>324.73</v>
      </c>
      <c r="M1958">
        <v>154962.5</v>
      </c>
      <c r="N1958">
        <v>12500</v>
      </c>
      <c r="O1958">
        <v>2.5320611038205096</v>
      </c>
      <c r="P1958" t="s">
        <v>2086</v>
      </c>
      <c r="Q1958" t="s">
        <v>2091</v>
      </c>
    </row>
    <row r="1959" spans="1:17" x14ac:dyDescent="0.25">
      <c r="A1959" t="s">
        <v>1164</v>
      </c>
      <c r="B1959" s="18">
        <v>46016</v>
      </c>
      <c r="C1959" t="s">
        <v>2020</v>
      </c>
      <c r="D1959" t="s">
        <v>2040</v>
      </c>
      <c r="E1959" t="s">
        <v>2053</v>
      </c>
      <c r="F1959" t="s">
        <v>2060</v>
      </c>
      <c r="G1959">
        <v>10</v>
      </c>
      <c r="H1959">
        <v>350</v>
      </c>
      <c r="I1959">
        <v>455</v>
      </c>
      <c r="J1959">
        <v>12.25</v>
      </c>
      <c r="K1959">
        <v>3992.64</v>
      </c>
      <c r="L1959">
        <v>492.64</v>
      </c>
      <c r="M1959">
        <v>55737.5</v>
      </c>
      <c r="N1959">
        <v>3500</v>
      </c>
      <c r="O1959">
        <v>12.338703213913602</v>
      </c>
      <c r="P1959" t="s">
        <v>2086</v>
      </c>
      <c r="Q1959" t="s">
        <v>2092</v>
      </c>
    </row>
    <row r="1960" spans="1:17" x14ac:dyDescent="0.25">
      <c r="A1960" t="s">
        <v>1447</v>
      </c>
      <c r="B1960" s="18">
        <v>46016</v>
      </c>
      <c r="C1960" t="s">
        <v>2020</v>
      </c>
      <c r="D1960" t="s">
        <v>2040</v>
      </c>
      <c r="E1960" t="s">
        <v>2053</v>
      </c>
      <c r="F1960" t="s">
        <v>2061</v>
      </c>
      <c r="G1960">
        <v>5</v>
      </c>
      <c r="H1960">
        <v>350</v>
      </c>
      <c r="I1960">
        <v>455</v>
      </c>
      <c r="J1960">
        <v>8.15</v>
      </c>
      <c r="K1960">
        <v>2089.64</v>
      </c>
      <c r="L1960">
        <v>339.64</v>
      </c>
      <c r="M1960">
        <v>18541.25</v>
      </c>
      <c r="N1960">
        <v>1750</v>
      </c>
      <c r="O1960">
        <v>16.253517352271203</v>
      </c>
      <c r="P1960" t="s">
        <v>2086</v>
      </c>
      <c r="Q1960" t="s">
        <v>2092</v>
      </c>
    </row>
    <row r="1961" spans="1:17" x14ac:dyDescent="0.25">
      <c r="A1961" t="s">
        <v>1743</v>
      </c>
      <c r="B1961" s="18">
        <v>46016</v>
      </c>
      <c r="C1961" t="s">
        <v>2019</v>
      </c>
      <c r="D1961" t="s">
        <v>2039</v>
      </c>
      <c r="E1961" t="s">
        <v>2053</v>
      </c>
      <c r="F1961" t="s">
        <v>2061</v>
      </c>
      <c r="G1961">
        <v>7</v>
      </c>
      <c r="H1961">
        <v>900</v>
      </c>
      <c r="I1961">
        <v>1152</v>
      </c>
      <c r="J1961">
        <v>6.75</v>
      </c>
      <c r="K1961">
        <v>7519.97</v>
      </c>
      <c r="L1961">
        <v>1219.97</v>
      </c>
      <c r="M1961">
        <v>54432</v>
      </c>
      <c r="N1961">
        <v>6300</v>
      </c>
      <c r="O1961">
        <v>16.22307003884324</v>
      </c>
      <c r="P1961" t="s">
        <v>2086</v>
      </c>
      <c r="Q1961" t="s">
        <v>2092</v>
      </c>
    </row>
    <row r="1962" spans="1:17" x14ac:dyDescent="0.25">
      <c r="A1962" t="s">
        <v>40</v>
      </c>
      <c r="B1962" s="18">
        <v>46017</v>
      </c>
      <c r="C1962" t="s">
        <v>2027</v>
      </c>
      <c r="D1962" t="s">
        <v>2047</v>
      </c>
      <c r="E1962" t="s">
        <v>2053</v>
      </c>
      <c r="F1962" t="s">
        <v>2059</v>
      </c>
      <c r="G1962">
        <v>6</v>
      </c>
      <c r="H1962">
        <v>1100</v>
      </c>
      <c r="I1962">
        <v>1298</v>
      </c>
      <c r="J1962">
        <v>12.61</v>
      </c>
      <c r="K1962">
        <v>6805.68</v>
      </c>
      <c r="L1962">
        <v>205.68</v>
      </c>
      <c r="M1962">
        <v>98206.68</v>
      </c>
      <c r="N1962">
        <v>6600</v>
      </c>
      <c r="O1962">
        <v>3.0221814719469617</v>
      </c>
      <c r="P1962" t="s">
        <v>2086</v>
      </c>
      <c r="Q1962" t="s">
        <v>2091</v>
      </c>
    </row>
    <row r="1963" spans="1:17" x14ac:dyDescent="0.25">
      <c r="A1963" t="s">
        <v>284</v>
      </c>
      <c r="B1963" s="18">
        <v>46017</v>
      </c>
      <c r="C1963" t="s">
        <v>2031</v>
      </c>
      <c r="D1963" t="s">
        <v>2051</v>
      </c>
      <c r="E1963" t="s">
        <v>2058</v>
      </c>
      <c r="F1963" t="s">
        <v>2059</v>
      </c>
      <c r="G1963">
        <v>1</v>
      </c>
      <c r="H1963">
        <v>3200</v>
      </c>
      <c r="I1963">
        <v>3840</v>
      </c>
      <c r="J1963">
        <v>14.94</v>
      </c>
      <c r="K1963">
        <v>3266.37</v>
      </c>
      <c r="L1963">
        <v>66.37</v>
      </c>
      <c r="M1963">
        <v>57369.599999999999</v>
      </c>
      <c r="N1963">
        <v>3200</v>
      </c>
      <c r="O1963">
        <v>2.0319192253174014</v>
      </c>
      <c r="P1963" t="s">
        <v>2086</v>
      </c>
      <c r="Q1963" t="s">
        <v>2091</v>
      </c>
    </row>
    <row r="1964" spans="1:17" x14ac:dyDescent="0.25">
      <c r="A1964" t="s">
        <v>337</v>
      </c>
      <c r="B1964" s="18">
        <v>46017</v>
      </c>
      <c r="C1964" t="s">
        <v>2016</v>
      </c>
      <c r="D1964" t="s">
        <v>2036</v>
      </c>
      <c r="E1964" t="s">
        <v>2052</v>
      </c>
      <c r="F1964" t="s">
        <v>2062</v>
      </c>
      <c r="G1964">
        <v>4</v>
      </c>
      <c r="H1964">
        <v>900</v>
      </c>
      <c r="I1964">
        <v>1170</v>
      </c>
      <c r="J1964">
        <v>0</v>
      </c>
      <c r="K1964">
        <v>4680</v>
      </c>
      <c r="L1964">
        <v>1080</v>
      </c>
      <c r="M1964">
        <v>0</v>
      </c>
      <c r="N1964">
        <v>3600</v>
      </c>
      <c r="O1964">
        <v>23.076923076923077</v>
      </c>
      <c r="P1964" t="s">
        <v>2086</v>
      </c>
      <c r="Q1964" t="s">
        <v>2092</v>
      </c>
    </row>
    <row r="1965" spans="1:17" x14ac:dyDescent="0.25">
      <c r="A1965" t="s">
        <v>1078</v>
      </c>
      <c r="B1965" s="18">
        <v>46017</v>
      </c>
      <c r="C1965" t="s">
        <v>2014</v>
      </c>
      <c r="D1965" t="s">
        <v>2034</v>
      </c>
      <c r="E1965" t="s">
        <v>2052</v>
      </c>
      <c r="F1965" t="s">
        <v>2060</v>
      </c>
      <c r="G1965">
        <v>3</v>
      </c>
      <c r="H1965">
        <v>4500</v>
      </c>
      <c r="I1965">
        <v>5220</v>
      </c>
      <c r="J1965">
        <v>11.12</v>
      </c>
      <c r="K1965">
        <v>13919.2</v>
      </c>
      <c r="L1965">
        <v>419.2</v>
      </c>
      <c r="M1965">
        <v>174139.19999999998</v>
      </c>
      <c r="N1965">
        <v>13500</v>
      </c>
      <c r="O1965">
        <v>3.0116673372032872</v>
      </c>
      <c r="P1965" t="s">
        <v>2086</v>
      </c>
      <c r="Q1965" t="s">
        <v>2091</v>
      </c>
    </row>
    <row r="1966" spans="1:17" x14ac:dyDescent="0.25">
      <c r="A1966" t="s">
        <v>1599</v>
      </c>
      <c r="B1966" s="18">
        <v>46017</v>
      </c>
      <c r="C1966" t="s">
        <v>2029</v>
      </c>
      <c r="D1966" t="s">
        <v>2049</v>
      </c>
      <c r="E1966" t="s">
        <v>2055</v>
      </c>
      <c r="F1966" t="s">
        <v>2062</v>
      </c>
      <c r="G1966">
        <v>7</v>
      </c>
      <c r="H1966">
        <v>1200</v>
      </c>
      <c r="I1966">
        <v>1464</v>
      </c>
      <c r="J1966">
        <v>5.53</v>
      </c>
      <c r="K1966">
        <v>9680.94</v>
      </c>
      <c r="L1966">
        <v>1280.94</v>
      </c>
      <c r="M1966">
        <v>56671.44</v>
      </c>
      <c r="N1966">
        <v>8400</v>
      </c>
      <c r="O1966">
        <v>13.231566356159629</v>
      </c>
      <c r="P1966" t="s">
        <v>2086</v>
      </c>
      <c r="Q1966" t="s">
        <v>2092</v>
      </c>
    </row>
    <row r="1967" spans="1:17" x14ac:dyDescent="0.25">
      <c r="A1967" t="s">
        <v>1713</v>
      </c>
      <c r="B1967" s="18">
        <v>46017</v>
      </c>
      <c r="C1967" t="s">
        <v>2028</v>
      </c>
      <c r="D1967" t="s">
        <v>2048</v>
      </c>
      <c r="E1967" t="s">
        <v>2057</v>
      </c>
      <c r="F1967" t="s">
        <v>2060</v>
      </c>
      <c r="G1967">
        <v>4</v>
      </c>
      <c r="H1967">
        <v>80</v>
      </c>
      <c r="I1967">
        <v>116</v>
      </c>
      <c r="J1967">
        <v>8.32</v>
      </c>
      <c r="K1967">
        <v>425.42</v>
      </c>
      <c r="L1967">
        <v>105.42</v>
      </c>
      <c r="M1967">
        <v>3860.48</v>
      </c>
      <c r="N1967">
        <v>320</v>
      </c>
      <c r="O1967">
        <v>24.780217197122841</v>
      </c>
      <c r="P1967" t="s">
        <v>2086</v>
      </c>
      <c r="Q1967" t="s">
        <v>2092</v>
      </c>
    </row>
    <row r="1968" spans="1:17" x14ac:dyDescent="0.25">
      <c r="A1968" t="s">
        <v>60</v>
      </c>
      <c r="B1968" s="18">
        <v>46018</v>
      </c>
      <c r="C1968" t="s">
        <v>2018</v>
      </c>
      <c r="D1968" t="s">
        <v>2038</v>
      </c>
      <c r="E1968" t="s">
        <v>2053</v>
      </c>
      <c r="F1968" t="s">
        <v>2061</v>
      </c>
      <c r="G1968">
        <v>2</v>
      </c>
      <c r="H1968">
        <v>500</v>
      </c>
      <c r="I1968">
        <v>610</v>
      </c>
      <c r="J1968">
        <v>16.72</v>
      </c>
      <c r="K1968">
        <v>1015.96</v>
      </c>
      <c r="L1968">
        <v>15.96</v>
      </c>
      <c r="M1968">
        <v>20398.399999999998</v>
      </c>
      <c r="N1968">
        <v>1000</v>
      </c>
      <c r="O1968">
        <v>1.5709279892909169</v>
      </c>
      <c r="P1968" t="s">
        <v>2086</v>
      </c>
      <c r="Q1968" t="s">
        <v>2091</v>
      </c>
    </row>
    <row r="1969" spans="1:17" x14ac:dyDescent="0.25">
      <c r="A1969" t="s">
        <v>862</v>
      </c>
      <c r="B1969" s="18">
        <v>46018</v>
      </c>
      <c r="C1969" t="s">
        <v>2028</v>
      </c>
      <c r="D1969" t="s">
        <v>2048</v>
      </c>
      <c r="E1969" t="s">
        <v>2057</v>
      </c>
      <c r="F1969" t="s">
        <v>2060</v>
      </c>
      <c r="G1969">
        <v>10</v>
      </c>
      <c r="H1969">
        <v>80</v>
      </c>
      <c r="I1969">
        <v>116</v>
      </c>
      <c r="J1969">
        <v>3.68</v>
      </c>
      <c r="K1969">
        <v>1117.29</v>
      </c>
      <c r="L1969">
        <v>317.29000000000002</v>
      </c>
      <c r="M1969">
        <v>4268.8</v>
      </c>
      <c r="N1969">
        <v>800</v>
      </c>
      <c r="O1969">
        <v>28.398177733623324</v>
      </c>
      <c r="P1969" t="s">
        <v>2086</v>
      </c>
      <c r="Q1969" t="s">
        <v>2092</v>
      </c>
    </row>
    <row r="1970" spans="1:17" x14ac:dyDescent="0.25">
      <c r="A1970" t="s">
        <v>898</v>
      </c>
      <c r="B1970" s="18">
        <v>46018</v>
      </c>
      <c r="C1970" t="s">
        <v>2030</v>
      </c>
      <c r="D1970" t="s">
        <v>2050</v>
      </c>
      <c r="E1970" t="s">
        <v>2058</v>
      </c>
      <c r="F1970" t="s">
        <v>2062</v>
      </c>
      <c r="G1970">
        <v>9</v>
      </c>
      <c r="H1970">
        <v>1800</v>
      </c>
      <c r="I1970">
        <v>2124</v>
      </c>
      <c r="J1970">
        <v>9.41</v>
      </c>
      <c r="K1970">
        <v>17317.25</v>
      </c>
      <c r="L1970">
        <v>1117.25</v>
      </c>
      <c r="M1970">
        <v>179881.56</v>
      </c>
      <c r="N1970">
        <v>16200</v>
      </c>
      <c r="O1970">
        <v>6.4516594724913015</v>
      </c>
      <c r="P1970" t="s">
        <v>2086</v>
      </c>
      <c r="Q1970" t="s">
        <v>2091</v>
      </c>
    </row>
    <row r="1971" spans="1:17" x14ac:dyDescent="0.25">
      <c r="A1971" t="s">
        <v>921</v>
      </c>
      <c r="B1971" s="18">
        <v>46018</v>
      </c>
      <c r="C1971" t="s">
        <v>2013</v>
      </c>
      <c r="D1971" t="s">
        <v>2033</v>
      </c>
      <c r="E1971" t="s">
        <v>2053</v>
      </c>
      <c r="F1971" t="s">
        <v>2060</v>
      </c>
      <c r="G1971">
        <v>10</v>
      </c>
      <c r="H1971">
        <v>6500</v>
      </c>
      <c r="I1971">
        <v>7150</v>
      </c>
      <c r="J1971">
        <v>4</v>
      </c>
      <c r="K1971">
        <v>68640</v>
      </c>
      <c r="L1971">
        <v>3640</v>
      </c>
      <c r="M1971">
        <v>286000</v>
      </c>
      <c r="N1971">
        <v>65000</v>
      </c>
      <c r="O1971">
        <v>5.3030303030303028</v>
      </c>
      <c r="P1971" t="s">
        <v>2086</v>
      </c>
      <c r="Q1971" t="s">
        <v>2091</v>
      </c>
    </row>
    <row r="1972" spans="1:17" x14ac:dyDescent="0.25">
      <c r="A1972" t="s">
        <v>1384</v>
      </c>
      <c r="B1972" s="18">
        <v>46018</v>
      </c>
      <c r="C1972" t="s">
        <v>2022</v>
      </c>
      <c r="D1972" t="s">
        <v>2042</v>
      </c>
      <c r="E1972" t="s">
        <v>2053</v>
      </c>
      <c r="F1972" t="s">
        <v>2060</v>
      </c>
      <c r="G1972">
        <v>6</v>
      </c>
      <c r="H1972">
        <v>8500</v>
      </c>
      <c r="I1972">
        <v>9520</v>
      </c>
      <c r="J1972">
        <v>8.9600000000000009</v>
      </c>
      <c r="K1972">
        <v>51999.71</v>
      </c>
      <c r="L1972">
        <v>999.71</v>
      </c>
      <c r="M1972">
        <v>511795.20000000007</v>
      </c>
      <c r="N1972">
        <v>51000</v>
      </c>
      <c r="O1972">
        <v>1.9225299525708894</v>
      </c>
      <c r="P1972" t="s">
        <v>2086</v>
      </c>
      <c r="Q1972" t="s">
        <v>2091</v>
      </c>
    </row>
    <row r="1973" spans="1:17" x14ac:dyDescent="0.25">
      <c r="A1973" t="s">
        <v>1456</v>
      </c>
      <c r="B1973" s="18">
        <v>46018</v>
      </c>
      <c r="C1973" t="s">
        <v>2021</v>
      </c>
      <c r="D1973" t="s">
        <v>2041</v>
      </c>
      <c r="E1973" t="s">
        <v>2056</v>
      </c>
      <c r="F1973" t="s">
        <v>2062</v>
      </c>
      <c r="G1973">
        <v>4</v>
      </c>
      <c r="H1973">
        <v>300</v>
      </c>
      <c r="I1973">
        <v>405</v>
      </c>
      <c r="J1973">
        <v>15.21</v>
      </c>
      <c r="K1973">
        <v>1373.61</v>
      </c>
      <c r="L1973">
        <v>173.61</v>
      </c>
      <c r="M1973">
        <v>24640.2</v>
      </c>
      <c r="N1973">
        <v>1200</v>
      </c>
      <c r="O1973">
        <v>12.638958656387187</v>
      </c>
      <c r="P1973" t="s">
        <v>2086</v>
      </c>
      <c r="Q1973" t="s">
        <v>2092</v>
      </c>
    </row>
    <row r="1974" spans="1:17" x14ac:dyDescent="0.25">
      <c r="A1974" t="s">
        <v>1619</v>
      </c>
      <c r="B1974" s="18">
        <v>46018</v>
      </c>
      <c r="C1974" t="s">
        <v>2021</v>
      </c>
      <c r="D1974" t="s">
        <v>2041</v>
      </c>
      <c r="E1974" t="s">
        <v>2056</v>
      </c>
      <c r="F1974" t="s">
        <v>2061</v>
      </c>
      <c r="G1974">
        <v>3</v>
      </c>
      <c r="H1974">
        <v>300</v>
      </c>
      <c r="I1974">
        <v>405</v>
      </c>
      <c r="J1974">
        <v>0</v>
      </c>
      <c r="K1974">
        <v>1215</v>
      </c>
      <c r="L1974">
        <v>315</v>
      </c>
      <c r="M1974">
        <v>0</v>
      </c>
      <c r="N1974">
        <v>900</v>
      </c>
      <c r="O1974">
        <v>25.925925925925924</v>
      </c>
      <c r="P1974" t="s">
        <v>2086</v>
      </c>
      <c r="Q1974" t="s">
        <v>2092</v>
      </c>
    </row>
    <row r="1975" spans="1:17" x14ac:dyDescent="0.25">
      <c r="A1975" t="s">
        <v>2009</v>
      </c>
      <c r="B1975" s="18">
        <v>46018</v>
      </c>
      <c r="C1975" t="s">
        <v>2024</v>
      </c>
      <c r="D1975" t="s">
        <v>2044</v>
      </c>
      <c r="E1975" t="s">
        <v>2055</v>
      </c>
      <c r="F1975" t="s">
        <v>2061</v>
      </c>
      <c r="G1975">
        <v>2</v>
      </c>
      <c r="H1975">
        <v>180</v>
      </c>
      <c r="I1975">
        <v>243</v>
      </c>
      <c r="J1975">
        <v>13.46</v>
      </c>
      <c r="K1975">
        <v>420.59</v>
      </c>
      <c r="L1975">
        <v>60.59</v>
      </c>
      <c r="M1975">
        <v>6541.56</v>
      </c>
      <c r="N1975">
        <v>360</v>
      </c>
      <c r="O1975">
        <v>14.405953541453673</v>
      </c>
      <c r="P1975" t="s">
        <v>2086</v>
      </c>
      <c r="Q1975" t="s">
        <v>2092</v>
      </c>
    </row>
    <row r="1976" spans="1:17" x14ac:dyDescent="0.25">
      <c r="A1976" t="s">
        <v>379</v>
      </c>
      <c r="B1976" s="18">
        <v>46019</v>
      </c>
      <c r="C1976" t="s">
        <v>2023</v>
      </c>
      <c r="D1976" t="s">
        <v>2043</v>
      </c>
      <c r="E1976" t="s">
        <v>2053</v>
      </c>
      <c r="F1976" t="s">
        <v>2060</v>
      </c>
      <c r="G1976">
        <v>7</v>
      </c>
      <c r="H1976">
        <v>550</v>
      </c>
      <c r="I1976">
        <v>742.5</v>
      </c>
      <c r="J1976">
        <v>5.14</v>
      </c>
      <c r="K1976">
        <v>4930.42</v>
      </c>
      <c r="L1976">
        <v>1080.42</v>
      </c>
      <c r="M1976">
        <v>26715.149999999998</v>
      </c>
      <c r="N1976">
        <v>3850</v>
      </c>
      <c r="O1976">
        <v>21.91334612467092</v>
      </c>
      <c r="P1976" t="s">
        <v>2086</v>
      </c>
      <c r="Q1976" t="s">
        <v>2092</v>
      </c>
    </row>
    <row r="1977" spans="1:17" x14ac:dyDescent="0.25">
      <c r="A1977" t="s">
        <v>390</v>
      </c>
      <c r="B1977" s="18">
        <v>46019</v>
      </c>
      <c r="C1977" t="s">
        <v>2021</v>
      </c>
      <c r="D1977" t="s">
        <v>2041</v>
      </c>
      <c r="E1977" t="s">
        <v>2056</v>
      </c>
      <c r="F1977" t="s">
        <v>2059</v>
      </c>
      <c r="G1977">
        <v>6</v>
      </c>
      <c r="H1977">
        <v>300</v>
      </c>
      <c r="I1977">
        <v>405</v>
      </c>
      <c r="J1977">
        <v>6.76</v>
      </c>
      <c r="K1977">
        <v>2265.65</v>
      </c>
      <c r="L1977">
        <v>465.65</v>
      </c>
      <c r="M1977">
        <v>16426.8</v>
      </c>
      <c r="N1977">
        <v>1800</v>
      </c>
      <c r="O1977">
        <v>20.552600798887735</v>
      </c>
      <c r="P1977" t="s">
        <v>2086</v>
      </c>
      <c r="Q1977" t="s">
        <v>2092</v>
      </c>
    </row>
    <row r="1978" spans="1:17" x14ac:dyDescent="0.25">
      <c r="A1978" t="s">
        <v>935</v>
      </c>
      <c r="B1978" s="18">
        <v>46019</v>
      </c>
      <c r="C1978" t="s">
        <v>2027</v>
      </c>
      <c r="D1978" t="s">
        <v>2047</v>
      </c>
      <c r="E1978" t="s">
        <v>2053</v>
      </c>
      <c r="F1978" t="s">
        <v>2060</v>
      </c>
      <c r="G1978">
        <v>8</v>
      </c>
      <c r="H1978">
        <v>1100</v>
      </c>
      <c r="I1978">
        <v>1298</v>
      </c>
      <c r="J1978">
        <v>19.010000000000002</v>
      </c>
      <c r="K1978">
        <v>8410.48</v>
      </c>
      <c r="L1978">
        <v>-389.52</v>
      </c>
      <c r="M1978">
        <v>197399.84000000003</v>
      </c>
      <c r="N1978">
        <v>8800</v>
      </c>
      <c r="O1978">
        <v>-4.6313646783536733</v>
      </c>
      <c r="P1978" t="s">
        <v>2086</v>
      </c>
      <c r="Q1978" t="s">
        <v>2093</v>
      </c>
    </row>
    <row r="1979" spans="1:17" x14ac:dyDescent="0.25">
      <c r="A1979" t="s">
        <v>1592</v>
      </c>
      <c r="B1979" s="18">
        <v>46019</v>
      </c>
      <c r="C1979" t="s">
        <v>2019</v>
      </c>
      <c r="D1979" t="s">
        <v>2039</v>
      </c>
      <c r="E1979" t="s">
        <v>2053</v>
      </c>
      <c r="F1979" t="s">
        <v>2059</v>
      </c>
      <c r="G1979">
        <v>9</v>
      </c>
      <c r="H1979">
        <v>900</v>
      </c>
      <c r="I1979">
        <v>1152</v>
      </c>
      <c r="J1979">
        <v>0</v>
      </c>
      <c r="K1979">
        <v>10368</v>
      </c>
      <c r="L1979">
        <v>2268</v>
      </c>
      <c r="M1979">
        <v>0</v>
      </c>
      <c r="N1979">
        <v>8100</v>
      </c>
      <c r="O1979">
        <v>21.875</v>
      </c>
      <c r="P1979" t="s">
        <v>2086</v>
      </c>
      <c r="Q1979" t="s">
        <v>2092</v>
      </c>
    </row>
    <row r="1980" spans="1:17" x14ac:dyDescent="0.25">
      <c r="A1980" t="s">
        <v>1688</v>
      </c>
      <c r="B1980" s="18">
        <v>46019</v>
      </c>
      <c r="C1980" t="s">
        <v>2030</v>
      </c>
      <c r="D1980" t="s">
        <v>2050</v>
      </c>
      <c r="E1980" t="s">
        <v>2058</v>
      </c>
      <c r="F1980" t="s">
        <v>2061</v>
      </c>
      <c r="G1980">
        <v>7</v>
      </c>
      <c r="H1980">
        <v>1800</v>
      </c>
      <c r="I1980">
        <v>2124</v>
      </c>
      <c r="J1980">
        <v>24.24</v>
      </c>
      <c r="K1980">
        <v>11264.38</v>
      </c>
      <c r="L1980">
        <v>-1335.62</v>
      </c>
      <c r="M1980">
        <v>360400.31999999995</v>
      </c>
      <c r="N1980">
        <v>12600</v>
      </c>
      <c r="O1980">
        <v>-11.857021868935529</v>
      </c>
      <c r="P1980" t="s">
        <v>2086</v>
      </c>
      <c r="Q1980" t="s">
        <v>2093</v>
      </c>
    </row>
    <row r="1981" spans="1:17" x14ac:dyDescent="0.25">
      <c r="A1981" t="s">
        <v>1792</v>
      </c>
      <c r="B1981" s="18">
        <v>46019</v>
      </c>
      <c r="C1981" t="s">
        <v>2018</v>
      </c>
      <c r="D1981" t="s">
        <v>2038</v>
      </c>
      <c r="E1981" t="s">
        <v>2053</v>
      </c>
      <c r="F1981" t="s">
        <v>2059</v>
      </c>
      <c r="G1981">
        <v>1</v>
      </c>
      <c r="H1981">
        <v>500</v>
      </c>
      <c r="I1981">
        <v>610</v>
      </c>
      <c r="J1981">
        <v>12.69</v>
      </c>
      <c r="K1981">
        <v>532.61</v>
      </c>
      <c r="L1981">
        <v>32.61</v>
      </c>
      <c r="M1981">
        <v>7740.9</v>
      </c>
      <c r="N1981">
        <v>500</v>
      </c>
      <c r="O1981">
        <v>6.1226788832353876</v>
      </c>
      <c r="P1981" t="s">
        <v>2086</v>
      </c>
      <c r="Q1981" t="s">
        <v>2091</v>
      </c>
    </row>
    <row r="1982" spans="1:17" x14ac:dyDescent="0.25">
      <c r="A1982" t="s">
        <v>567</v>
      </c>
      <c r="B1982" s="18">
        <v>46020</v>
      </c>
      <c r="C1982" t="s">
        <v>2026</v>
      </c>
      <c r="D1982" t="s">
        <v>2046</v>
      </c>
      <c r="E1982" t="s">
        <v>2052</v>
      </c>
      <c r="F1982" t="s">
        <v>2060</v>
      </c>
      <c r="G1982">
        <v>3</v>
      </c>
      <c r="H1982">
        <v>3000</v>
      </c>
      <c r="I1982">
        <v>3600</v>
      </c>
      <c r="J1982">
        <v>14.47</v>
      </c>
      <c r="K1982">
        <v>9237.0400000000009</v>
      </c>
      <c r="L1982">
        <v>237.04</v>
      </c>
      <c r="M1982">
        <v>156276</v>
      </c>
      <c r="N1982">
        <v>9000</v>
      </c>
      <c r="O1982">
        <v>2.5661900349029558</v>
      </c>
      <c r="P1982" t="s">
        <v>2086</v>
      </c>
      <c r="Q1982" t="s">
        <v>2091</v>
      </c>
    </row>
    <row r="1983" spans="1:17" x14ac:dyDescent="0.25">
      <c r="A1983" t="s">
        <v>694</v>
      </c>
      <c r="B1983" s="18">
        <v>46020</v>
      </c>
      <c r="C1983" t="s">
        <v>2024</v>
      </c>
      <c r="D1983" t="s">
        <v>2044</v>
      </c>
      <c r="E1983" t="s">
        <v>2055</v>
      </c>
      <c r="F1983" t="s">
        <v>2059</v>
      </c>
      <c r="G1983">
        <v>7</v>
      </c>
      <c r="H1983">
        <v>180</v>
      </c>
      <c r="I1983">
        <v>243</v>
      </c>
      <c r="J1983">
        <v>24.44</v>
      </c>
      <c r="K1983">
        <v>1285.23</v>
      </c>
      <c r="L1983">
        <v>25.23</v>
      </c>
      <c r="M1983">
        <v>41572.44</v>
      </c>
      <c r="N1983">
        <v>1260</v>
      </c>
      <c r="O1983">
        <v>1.9630727574052893</v>
      </c>
      <c r="P1983" t="s">
        <v>2086</v>
      </c>
      <c r="Q1983" t="s">
        <v>2091</v>
      </c>
    </row>
    <row r="1984" spans="1:17" x14ac:dyDescent="0.25">
      <c r="A1984" t="s">
        <v>961</v>
      </c>
      <c r="B1984" s="18">
        <v>46020</v>
      </c>
      <c r="C1984" t="s">
        <v>2016</v>
      </c>
      <c r="D1984" t="s">
        <v>2036</v>
      </c>
      <c r="E1984" t="s">
        <v>2052</v>
      </c>
      <c r="F1984" t="s">
        <v>2060</v>
      </c>
      <c r="G1984">
        <v>6</v>
      </c>
      <c r="H1984">
        <v>900</v>
      </c>
      <c r="I1984">
        <v>1170</v>
      </c>
      <c r="J1984">
        <v>12.57</v>
      </c>
      <c r="K1984">
        <v>6137.9</v>
      </c>
      <c r="L1984">
        <v>737.9</v>
      </c>
      <c r="M1984">
        <v>88241.400000000009</v>
      </c>
      <c r="N1984">
        <v>5400</v>
      </c>
      <c r="O1984">
        <v>12.022027077664999</v>
      </c>
      <c r="P1984" t="s">
        <v>2086</v>
      </c>
      <c r="Q1984" t="s">
        <v>2092</v>
      </c>
    </row>
    <row r="1985" spans="1:17" x14ac:dyDescent="0.25">
      <c r="A1985" t="s">
        <v>1118</v>
      </c>
      <c r="B1985" s="18">
        <v>46020</v>
      </c>
      <c r="C1985" t="s">
        <v>2019</v>
      </c>
      <c r="D1985" t="s">
        <v>2039</v>
      </c>
      <c r="E1985" t="s">
        <v>2053</v>
      </c>
      <c r="F1985" t="s">
        <v>2060</v>
      </c>
      <c r="G1985">
        <v>7</v>
      </c>
      <c r="H1985">
        <v>900</v>
      </c>
      <c r="I1985">
        <v>1152</v>
      </c>
      <c r="J1985">
        <v>16.670000000000002</v>
      </c>
      <c r="K1985">
        <v>6719.65</v>
      </c>
      <c r="L1985">
        <v>419.65</v>
      </c>
      <c r="M1985">
        <v>134426.88</v>
      </c>
      <c r="N1985">
        <v>6300</v>
      </c>
      <c r="O1985">
        <v>6.2451169331736027</v>
      </c>
      <c r="P1985" t="s">
        <v>2086</v>
      </c>
      <c r="Q1985" t="s">
        <v>2091</v>
      </c>
    </row>
    <row r="1986" spans="1:17" x14ac:dyDescent="0.25">
      <c r="A1986" t="s">
        <v>42</v>
      </c>
      <c r="B1986" s="18">
        <v>46021</v>
      </c>
      <c r="C1986" t="s">
        <v>2012</v>
      </c>
      <c r="D1986" t="s">
        <v>2032</v>
      </c>
      <c r="E1986" t="s">
        <v>2052</v>
      </c>
      <c r="F1986" t="s">
        <v>2061</v>
      </c>
      <c r="G1986">
        <v>9</v>
      </c>
      <c r="H1986">
        <v>6500</v>
      </c>
      <c r="I1986">
        <v>8125</v>
      </c>
      <c r="J1986">
        <v>19.329999999999998</v>
      </c>
      <c r="K1986">
        <v>58988.41</v>
      </c>
      <c r="L1986">
        <v>488.41</v>
      </c>
      <c r="M1986">
        <v>1413506.2499999998</v>
      </c>
      <c r="N1986">
        <v>58500</v>
      </c>
      <c r="O1986">
        <v>0.82797620752958068</v>
      </c>
      <c r="P1986" t="s">
        <v>2086</v>
      </c>
      <c r="Q1986" t="s">
        <v>2091</v>
      </c>
    </row>
    <row r="1987" spans="1:17" x14ac:dyDescent="0.25">
      <c r="A1987" t="s">
        <v>384</v>
      </c>
      <c r="B1987" s="18">
        <v>46021</v>
      </c>
      <c r="C1987" t="s">
        <v>2031</v>
      </c>
      <c r="D1987" t="s">
        <v>2051</v>
      </c>
      <c r="E1987" t="s">
        <v>2058</v>
      </c>
      <c r="F1987" t="s">
        <v>2061</v>
      </c>
      <c r="G1987">
        <v>10</v>
      </c>
      <c r="H1987">
        <v>3200</v>
      </c>
      <c r="I1987">
        <v>3840</v>
      </c>
      <c r="J1987">
        <v>15.58</v>
      </c>
      <c r="K1987">
        <v>32418.31</v>
      </c>
      <c r="L1987">
        <v>418.31</v>
      </c>
      <c r="M1987">
        <v>598272</v>
      </c>
      <c r="N1987">
        <v>32000</v>
      </c>
      <c r="O1987">
        <v>1.2903510392737931</v>
      </c>
      <c r="P1987" t="s">
        <v>2086</v>
      </c>
      <c r="Q1987" t="s">
        <v>2091</v>
      </c>
    </row>
    <row r="1988" spans="1:17" x14ac:dyDescent="0.25">
      <c r="A1988" t="s">
        <v>536</v>
      </c>
      <c r="B1988" s="18">
        <v>46021</v>
      </c>
      <c r="C1988" t="s">
        <v>2024</v>
      </c>
      <c r="D1988" t="s">
        <v>2044</v>
      </c>
      <c r="E1988" t="s">
        <v>2055</v>
      </c>
      <c r="F1988" t="s">
        <v>2059</v>
      </c>
      <c r="G1988">
        <v>4</v>
      </c>
      <c r="H1988">
        <v>180</v>
      </c>
      <c r="I1988">
        <v>243</v>
      </c>
      <c r="J1988">
        <v>4.2300000000000004</v>
      </c>
      <c r="K1988">
        <v>930.91</v>
      </c>
      <c r="L1988">
        <v>210.91</v>
      </c>
      <c r="M1988">
        <v>4111.5600000000004</v>
      </c>
      <c r="N1988">
        <v>720</v>
      </c>
      <c r="O1988">
        <v>22.656325530932101</v>
      </c>
      <c r="P1988" t="s">
        <v>2086</v>
      </c>
      <c r="Q1988" t="s">
        <v>2092</v>
      </c>
    </row>
    <row r="1989" spans="1:17" x14ac:dyDescent="0.25">
      <c r="A1989" t="s">
        <v>544</v>
      </c>
      <c r="B1989" s="18">
        <v>46021</v>
      </c>
      <c r="C1989" t="s">
        <v>2012</v>
      </c>
      <c r="D1989" t="s">
        <v>2032</v>
      </c>
      <c r="E1989" t="s">
        <v>2052</v>
      </c>
      <c r="F1989" t="s">
        <v>2060</v>
      </c>
      <c r="G1989">
        <v>6</v>
      </c>
      <c r="H1989">
        <v>6500</v>
      </c>
      <c r="I1989">
        <v>8125</v>
      </c>
      <c r="J1989">
        <v>18.12</v>
      </c>
      <c r="K1989">
        <v>39914.61</v>
      </c>
      <c r="L1989">
        <v>914.61</v>
      </c>
      <c r="M1989">
        <v>883350</v>
      </c>
      <c r="N1989">
        <v>39000</v>
      </c>
      <c r="O1989">
        <v>2.2914166015902451</v>
      </c>
      <c r="P1989" t="s">
        <v>2086</v>
      </c>
      <c r="Q1989" t="s">
        <v>2091</v>
      </c>
    </row>
    <row r="1990" spans="1:17" x14ac:dyDescent="0.25">
      <c r="A1990" t="s">
        <v>739</v>
      </c>
      <c r="B1990" s="18">
        <v>46021</v>
      </c>
      <c r="C1990" t="s">
        <v>2023</v>
      </c>
      <c r="D1990" t="s">
        <v>2043</v>
      </c>
      <c r="E1990" t="s">
        <v>2053</v>
      </c>
      <c r="F1990" t="s">
        <v>2060</v>
      </c>
      <c r="G1990">
        <v>1</v>
      </c>
      <c r="H1990">
        <v>550</v>
      </c>
      <c r="I1990">
        <v>742.5</v>
      </c>
      <c r="J1990">
        <v>13.71</v>
      </c>
      <c r="K1990">
        <v>640.67999999999995</v>
      </c>
      <c r="L1990">
        <v>90.68</v>
      </c>
      <c r="M1990">
        <v>10179.675000000001</v>
      </c>
      <c r="N1990">
        <v>550</v>
      </c>
      <c r="O1990">
        <v>14.15371168133858</v>
      </c>
      <c r="P1990" t="s">
        <v>2086</v>
      </c>
      <c r="Q1990" t="s">
        <v>2092</v>
      </c>
    </row>
    <row r="1991" spans="1:17" x14ac:dyDescent="0.25">
      <c r="A1991" t="s">
        <v>740</v>
      </c>
      <c r="B1991" s="18">
        <v>46021</v>
      </c>
      <c r="C1991" t="s">
        <v>2016</v>
      </c>
      <c r="D1991" t="s">
        <v>2036</v>
      </c>
      <c r="E1991" t="s">
        <v>2052</v>
      </c>
      <c r="F1991" t="s">
        <v>2059</v>
      </c>
      <c r="G1991">
        <v>7</v>
      </c>
      <c r="H1991">
        <v>900</v>
      </c>
      <c r="I1991">
        <v>1170</v>
      </c>
      <c r="J1991">
        <v>15.85</v>
      </c>
      <c r="K1991">
        <v>6891.82</v>
      </c>
      <c r="L1991">
        <v>591.82000000000005</v>
      </c>
      <c r="M1991">
        <v>129811.5</v>
      </c>
      <c r="N1991">
        <v>6300</v>
      </c>
      <c r="O1991">
        <v>8.5872817339976972</v>
      </c>
      <c r="P1991" t="s">
        <v>2086</v>
      </c>
      <c r="Q1991" t="s">
        <v>2091</v>
      </c>
    </row>
    <row r="1992" spans="1:17" x14ac:dyDescent="0.25">
      <c r="A1992" t="s">
        <v>1068</v>
      </c>
      <c r="B1992" s="18">
        <v>46021</v>
      </c>
      <c r="C1992" t="s">
        <v>2012</v>
      </c>
      <c r="D1992" t="s">
        <v>2032</v>
      </c>
      <c r="E1992" t="s">
        <v>2052</v>
      </c>
      <c r="F1992" t="s">
        <v>2062</v>
      </c>
      <c r="G1992">
        <v>1</v>
      </c>
      <c r="H1992">
        <v>6500</v>
      </c>
      <c r="I1992">
        <v>8125</v>
      </c>
      <c r="J1992">
        <v>16.03</v>
      </c>
      <c r="K1992">
        <v>6822.66</v>
      </c>
      <c r="L1992">
        <v>322.66000000000003</v>
      </c>
      <c r="M1992">
        <v>130243.75000000001</v>
      </c>
      <c r="N1992">
        <v>6500</v>
      </c>
      <c r="O1992">
        <v>4.729240501505279</v>
      </c>
      <c r="P1992" t="s">
        <v>2086</v>
      </c>
      <c r="Q1992" t="s">
        <v>2091</v>
      </c>
    </row>
    <row r="1993" spans="1:17" x14ac:dyDescent="0.25">
      <c r="A1993" t="s">
        <v>1433</v>
      </c>
      <c r="B1993" s="18">
        <v>46021</v>
      </c>
      <c r="C1993" t="s">
        <v>2030</v>
      </c>
      <c r="D1993" t="s">
        <v>2050</v>
      </c>
      <c r="E1993" t="s">
        <v>2058</v>
      </c>
      <c r="F1993" t="s">
        <v>2060</v>
      </c>
      <c r="G1993">
        <v>8</v>
      </c>
      <c r="H1993">
        <v>1800</v>
      </c>
      <c r="I1993">
        <v>2124</v>
      </c>
      <c r="J1993">
        <v>16.2</v>
      </c>
      <c r="K1993">
        <v>14239.19</v>
      </c>
      <c r="L1993">
        <v>-160.81</v>
      </c>
      <c r="M1993">
        <v>275270.39999999997</v>
      </c>
      <c r="N1993">
        <v>14400</v>
      </c>
      <c r="O1993">
        <v>-1.1293479474604946</v>
      </c>
      <c r="P1993" t="s">
        <v>2086</v>
      </c>
      <c r="Q1993" t="s">
        <v>2093</v>
      </c>
    </row>
    <row r="1994" spans="1:17" x14ac:dyDescent="0.25">
      <c r="A1994" t="s">
        <v>1721</v>
      </c>
      <c r="B1994" s="18">
        <v>46021</v>
      </c>
      <c r="C1994" t="s">
        <v>2013</v>
      </c>
      <c r="D1994" t="s">
        <v>2033</v>
      </c>
      <c r="E1994" t="s">
        <v>2053</v>
      </c>
      <c r="F1994" t="s">
        <v>2059</v>
      </c>
      <c r="G1994">
        <v>6</v>
      </c>
      <c r="H1994">
        <v>6500</v>
      </c>
      <c r="I1994">
        <v>7150</v>
      </c>
      <c r="J1994">
        <v>15.24</v>
      </c>
      <c r="K1994">
        <v>36361.949999999997</v>
      </c>
      <c r="L1994">
        <v>-2638.05</v>
      </c>
      <c r="M1994">
        <v>653796</v>
      </c>
      <c r="N1994">
        <v>39000</v>
      </c>
      <c r="O1994">
        <v>-7.2549739494169057</v>
      </c>
      <c r="P1994" t="s">
        <v>2086</v>
      </c>
      <c r="Q1994" t="s">
        <v>2093</v>
      </c>
    </row>
    <row r="1995" spans="1:17" x14ac:dyDescent="0.25">
      <c r="A1995" t="s">
        <v>508</v>
      </c>
      <c r="B1995" s="18">
        <v>46022</v>
      </c>
      <c r="C1995" t="s">
        <v>2019</v>
      </c>
      <c r="D1995" t="s">
        <v>2039</v>
      </c>
      <c r="E1995" t="s">
        <v>2053</v>
      </c>
      <c r="F1995" t="s">
        <v>2062</v>
      </c>
      <c r="G1995">
        <v>8</v>
      </c>
      <c r="H1995">
        <v>900</v>
      </c>
      <c r="I1995">
        <v>1152</v>
      </c>
      <c r="J1995">
        <v>9.1999999999999993</v>
      </c>
      <c r="K1995">
        <v>8367.7800000000007</v>
      </c>
      <c r="L1995">
        <v>1167.78</v>
      </c>
      <c r="M1995">
        <v>84787.199999999997</v>
      </c>
      <c r="N1995">
        <v>7200</v>
      </c>
      <c r="O1995">
        <v>13.955672830786659</v>
      </c>
      <c r="P1995" t="s">
        <v>2086</v>
      </c>
      <c r="Q1995" t="s">
        <v>2092</v>
      </c>
    </row>
    <row r="1996" spans="1:17" x14ac:dyDescent="0.25">
      <c r="A1996" t="s">
        <v>690</v>
      </c>
      <c r="B1996" s="18">
        <v>46022</v>
      </c>
      <c r="C1996" t="s">
        <v>2018</v>
      </c>
      <c r="D1996" t="s">
        <v>2038</v>
      </c>
      <c r="E1996" t="s">
        <v>2053</v>
      </c>
      <c r="F1996" t="s">
        <v>2059</v>
      </c>
      <c r="G1996">
        <v>2</v>
      </c>
      <c r="H1996">
        <v>500</v>
      </c>
      <c r="I1996">
        <v>610</v>
      </c>
      <c r="J1996">
        <v>8.0299999999999994</v>
      </c>
      <c r="K1996">
        <v>1122</v>
      </c>
      <c r="L1996">
        <v>122</v>
      </c>
      <c r="M1996">
        <v>9796.5999999999985</v>
      </c>
      <c r="N1996">
        <v>1000</v>
      </c>
      <c r="O1996">
        <v>10.873440285204991</v>
      </c>
      <c r="P1996" t="s">
        <v>2086</v>
      </c>
      <c r="Q1996" t="s">
        <v>2092</v>
      </c>
    </row>
    <row r="1997" spans="1:17" x14ac:dyDescent="0.25">
      <c r="A1997" t="s">
        <v>1109</v>
      </c>
      <c r="B1997" s="18">
        <v>46022</v>
      </c>
      <c r="C1997" t="s">
        <v>2019</v>
      </c>
      <c r="D1997" t="s">
        <v>2039</v>
      </c>
      <c r="E1997" t="s">
        <v>2053</v>
      </c>
      <c r="F1997" t="s">
        <v>2062</v>
      </c>
      <c r="G1997">
        <v>9</v>
      </c>
      <c r="H1997">
        <v>900</v>
      </c>
      <c r="I1997">
        <v>1152</v>
      </c>
      <c r="J1997">
        <v>12.58</v>
      </c>
      <c r="K1997">
        <v>9063.2999999999993</v>
      </c>
      <c r="L1997">
        <v>963.3</v>
      </c>
      <c r="M1997">
        <v>130429.44</v>
      </c>
      <c r="N1997">
        <v>8100</v>
      </c>
      <c r="O1997">
        <v>10.628578994406011</v>
      </c>
      <c r="P1997" t="s">
        <v>2086</v>
      </c>
      <c r="Q1997" t="s">
        <v>2092</v>
      </c>
    </row>
    <row r="1998" spans="1:17" x14ac:dyDescent="0.25">
      <c r="A1998" t="s">
        <v>1151</v>
      </c>
      <c r="B1998" s="18">
        <v>46022</v>
      </c>
      <c r="C1998" t="s">
        <v>2022</v>
      </c>
      <c r="D1998" t="s">
        <v>2042</v>
      </c>
      <c r="E1998" t="s">
        <v>2053</v>
      </c>
      <c r="F1998" t="s">
        <v>2061</v>
      </c>
      <c r="G1998">
        <v>10</v>
      </c>
      <c r="H1998">
        <v>8500</v>
      </c>
      <c r="I1998">
        <v>9520</v>
      </c>
      <c r="J1998">
        <v>18.8</v>
      </c>
      <c r="K1998">
        <v>77297.710000000006</v>
      </c>
      <c r="L1998">
        <v>-7702.29</v>
      </c>
      <c r="M1998">
        <v>1789760</v>
      </c>
      <c r="N1998">
        <v>85000</v>
      </c>
      <c r="O1998">
        <v>-9.9644478471613187</v>
      </c>
      <c r="P1998" t="s">
        <v>2086</v>
      </c>
      <c r="Q1998" t="s">
        <v>2093</v>
      </c>
    </row>
    <row r="1999" spans="1:17" x14ac:dyDescent="0.25">
      <c r="A1999" t="s">
        <v>1235</v>
      </c>
      <c r="B1999" s="18">
        <v>46022</v>
      </c>
      <c r="C1999" t="s">
        <v>2031</v>
      </c>
      <c r="D1999" t="s">
        <v>2051</v>
      </c>
      <c r="E1999" t="s">
        <v>2058</v>
      </c>
      <c r="F1999" t="s">
        <v>2060</v>
      </c>
      <c r="G1999">
        <v>7</v>
      </c>
      <c r="H1999">
        <v>3200</v>
      </c>
      <c r="I1999">
        <v>3840</v>
      </c>
      <c r="J1999">
        <v>10.88</v>
      </c>
      <c r="K1999">
        <v>23956.49</v>
      </c>
      <c r="L1999">
        <v>1556.49</v>
      </c>
      <c r="M1999">
        <v>292454.40000000002</v>
      </c>
      <c r="N1999">
        <v>22400</v>
      </c>
      <c r="O1999">
        <v>6.4971537984070276</v>
      </c>
      <c r="P1999" t="s">
        <v>2086</v>
      </c>
      <c r="Q1999" t="s">
        <v>2091</v>
      </c>
    </row>
    <row r="2000" spans="1:17" x14ac:dyDescent="0.25">
      <c r="A2000" t="s">
        <v>1760</v>
      </c>
      <c r="B2000" s="18">
        <v>46022</v>
      </c>
      <c r="C2000" t="s">
        <v>2015</v>
      </c>
      <c r="D2000" t="s">
        <v>2035</v>
      </c>
      <c r="E2000" t="s">
        <v>2054</v>
      </c>
      <c r="F2000" t="s">
        <v>2060</v>
      </c>
      <c r="G2000">
        <v>5</v>
      </c>
      <c r="H2000">
        <v>900</v>
      </c>
      <c r="I2000">
        <v>1170</v>
      </c>
      <c r="J2000">
        <v>18.82</v>
      </c>
      <c r="K2000">
        <v>4749.24</v>
      </c>
      <c r="L2000">
        <v>249.24</v>
      </c>
      <c r="M2000">
        <v>110097</v>
      </c>
      <c r="N2000">
        <v>4500</v>
      </c>
      <c r="O2000">
        <v>5.2479975743487381</v>
      </c>
      <c r="P2000" t="s">
        <v>2086</v>
      </c>
      <c r="Q2000" t="s">
        <v>2091</v>
      </c>
    </row>
    <row r="2001" spans="1:17" x14ac:dyDescent="0.25">
      <c r="A2001" t="s">
        <v>1820</v>
      </c>
      <c r="B2001" s="18">
        <v>46022</v>
      </c>
      <c r="C2001" t="s">
        <v>2022</v>
      </c>
      <c r="D2001" t="s">
        <v>2042</v>
      </c>
      <c r="E2001" t="s">
        <v>2053</v>
      </c>
      <c r="F2001" t="s">
        <v>2062</v>
      </c>
      <c r="G2001">
        <v>6</v>
      </c>
      <c r="H2001">
        <v>8500</v>
      </c>
      <c r="I2001">
        <v>9520</v>
      </c>
      <c r="J2001">
        <v>18.28</v>
      </c>
      <c r="K2001">
        <v>46679.839999999997</v>
      </c>
      <c r="L2001">
        <v>-4320.16</v>
      </c>
      <c r="M2001">
        <v>1044153.6000000001</v>
      </c>
      <c r="N2001">
        <v>51000</v>
      </c>
      <c r="O2001">
        <v>-9.2548731957950157</v>
      </c>
      <c r="P2001" t="s">
        <v>2086</v>
      </c>
      <c r="Q2001" t="s">
        <v>2093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AFC5-18F4-48E8-8547-9E0BFAF85327}">
  <dimension ref="A3:E8"/>
  <sheetViews>
    <sheetView workbookViewId="0">
      <selection activeCell="E4" sqref="E4"/>
    </sheetView>
  </sheetViews>
  <sheetFormatPr defaultRowHeight="15" x14ac:dyDescent="0.25"/>
  <cols>
    <col min="1" max="1" width="12.140625" bestFit="1" customWidth="1"/>
    <col min="2" max="2" width="12.5703125" bestFit="1" customWidth="1"/>
    <col min="3" max="3" width="19.5703125" bestFit="1" customWidth="1"/>
    <col min="4" max="4" width="15.42578125" bestFit="1" customWidth="1"/>
    <col min="5" max="7" width="21.7109375" bestFit="1" customWidth="1"/>
  </cols>
  <sheetData>
    <row r="3" spans="1:5" x14ac:dyDescent="0.25">
      <c r="A3" t="s">
        <v>2068</v>
      </c>
      <c r="B3" t="s">
        <v>2069</v>
      </c>
      <c r="C3" t="s">
        <v>2070</v>
      </c>
      <c r="D3" t="s">
        <v>2071</v>
      </c>
      <c r="E3" t="s">
        <v>2074</v>
      </c>
    </row>
    <row r="4" spans="1:5" x14ac:dyDescent="0.25">
      <c r="A4" s="15">
        <v>853579.65000000014</v>
      </c>
      <c r="B4" s="15">
        <v>47979.65</v>
      </c>
      <c r="C4" s="15">
        <v>169.91265177779184</v>
      </c>
      <c r="D4" s="15">
        <v>201</v>
      </c>
      <c r="E4" s="15">
        <v>13.999000000000001</v>
      </c>
    </row>
    <row r="8" spans="1:5" x14ac:dyDescent="0.25">
      <c r="D8"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6030-9925-4E9E-8AA2-5116616222F6}">
  <dimension ref="A3:C20"/>
  <sheetViews>
    <sheetView workbookViewId="0">
      <selection activeCell="A3" sqref="A3"/>
    </sheetView>
  </sheetViews>
  <sheetFormatPr defaultRowHeight="15"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570F-5659-4549-90B4-76B164D6621E}">
  <dimension ref="A3:C15"/>
  <sheetViews>
    <sheetView workbookViewId="0">
      <selection activeCell="O23" sqref="O23"/>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16" t="s">
        <v>2072</v>
      </c>
      <c r="B3" t="s">
        <v>2068</v>
      </c>
      <c r="C3" t="s">
        <v>2069</v>
      </c>
    </row>
    <row r="4" spans="1:3" x14ac:dyDescent="0.25">
      <c r="A4" s="17" t="s">
        <v>2075</v>
      </c>
      <c r="B4" s="15">
        <v>251213.99</v>
      </c>
      <c r="C4" s="15">
        <v>15213.99</v>
      </c>
    </row>
    <row r="5" spans="1:3" x14ac:dyDescent="0.25">
      <c r="A5" s="17" t="s">
        <v>2077</v>
      </c>
      <c r="B5" s="15">
        <v>101632.57</v>
      </c>
      <c r="C5" s="15">
        <v>3632.57</v>
      </c>
    </row>
    <row r="6" spans="1:3" x14ac:dyDescent="0.25">
      <c r="A6" s="17" t="s">
        <v>2078</v>
      </c>
      <c r="B6" s="15">
        <v>51967.25</v>
      </c>
      <c r="C6" s="15">
        <v>967.25</v>
      </c>
    </row>
    <row r="7" spans="1:3" x14ac:dyDescent="0.25">
      <c r="A7" s="17" t="s">
        <v>2079</v>
      </c>
      <c r="B7" s="15">
        <v>69979.209999999992</v>
      </c>
      <c r="C7" s="15">
        <v>3979.21</v>
      </c>
    </row>
    <row r="8" spans="1:3" x14ac:dyDescent="0.25">
      <c r="A8" s="17" t="s">
        <v>2080</v>
      </c>
      <c r="B8" s="15">
        <v>7235.46</v>
      </c>
      <c r="C8" s="15">
        <v>35.46</v>
      </c>
    </row>
    <row r="9" spans="1:3" x14ac:dyDescent="0.25">
      <c r="A9" s="17" t="s">
        <v>2081</v>
      </c>
      <c r="B9" s="15">
        <v>43879.1</v>
      </c>
      <c r="C9" s="15">
        <v>2379.1</v>
      </c>
    </row>
    <row r="10" spans="1:3" x14ac:dyDescent="0.25">
      <c r="A10" s="17" t="s">
        <v>2082</v>
      </c>
      <c r="B10" s="15">
        <v>109188.67</v>
      </c>
      <c r="C10" s="15">
        <v>7688.67</v>
      </c>
    </row>
    <row r="11" spans="1:3" x14ac:dyDescent="0.25">
      <c r="A11" s="17" t="s">
        <v>2083</v>
      </c>
      <c r="B11" s="15">
        <v>69248.740000000005</v>
      </c>
      <c r="C11" s="15">
        <v>3248.74</v>
      </c>
    </row>
    <row r="12" spans="1:3" x14ac:dyDescent="0.25">
      <c r="A12" s="17" t="s">
        <v>2084</v>
      </c>
      <c r="B12" s="15">
        <v>78436.479999999996</v>
      </c>
      <c r="C12" s="15">
        <v>6236.48</v>
      </c>
    </row>
    <row r="13" spans="1:3" x14ac:dyDescent="0.25">
      <c r="A13" s="17" t="s">
        <v>2085</v>
      </c>
      <c r="B13" s="15">
        <v>51255.66</v>
      </c>
      <c r="C13" s="15">
        <v>3055.6600000000003</v>
      </c>
    </row>
    <row r="14" spans="1:3" x14ac:dyDescent="0.25">
      <c r="A14" s="17" t="s">
        <v>2086</v>
      </c>
      <c r="B14" s="15">
        <v>19542.519999999997</v>
      </c>
      <c r="C14" s="15">
        <v>1542.52</v>
      </c>
    </row>
    <row r="15" spans="1:3" x14ac:dyDescent="0.25">
      <c r="A15" s="17" t="s">
        <v>2073</v>
      </c>
      <c r="B15" s="15">
        <v>853579.65000000014</v>
      </c>
      <c r="C15" s="15">
        <v>47979.65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42EC-FBB1-4488-AA05-5E4E5F5116B7}">
  <dimension ref="A3:B8"/>
  <sheetViews>
    <sheetView workbookViewId="0">
      <selection activeCell="M20" sqref="M20"/>
    </sheetView>
  </sheetViews>
  <sheetFormatPr defaultRowHeight="15" x14ac:dyDescent="0.25"/>
  <cols>
    <col min="1" max="1" width="13.140625" bestFit="1" customWidth="1"/>
    <col min="2" max="2" width="12.5703125" bestFit="1" customWidth="1"/>
  </cols>
  <sheetData>
    <row r="3" spans="1:2" x14ac:dyDescent="0.25">
      <c r="A3" s="16" t="s">
        <v>2072</v>
      </c>
      <c r="B3" t="s">
        <v>2069</v>
      </c>
    </row>
    <row r="4" spans="1:2" x14ac:dyDescent="0.25">
      <c r="A4" s="17" t="s">
        <v>2046</v>
      </c>
      <c r="B4" s="15">
        <v>8209.66</v>
      </c>
    </row>
    <row r="5" spans="1:2" x14ac:dyDescent="0.25">
      <c r="A5" s="17" t="s">
        <v>2036</v>
      </c>
      <c r="B5" s="15">
        <v>2891.55</v>
      </c>
    </row>
    <row r="6" spans="1:2" x14ac:dyDescent="0.25">
      <c r="A6" s="17" t="s">
        <v>2032</v>
      </c>
      <c r="B6" s="15">
        <v>31965.440000000002</v>
      </c>
    </row>
    <row r="7" spans="1:2" x14ac:dyDescent="0.25">
      <c r="A7" s="17" t="s">
        <v>2034</v>
      </c>
      <c r="B7" s="15">
        <v>4912.9999999999991</v>
      </c>
    </row>
    <row r="8" spans="1:2" x14ac:dyDescent="0.25">
      <c r="A8" s="17" t="s">
        <v>2073</v>
      </c>
      <c r="B8" s="15">
        <v>47979.65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5D56B-9C14-4519-9517-4BC104CD09C9}">
  <dimension ref="A3:B4"/>
  <sheetViews>
    <sheetView topLeftCell="A2" workbookViewId="0">
      <selection activeCell="P21" sqref="P21"/>
    </sheetView>
  </sheetViews>
  <sheetFormatPr defaultRowHeight="15" x14ac:dyDescent="0.25"/>
  <cols>
    <col min="1" max="1" width="18.140625" bestFit="1" customWidth="1"/>
    <col min="2" max="2" width="19.5703125" bestFit="1" customWidth="1"/>
  </cols>
  <sheetData>
    <row r="3" spans="1:2" x14ac:dyDescent="0.25">
      <c r="A3" t="s">
        <v>2088</v>
      </c>
      <c r="B3" t="s">
        <v>2070</v>
      </c>
    </row>
    <row r="4" spans="1:2" x14ac:dyDescent="0.25">
      <c r="A4" s="15">
        <v>419.97</v>
      </c>
      <c r="B4" s="15">
        <v>169.91265177779184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ED9E-136A-4C46-87FC-E611BB203B3F}">
  <dimension ref="A3:B5"/>
  <sheetViews>
    <sheetView workbookViewId="0">
      <selection activeCell="P32" sqref="P32"/>
    </sheetView>
  </sheetViews>
  <sheetFormatPr defaultRowHeight="15" x14ac:dyDescent="0.25"/>
  <cols>
    <col min="1" max="1" width="13.140625" bestFit="1" customWidth="1"/>
    <col min="2" max="2" width="12.5703125" bestFit="1" customWidth="1"/>
  </cols>
  <sheetData>
    <row r="3" spans="1:2" x14ac:dyDescent="0.25">
      <c r="A3" s="16" t="s">
        <v>2072</v>
      </c>
      <c r="B3" t="s">
        <v>2069</v>
      </c>
    </row>
    <row r="4" spans="1:2" x14ac:dyDescent="0.25">
      <c r="A4" s="17" t="s">
        <v>2059</v>
      </c>
      <c r="B4" s="15">
        <v>47979.65</v>
      </c>
    </row>
    <row r="5" spans="1:2" x14ac:dyDescent="0.25">
      <c r="A5" s="17" t="s">
        <v>2073</v>
      </c>
      <c r="B5" s="15">
        <v>47979.65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4728-666C-4B84-9872-AE9168D52FD1}">
  <dimension ref="A3:B5"/>
  <sheetViews>
    <sheetView workbookViewId="0">
      <selection activeCell="O34" sqref="O34"/>
    </sheetView>
  </sheetViews>
  <sheetFormatPr defaultRowHeight="15" x14ac:dyDescent="0.25"/>
  <cols>
    <col min="1" max="1" width="13.140625" bestFit="1" customWidth="1"/>
    <col min="2" max="2" width="12.5703125" bestFit="1" customWidth="1"/>
  </cols>
  <sheetData>
    <row r="3" spans="1:2" x14ac:dyDescent="0.25">
      <c r="A3" s="16" t="s">
        <v>2072</v>
      </c>
      <c r="B3" t="s">
        <v>2069</v>
      </c>
    </row>
    <row r="4" spans="1:2" x14ac:dyDescent="0.25">
      <c r="A4" s="17" t="s">
        <v>2052</v>
      </c>
      <c r="B4" s="15">
        <v>47979.65</v>
      </c>
    </row>
    <row r="5" spans="1:2" x14ac:dyDescent="0.25">
      <c r="A5" s="17" t="s">
        <v>2073</v>
      </c>
      <c r="B5" s="15">
        <v>47979.65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3602-3071-4989-B76F-1B247F03B090}">
  <dimension ref="A3:C8"/>
  <sheetViews>
    <sheetView topLeftCell="B1" workbookViewId="0">
      <selection activeCell="I31" sqref="I31"/>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16" t="s">
        <v>2072</v>
      </c>
      <c r="B3" t="s">
        <v>2068</v>
      </c>
      <c r="C3" t="s">
        <v>2069</v>
      </c>
    </row>
    <row r="4" spans="1:3" x14ac:dyDescent="0.25">
      <c r="A4" s="17" t="s">
        <v>2046</v>
      </c>
      <c r="B4" s="15">
        <v>161209.66</v>
      </c>
      <c r="C4" s="15">
        <v>8209.66</v>
      </c>
    </row>
    <row r="5" spans="1:3" x14ac:dyDescent="0.25">
      <c r="A5" s="17" t="s">
        <v>2036</v>
      </c>
      <c r="B5" s="15">
        <v>46991.549999999996</v>
      </c>
      <c r="C5" s="15">
        <v>2891.55</v>
      </c>
    </row>
    <row r="6" spans="1:3" x14ac:dyDescent="0.25">
      <c r="A6" s="17" t="s">
        <v>2032</v>
      </c>
      <c r="B6" s="15">
        <v>532465.43999999994</v>
      </c>
      <c r="C6" s="15">
        <v>31965.440000000002</v>
      </c>
    </row>
    <row r="7" spans="1:3" x14ac:dyDescent="0.25">
      <c r="A7" s="17" t="s">
        <v>2034</v>
      </c>
      <c r="B7" s="15">
        <v>112913</v>
      </c>
      <c r="C7" s="15">
        <v>4912.9999999999991</v>
      </c>
    </row>
    <row r="8" spans="1:3" x14ac:dyDescent="0.25">
      <c r="A8" s="17" t="s">
        <v>2073</v>
      </c>
      <c r="B8" s="15">
        <v>853579.64999999991</v>
      </c>
      <c r="C8" s="15">
        <v>47979.65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8F2F7-5CAE-413E-8280-CDB3897CB503}">
  <dimension ref="D5:CL409"/>
  <sheetViews>
    <sheetView showGridLines="0" topLeftCell="B4" zoomScale="31" zoomScaleNormal="31" zoomScaleSheetLayoutView="26" workbookViewId="0">
      <selection activeCell="CL31" sqref="CL31:CL32"/>
    </sheetView>
  </sheetViews>
  <sheetFormatPr defaultRowHeight="15" x14ac:dyDescent="0.25"/>
  <cols>
    <col min="4" max="4" width="12" customWidth="1"/>
    <col min="6" max="6" width="13" customWidth="1"/>
    <col min="8" max="8" width="17.5703125" customWidth="1"/>
    <col min="10" max="10" width="14.7109375" customWidth="1"/>
    <col min="12" max="12" width="20.7109375" customWidth="1"/>
    <col min="66" max="66" width="14.7109375" bestFit="1" customWidth="1"/>
    <col min="90" max="90" width="13.42578125" bestFit="1" customWidth="1"/>
  </cols>
  <sheetData>
    <row r="5" spans="4:66" x14ac:dyDescent="0.25">
      <c r="D5" t="s">
        <v>2089</v>
      </c>
      <c r="F5" t="s">
        <v>2090</v>
      </c>
      <c r="H5" t="s">
        <v>2095</v>
      </c>
      <c r="L5" t="s">
        <v>2094</v>
      </c>
    </row>
    <row r="6" spans="4:66" x14ac:dyDescent="0.25">
      <c r="D6">
        <f>GETPIVOTDATA("Sum of Sales",KPI!$A$3)</f>
        <v>853579.65000000014</v>
      </c>
      <c r="F6">
        <f>GETPIVOTDATA("Sum of Profit",KPI!$A$3)</f>
        <v>47979.65</v>
      </c>
      <c r="H6">
        <f>GETPIVOTDATA("Sum of Profit Margin",KPI!$A$3)</f>
        <v>169.91265177779184</v>
      </c>
      <c r="J6" t="s">
        <v>2087</v>
      </c>
      <c r="L6">
        <f>GETPIVOTDATA("Average of Discount_%",KPI!$A$3)</f>
        <v>13.999000000000001</v>
      </c>
    </row>
    <row r="12" spans="4:66" x14ac:dyDescent="0.25">
      <c r="BN12" t="s">
        <v>2097</v>
      </c>
    </row>
    <row r="13" spans="4:66" x14ac:dyDescent="0.25">
      <c r="BN13" t="s">
        <v>2098</v>
      </c>
    </row>
    <row r="343" spans="66:66" x14ac:dyDescent="0.25">
      <c r="BN343">
        <v>4</v>
      </c>
    </row>
    <row r="354" spans="90:90" x14ac:dyDescent="0.25">
      <c r="CL354">
        <v>1001102222222</v>
      </c>
    </row>
    <row r="409" spans="66:66" x14ac:dyDescent="0.25">
      <c r="BN409" t="s">
        <v>2096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tabSelected="1" workbookViewId="0">
      <selection activeCell="I17" sqref="I17"/>
    </sheetView>
  </sheetViews>
  <sheetFormatPr defaultRowHeight="15" x14ac:dyDescent="0.25"/>
  <cols>
    <col min="1" max="1" width="13.5703125" style="3" bestFit="1" customWidth="1"/>
    <col min="2" max="2" width="15.85546875" style="4" bestFit="1" customWidth="1"/>
    <col min="3" max="3" width="15.28515625" style="3" bestFit="1" customWidth="1"/>
    <col min="4" max="4" width="18.85546875" style="3" bestFit="1" customWidth="1"/>
    <col min="5" max="5" width="14.5703125" style="3" bestFit="1" customWidth="1"/>
    <col min="6" max="6" width="11.7109375" style="3" bestFit="1" customWidth="1"/>
    <col min="7" max="7" width="13.28515625" style="3" bestFit="1" customWidth="1"/>
    <col min="8" max="8" width="14.85546875" style="3" bestFit="1" customWidth="1"/>
    <col min="9" max="9" width="17" style="3" bestFit="1" customWidth="1"/>
    <col min="10" max="10" width="15.85546875" style="3" bestFit="1" customWidth="1"/>
    <col min="11" max="11" width="10.140625" style="3" bestFit="1" customWidth="1"/>
    <col min="12" max="12" width="10.5703125" style="3" bestFit="1" customWidth="1"/>
    <col min="13" max="13" width="21.5703125" style="3" bestFit="1" customWidth="1"/>
    <col min="14" max="14" width="14.85546875" style="3" bestFit="1" customWidth="1"/>
    <col min="15" max="15" width="17.28515625" style="3" bestFit="1" customWidth="1"/>
    <col min="16" max="16" width="11.5703125" style="3" bestFit="1" customWidth="1"/>
    <col min="17" max="17" width="16.42578125" style="3" bestFit="1" customWidth="1"/>
    <col min="18" max="16384" width="9.140625" style="3"/>
  </cols>
  <sheetData>
    <row r="1" spans="1:17" x14ac:dyDescent="0.25">
      <c r="A1" s="1" t="s">
        <v>0</v>
      </c>
      <c r="B1" s="2" t="s">
        <v>1</v>
      </c>
      <c r="C1" s="1" t="s">
        <v>2</v>
      </c>
      <c r="D1" s="1" t="s">
        <v>3</v>
      </c>
      <c r="E1" s="1" t="s">
        <v>4</v>
      </c>
      <c r="F1" s="1" t="s">
        <v>5</v>
      </c>
      <c r="G1" s="1" t="s">
        <v>6</v>
      </c>
      <c r="H1" s="1" t="s">
        <v>7</v>
      </c>
      <c r="I1" s="1" t="s">
        <v>8</v>
      </c>
      <c r="J1" s="1" t="s">
        <v>9</v>
      </c>
      <c r="K1" s="1" t="s">
        <v>10</v>
      </c>
      <c r="L1" s="1" t="s">
        <v>11</v>
      </c>
      <c r="M1" s="5" t="s">
        <v>2063</v>
      </c>
      <c r="N1" s="5" t="s">
        <v>2064</v>
      </c>
      <c r="O1" s="5" t="s">
        <v>2065</v>
      </c>
      <c r="P1" s="5" t="s">
        <v>2066</v>
      </c>
      <c r="Q1" s="5" t="s">
        <v>2067</v>
      </c>
    </row>
    <row r="2" spans="1:17" x14ac:dyDescent="0.25">
      <c r="A2" s="3" t="s">
        <v>780</v>
      </c>
      <c r="B2" s="4">
        <v>45658</v>
      </c>
      <c r="C2" s="3" t="s">
        <v>2018</v>
      </c>
      <c r="D2" s="3" t="s">
        <v>2038</v>
      </c>
      <c r="E2" s="3" t="s">
        <v>2053</v>
      </c>
      <c r="F2" s="3" t="s">
        <v>2062</v>
      </c>
      <c r="G2" s="3">
        <v>8</v>
      </c>
      <c r="H2" s="3">
        <v>500</v>
      </c>
      <c r="I2" s="3">
        <v>610</v>
      </c>
      <c r="J2" s="3">
        <v>9.56</v>
      </c>
      <c r="K2" s="3">
        <v>4413.3</v>
      </c>
      <c r="L2" s="3">
        <v>413.3</v>
      </c>
      <c r="M2" s="3">
        <f>G2*I2*J2</f>
        <v>46652.800000000003</v>
      </c>
      <c r="N2" s="3">
        <f>G2*H2</f>
        <v>4000</v>
      </c>
      <c r="O2" s="3">
        <f>IFERROR(L2/K2*100,0)</f>
        <v>9.3648743570570776</v>
      </c>
      <c r="P2" s="3" t="str">
        <f>TEXT(B2,"mmm")</f>
        <v>Jan</v>
      </c>
      <c r="Q2" s="3" t="str">
        <f t="shared" ref="Q2:Q65" si="0">IF(L2&lt;0,"loss",IF(O2&lt;10,"low profit","good profit"))</f>
        <v>low profit</v>
      </c>
    </row>
    <row r="3" spans="1:17" x14ac:dyDescent="0.25">
      <c r="A3" s="3" t="s">
        <v>984</v>
      </c>
      <c r="B3" s="4">
        <v>45658</v>
      </c>
      <c r="C3" s="3" t="s">
        <v>2025</v>
      </c>
      <c r="D3" s="3" t="s">
        <v>2045</v>
      </c>
      <c r="E3" s="3" t="s">
        <v>2057</v>
      </c>
      <c r="F3" s="3" t="s">
        <v>2062</v>
      </c>
      <c r="G3" s="3">
        <v>7</v>
      </c>
      <c r="H3" s="3">
        <v>45</v>
      </c>
      <c r="I3" s="3">
        <v>63</v>
      </c>
      <c r="J3" s="3">
        <v>6.13</v>
      </c>
      <c r="K3" s="3">
        <v>413.97</v>
      </c>
      <c r="L3" s="3">
        <v>98.97</v>
      </c>
      <c r="M3" s="3">
        <f t="shared" ref="M3:M66" si="1">G3*I3*J3</f>
        <v>2703.33</v>
      </c>
      <c r="N3" s="3">
        <f t="shared" ref="N3:N66" si="2">G3*H3</f>
        <v>315</v>
      </c>
      <c r="O3" s="3">
        <f t="shared" ref="O3:O66" si="3">IFERROR(L3/K3*100,0)</f>
        <v>23.907529531125444</v>
      </c>
      <c r="P3" s="3" t="str">
        <f t="shared" ref="P3:P66" si="4">TEXT(B3,"mmm")</f>
        <v>Jan</v>
      </c>
      <c r="Q3" s="3" t="str">
        <f t="shared" si="0"/>
        <v>good profit</v>
      </c>
    </row>
    <row r="4" spans="1:17" x14ac:dyDescent="0.25">
      <c r="A4" s="3" t="s">
        <v>1289</v>
      </c>
      <c r="B4" s="4">
        <v>45658</v>
      </c>
      <c r="C4" s="3" t="s">
        <v>2013</v>
      </c>
      <c r="D4" s="3" t="s">
        <v>2033</v>
      </c>
      <c r="E4" s="3" t="s">
        <v>2053</v>
      </c>
      <c r="F4" s="3" t="s">
        <v>2062</v>
      </c>
      <c r="G4" s="3">
        <v>2</v>
      </c>
      <c r="H4" s="3">
        <v>6500</v>
      </c>
      <c r="I4" s="3">
        <v>7150</v>
      </c>
      <c r="J4" s="3">
        <v>21.13</v>
      </c>
      <c r="K4" s="3">
        <v>11278.53</v>
      </c>
      <c r="L4" s="3">
        <v>-1721.47</v>
      </c>
      <c r="M4" s="3">
        <f t="shared" si="1"/>
        <v>302159</v>
      </c>
      <c r="N4" s="3">
        <f t="shared" si="2"/>
        <v>13000</v>
      </c>
      <c r="O4" s="3">
        <f t="shared" si="3"/>
        <v>-15.26324795873221</v>
      </c>
      <c r="P4" s="3" t="str">
        <f t="shared" si="4"/>
        <v>Jan</v>
      </c>
      <c r="Q4" s="3" t="str">
        <f t="shared" si="0"/>
        <v>loss</v>
      </c>
    </row>
    <row r="5" spans="1:17" x14ac:dyDescent="0.25">
      <c r="A5" s="3" t="s">
        <v>1900</v>
      </c>
      <c r="B5" s="4">
        <v>45658</v>
      </c>
      <c r="C5" s="3" t="s">
        <v>2018</v>
      </c>
      <c r="D5" s="3" t="s">
        <v>2038</v>
      </c>
      <c r="E5" s="3" t="s">
        <v>2053</v>
      </c>
      <c r="F5" s="3" t="s">
        <v>2059</v>
      </c>
      <c r="G5" s="3">
        <v>5</v>
      </c>
      <c r="H5" s="3">
        <v>500</v>
      </c>
      <c r="I5" s="3">
        <v>610</v>
      </c>
      <c r="J5" s="3">
        <v>7.74</v>
      </c>
      <c r="K5" s="3">
        <v>2814.03</v>
      </c>
      <c r="L5" s="3">
        <v>314.02999999999997</v>
      </c>
      <c r="M5" s="3">
        <f t="shared" si="1"/>
        <v>23607</v>
      </c>
      <c r="N5" s="3">
        <f t="shared" si="2"/>
        <v>2500</v>
      </c>
      <c r="O5" s="3">
        <f t="shared" si="3"/>
        <v>11.159440375546811</v>
      </c>
      <c r="P5" s="3" t="str">
        <f t="shared" si="4"/>
        <v>Jan</v>
      </c>
      <c r="Q5" s="3" t="str">
        <f t="shared" si="0"/>
        <v>good profit</v>
      </c>
    </row>
    <row r="6" spans="1:17" x14ac:dyDescent="0.25">
      <c r="A6" s="3" t="s">
        <v>619</v>
      </c>
      <c r="B6" s="4">
        <v>45659</v>
      </c>
      <c r="C6" s="3" t="s">
        <v>2014</v>
      </c>
      <c r="D6" s="3" t="s">
        <v>2034</v>
      </c>
      <c r="E6" s="3" t="s">
        <v>2052</v>
      </c>
      <c r="F6" s="3" t="s">
        <v>2059</v>
      </c>
      <c r="G6" s="3">
        <v>8</v>
      </c>
      <c r="H6" s="3">
        <v>4500</v>
      </c>
      <c r="I6" s="3">
        <v>5220</v>
      </c>
      <c r="J6" s="3">
        <v>17.989999999999998</v>
      </c>
      <c r="K6" s="3">
        <v>34246.379999999997</v>
      </c>
      <c r="L6" s="3">
        <v>-1753.62</v>
      </c>
      <c r="M6" s="3">
        <f t="shared" si="1"/>
        <v>751262.39999999991</v>
      </c>
      <c r="N6" s="3">
        <f t="shared" si="2"/>
        <v>36000</v>
      </c>
      <c r="O6" s="3">
        <f t="shared" si="3"/>
        <v>-5.1205996079001634</v>
      </c>
      <c r="P6" s="3" t="str">
        <f t="shared" si="4"/>
        <v>Jan</v>
      </c>
      <c r="Q6" s="3" t="str">
        <f t="shared" si="0"/>
        <v>loss</v>
      </c>
    </row>
    <row r="7" spans="1:17" x14ac:dyDescent="0.25">
      <c r="A7" s="3" t="s">
        <v>861</v>
      </c>
      <c r="B7" s="4">
        <v>45659</v>
      </c>
      <c r="C7" s="3" t="s">
        <v>2024</v>
      </c>
      <c r="D7" s="3" t="s">
        <v>2044</v>
      </c>
      <c r="E7" s="3" t="s">
        <v>2055</v>
      </c>
      <c r="F7" s="3" t="s">
        <v>2062</v>
      </c>
      <c r="G7" s="3">
        <v>3</v>
      </c>
      <c r="H7" s="3">
        <v>180</v>
      </c>
      <c r="I7" s="3">
        <v>243</v>
      </c>
      <c r="J7" s="3">
        <v>15.05</v>
      </c>
      <c r="K7" s="3">
        <v>619.27</v>
      </c>
      <c r="L7" s="3">
        <v>79.27</v>
      </c>
      <c r="M7" s="3">
        <f t="shared" si="1"/>
        <v>10971.45</v>
      </c>
      <c r="N7" s="3">
        <f t="shared" si="2"/>
        <v>540</v>
      </c>
      <c r="O7" s="3">
        <f t="shared" si="3"/>
        <v>12.800555492757601</v>
      </c>
      <c r="P7" s="3" t="str">
        <f t="shared" si="4"/>
        <v>Jan</v>
      </c>
      <c r="Q7" s="3" t="str">
        <f t="shared" si="0"/>
        <v>good profit</v>
      </c>
    </row>
    <row r="8" spans="1:17" x14ac:dyDescent="0.25">
      <c r="A8" s="3" t="s">
        <v>1039</v>
      </c>
      <c r="B8" s="4">
        <v>45659</v>
      </c>
      <c r="C8" s="3" t="s">
        <v>2017</v>
      </c>
      <c r="D8" s="3" t="s">
        <v>2037</v>
      </c>
      <c r="E8" s="3" t="s">
        <v>2055</v>
      </c>
      <c r="F8" s="3" t="s">
        <v>2059</v>
      </c>
      <c r="G8" s="3">
        <v>3</v>
      </c>
      <c r="H8" s="3">
        <v>2500</v>
      </c>
      <c r="I8" s="3">
        <v>2875</v>
      </c>
      <c r="J8" s="3">
        <v>6.66</v>
      </c>
      <c r="K8" s="3">
        <v>8050.51</v>
      </c>
      <c r="L8" s="3">
        <v>550.51</v>
      </c>
      <c r="M8" s="3">
        <f t="shared" si="1"/>
        <v>57442.5</v>
      </c>
      <c r="N8" s="3">
        <f t="shared" si="2"/>
        <v>7500</v>
      </c>
      <c r="O8" s="3">
        <f t="shared" si="3"/>
        <v>6.8382003127752151</v>
      </c>
      <c r="P8" s="3" t="str">
        <f t="shared" si="4"/>
        <v>Jan</v>
      </c>
      <c r="Q8" s="3" t="str">
        <f t="shared" si="0"/>
        <v>low profit</v>
      </c>
    </row>
    <row r="9" spans="1:17" x14ac:dyDescent="0.25">
      <c r="A9" s="3" t="s">
        <v>1958</v>
      </c>
      <c r="B9" s="4">
        <v>45659</v>
      </c>
      <c r="C9" s="3" t="s">
        <v>2030</v>
      </c>
      <c r="D9" s="3" t="s">
        <v>2050</v>
      </c>
      <c r="E9" s="3" t="s">
        <v>2058</v>
      </c>
      <c r="F9" s="3" t="s">
        <v>2059</v>
      </c>
      <c r="G9" s="3">
        <v>9</v>
      </c>
      <c r="H9" s="3">
        <v>1800</v>
      </c>
      <c r="I9" s="3">
        <v>2124</v>
      </c>
      <c r="J9" s="3">
        <v>8.42</v>
      </c>
      <c r="K9" s="3">
        <v>17506.7</v>
      </c>
      <c r="L9" s="3">
        <v>1306.7</v>
      </c>
      <c r="M9" s="3">
        <f t="shared" si="1"/>
        <v>160956.72</v>
      </c>
      <c r="N9" s="3">
        <f t="shared" si="2"/>
        <v>16200</v>
      </c>
      <c r="O9" s="3">
        <f t="shared" si="3"/>
        <v>7.4639994973353048</v>
      </c>
      <c r="P9" s="3" t="str">
        <f t="shared" si="4"/>
        <v>Jan</v>
      </c>
      <c r="Q9" s="3" t="str">
        <f t="shared" si="0"/>
        <v>low profit</v>
      </c>
    </row>
    <row r="10" spans="1:17" x14ac:dyDescent="0.25">
      <c r="A10" s="3" t="s">
        <v>30</v>
      </c>
      <c r="B10" s="4">
        <v>45660</v>
      </c>
      <c r="C10" s="3" t="s">
        <v>2021</v>
      </c>
      <c r="D10" s="3" t="s">
        <v>2041</v>
      </c>
      <c r="E10" s="3" t="s">
        <v>2056</v>
      </c>
      <c r="F10" s="3" t="s">
        <v>2061</v>
      </c>
      <c r="G10" s="3">
        <v>9</v>
      </c>
      <c r="H10" s="3">
        <v>300</v>
      </c>
      <c r="I10" s="3">
        <v>405</v>
      </c>
      <c r="J10" s="3">
        <v>6.69</v>
      </c>
      <c r="K10" s="3">
        <v>3401.3</v>
      </c>
      <c r="L10" s="3">
        <v>701.3</v>
      </c>
      <c r="M10" s="3">
        <f t="shared" si="1"/>
        <v>24385.050000000003</v>
      </c>
      <c r="N10" s="3">
        <f t="shared" si="2"/>
        <v>2700</v>
      </c>
      <c r="O10" s="3">
        <f t="shared" si="3"/>
        <v>20.618587010848792</v>
      </c>
      <c r="P10" s="3" t="str">
        <f t="shared" si="4"/>
        <v>Jan</v>
      </c>
      <c r="Q10" s="3" t="str">
        <f t="shared" si="0"/>
        <v>good profit</v>
      </c>
    </row>
    <row r="11" spans="1:17" x14ac:dyDescent="0.25">
      <c r="A11" s="3" t="s">
        <v>366</v>
      </c>
      <c r="B11" s="4">
        <v>45660</v>
      </c>
      <c r="C11" s="3" t="s">
        <v>2016</v>
      </c>
      <c r="D11" s="3" t="s">
        <v>2036</v>
      </c>
      <c r="E11" s="3" t="s">
        <v>2052</v>
      </c>
      <c r="F11" s="3" t="s">
        <v>2062</v>
      </c>
      <c r="G11" s="3">
        <v>5</v>
      </c>
      <c r="H11" s="3">
        <v>900</v>
      </c>
      <c r="I11" s="3">
        <v>1170</v>
      </c>
      <c r="J11" s="3">
        <v>0</v>
      </c>
      <c r="K11" s="3">
        <v>5850</v>
      </c>
      <c r="L11" s="3">
        <v>1350</v>
      </c>
      <c r="M11" s="3">
        <f t="shared" si="1"/>
        <v>0</v>
      </c>
      <c r="N11" s="3">
        <f t="shared" si="2"/>
        <v>4500</v>
      </c>
      <c r="O11" s="3">
        <f t="shared" si="3"/>
        <v>23.076923076923077</v>
      </c>
      <c r="P11" s="3" t="str">
        <f t="shared" si="4"/>
        <v>Jan</v>
      </c>
      <c r="Q11" s="3" t="str">
        <f t="shared" si="0"/>
        <v>good profit</v>
      </c>
    </row>
    <row r="12" spans="1:17" x14ac:dyDescent="0.25">
      <c r="A12" s="3" t="s">
        <v>386</v>
      </c>
      <c r="B12" s="4">
        <v>45660</v>
      </c>
      <c r="C12" s="3" t="s">
        <v>2026</v>
      </c>
      <c r="D12" s="3" t="s">
        <v>2046</v>
      </c>
      <c r="E12" s="3" t="s">
        <v>2052</v>
      </c>
      <c r="F12" s="3" t="s">
        <v>2061</v>
      </c>
      <c r="G12" s="3">
        <v>5</v>
      </c>
      <c r="H12" s="3">
        <v>3000</v>
      </c>
      <c r="I12" s="3">
        <v>3600</v>
      </c>
      <c r="J12" s="3">
        <v>16.97</v>
      </c>
      <c r="K12" s="3">
        <v>14946.16</v>
      </c>
      <c r="L12" s="3">
        <v>-53.84</v>
      </c>
      <c r="M12" s="3">
        <f t="shared" si="1"/>
        <v>305460</v>
      </c>
      <c r="N12" s="3">
        <f t="shared" si="2"/>
        <v>15000</v>
      </c>
      <c r="O12" s="3">
        <f t="shared" si="3"/>
        <v>-0.36022630561963742</v>
      </c>
      <c r="P12" s="3" t="str">
        <f t="shared" si="4"/>
        <v>Jan</v>
      </c>
      <c r="Q12" s="3" t="str">
        <f t="shared" si="0"/>
        <v>loss</v>
      </c>
    </row>
    <row r="13" spans="1:17" x14ac:dyDescent="0.25">
      <c r="A13" s="3" t="s">
        <v>440</v>
      </c>
      <c r="B13" s="4">
        <v>45660</v>
      </c>
      <c r="C13" s="3" t="s">
        <v>2031</v>
      </c>
      <c r="D13" s="3" t="s">
        <v>2051</v>
      </c>
      <c r="E13" s="3" t="s">
        <v>2058</v>
      </c>
      <c r="F13" s="3" t="s">
        <v>2061</v>
      </c>
      <c r="G13" s="3">
        <v>6</v>
      </c>
      <c r="H13" s="3">
        <v>3200</v>
      </c>
      <c r="I13" s="3">
        <v>3840</v>
      </c>
      <c r="J13" s="3">
        <v>20.89</v>
      </c>
      <c r="K13" s="3">
        <v>18227.53</v>
      </c>
      <c r="L13" s="3">
        <v>-972.47</v>
      </c>
      <c r="M13" s="3">
        <f t="shared" si="1"/>
        <v>481305.60000000003</v>
      </c>
      <c r="N13" s="3">
        <f t="shared" si="2"/>
        <v>19200</v>
      </c>
      <c r="O13" s="3">
        <f t="shared" si="3"/>
        <v>-5.3351715783762259</v>
      </c>
      <c r="P13" s="3" t="str">
        <f t="shared" si="4"/>
        <v>Jan</v>
      </c>
      <c r="Q13" s="3" t="str">
        <f t="shared" si="0"/>
        <v>loss</v>
      </c>
    </row>
    <row r="14" spans="1:17" x14ac:dyDescent="0.25">
      <c r="A14" s="3" t="s">
        <v>1478</v>
      </c>
      <c r="B14" s="4">
        <v>45660</v>
      </c>
      <c r="C14" s="3" t="s">
        <v>2030</v>
      </c>
      <c r="D14" s="3" t="s">
        <v>2050</v>
      </c>
      <c r="E14" s="3" t="s">
        <v>2058</v>
      </c>
      <c r="F14" s="3" t="s">
        <v>2059</v>
      </c>
      <c r="G14" s="3">
        <v>3</v>
      </c>
      <c r="H14" s="3">
        <v>1800</v>
      </c>
      <c r="I14" s="3">
        <v>2124</v>
      </c>
      <c r="J14" s="3">
        <v>16.850000000000001</v>
      </c>
      <c r="K14" s="3">
        <v>5298.18</v>
      </c>
      <c r="L14" s="3">
        <v>-101.82</v>
      </c>
      <c r="M14" s="3">
        <f t="shared" si="1"/>
        <v>107368.20000000001</v>
      </c>
      <c r="N14" s="3">
        <f t="shared" si="2"/>
        <v>5400</v>
      </c>
      <c r="O14" s="3">
        <f t="shared" si="3"/>
        <v>-1.9217920115964349</v>
      </c>
      <c r="P14" s="3" t="str">
        <f t="shared" si="4"/>
        <v>Jan</v>
      </c>
      <c r="Q14" s="3" t="str">
        <f t="shared" si="0"/>
        <v>loss</v>
      </c>
    </row>
    <row r="15" spans="1:17" x14ac:dyDescent="0.25">
      <c r="A15" s="3" t="s">
        <v>1639</v>
      </c>
      <c r="B15" s="4">
        <v>45660</v>
      </c>
      <c r="C15" s="3" t="s">
        <v>2019</v>
      </c>
      <c r="D15" s="3" t="s">
        <v>2039</v>
      </c>
      <c r="E15" s="3" t="s">
        <v>2053</v>
      </c>
      <c r="F15" s="3" t="s">
        <v>2060</v>
      </c>
      <c r="G15" s="3">
        <v>2</v>
      </c>
      <c r="H15" s="3">
        <v>900</v>
      </c>
      <c r="I15" s="3">
        <v>1152</v>
      </c>
      <c r="J15" s="3">
        <v>6.13</v>
      </c>
      <c r="K15" s="3">
        <v>2162.73</v>
      </c>
      <c r="L15" s="3">
        <v>362.73</v>
      </c>
      <c r="M15" s="3">
        <f t="shared" si="1"/>
        <v>14123.52</v>
      </c>
      <c r="N15" s="3">
        <f t="shared" si="2"/>
        <v>1800</v>
      </c>
      <c r="O15" s="3">
        <f t="shared" si="3"/>
        <v>16.77185779084768</v>
      </c>
      <c r="P15" s="3" t="str">
        <f t="shared" si="4"/>
        <v>Jan</v>
      </c>
      <c r="Q15" s="3" t="str">
        <f t="shared" si="0"/>
        <v>good profit</v>
      </c>
    </row>
    <row r="16" spans="1:17" x14ac:dyDescent="0.25">
      <c r="A16" s="3" t="s">
        <v>1840</v>
      </c>
      <c r="B16" s="4">
        <v>45660</v>
      </c>
      <c r="C16" s="3" t="s">
        <v>2021</v>
      </c>
      <c r="D16" s="3" t="s">
        <v>2041</v>
      </c>
      <c r="E16" s="3" t="s">
        <v>2056</v>
      </c>
      <c r="F16" s="3" t="s">
        <v>2061</v>
      </c>
      <c r="G16" s="3">
        <v>1</v>
      </c>
      <c r="H16" s="3">
        <v>300</v>
      </c>
      <c r="I16" s="3">
        <v>405</v>
      </c>
      <c r="J16" s="3">
        <v>12.41</v>
      </c>
      <c r="K16" s="3">
        <v>354.73</v>
      </c>
      <c r="L16" s="3">
        <v>54.73</v>
      </c>
      <c r="M16" s="3">
        <f t="shared" si="1"/>
        <v>5026.05</v>
      </c>
      <c r="N16" s="3">
        <f t="shared" si="2"/>
        <v>300</v>
      </c>
      <c r="O16" s="3">
        <f t="shared" si="3"/>
        <v>15.428635863896483</v>
      </c>
      <c r="P16" s="3" t="str">
        <f t="shared" si="4"/>
        <v>Jan</v>
      </c>
      <c r="Q16" s="3" t="str">
        <f t="shared" si="0"/>
        <v>good profit</v>
      </c>
    </row>
    <row r="17" spans="1:17" x14ac:dyDescent="0.25">
      <c r="A17" s="3" t="s">
        <v>1914</v>
      </c>
      <c r="B17" s="4">
        <v>45660</v>
      </c>
      <c r="C17" s="3" t="s">
        <v>2012</v>
      </c>
      <c r="D17" s="3" t="s">
        <v>2032</v>
      </c>
      <c r="E17" s="3" t="s">
        <v>2052</v>
      </c>
      <c r="F17" s="3" t="s">
        <v>2061</v>
      </c>
      <c r="G17" s="3">
        <v>4</v>
      </c>
      <c r="H17" s="3">
        <v>6500</v>
      </c>
      <c r="I17" s="3">
        <v>8125</v>
      </c>
      <c r="J17" s="3">
        <v>13.46</v>
      </c>
      <c r="K17" s="3">
        <v>28126.9</v>
      </c>
      <c r="L17" s="3">
        <v>2126.9</v>
      </c>
      <c r="M17" s="3">
        <f t="shared" si="1"/>
        <v>437450</v>
      </c>
      <c r="N17" s="3">
        <f t="shared" si="2"/>
        <v>26000</v>
      </c>
      <c r="O17" s="3">
        <f t="shared" si="3"/>
        <v>7.5618002694929052</v>
      </c>
      <c r="P17" s="3" t="str">
        <f t="shared" si="4"/>
        <v>Jan</v>
      </c>
      <c r="Q17" s="3" t="str">
        <f t="shared" si="0"/>
        <v>low profit</v>
      </c>
    </row>
    <row r="18" spans="1:17" x14ac:dyDescent="0.25">
      <c r="A18" s="3" t="s">
        <v>437</v>
      </c>
      <c r="B18" s="4">
        <v>45661</v>
      </c>
      <c r="C18" s="3" t="s">
        <v>2025</v>
      </c>
      <c r="D18" s="3" t="s">
        <v>2045</v>
      </c>
      <c r="E18" s="3" t="s">
        <v>2057</v>
      </c>
      <c r="F18" s="3" t="s">
        <v>2062</v>
      </c>
      <c r="G18" s="3">
        <v>5</v>
      </c>
      <c r="H18" s="3">
        <v>45</v>
      </c>
      <c r="I18" s="3">
        <v>63</v>
      </c>
      <c r="J18" s="3">
        <v>0</v>
      </c>
      <c r="K18" s="3">
        <v>315</v>
      </c>
      <c r="L18" s="3">
        <v>90</v>
      </c>
      <c r="M18" s="3">
        <f t="shared" si="1"/>
        <v>0</v>
      </c>
      <c r="N18" s="3">
        <f t="shared" si="2"/>
        <v>225</v>
      </c>
      <c r="O18" s="3">
        <f t="shared" si="3"/>
        <v>28.571428571428569</v>
      </c>
      <c r="P18" s="3" t="str">
        <f t="shared" si="4"/>
        <v>Jan</v>
      </c>
      <c r="Q18" s="3" t="str">
        <f t="shared" si="0"/>
        <v>good profit</v>
      </c>
    </row>
    <row r="19" spans="1:17" x14ac:dyDescent="0.25">
      <c r="A19" s="3" t="s">
        <v>786</v>
      </c>
      <c r="B19" s="4">
        <v>45661</v>
      </c>
      <c r="C19" s="3" t="s">
        <v>2024</v>
      </c>
      <c r="D19" s="3" t="s">
        <v>2044</v>
      </c>
      <c r="E19" s="3" t="s">
        <v>2055</v>
      </c>
      <c r="F19" s="3" t="s">
        <v>2060</v>
      </c>
      <c r="G19" s="3">
        <v>6</v>
      </c>
      <c r="H19" s="3">
        <v>180</v>
      </c>
      <c r="I19" s="3">
        <v>243</v>
      </c>
      <c r="J19" s="3">
        <v>12.24</v>
      </c>
      <c r="K19" s="3">
        <v>1279.51</v>
      </c>
      <c r="L19" s="3">
        <v>199.51</v>
      </c>
      <c r="M19" s="3">
        <f t="shared" si="1"/>
        <v>17845.920000000002</v>
      </c>
      <c r="N19" s="3">
        <f t="shared" si="2"/>
        <v>1080</v>
      </c>
      <c r="O19" s="3">
        <f t="shared" si="3"/>
        <v>15.592687825808316</v>
      </c>
      <c r="P19" s="3" t="str">
        <f t="shared" si="4"/>
        <v>Jan</v>
      </c>
      <c r="Q19" s="3" t="str">
        <f t="shared" si="0"/>
        <v>good profit</v>
      </c>
    </row>
    <row r="20" spans="1:17" x14ac:dyDescent="0.25">
      <c r="A20" s="3" t="s">
        <v>1575</v>
      </c>
      <c r="B20" s="4">
        <v>45661</v>
      </c>
      <c r="C20" s="3" t="s">
        <v>2031</v>
      </c>
      <c r="D20" s="3" t="s">
        <v>2051</v>
      </c>
      <c r="E20" s="3" t="s">
        <v>2058</v>
      </c>
      <c r="F20" s="3" t="s">
        <v>2059</v>
      </c>
      <c r="G20" s="3">
        <v>7</v>
      </c>
      <c r="H20" s="3">
        <v>3200</v>
      </c>
      <c r="I20" s="3">
        <v>3840</v>
      </c>
      <c r="J20" s="3">
        <v>19.940000000000001</v>
      </c>
      <c r="K20" s="3">
        <v>21520.28</v>
      </c>
      <c r="L20" s="3">
        <v>-879.72</v>
      </c>
      <c r="M20" s="3">
        <f t="shared" si="1"/>
        <v>535987.20000000007</v>
      </c>
      <c r="N20" s="3">
        <f t="shared" si="2"/>
        <v>22400</v>
      </c>
      <c r="O20" s="3">
        <f t="shared" si="3"/>
        <v>-4.0878650277784496</v>
      </c>
      <c r="P20" s="3" t="str">
        <f t="shared" si="4"/>
        <v>Jan</v>
      </c>
      <c r="Q20" s="3" t="str">
        <f t="shared" si="0"/>
        <v>loss</v>
      </c>
    </row>
    <row r="21" spans="1:17" x14ac:dyDescent="0.25">
      <c r="A21" s="3" t="s">
        <v>1813</v>
      </c>
      <c r="B21" s="4">
        <v>45661</v>
      </c>
      <c r="C21" s="3" t="s">
        <v>2018</v>
      </c>
      <c r="D21" s="3" t="s">
        <v>2038</v>
      </c>
      <c r="E21" s="3" t="s">
        <v>2053</v>
      </c>
      <c r="F21" s="3" t="s">
        <v>2060</v>
      </c>
      <c r="G21" s="3">
        <v>1</v>
      </c>
      <c r="H21" s="3">
        <v>500</v>
      </c>
      <c r="I21" s="3">
        <v>610</v>
      </c>
      <c r="J21" s="3">
        <v>22.56</v>
      </c>
      <c r="K21" s="3">
        <v>472.4</v>
      </c>
      <c r="L21" s="3">
        <v>-27.6</v>
      </c>
      <c r="M21" s="3">
        <f t="shared" si="1"/>
        <v>13761.599999999999</v>
      </c>
      <c r="N21" s="3">
        <f t="shared" si="2"/>
        <v>500</v>
      </c>
      <c r="O21" s="3">
        <f t="shared" si="3"/>
        <v>-5.8425063505503818</v>
      </c>
      <c r="P21" s="3" t="str">
        <f t="shared" si="4"/>
        <v>Jan</v>
      </c>
      <c r="Q21" s="3" t="str">
        <f t="shared" si="0"/>
        <v>loss</v>
      </c>
    </row>
    <row r="22" spans="1:17" x14ac:dyDescent="0.25">
      <c r="A22" s="3" t="s">
        <v>39</v>
      </c>
      <c r="B22" s="4">
        <v>45662</v>
      </c>
      <c r="C22" s="3" t="s">
        <v>2019</v>
      </c>
      <c r="D22" s="3" t="s">
        <v>2039</v>
      </c>
      <c r="E22" s="3" t="s">
        <v>2053</v>
      </c>
      <c r="F22" s="3" t="s">
        <v>2062</v>
      </c>
      <c r="G22" s="3">
        <v>7</v>
      </c>
      <c r="H22" s="3">
        <v>900</v>
      </c>
      <c r="I22" s="3">
        <v>1152</v>
      </c>
      <c r="J22" s="3">
        <v>16.3</v>
      </c>
      <c r="K22" s="3">
        <v>6749.24</v>
      </c>
      <c r="L22" s="3">
        <v>449.24</v>
      </c>
      <c r="M22" s="3">
        <f t="shared" si="1"/>
        <v>131443.20000000001</v>
      </c>
      <c r="N22" s="3">
        <f t="shared" si="2"/>
        <v>6300</v>
      </c>
      <c r="O22" s="3">
        <f t="shared" si="3"/>
        <v>6.65615684136288</v>
      </c>
      <c r="P22" s="3" t="str">
        <f t="shared" si="4"/>
        <v>Jan</v>
      </c>
      <c r="Q22" s="3" t="str">
        <f t="shared" si="0"/>
        <v>low profit</v>
      </c>
    </row>
    <row r="23" spans="1:17" x14ac:dyDescent="0.25">
      <c r="A23" s="3" t="s">
        <v>140</v>
      </c>
      <c r="B23" s="4">
        <v>45662</v>
      </c>
      <c r="C23" s="3" t="s">
        <v>2015</v>
      </c>
      <c r="D23" s="3" t="s">
        <v>2035</v>
      </c>
      <c r="E23" s="3" t="s">
        <v>2054</v>
      </c>
      <c r="F23" s="3" t="s">
        <v>2060</v>
      </c>
      <c r="G23" s="3">
        <v>8</v>
      </c>
      <c r="H23" s="3">
        <v>900</v>
      </c>
      <c r="I23" s="3">
        <v>1170</v>
      </c>
      <c r="J23" s="3">
        <v>21.64</v>
      </c>
      <c r="K23" s="3">
        <v>7334.4</v>
      </c>
      <c r="L23" s="3">
        <v>134.4</v>
      </c>
      <c r="M23" s="3">
        <f t="shared" si="1"/>
        <v>202550.39999999999</v>
      </c>
      <c r="N23" s="3">
        <f t="shared" si="2"/>
        <v>7200</v>
      </c>
      <c r="O23" s="3">
        <f t="shared" si="3"/>
        <v>1.8324607329842935</v>
      </c>
      <c r="P23" s="3" t="str">
        <f t="shared" si="4"/>
        <v>Jan</v>
      </c>
      <c r="Q23" s="3" t="str">
        <f t="shared" si="0"/>
        <v>low profit</v>
      </c>
    </row>
    <row r="24" spans="1:17" x14ac:dyDescent="0.25">
      <c r="A24" s="3" t="s">
        <v>618</v>
      </c>
      <c r="B24" s="4">
        <v>45662</v>
      </c>
      <c r="C24" s="3" t="s">
        <v>2029</v>
      </c>
      <c r="D24" s="3" t="s">
        <v>2049</v>
      </c>
      <c r="E24" s="3" t="s">
        <v>2055</v>
      </c>
      <c r="F24" s="3" t="s">
        <v>2059</v>
      </c>
      <c r="G24" s="3">
        <v>6</v>
      </c>
      <c r="H24" s="3">
        <v>1200</v>
      </c>
      <c r="I24" s="3">
        <v>1464</v>
      </c>
      <c r="J24" s="3">
        <v>16.71</v>
      </c>
      <c r="K24" s="3">
        <v>7315.85</v>
      </c>
      <c r="L24" s="3">
        <v>115.85</v>
      </c>
      <c r="M24" s="3">
        <f t="shared" si="1"/>
        <v>146780.64000000001</v>
      </c>
      <c r="N24" s="3">
        <f t="shared" si="2"/>
        <v>7200</v>
      </c>
      <c r="O24" s="3">
        <f t="shared" si="3"/>
        <v>1.583548049782322</v>
      </c>
      <c r="P24" s="3" t="str">
        <f t="shared" si="4"/>
        <v>Jan</v>
      </c>
      <c r="Q24" s="3" t="str">
        <f t="shared" si="0"/>
        <v>low profit</v>
      </c>
    </row>
    <row r="25" spans="1:17" x14ac:dyDescent="0.25">
      <c r="A25" s="3" t="s">
        <v>1186</v>
      </c>
      <c r="B25" s="4">
        <v>45662</v>
      </c>
      <c r="C25" s="3" t="s">
        <v>2019</v>
      </c>
      <c r="D25" s="3" t="s">
        <v>2039</v>
      </c>
      <c r="E25" s="3" t="s">
        <v>2053</v>
      </c>
      <c r="F25" s="3" t="s">
        <v>2060</v>
      </c>
      <c r="G25" s="3">
        <v>4</v>
      </c>
      <c r="H25" s="3">
        <v>900</v>
      </c>
      <c r="I25" s="3">
        <v>1152</v>
      </c>
      <c r="J25" s="3">
        <v>10.44</v>
      </c>
      <c r="K25" s="3">
        <v>4127.08</v>
      </c>
      <c r="L25" s="3">
        <v>527.08000000000004</v>
      </c>
      <c r="M25" s="3">
        <f t="shared" si="1"/>
        <v>48107.519999999997</v>
      </c>
      <c r="N25" s="3">
        <f t="shared" si="2"/>
        <v>3600</v>
      </c>
      <c r="O25" s="3">
        <f t="shared" si="3"/>
        <v>12.771257160025975</v>
      </c>
      <c r="P25" s="3" t="str">
        <f t="shared" si="4"/>
        <v>Jan</v>
      </c>
      <c r="Q25" s="3" t="str">
        <f t="shared" si="0"/>
        <v>good profit</v>
      </c>
    </row>
    <row r="26" spans="1:17" x14ac:dyDescent="0.25">
      <c r="A26" s="3" t="s">
        <v>1203</v>
      </c>
      <c r="B26" s="4">
        <v>45662</v>
      </c>
      <c r="C26" s="3" t="s">
        <v>2012</v>
      </c>
      <c r="D26" s="3" t="s">
        <v>2032</v>
      </c>
      <c r="E26" s="3" t="s">
        <v>2052</v>
      </c>
      <c r="F26" s="3" t="s">
        <v>2061</v>
      </c>
      <c r="G26" s="3">
        <v>7</v>
      </c>
      <c r="H26" s="3">
        <v>6500</v>
      </c>
      <c r="I26" s="3">
        <v>8125</v>
      </c>
      <c r="J26" s="3">
        <v>16.32</v>
      </c>
      <c r="K26" s="3">
        <v>47594.12</v>
      </c>
      <c r="L26" s="3">
        <v>2094.12</v>
      </c>
      <c r="M26" s="3">
        <f t="shared" si="1"/>
        <v>928200</v>
      </c>
      <c r="N26" s="3">
        <f t="shared" si="2"/>
        <v>45500</v>
      </c>
      <c r="O26" s="3">
        <f t="shared" si="3"/>
        <v>4.399955288594473</v>
      </c>
      <c r="P26" s="3" t="str">
        <f t="shared" si="4"/>
        <v>Jan</v>
      </c>
      <c r="Q26" s="3" t="str">
        <f t="shared" si="0"/>
        <v>low profit</v>
      </c>
    </row>
    <row r="27" spans="1:17" x14ac:dyDescent="0.25">
      <c r="A27" s="3" t="s">
        <v>1616</v>
      </c>
      <c r="B27" s="4">
        <v>45662</v>
      </c>
      <c r="C27" s="3" t="s">
        <v>2015</v>
      </c>
      <c r="D27" s="3" t="s">
        <v>2035</v>
      </c>
      <c r="E27" s="3" t="s">
        <v>2054</v>
      </c>
      <c r="F27" s="3" t="s">
        <v>2059</v>
      </c>
      <c r="G27" s="3">
        <v>3</v>
      </c>
      <c r="H27" s="3">
        <v>900</v>
      </c>
      <c r="I27" s="3">
        <v>1170</v>
      </c>
      <c r="J27" s="3">
        <v>13.33</v>
      </c>
      <c r="K27" s="3">
        <v>3042.12</v>
      </c>
      <c r="L27" s="3">
        <v>342.12</v>
      </c>
      <c r="M27" s="3">
        <f t="shared" si="1"/>
        <v>46788.3</v>
      </c>
      <c r="N27" s="3">
        <f t="shared" si="2"/>
        <v>2700</v>
      </c>
      <c r="O27" s="3">
        <f t="shared" si="3"/>
        <v>11.246104690150291</v>
      </c>
      <c r="P27" s="3" t="str">
        <f t="shared" si="4"/>
        <v>Jan</v>
      </c>
      <c r="Q27" s="3" t="str">
        <f t="shared" si="0"/>
        <v>good profit</v>
      </c>
    </row>
    <row r="28" spans="1:17" x14ac:dyDescent="0.25">
      <c r="A28" s="3" t="s">
        <v>1979</v>
      </c>
      <c r="B28" s="4">
        <v>45662</v>
      </c>
      <c r="C28" s="3" t="s">
        <v>2018</v>
      </c>
      <c r="D28" s="3" t="s">
        <v>2038</v>
      </c>
      <c r="E28" s="3" t="s">
        <v>2053</v>
      </c>
      <c r="F28" s="3" t="s">
        <v>2061</v>
      </c>
      <c r="G28" s="3">
        <v>5</v>
      </c>
      <c r="H28" s="3">
        <v>500</v>
      </c>
      <c r="I28" s="3">
        <v>610</v>
      </c>
      <c r="J28" s="3">
        <v>8.08</v>
      </c>
      <c r="K28" s="3">
        <v>2803.67</v>
      </c>
      <c r="L28" s="3">
        <v>303.67</v>
      </c>
      <c r="M28" s="3">
        <f t="shared" si="1"/>
        <v>24644</v>
      </c>
      <c r="N28" s="3">
        <f t="shared" si="2"/>
        <v>2500</v>
      </c>
      <c r="O28" s="3">
        <f t="shared" si="3"/>
        <v>10.831160585946279</v>
      </c>
      <c r="P28" s="3" t="str">
        <f t="shared" si="4"/>
        <v>Jan</v>
      </c>
      <c r="Q28" s="3" t="str">
        <f t="shared" si="0"/>
        <v>good profit</v>
      </c>
    </row>
    <row r="29" spans="1:17" x14ac:dyDescent="0.25">
      <c r="A29" s="3" t="s">
        <v>1640</v>
      </c>
      <c r="B29" s="4">
        <v>45663</v>
      </c>
      <c r="C29" s="3" t="s">
        <v>2014</v>
      </c>
      <c r="D29" s="3" t="s">
        <v>2034</v>
      </c>
      <c r="E29" s="3" t="s">
        <v>2052</v>
      </c>
      <c r="F29" s="3" t="s">
        <v>2062</v>
      </c>
      <c r="G29" s="3">
        <v>9</v>
      </c>
      <c r="H29" s="3">
        <v>4500</v>
      </c>
      <c r="I29" s="3">
        <v>5220</v>
      </c>
      <c r="J29" s="3">
        <v>18.03</v>
      </c>
      <c r="K29" s="3">
        <v>38511.54</v>
      </c>
      <c r="L29" s="3">
        <v>-1988.46</v>
      </c>
      <c r="M29" s="3">
        <f t="shared" si="1"/>
        <v>847049.4</v>
      </c>
      <c r="N29" s="3">
        <f t="shared" si="2"/>
        <v>40500</v>
      </c>
      <c r="O29" s="3">
        <f t="shared" si="3"/>
        <v>-5.1632835248863067</v>
      </c>
      <c r="P29" s="3" t="str">
        <f t="shared" si="4"/>
        <v>Jan</v>
      </c>
      <c r="Q29" s="3" t="str">
        <f t="shared" si="0"/>
        <v>loss</v>
      </c>
    </row>
    <row r="30" spans="1:17" x14ac:dyDescent="0.25">
      <c r="A30" s="3" t="s">
        <v>90</v>
      </c>
      <c r="B30" s="4">
        <v>45664</v>
      </c>
      <c r="C30" s="3" t="s">
        <v>2023</v>
      </c>
      <c r="D30" s="3" t="s">
        <v>2043</v>
      </c>
      <c r="E30" s="3" t="s">
        <v>2053</v>
      </c>
      <c r="F30" s="3" t="s">
        <v>2061</v>
      </c>
      <c r="G30" s="3">
        <v>6</v>
      </c>
      <c r="H30" s="3">
        <v>550</v>
      </c>
      <c r="I30" s="3">
        <v>742.5</v>
      </c>
      <c r="J30" s="3">
        <v>18.579999999999998</v>
      </c>
      <c r="K30" s="3">
        <v>3627.4</v>
      </c>
      <c r="L30" s="3">
        <v>327.39999999999998</v>
      </c>
      <c r="M30" s="3">
        <f t="shared" si="1"/>
        <v>82773.899999999994</v>
      </c>
      <c r="N30" s="3">
        <f t="shared" si="2"/>
        <v>3300</v>
      </c>
      <c r="O30" s="3">
        <f t="shared" si="3"/>
        <v>9.0257484699784971</v>
      </c>
      <c r="P30" s="3" t="str">
        <f t="shared" si="4"/>
        <v>Jan</v>
      </c>
      <c r="Q30" s="3" t="str">
        <f t="shared" si="0"/>
        <v>low profit</v>
      </c>
    </row>
    <row r="31" spans="1:17" x14ac:dyDescent="0.25">
      <c r="A31" s="3" t="s">
        <v>176</v>
      </c>
      <c r="B31" s="4">
        <v>45664</v>
      </c>
      <c r="C31" s="3" t="s">
        <v>2012</v>
      </c>
      <c r="D31" s="3" t="s">
        <v>2032</v>
      </c>
      <c r="E31" s="3" t="s">
        <v>2052</v>
      </c>
      <c r="F31" s="3" t="s">
        <v>2059</v>
      </c>
      <c r="G31" s="3">
        <v>7</v>
      </c>
      <c r="H31" s="3">
        <v>6500</v>
      </c>
      <c r="I31" s="3">
        <v>8125</v>
      </c>
      <c r="J31" s="3">
        <v>4</v>
      </c>
      <c r="K31" s="3">
        <v>54600</v>
      </c>
      <c r="L31" s="3">
        <v>9100</v>
      </c>
      <c r="M31" s="3">
        <f t="shared" si="1"/>
        <v>227500</v>
      </c>
      <c r="N31" s="3">
        <f t="shared" si="2"/>
        <v>45500</v>
      </c>
      <c r="O31" s="3">
        <f t="shared" si="3"/>
        <v>16.666666666666664</v>
      </c>
      <c r="P31" s="3" t="str">
        <f t="shared" si="4"/>
        <v>Jan</v>
      </c>
      <c r="Q31" s="3" t="str">
        <f t="shared" si="0"/>
        <v>good profit</v>
      </c>
    </row>
    <row r="32" spans="1:17" x14ac:dyDescent="0.25">
      <c r="A32" s="3" t="s">
        <v>571</v>
      </c>
      <c r="B32" s="4">
        <v>45664</v>
      </c>
      <c r="C32" s="3" t="s">
        <v>2019</v>
      </c>
      <c r="D32" s="3" t="s">
        <v>2039</v>
      </c>
      <c r="E32" s="3" t="s">
        <v>2053</v>
      </c>
      <c r="F32" s="3" t="s">
        <v>2060</v>
      </c>
      <c r="G32" s="3">
        <v>1</v>
      </c>
      <c r="H32" s="3">
        <v>900</v>
      </c>
      <c r="I32" s="3">
        <v>1152</v>
      </c>
      <c r="J32" s="3">
        <v>4.8600000000000003</v>
      </c>
      <c r="K32" s="3">
        <v>1096.05</v>
      </c>
      <c r="L32" s="3">
        <v>196.05</v>
      </c>
      <c r="M32" s="3">
        <f t="shared" si="1"/>
        <v>5598.72</v>
      </c>
      <c r="N32" s="3">
        <f t="shared" si="2"/>
        <v>900</v>
      </c>
      <c r="O32" s="3">
        <f t="shared" si="3"/>
        <v>17.886957711783225</v>
      </c>
      <c r="P32" s="3" t="str">
        <f t="shared" si="4"/>
        <v>Jan</v>
      </c>
      <c r="Q32" s="3" t="str">
        <f t="shared" si="0"/>
        <v>good profit</v>
      </c>
    </row>
    <row r="33" spans="1:17" x14ac:dyDescent="0.25">
      <c r="A33" s="3" t="s">
        <v>1088</v>
      </c>
      <c r="B33" s="4">
        <v>45664</v>
      </c>
      <c r="C33" s="3" t="s">
        <v>2027</v>
      </c>
      <c r="D33" s="3" t="s">
        <v>2047</v>
      </c>
      <c r="E33" s="3" t="s">
        <v>2053</v>
      </c>
      <c r="F33" s="3" t="s">
        <v>2060</v>
      </c>
      <c r="G33" s="3">
        <v>1</v>
      </c>
      <c r="H33" s="3">
        <v>1100</v>
      </c>
      <c r="I33" s="3">
        <v>1298</v>
      </c>
      <c r="J33" s="3">
        <v>19.350000000000001</v>
      </c>
      <c r="K33" s="3">
        <v>1046.79</v>
      </c>
      <c r="L33" s="3">
        <v>-53.21</v>
      </c>
      <c r="M33" s="3">
        <f t="shared" si="1"/>
        <v>25116.300000000003</v>
      </c>
      <c r="N33" s="3">
        <f t="shared" si="2"/>
        <v>1100</v>
      </c>
      <c r="O33" s="3">
        <f t="shared" si="3"/>
        <v>-5.0831589908195536</v>
      </c>
      <c r="P33" s="3" t="str">
        <f t="shared" si="4"/>
        <v>Jan</v>
      </c>
      <c r="Q33" s="3" t="str">
        <f t="shared" si="0"/>
        <v>loss</v>
      </c>
    </row>
    <row r="34" spans="1:17" x14ac:dyDescent="0.25">
      <c r="A34" s="3" t="s">
        <v>1545</v>
      </c>
      <c r="B34" s="4">
        <v>45664</v>
      </c>
      <c r="C34" s="3" t="s">
        <v>2016</v>
      </c>
      <c r="D34" s="3" t="s">
        <v>2036</v>
      </c>
      <c r="E34" s="3" t="s">
        <v>2052</v>
      </c>
      <c r="F34" s="3" t="s">
        <v>2059</v>
      </c>
      <c r="G34" s="3">
        <v>10</v>
      </c>
      <c r="H34" s="3">
        <v>900</v>
      </c>
      <c r="I34" s="3">
        <v>1170</v>
      </c>
      <c r="J34" s="3">
        <v>8.7200000000000006</v>
      </c>
      <c r="K34" s="3">
        <v>10680.15</v>
      </c>
      <c r="L34" s="3">
        <v>1680.15</v>
      </c>
      <c r="M34" s="3">
        <f t="shared" si="1"/>
        <v>102024.00000000001</v>
      </c>
      <c r="N34" s="3">
        <f t="shared" si="2"/>
        <v>9000</v>
      </c>
      <c r="O34" s="3">
        <f t="shared" si="3"/>
        <v>15.731520624710329</v>
      </c>
      <c r="P34" s="3" t="str">
        <f t="shared" si="4"/>
        <v>Jan</v>
      </c>
      <c r="Q34" s="3" t="str">
        <f t="shared" si="0"/>
        <v>good profit</v>
      </c>
    </row>
    <row r="35" spans="1:17" x14ac:dyDescent="0.25">
      <c r="A35" s="3" t="s">
        <v>1962</v>
      </c>
      <c r="B35" s="4">
        <v>45664</v>
      </c>
      <c r="C35" s="3" t="s">
        <v>2012</v>
      </c>
      <c r="D35" s="3" t="s">
        <v>2032</v>
      </c>
      <c r="E35" s="3" t="s">
        <v>2052</v>
      </c>
      <c r="F35" s="3" t="s">
        <v>2062</v>
      </c>
      <c r="G35" s="3">
        <v>6</v>
      </c>
      <c r="H35" s="3">
        <v>6500</v>
      </c>
      <c r="I35" s="3">
        <v>8125</v>
      </c>
      <c r="J35" s="3">
        <v>4</v>
      </c>
      <c r="K35" s="3">
        <v>46800</v>
      </c>
      <c r="L35" s="3">
        <v>7800</v>
      </c>
      <c r="M35" s="3">
        <f t="shared" si="1"/>
        <v>195000</v>
      </c>
      <c r="N35" s="3">
        <f t="shared" si="2"/>
        <v>39000</v>
      </c>
      <c r="O35" s="3">
        <f t="shared" si="3"/>
        <v>16.666666666666664</v>
      </c>
      <c r="P35" s="3" t="str">
        <f t="shared" si="4"/>
        <v>Jan</v>
      </c>
      <c r="Q35" s="3" t="str">
        <f t="shared" si="0"/>
        <v>good profit</v>
      </c>
    </row>
    <row r="36" spans="1:17" x14ac:dyDescent="0.25">
      <c r="A36" s="3" t="s">
        <v>252</v>
      </c>
      <c r="B36" s="4">
        <v>45665</v>
      </c>
      <c r="C36" s="3" t="s">
        <v>2018</v>
      </c>
      <c r="D36" s="3" t="s">
        <v>2038</v>
      </c>
      <c r="E36" s="3" t="s">
        <v>2053</v>
      </c>
      <c r="F36" s="3" t="s">
        <v>2060</v>
      </c>
      <c r="G36" s="3">
        <v>1</v>
      </c>
      <c r="H36" s="3">
        <v>500</v>
      </c>
      <c r="I36" s="3">
        <v>610</v>
      </c>
      <c r="J36" s="3">
        <v>12.92</v>
      </c>
      <c r="K36" s="3">
        <v>531.19000000000005</v>
      </c>
      <c r="L36" s="3">
        <v>31.19</v>
      </c>
      <c r="M36" s="3">
        <f t="shared" si="1"/>
        <v>7881.2</v>
      </c>
      <c r="N36" s="3">
        <f t="shared" si="2"/>
        <v>500</v>
      </c>
      <c r="O36" s="3">
        <f t="shared" si="3"/>
        <v>5.8717219827180482</v>
      </c>
      <c r="P36" s="3" t="str">
        <f t="shared" si="4"/>
        <v>Jan</v>
      </c>
      <c r="Q36" s="3" t="str">
        <f t="shared" si="0"/>
        <v>low profit</v>
      </c>
    </row>
    <row r="37" spans="1:17" x14ac:dyDescent="0.25">
      <c r="A37" s="3" t="s">
        <v>274</v>
      </c>
      <c r="B37" s="4">
        <v>45665</v>
      </c>
      <c r="C37" s="3" t="s">
        <v>2012</v>
      </c>
      <c r="D37" s="3" t="s">
        <v>2032</v>
      </c>
      <c r="E37" s="3" t="s">
        <v>2052</v>
      </c>
      <c r="F37" s="3" t="s">
        <v>2060</v>
      </c>
      <c r="G37" s="3">
        <v>10</v>
      </c>
      <c r="H37" s="3">
        <v>6500</v>
      </c>
      <c r="I37" s="3">
        <v>8125</v>
      </c>
      <c r="J37" s="3">
        <v>17.77</v>
      </c>
      <c r="K37" s="3">
        <v>66810.399999999994</v>
      </c>
      <c r="L37" s="3">
        <v>1810.4</v>
      </c>
      <c r="M37" s="3">
        <f t="shared" si="1"/>
        <v>1443812.5</v>
      </c>
      <c r="N37" s="3">
        <f t="shared" si="2"/>
        <v>65000</v>
      </c>
      <c r="O37" s="3">
        <f t="shared" si="3"/>
        <v>2.7097577622645579</v>
      </c>
      <c r="P37" s="3" t="str">
        <f t="shared" si="4"/>
        <v>Jan</v>
      </c>
      <c r="Q37" s="3" t="str">
        <f t="shared" si="0"/>
        <v>low profit</v>
      </c>
    </row>
    <row r="38" spans="1:17" x14ac:dyDescent="0.25">
      <c r="A38" s="3" t="s">
        <v>675</v>
      </c>
      <c r="B38" s="4">
        <v>45665</v>
      </c>
      <c r="C38" s="3" t="s">
        <v>2022</v>
      </c>
      <c r="D38" s="3" t="s">
        <v>2042</v>
      </c>
      <c r="E38" s="3" t="s">
        <v>2053</v>
      </c>
      <c r="F38" s="3" t="s">
        <v>2059</v>
      </c>
      <c r="G38" s="3">
        <v>3</v>
      </c>
      <c r="H38" s="3">
        <v>8500</v>
      </c>
      <c r="I38" s="3">
        <v>9520</v>
      </c>
      <c r="J38" s="3">
        <v>4</v>
      </c>
      <c r="K38" s="3">
        <v>27417.599999999999</v>
      </c>
      <c r="L38" s="3">
        <v>1917.6</v>
      </c>
      <c r="M38" s="3">
        <f t="shared" si="1"/>
        <v>114240</v>
      </c>
      <c r="N38" s="3">
        <f t="shared" si="2"/>
        <v>25500</v>
      </c>
      <c r="O38" s="3">
        <f t="shared" si="3"/>
        <v>6.9940476190476195</v>
      </c>
      <c r="P38" s="3" t="str">
        <f t="shared" si="4"/>
        <v>Jan</v>
      </c>
      <c r="Q38" s="3" t="str">
        <f t="shared" si="0"/>
        <v>low profit</v>
      </c>
    </row>
    <row r="39" spans="1:17" x14ac:dyDescent="0.25">
      <c r="A39" s="3" t="s">
        <v>698</v>
      </c>
      <c r="B39" s="4">
        <v>45665</v>
      </c>
      <c r="C39" s="3" t="s">
        <v>2022</v>
      </c>
      <c r="D39" s="3" t="s">
        <v>2042</v>
      </c>
      <c r="E39" s="3" t="s">
        <v>2053</v>
      </c>
      <c r="F39" s="3" t="s">
        <v>2061</v>
      </c>
      <c r="G39" s="3">
        <v>3</v>
      </c>
      <c r="H39" s="3">
        <v>8500</v>
      </c>
      <c r="I39" s="3">
        <v>9520</v>
      </c>
      <c r="J39" s="3">
        <v>6.65</v>
      </c>
      <c r="K39" s="3">
        <v>26660.41</v>
      </c>
      <c r="L39" s="3">
        <v>1160.4100000000001</v>
      </c>
      <c r="M39" s="3">
        <f t="shared" si="1"/>
        <v>189924</v>
      </c>
      <c r="N39" s="3">
        <f t="shared" si="2"/>
        <v>25500</v>
      </c>
      <c r="O39" s="3">
        <f t="shared" si="3"/>
        <v>4.3525587190894663</v>
      </c>
      <c r="P39" s="3" t="str">
        <f t="shared" si="4"/>
        <v>Jan</v>
      </c>
      <c r="Q39" s="3" t="str">
        <f t="shared" si="0"/>
        <v>low profit</v>
      </c>
    </row>
    <row r="40" spans="1:17" x14ac:dyDescent="0.25">
      <c r="A40" s="3" t="s">
        <v>890</v>
      </c>
      <c r="B40" s="4">
        <v>45665</v>
      </c>
      <c r="C40" s="3" t="s">
        <v>2018</v>
      </c>
      <c r="D40" s="3" t="s">
        <v>2038</v>
      </c>
      <c r="E40" s="3" t="s">
        <v>2053</v>
      </c>
      <c r="F40" s="3" t="s">
        <v>2062</v>
      </c>
      <c r="G40" s="3">
        <v>4</v>
      </c>
      <c r="H40" s="3">
        <v>500</v>
      </c>
      <c r="I40" s="3">
        <v>610</v>
      </c>
      <c r="J40" s="3">
        <v>10.68</v>
      </c>
      <c r="K40" s="3">
        <v>2179.3000000000002</v>
      </c>
      <c r="L40" s="3">
        <v>179.3</v>
      </c>
      <c r="M40" s="3">
        <f t="shared" si="1"/>
        <v>26059.200000000001</v>
      </c>
      <c r="N40" s="3">
        <f t="shared" si="2"/>
        <v>2000</v>
      </c>
      <c r="O40" s="3">
        <f t="shared" si="3"/>
        <v>8.2274124718946453</v>
      </c>
      <c r="P40" s="3" t="str">
        <f t="shared" si="4"/>
        <v>Jan</v>
      </c>
      <c r="Q40" s="3" t="str">
        <f t="shared" si="0"/>
        <v>low profit</v>
      </c>
    </row>
    <row r="41" spans="1:17" x14ac:dyDescent="0.25">
      <c r="A41" s="3" t="s">
        <v>997</v>
      </c>
      <c r="B41" s="4">
        <v>45665</v>
      </c>
      <c r="C41" s="3" t="s">
        <v>2023</v>
      </c>
      <c r="D41" s="3" t="s">
        <v>2043</v>
      </c>
      <c r="E41" s="3" t="s">
        <v>2053</v>
      </c>
      <c r="F41" s="3" t="s">
        <v>2061</v>
      </c>
      <c r="G41" s="3">
        <v>9</v>
      </c>
      <c r="H41" s="3">
        <v>550</v>
      </c>
      <c r="I41" s="3">
        <v>742.5</v>
      </c>
      <c r="J41" s="3">
        <v>14.53</v>
      </c>
      <c r="K41" s="3">
        <v>5711.55</v>
      </c>
      <c r="L41" s="3">
        <v>761.55</v>
      </c>
      <c r="M41" s="3">
        <f t="shared" si="1"/>
        <v>97096.724999999991</v>
      </c>
      <c r="N41" s="3">
        <f t="shared" si="2"/>
        <v>4950</v>
      </c>
      <c r="O41" s="3">
        <f t="shared" si="3"/>
        <v>13.333508417154711</v>
      </c>
      <c r="P41" s="3" t="str">
        <f t="shared" si="4"/>
        <v>Jan</v>
      </c>
      <c r="Q41" s="3" t="str">
        <f t="shared" si="0"/>
        <v>good profit</v>
      </c>
    </row>
    <row r="42" spans="1:17" x14ac:dyDescent="0.25">
      <c r="A42" s="3" t="s">
        <v>1184</v>
      </c>
      <c r="B42" s="4">
        <v>45665</v>
      </c>
      <c r="C42" s="3" t="s">
        <v>2013</v>
      </c>
      <c r="D42" s="3" t="s">
        <v>2033</v>
      </c>
      <c r="E42" s="3" t="s">
        <v>2053</v>
      </c>
      <c r="F42" s="3" t="s">
        <v>2062</v>
      </c>
      <c r="G42" s="3">
        <v>6</v>
      </c>
      <c r="H42" s="3">
        <v>6500</v>
      </c>
      <c r="I42" s="3">
        <v>7150</v>
      </c>
      <c r="J42" s="3">
        <v>4</v>
      </c>
      <c r="K42" s="3">
        <v>41184</v>
      </c>
      <c r="L42" s="3">
        <v>2184</v>
      </c>
      <c r="M42" s="3">
        <f t="shared" si="1"/>
        <v>171600</v>
      </c>
      <c r="N42" s="3">
        <f t="shared" si="2"/>
        <v>39000</v>
      </c>
      <c r="O42" s="3">
        <f t="shared" si="3"/>
        <v>5.3030303030303028</v>
      </c>
      <c r="P42" s="3" t="str">
        <f t="shared" si="4"/>
        <v>Jan</v>
      </c>
      <c r="Q42" s="3" t="str">
        <f t="shared" si="0"/>
        <v>low profit</v>
      </c>
    </row>
    <row r="43" spans="1:17" x14ac:dyDescent="0.25">
      <c r="A43" s="3" t="s">
        <v>1642</v>
      </c>
      <c r="B43" s="4">
        <v>45665</v>
      </c>
      <c r="C43" s="3" t="s">
        <v>2012</v>
      </c>
      <c r="D43" s="3" t="s">
        <v>2032</v>
      </c>
      <c r="E43" s="3" t="s">
        <v>2052</v>
      </c>
      <c r="F43" s="3" t="s">
        <v>2059</v>
      </c>
      <c r="G43" s="3">
        <v>8</v>
      </c>
      <c r="H43" s="3">
        <v>6500</v>
      </c>
      <c r="I43" s="3">
        <v>8125</v>
      </c>
      <c r="J43" s="3">
        <v>17.13</v>
      </c>
      <c r="K43" s="3">
        <v>53866.239999999998</v>
      </c>
      <c r="L43" s="3">
        <v>1866.24</v>
      </c>
      <c r="M43" s="3">
        <f t="shared" si="1"/>
        <v>1113450</v>
      </c>
      <c r="N43" s="3">
        <f t="shared" si="2"/>
        <v>52000</v>
      </c>
      <c r="O43" s="3">
        <f t="shared" si="3"/>
        <v>3.4645818976783973</v>
      </c>
      <c r="P43" s="3" t="str">
        <f t="shared" si="4"/>
        <v>Jan</v>
      </c>
      <c r="Q43" s="3" t="str">
        <f t="shared" si="0"/>
        <v>low profit</v>
      </c>
    </row>
    <row r="44" spans="1:17" x14ac:dyDescent="0.25">
      <c r="A44" s="3" t="s">
        <v>1686</v>
      </c>
      <c r="B44" s="4">
        <v>45665</v>
      </c>
      <c r="C44" s="3" t="s">
        <v>2028</v>
      </c>
      <c r="D44" s="3" t="s">
        <v>2048</v>
      </c>
      <c r="E44" s="3" t="s">
        <v>2057</v>
      </c>
      <c r="F44" s="3" t="s">
        <v>2060</v>
      </c>
      <c r="G44" s="3">
        <v>2</v>
      </c>
      <c r="H44" s="3">
        <v>80</v>
      </c>
      <c r="I44" s="3">
        <v>116</v>
      </c>
      <c r="J44" s="3">
        <v>0</v>
      </c>
      <c r="K44" s="3">
        <v>232</v>
      </c>
      <c r="L44" s="3">
        <v>72</v>
      </c>
      <c r="M44" s="3">
        <f t="shared" si="1"/>
        <v>0</v>
      </c>
      <c r="N44" s="3">
        <f t="shared" si="2"/>
        <v>160</v>
      </c>
      <c r="O44" s="3">
        <f t="shared" si="3"/>
        <v>31.03448275862069</v>
      </c>
      <c r="P44" s="3" t="str">
        <f t="shared" si="4"/>
        <v>Jan</v>
      </c>
      <c r="Q44" s="3" t="str">
        <f t="shared" si="0"/>
        <v>good profit</v>
      </c>
    </row>
    <row r="45" spans="1:17" x14ac:dyDescent="0.25">
      <c r="A45" s="3" t="s">
        <v>1689</v>
      </c>
      <c r="B45" s="4">
        <v>45665</v>
      </c>
      <c r="C45" s="3" t="s">
        <v>2012</v>
      </c>
      <c r="D45" s="3" t="s">
        <v>2032</v>
      </c>
      <c r="E45" s="3" t="s">
        <v>2052</v>
      </c>
      <c r="F45" s="3" t="s">
        <v>2060</v>
      </c>
      <c r="G45" s="3">
        <v>2</v>
      </c>
      <c r="H45" s="3">
        <v>6500</v>
      </c>
      <c r="I45" s="3">
        <v>8125</v>
      </c>
      <c r="J45" s="3">
        <v>15.26</v>
      </c>
      <c r="K45" s="3">
        <v>13770.72</v>
      </c>
      <c r="L45" s="3">
        <v>770.72</v>
      </c>
      <c r="M45" s="3">
        <f t="shared" si="1"/>
        <v>247975</v>
      </c>
      <c r="N45" s="3">
        <f t="shared" si="2"/>
        <v>13000</v>
      </c>
      <c r="O45" s="3">
        <f t="shared" si="3"/>
        <v>5.5968024910825296</v>
      </c>
      <c r="P45" s="3" t="str">
        <f t="shared" si="4"/>
        <v>Jan</v>
      </c>
      <c r="Q45" s="3" t="str">
        <f t="shared" si="0"/>
        <v>low profit</v>
      </c>
    </row>
    <row r="46" spans="1:17" x14ac:dyDescent="0.25">
      <c r="A46" s="3" t="s">
        <v>1875</v>
      </c>
      <c r="B46" s="4">
        <v>45666</v>
      </c>
      <c r="C46" s="3" t="s">
        <v>2014</v>
      </c>
      <c r="D46" s="3" t="s">
        <v>2034</v>
      </c>
      <c r="E46" s="3" t="s">
        <v>2052</v>
      </c>
      <c r="F46" s="3" t="s">
        <v>2060</v>
      </c>
      <c r="G46" s="3">
        <v>7</v>
      </c>
      <c r="H46" s="3">
        <v>4500</v>
      </c>
      <c r="I46" s="3">
        <v>5220</v>
      </c>
      <c r="J46" s="3">
        <v>14.03</v>
      </c>
      <c r="K46" s="3">
        <v>31412.68</v>
      </c>
      <c r="L46" s="3">
        <v>-87.32</v>
      </c>
      <c r="M46" s="3">
        <f t="shared" si="1"/>
        <v>512656.19999999995</v>
      </c>
      <c r="N46" s="3">
        <f t="shared" si="2"/>
        <v>31500</v>
      </c>
      <c r="O46" s="3">
        <f t="shared" si="3"/>
        <v>-0.27797691887479831</v>
      </c>
      <c r="P46" s="3" t="str">
        <f t="shared" si="4"/>
        <v>Jan</v>
      </c>
      <c r="Q46" s="3" t="str">
        <f t="shared" si="0"/>
        <v>loss</v>
      </c>
    </row>
    <row r="47" spans="1:17" x14ac:dyDescent="0.25">
      <c r="A47" s="3" t="s">
        <v>233</v>
      </c>
      <c r="B47" s="4">
        <v>45667</v>
      </c>
      <c r="C47" s="3" t="s">
        <v>2020</v>
      </c>
      <c r="D47" s="3" t="s">
        <v>2040</v>
      </c>
      <c r="E47" s="3" t="s">
        <v>2053</v>
      </c>
      <c r="F47" s="3" t="s">
        <v>2061</v>
      </c>
      <c r="G47" s="3">
        <v>3</v>
      </c>
      <c r="H47" s="3">
        <v>350</v>
      </c>
      <c r="I47" s="3">
        <v>455</v>
      </c>
      <c r="J47" s="3">
        <v>7.88</v>
      </c>
      <c r="K47" s="3">
        <v>1257.3800000000001</v>
      </c>
      <c r="L47" s="3">
        <v>207.38</v>
      </c>
      <c r="M47" s="3">
        <f t="shared" si="1"/>
        <v>10756.2</v>
      </c>
      <c r="N47" s="3">
        <f t="shared" si="2"/>
        <v>1050</v>
      </c>
      <c r="O47" s="3">
        <f t="shared" si="3"/>
        <v>16.493025179341167</v>
      </c>
      <c r="P47" s="3" t="str">
        <f t="shared" si="4"/>
        <v>Jan</v>
      </c>
      <c r="Q47" s="3" t="str">
        <f t="shared" si="0"/>
        <v>good profit</v>
      </c>
    </row>
    <row r="48" spans="1:17" x14ac:dyDescent="0.25">
      <c r="A48" s="3" t="s">
        <v>310</v>
      </c>
      <c r="B48" s="4">
        <v>45667</v>
      </c>
      <c r="C48" s="3" t="s">
        <v>2019</v>
      </c>
      <c r="D48" s="3" t="s">
        <v>2039</v>
      </c>
      <c r="E48" s="3" t="s">
        <v>2053</v>
      </c>
      <c r="F48" s="3" t="s">
        <v>2059</v>
      </c>
      <c r="G48" s="3">
        <v>8</v>
      </c>
      <c r="H48" s="3">
        <v>900</v>
      </c>
      <c r="I48" s="3">
        <v>1152</v>
      </c>
      <c r="J48" s="3">
        <v>5.18</v>
      </c>
      <c r="K48" s="3">
        <v>8738.6200000000008</v>
      </c>
      <c r="L48" s="3">
        <v>1538.62</v>
      </c>
      <c r="M48" s="3">
        <f t="shared" si="1"/>
        <v>47738.879999999997</v>
      </c>
      <c r="N48" s="3">
        <f t="shared" si="2"/>
        <v>7200</v>
      </c>
      <c r="O48" s="3">
        <f t="shared" si="3"/>
        <v>17.607127898913095</v>
      </c>
      <c r="P48" s="3" t="str">
        <f t="shared" si="4"/>
        <v>Jan</v>
      </c>
      <c r="Q48" s="3" t="str">
        <f t="shared" si="0"/>
        <v>good profit</v>
      </c>
    </row>
    <row r="49" spans="1:17" x14ac:dyDescent="0.25">
      <c r="A49" s="3" t="s">
        <v>392</v>
      </c>
      <c r="B49" s="4">
        <v>45667</v>
      </c>
      <c r="C49" s="3" t="s">
        <v>2017</v>
      </c>
      <c r="D49" s="3" t="s">
        <v>2037</v>
      </c>
      <c r="E49" s="3" t="s">
        <v>2055</v>
      </c>
      <c r="F49" s="3" t="s">
        <v>2061</v>
      </c>
      <c r="G49" s="3">
        <v>8</v>
      </c>
      <c r="H49" s="3">
        <v>2500</v>
      </c>
      <c r="I49" s="3">
        <v>2875</v>
      </c>
      <c r="J49" s="3">
        <v>0.4</v>
      </c>
      <c r="K49" s="3">
        <v>22907.9</v>
      </c>
      <c r="L49" s="3">
        <v>2907.9</v>
      </c>
      <c r="M49" s="3">
        <f t="shared" si="1"/>
        <v>9200</v>
      </c>
      <c r="N49" s="3">
        <f t="shared" si="2"/>
        <v>20000</v>
      </c>
      <c r="O49" s="3">
        <f t="shared" si="3"/>
        <v>12.693874165680835</v>
      </c>
      <c r="P49" s="3" t="str">
        <f t="shared" si="4"/>
        <v>Jan</v>
      </c>
      <c r="Q49" s="3" t="str">
        <f t="shared" si="0"/>
        <v>good profit</v>
      </c>
    </row>
    <row r="50" spans="1:17" x14ac:dyDescent="0.25">
      <c r="A50" s="3" t="s">
        <v>1360</v>
      </c>
      <c r="B50" s="4">
        <v>45667</v>
      </c>
      <c r="C50" s="3" t="s">
        <v>2018</v>
      </c>
      <c r="D50" s="3" t="s">
        <v>2038</v>
      </c>
      <c r="E50" s="3" t="s">
        <v>2053</v>
      </c>
      <c r="F50" s="3" t="s">
        <v>2061</v>
      </c>
      <c r="G50" s="3">
        <v>6</v>
      </c>
      <c r="H50" s="3">
        <v>500</v>
      </c>
      <c r="I50" s="3">
        <v>610</v>
      </c>
      <c r="J50" s="3">
        <v>12.63</v>
      </c>
      <c r="K50" s="3">
        <v>3197.62</v>
      </c>
      <c r="L50" s="3">
        <v>197.62</v>
      </c>
      <c r="M50" s="3">
        <f t="shared" si="1"/>
        <v>46225.8</v>
      </c>
      <c r="N50" s="3">
        <f t="shared" si="2"/>
        <v>3000</v>
      </c>
      <c r="O50" s="3">
        <f t="shared" si="3"/>
        <v>6.1802215397702049</v>
      </c>
      <c r="P50" s="3" t="str">
        <f t="shared" si="4"/>
        <v>Jan</v>
      </c>
      <c r="Q50" s="3" t="str">
        <f t="shared" si="0"/>
        <v>low profit</v>
      </c>
    </row>
    <row r="51" spans="1:17" x14ac:dyDescent="0.25">
      <c r="A51" s="3" t="s">
        <v>1724</v>
      </c>
      <c r="B51" s="4">
        <v>45667</v>
      </c>
      <c r="C51" s="3" t="s">
        <v>2014</v>
      </c>
      <c r="D51" s="3" t="s">
        <v>2034</v>
      </c>
      <c r="E51" s="3" t="s">
        <v>2052</v>
      </c>
      <c r="F51" s="3" t="s">
        <v>2062</v>
      </c>
      <c r="G51" s="3">
        <v>6</v>
      </c>
      <c r="H51" s="3">
        <v>4500</v>
      </c>
      <c r="I51" s="3">
        <v>5220</v>
      </c>
      <c r="J51" s="3">
        <v>4</v>
      </c>
      <c r="K51" s="3">
        <v>30067.200000000001</v>
      </c>
      <c r="L51" s="3">
        <v>3067.2</v>
      </c>
      <c r="M51" s="3">
        <f t="shared" si="1"/>
        <v>125280</v>
      </c>
      <c r="N51" s="3">
        <f t="shared" si="2"/>
        <v>27000</v>
      </c>
      <c r="O51" s="3">
        <f t="shared" si="3"/>
        <v>10.201149425287355</v>
      </c>
      <c r="P51" s="3" t="str">
        <f t="shared" si="4"/>
        <v>Jan</v>
      </c>
      <c r="Q51" s="3" t="str">
        <f t="shared" si="0"/>
        <v>good profit</v>
      </c>
    </row>
    <row r="52" spans="1:17" x14ac:dyDescent="0.25">
      <c r="A52" s="3" t="s">
        <v>1877</v>
      </c>
      <c r="B52" s="4">
        <v>45667</v>
      </c>
      <c r="C52" s="3" t="s">
        <v>2018</v>
      </c>
      <c r="D52" s="3" t="s">
        <v>2038</v>
      </c>
      <c r="E52" s="3" t="s">
        <v>2053</v>
      </c>
      <c r="F52" s="3" t="s">
        <v>2061</v>
      </c>
      <c r="G52" s="3">
        <v>7</v>
      </c>
      <c r="H52" s="3">
        <v>500</v>
      </c>
      <c r="I52" s="3">
        <v>610</v>
      </c>
      <c r="J52" s="3">
        <v>14.76</v>
      </c>
      <c r="K52" s="3">
        <v>3639.63</v>
      </c>
      <c r="L52" s="3">
        <v>139.63</v>
      </c>
      <c r="M52" s="3">
        <f t="shared" si="1"/>
        <v>63025.2</v>
      </c>
      <c r="N52" s="3">
        <f t="shared" si="2"/>
        <v>3500</v>
      </c>
      <c r="O52" s="3">
        <f t="shared" si="3"/>
        <v>3.8363789725878727</v>
      </c>
      <c r="P52" s="3" t="str">
        <f t="shared" si="4"/>
        <v>Jan</v>
      </c>
      <c r="Q52" s="3" t="str">
        <f t="shared" si="0"/>
        <v>low profit</v>
      </c>
    </row>
    <row r="53" spans="1:17" x14ac:dyDescent="0.25">
      <c r="A53" s="3" t="s">
        <v>309</v>
      </c>
      <c r="B53" s="4">
        <v>45668</v>
      </c>
      <c r="C53" s="3" t="s">
        <v>2023</v>
      </c>
      <c r="D53" s="3" t="s">
        <v>2043</v>
      </c>
      <c r="E53" s="3" t="s">
        <v>2053</v>
      </c>
      <c r="F53" s="3" t="s">
        <v>2061</v>
      </c>
      <c r="G53" s="3">
        <v>9</v>
      </c>
      <c r="H53" s="3">
        <v>550</v>
      </c>
      <c r="I53" s="3">
        <v>742.5</v>
      </c>
      <c r="J53" s="3">
        <v>0</v>
      </c>
      <c r="K53" s="3">
        <v>6682.5</v>
      </c>
      <c r="L53" s="3">
        <v>1732.5</v>
      </c>
      <c r="M53" s="3">
        <f t="shared" si="1"/>
        <v>0</v>
      </c>
      <c r="N53" s="3">
        <f t="shared" si="2"/>
        <v>4950</v>
      </c>
      <c r="O53" s="3">
        <f t="shared" si="3"/>
        <v>25.925925925925924</v>
      </c>
      <c r="P53" s="3" t="str">
        <f t="shared" si="4"/>
        <v>Jan</v>
      </c>
      <c r="Q53" s="3" t="str">
        <f t="shared" si="0"/>
        <v>good profit</v>
      </c>
    </row>
    <row r="54" spans="1:17" x14ac:dyDescent="0.25">
      <c r="A54" s="3" t="s">
        <v>1434</v>
      </c>
      <c r="B54" s="4">
        <v>45668</v>
      </c>
      <c r="C54" s="3" t="s">
        <v>2024</v>
      </c>
      <c r="D54" s="3" t="s">
        <v>2044</v>
      </c>
      <c r="E54" s="3" t="s">
        <v>2055</v>
      </c>
      <c r="F54" s="3" t="s">
        <v>2060</v>
      </c>
      <c r="G54" s="3">
        <v>8</v>
      </c>
      <c r="H54" s="3">
        <v>180</v>
      </c>
      <c r="I54" s="3">
        <v>243</v>
      </c>
      <c r="J54" s="3">
        <v>8.07</v>
      </c>
      <c r="K54" s="3">
        <v>1787.11</v>
      </c>
      <c r="L54" s="3">
        <v>347.11</v>
      </c>
      <c r="M54" s="3">
        <f t="shared" si="1"/>
        <v>15688.08</v>
      </c>
      <c r="N54" s="3">
        <f t="shared" si="2"/>
        <v>1440</v>
      </c>
      <c r="O54" s="3">
        <f t="shared" si="3"/>
        <v>19.422978999613903</v>
      </c>
      <c r="P54" s="3" t="str">
        <f t="shared" si="4"/>
        <v>Jan</v>
      </c>
      <c r="Q54" s="3" t="str">
        <f t="shared" si="0"/>
        <v>good profit</v>
      </c>
    </row>
    <row r="55" spans="1:17" x14ac:dyDescent="0.25">
      <c r="A55" s="3" t="s">
        <v>1651</v>
      </c>
      <c r="B55" s="4">
        <v>45668</v>
      </c>
      <c r="C55" s="3" t="s">
        <v>2024</v>
      </c>
      <c r="D55" s="3" t="s">
        <v>2044</v>
      </c>
      <c r="E55" s="3" t="s">
        <v>2055</v>
      </c>
      <c r="F55" s="3" t="s">
        <v>2062</v>
      </c>
      <c r="G55" s="3">
        <v>2</v>
      </c>
      <c r="H55" s="3">
        <v>180</v>
      </c>
      <c r="I55" s="3">
        <v>243</v>
      </c>
      <c r="J55" s="3">
        <v>7.04</v>
      </c>
      <c r="K55" s="3">
        <v>451.8</v>
      </c>
      <c r="L55" s="3">
        <v>91.8</v>
      </c>
      <c r="M55" s="3">
        <f t="shared" si="1"/>
        <v>3421.44</v>
      </c>
      <c r="N55" s="3">
        <f t="shared" si="2"/>
        <v>360</v>
      </c>
      <c r="O55" s="3">
        <f t="shared" si="3"/>
        <v>20.318725099601593</v>
      </c>
      <c r="P55" s="3" t="str">
        <f t="shared" si="4"/>
        <v>Jan</v>
      </c>
      <c r="Q55" s="3" t="str">
        <f t="shared" si="0"/>
        <v>good profit</v>
      </c>
    </row>
    <row r="56" spans="1:17" x14ac:dyDescent="0.25">
      <c r="A56" s="3" t="s">
        <v>27</v>
      </c>
      <c r="B56" s="4">
        <v>45669</v>
      </c>
      <c r="C56" s="3" t="s">
        <v>2020</v>
      </c>
      <c r="D56" s="3" t="s">
        <v>2040</v>
      </c>
      <c r="E56" s="3" t="s">
        <v>2053</v>
      </c>
      <c r="F56" s="3" t="s">
        <v>2060</v>
      </c>
      <c r="G56" s="3">
        <v>3</v>
      </c>
      <c r="H56" s="3">
        <v>350</v>
      </c>
      <c r="I56" s="3">
        <v>455</v>
      </c>
      <c r="J56" s="3">
        <v>13.79</v>
      </c>
      <c r="K56" s="3">
        <v>1176.7</v>
      </c>
      <c r="L56" s="3">
        <v>126.7</v>
      </c>
      <c r="M56" s="3">
        <f t="shared" si="1"/>
        <v>18823.349999999999</v>
      </c>
      <c r="N56" s="3">
        <f t="shared" si="2"/>
        <v>1050</v>
      </c>
      <c r="O56" s="3">
        <f t="shared" si="3"/>
        <v>10.767400356930398</v>
      </c>
      <c r="P56" s="3" t="str">
        <f t="shared" si="4"/>
        <v>Jan</v>
      </c>
      <c r="Q56" s="3" t="str">
        <f t="shared" si="0"/>
        <v>good profit</v>
      </c>
    </row>
    <row r="57" spans="1:17" x14ac:dyDescent="0.25">
      <c r="A57" s="3" t="s">
        <v>77</v>
      </c>
      <c r="B57" s="4">
        <v>45669</v>
      </c>
      <c r="C57" s="3" t="s">
        <v>2030</v>
      </c>
      <c r="D57" s="3" t="s">
        <v>2050</v>
      </c>
      <c r="E57" s="3" t="s">
        <v>2058</v>
      </c>
      <c r="F57" s="3" t="s">
        <v>2061</v>
      </c>
      <c r="G57" s="3">
        <v>1</v>
      </c>
      <c r="H57" s="3">
        <v>1800</v>
      </c>
      <c r="I57" s="3">
        <v>2124</v>
      </c>
      <c r="J57" s="3">
        <v>4</v>
      </c>
      <c r="K57" s="3">
        <v>2039.04</v>
      </c>
      <c r="L57" s="3">
        <v>239.04</v>
      </c>
      <c r="M57" s="3">
        <f t="shared" si="1"/>
        <v>8496</v>
      </c>
      <c r="N57" s="3">
        <f t="shared" si="2"/>
        <v>1800</v>
      </c>
      <c r="O57" s="3">
        <f t="shared" si="3"/>
        <v>11.72316384180791</v>
      </c>
      <c r="P57" s="3" t="str">
        <f t="shared" si="4"/>
        <v>Jan</v>
      </c>
      <c r="Q57" s="3" t="str">
        <f t="shared" si="0"/>
        <v>good profit</v>
      </c>
    </row>
    <row r="58" spans="1:17" x14ac:dyDescent="0.25">
      <c r="A58" s="3" t="s">
        <v>121</v>
      </c>
      <c r="B58" s="4">
        <v>45669</v>
      </c>
      <c r="C58" s="3" t="s">
        <v>2019</v>
      </c>
      <c r="D58" s="3" t="s">
        <v>2039</v>
      </c>
      <c r="E58" s="3" t="s">
        <v>2053</v>
      </c>
      <c r="F58" s="3" t="s">
        <v>2060</v>
      </c>
      <c r="G58" s="3">
        <v>8</v>
      </c>
      <c r="H58" s="3">
        <v>900</v>
      </c>
      <c r="I58" s="3">
        <v>1152</v>
      </c>
      <c r="J58" s="3">
        <v>3.39</v>
      </c>
      <c r="K58" s="3">
        <v>8903.31</v>
      </c>
      <c r="L58" s="3">
        <v>1703.31</v>
      </c>
      <c r="M58" s="3">
        <f t="shared" si="1"/>
        <v>31242.240000000002</v>
      </c>
      <c r="N58" s="3">
        <f t="shared" si="2"/>
        <v>7200</v>
      </c>
      <c r="O58" s="3">
        <f t="shared" si="3"/>
        <v>19.131199520178452</v>
      </c>
      <c r="P58" s="3" t="str">
        <f t="shared" si="4"/>
        <v>Jan</v>
      </c>
      <c r="Q58" s="3" t="str">
        <f t="shared" si="0"/>
        <v>good profit</v>
      </c>
    </row>
    <row r="59" spans="1:17" x14ac:dyDescent="0.25">
      <c r="A59" s="3" t="s">
        <v>404</v>
      </c>
      <c r="B59" s="4">
        <v>45669</v>
      </c>
      <c r="C59" s="3" t="s">
        <v>2012</v>
      </c>
      <c r="D59" s="3" t="s">
        <v>2032</v>
      </c>
      <c r="E59" s="3" t="s">
        <v>2052</v>
      </c>
      <c r="F59" s="3" t="s">
        <v>2059</v>
      </c>
      <c r="G59" s="3">
        <v>2</v>
      </c>
      <c r="H59" s="3">
        <v>6500</v>
      </c>
      <c r="I59" s="3">
        <v>8125</v>
      </c>
      <c r="J59" s="3">
        <v>5.35</v>
      </c>
      <c r="K59" s="3">
        <v>15380.23</v>
      </c>
      <c r="L59" s="3">
        <v>2380.23</v>
      </c>
      <c r="M59" s="3">
        <f t="shared" si="1"/>
        <v>86937.5</v>
      </c>
      <c r="N59" s="3">
        <f t="shared" si="2"/>
        <v>13000</v>
      </c>
      <c r="O59" s="3">
        <f t="shared" si="3"/>
        <v>15.47590640712135</v>
      </c>
      <c r="P59" s="3" t="str">
        <f t="shared" si="4"/>
        <v>Jan</v>
      </c>
      <c r="Q59" s="3" t="str">
        <f t="shared" si="0"/>
        <v>good profit</v>
      </c>
    </row>
    <row r="60" spans="1:17" x14ac:dyDescent="0.25">
      <c r="A60" s="3" t="s">
        <v>708</v>
      </c>
      <c r="B60" s="4">
        <v>45669</v>
      </c>
      <c r="C60" s="3" t="s">
        <v>2015</v>
      </c>
      <c r="D60" s="3" t="s">
        <v>2035</v>
      </c>
      <c r="E60" s="3" t="s">
        <v>2054</v>
      </c>
      <c r="F60" s="3" t="s">
        <v>2059</v>
      </c>
      <c r="G60" s="3">
        <v>4</v>
      </c>
      <c r="H60" s="3">
        <v>900</v>
      </c>
      <c r="I60" s="3">
        <v>1170</v>
      </c>
      <c r="J60" s="3">
        <v>9.67</v>
      </c>
      <c r="K60" s="3">
        <v>4227.43</v>
      </c>
      <c r="L60" s="3">
        <v>627.42999999999995</v>
      </c>
      <c r="M60" s="3">
        <f t="shared" si="1"/>
        <v>45255.6</v>
      </c>
      <c r="N60" s="3">
        <f t="shared" si="2"/>
        <v>3600</v>
      </c>
      <c r="O60" s="3">
        <f t="shared" si="3"/>
        <v>14.841877925832003</v>
      </c>
      <c r="P60" s="3" t="str">
        <f t="shared" si="4"/>
        <v>Jan</v>
      </c>
      <c r="Q60" s="3" t="str">
        <f t="shared" si="0"/>
        <v>good profit</v>
      </c>
    </row>
    <row r="61" spans="1:17" x14ac:dyDescent="0.25">
      <c r="A61" s="3" t="s">
        <v>1207</v>
      </c>
      <c r="B61" s="4">
        <v>45669</v>
      </c>
      <c r="C61" s="3" t="s">
        <v>2027</v>
      </c>
      <c r="D61" s="3" t="s">
        <v>2047</v>
      </c>
      <c r="E61" s="3" t="s">
        <v>2053</v>
      </c>
      <c r="F61" s="3" t="s">
        <v>2059</v>
      </c>
      <c r="G61" s="3">
        <v>4</v>
      </c>
      <c r="H61" s="3">
        <v>1100</v>
      </c>
      <c r="I61" s="3">
        <v>1298</v>
      </c>
      <c r="J61" s="3">
        <v>0</v>
      </c>
      <c r="K61" s="3">
        <v>5192</v>
      </c>
      <c r="L61" s="3">
        <v>792</v>
      </c>
      <c r="M61" s="3">
        <f t="shared" si="1"/>
        <v>0</v>
      </c>
      <c r="N61" s="3">
        <f t="shared" si="2"/>
        <v>4400</v>
      </c>
      <c r="O61" s="3">
        <f t="shared" si="3"/>
        <v>15.254237288135593</v>
      </c>
      <c r="P61" s="3" t="str">
        <f t="shared" si="4"/>
        <v>Jan</v>
      </c>
      <c r="Q61" s="3" t="str">
        <f t="shared" si="0"/>
        <v>good profit</v>
      </c>
    </row>
    <row r="62" spans="1:17" x14ac:dyDescent="0.25">
      <c r="A62" s="3" t="s">
        <v>1376</v>
      </c>
      <c r="B62" s="4">
        <v>45669</v>
      </c>
      <c r="C62" s="3" t="s">
        <v>2015</v>
      </c>
      <c r="D62" s="3" t="s">
        <v>2035</v>
      </c>
      <c r="E62" s="3" t="s">
        <v>2054</v>
      </c>
      <c r="F62" s="3" t="s">
        <v>2062</v>
      </c>
      <c r="G62" s="3">
        <v>3</v>
      </c>
      <c r="H62" s="3">
        <v>900</v>
      </c>
      <c r="I62" s="3">
        <v>1170</v>
      </c>
      <c r="J62" s="3">
        <v>15.78</v>
      </c>
      <c r="K62" s="3">
        <v>2956.29</v>
      </c>
      <c r="L62" s="3">
        <v>256.29000000000002</v>
      </c>
      <c r="M62" s="3">
        <f t="shared" si="1"/>
        <v>55387.799999999996</v>
      </c>
      <c r="N62" s="3">
        <f t="shared" si="2"/>
        <v>2700</v>
      </c>
      <c r="O62" s="3">
        <f t="shared" si="3"/>
        <v>8.6693118740042436</v>
      </c>
      <c r="P62" s="3" t="str">
        <f t="shared" si="4"/>
        <v>Jan</v>
      </c>
      <c r="Q62" s="3" t="str">
        <f t="shared" si="0"/>
        <v>low profit</v>
      </c>
    </row>
    <row r="63" spans="1:17" x14ac:dyDescent="0.25">
      <c r="A63" s="3" t="s">
        <v>1549</v>
      </c>
      <c r="B63" s="4">
        <v>45669</v>
      </c>
      <c r="C63" s="3" t="s">
        <v>2014</v>
      </c>
      <c r="D63" s="3" t="s">
        <v>2034</v>
      </c>
      <c r="E63" s="3" t="s">
        <v>2052</v>
      </c>
      <c r="F63" s="3" t="s">
        <v>2059</v>
      </c>
      <c r="G63" s="3">
        <v>8</v>
      </c>
      <c r="H63" s="3">
        <v>4500</v>
      </c>
      <c r="I63" s="3">
        <v>5220</v>
      </c>
      <c r="J63" s="3">
        <v>12.24</v>
      </c>
      <c r="K63" s="3">
        <v>36650.36</v>
      </c>
      <c r="L63" s="3">
        <v>650.36</v>
      </c>
      <c r="M63" s="3">
        <f t="shared" si="1"/>
        <v>511142.40000000002</v>
      </c>
      <c r="N63" s="3">
        <f t="shared" si="2"/>
        <v>36000</v>
      </c>
      <c r="O63" s="3">
        <f t="shared" si="3"/>
        <v>1.774498258680133</v>
      </c>
      <c r="P63" s="3" t="str">
        <f t="shared" si="4"/>
        <v>Jan</v>
      </c>
      <c r="Q63" s="3" t="str">
        <f t="shared" si="0"/>
        <v>low profit</v>
      </c>
    </row>
    <row r="64" spans="1:17" x14ac:dyDescent="0.25">
      <c r="A64" s="3" t="s">
        <v>1972</v>
      </c>
      <c r="B64" s="4">
        <v>45669</v>
      </c>
      <c r="C64" s="3" t="s">
        <v>2017</v>
      </c>
      <c r="D64" s="3" t="s">
        <v>2037</v>
      </c>
      <c r="E64" s="3" t="s">
        <v>2055</v>
      </c>
      <c r="F64" s="3" t="s">
        <v>2062</v>
      </c>
      <c r="G64" s="3">
        <v>7</v>
      </c>
      <c r="H64" s="3">
        <v>2500</v>
      </c>
      <c r="I64" s="3">
        <v>2875</v>
      </c>
      <c r="J64" s="3">
        <v>3.33</v>
      </c>
      <c r="K64" s="3">
        <v>19454.41</v>
      </c>
      <c r="L64" s="3">
        <v>1954.41</v>
      </c>
      <c r="M64" s="3">
        <f t="shared" si="1"/>
        <v>67016.25</v>
      </c>
      <c r="N64" s="3">
        <f t="shared" si="2"/>
        <v>17500</v>
      </c>
      <c r="O64" s="3">
        <f t="shared" si="3"/>
        <v>10.046102657443736</v>
      </c>
      <c r="P64" s="3" t="str">
        <f t="shared" si="4"/>
        <v>Jan</v>
      </c>
      <c r="Q64" s="3" t="str">
        <f t="shared" si="0"/>
        <v>good profit</v>
      </c>
    </row>
    <row r="65" spans="1:17" x14ac:dyDescent="0.25">
      <c r="A65" s="3" t="s">
        <v>193</v>
      </c>
      <c r="B65" s="4">
        <v>45670</v>
      </c>
      <c r="C65" s="3" t="s">
        <v>2018</v>
      </c>
      <c r="D65" s="3" t="s">
        <v>2038</v>
      </c>
      <c r="E65" s="3" t="s">
        <v>2053</v>
      </c>
      <c r="F65" s="3" t="s">
        <v>2059</v>
      </c>
      <c r="G65" s="3">
        <v>3</v>
      </c>
      <c r="H65" s="3">
        <v>500</v>
      </c>
      <c r="I65" s="3">
        <v>610</v>
      </c>
      <c r="J65" s="3">
        <v>13.01</v>
      </c>
      <c r="K65" s="3">
        <v>1592</v>
      </c>
      <c r="L65" s="3">
        <v>92</v>
      </c>
      <c r="M65" s="3">
        <f t="shared" si="1"/>
        <v>23808.3</v>
      </c>
      <c r="N65" s="3">
        <f t="shared" si="2"/>
        <v>1500</v>
      </c>
      <c r="O65" s="3">
        <f t="shared" si="3"/>
        <v>5.7788944723618094</v>
      </c>
      <c r="P65" s="3" t="str">
        <f t="shared" si="4"/>
        <v>Jan</v>
      </c>
      <c r="Q65" s="3" t="str">
        <f t="shared" si="0"/>
        <v>low profit</v>
      </c>
    </row>
    <row r="66" spans="1:17" x14ac:dyDescent="0.25">
      <c r="A66" s="3" t="s">
        <v>398</v>
      </c>
      <c r="B66" s="4">
        <v>45670</v>
      </c>
      <c r="C66" s="3" t="s">
        <v>2030</v>
      </c>
      <c r="D66" s="3" t="s">
        <v>2050</v>
      </c>
      <c r="E66" s="3" t="s">
        <v>2058</v>
      </c>
      <c r="F66" s="3" t="s">
        <v>2061</v>
      </c>
      <c r="G66" s="3">
        <v>10</v>
      </c>
      <c r="H66" s="3">
        <v>1800</v>
      </c>
      <c r="I66" s="3">
        <v>2124</v>
      </c>
      <c r="J66" s="3">
        <v>28.35</v>
      </c>
      <c r="K66" s="3">
        <v>15219.09</v>
      </c>
      <c r="L66" s="3">
        <v>-2780.91</v>
      </c>
      <c r="M66" s="3">
        <f t="shared" si="1"/>
        <v>602154</v>
      </c>
      <c r="N66" s="3">
        <f t="shared" si="2"/>
        <v>18000</v>
      </c>
      <c r="O66" s="3">
        <f t="shared" si="3"/>
        <v>-18.272511694194591</v>
      </c>
      <c r="P66" s="3" t="str">
        <f t="shared" si="4"/>
        <v>Jan</v>
      </c>
      <c r="Q66" s="3" t="str">
        <f t="shared" ref="Q66:Q129" si="5">IF(L66&lt;0,"loss",IF(O66&lt;10,"low profit","good profit"))</f>
        <v>loss</v>
      </c>
    </row>
    <row r="67" spans="1:17" x14ac:dyDescent="0.25">
      <c r="A67" s="3" t="s">
        <v>1251</v>
      </c>
      <c r="B67" s="4">
        <v>45670</v>
      </c>
      <c r="C67" s="3" t="s">
        <v>2013</v>
      </c>
      <c r="D67" s="3" t="s">
        <v>2033</v>
      </c>
      <c r="E67" s="3" t="s">
        <v>2053</v>
      </c>
      <c r="F67" s="3" t="s">
        <v>2060</v>
      </c>
      <c r="G67" s="3">
        <v>2</v>
      </c>
      <c r="H67" s="3">
        <v>6500</v>
      </c>
      <c r="I67" s="3">
        <v>7150</v>
      </c>
      <c r="J67" s="3">
        <v>17.09</v>
      </c>
      <c r="K67" s="3">
        <v>11856.77</v>
      </c>
      <c r="L67" s="3">
        <v>-1143.23</v>
      </c>
      <c r="M67" s="3">
        <f t="shared" ref="M67:M130" si="6">G67*I67*J67</f>
        <v>244387</v>
      </c>
      <c r="N67" s="3">
        <f t="shared" ref="N67:N130" si="7">G67*H67</f>
        <v>13000</v>
      </c>
      <c r="O67" s="3">
        <f t="shared" ref="O67:O130" si="8">IFERROR(L67/K67*100,0)</f>
        <v>-9.6420019954844367</v>
      </c>
      <c r="P67" s="3" t="str">
        <f t="shared" ref="P67:P130" si="9">TEXT(B67,"mmm")</f>
        <v>Jan</v>
      </c>
      <c r="Q67" s="3" t="str">
        <f t="shared" si="5"/>
        <v>loss</v>
      </c>
    </row>
    <row r="68" spans="1:17" x14ac:dyDescent="0.25">
      <c r="A68" s="3" t="s">
        <v>1330</v>
      </c>
      <c r="B68" s="4">
        <v>45670</v>
      </c>
      <c r="C68" s="3" t="s">
        <v>2013</v>
      </c>
      <c r="D68" s="3" t="s">
        <v>2033</v>
      </c>
      <c r="E68" s="3" t="s">
        <v>2053</v>
      </c>
      <c r="F68" s="3" t="s">
        <v>2060</v>
      </c>
      <c r="G68" s="3">
        <v>5</v>
      </c>
      <c r="H68" s="3">
        <v>6500</v>
      </c>
      <c r="I68" s="3">
        <v>7150</v>
      </c>
      <c r="J68" s="3">
        <v>8.99</v>
      </c>
      <c r="K68" s="3">
        <v>32535.919999999998</v>
      </c>
      <c r="L68" s="3">
        <v>35.92</v>
      </c>
      <c r="M68" s="3">
        <f t="shared" si="6"/>
        <v>321392.5</v>
      </c>
      <c r="N68" s="3">
        <f t="shared" si="7"/>
        <v>32500</v>
      </c>
      <c r="O68" s="3">
        <f t="shared" si="8"/>
        <v>0.1104010582765141</v>
      </c>
      <c r="P68" s="3" t="str">
        <f t="shared" si="9"/>
        <v>Jan</v>
      </c>
      <c r="Q68" s="3" t="str">
        <f t="shared" si="5"/>
        <v>low profit</v>
      </c>
    </row>
    <row r="69" spans="1:17" x14ac:dyDescent="0.25">
      <c r="A69" s="3" t="s">
        <v>1430</v>
      </c>
      <c r="B69" s="4">
        <v>45670</v>
      </c>
      <c r="C69" s="3" t="s">
        <v>2012</v>
      </c>
      <c r="D69" s="3" t="s">
        <v>2032</v>
      </c>
      <c r="E69" s="3" t="s">
        <v>2052</v>
      </c>
      <c r="F69" s="3" t="s">
        <v>2059</v>
      </c>
      <c r="G69" s="3">
        <v>10</v>
      </c>
      <c r="H69" s="3">
        <v>6500</v>
      </c>
      <c r="I69" s="3">
        <v>8125</v>
      </c>
      <c r="J69" s="3">
        <v>13.6</v>
      </c>
      <c r="K69" s="3">
        <v>70202.34</v>
      </c>
      <c r="L69" s="3">
        <v>5202.34</v>
      </c>
      <c r="M69" s="3">
        <f t="shared" si="6"/>
        <v>1105000</v>
      </c>
      <c r="N69" s="3">
        <f t="shared" si="7"/>
        <v>65000</v>
      </c>
      <c r="O69" s="3">
        <f t="shared" si="8"/>
        <v>7.4104937242832651</v>
      </c>
      <c r="P69" s="3" t="str">
        <f t="shared" si="9"/>
        <v>Jan</v>
      </c>
      <c r="Q69" s="3" t="str">
        <f t="shared" si="5"/>
        <v>low profit</v>
      </c>
    </row>
    <row r="70" spans="1:17" x14ac:dyDescent="0.25">
      <c r="A70" s="3" t="s">
        <v>1457</v>
      </c>
      <c r="B70" s="4">
        <v>45670</v>
      </c>
      <c r="C70" s="3" t="s">
        <v>2024</v>
      </c>
      <c r="D70" s="3" t="s">
        <v>2044</v>
      </c>
      <c r="E70" s="3" t="s">
        <v>2055</v>
      </c>
      <c r="F70" s="3" t="s">
        <v>2062</v>
      </c>
      <c r="G70" s="3">
        <v>1</v>
      </c>
      <c r="H70" s="3">
        <v>180</v>
      </c>
      <c r="I70" s="3">
        <v>243</v>
      </c>
      <c r="J70" s="3">
        <v>19.71</v>
      </c>
      <c r="K70" s="3">
        <v>195.11</v>
      </c>
      <c r="L70" s="3">
        <v>15.11</v>
      </c>
      <c r="M70" s="3">
        <f t="shared" si="6"/>
        <v>4789.5300000000007</v>
      </c>
      <c r="N70" s="3">
        <f t="shared" si="7"/>
        <v>180</v>
      </c>
      <c r="O70" s="3">
        <f t="shared" si="8"/>
        <v>7.7443493413971591</v>
      </c>
      <c r="P70" s="3" t="str">
        <f t="shared" si="9"/>
        <v>Jan</v>
      </c>
      <c r="Q70" s="3" t="str">
        <f t="shared" si="5"/>
        <v>low profit</v>
      </c>
    </row>
    <row r="71" spans="1:17" x14ac:dyDescent="0.25">
      <c r="A71" s="3" t="s">
        <v>1490</v>
      </c>
      <c r="B71" s="4">
        <v>45670</v>
      </c>
      <c r="C71" s="3" t="s">
        <v>2014</v>
      </c>
      <c r="D71" s="3" t="s">
        <v>2034</v>
      </c>
      <c r="E71" s="3" t="s">
        <v>2052</v>
      </c>
      <c r="F71" s="3" t="s">
        <v>2059</v>
      </c>
      <c r="G71" s="3">
        <v>6</v>
      </c>
      <c r="H71" s="3">
        <v>4500</v>
      </c>
      <c r="I71" s="3">
        <v>5220</v>
      </c>
      <c r="J71" s="3">
        <v>15.64</v>
      </c>
      <c r="K71" s="3">
        <v>26421.43</v>
      </c>
      <c r="L71" s="3">
        <v>-578.57000000000005</v>
      </c>
      <c r="M71" s="3">
        <f t="shared" si="6"/>
        <v>489844.80000000005</v>
      </c>
      <c r="N71" s="3">
        <f t="shared" si="7"/>
        <v>27000</v>
      </c>
      <c r="O71" s="3">
        <f t="shared" si="8"/>
        <v>-2.1897754966328469</v>
      </c>
      <c r="P71" s="3" t="str">
        <f t="shared" si="9"/>
        <v>Jan</v>
      </c>
      <c r="Q71" s="3" t="str">
        <f t="shared" si="5"/>
        <v>loss</v>
      </c>
    </row>
    <row r="72" spans="1:17" x14ac:dyDescent="0.25">
      <c r="A72" s="3" t="s">
        <v>1502</v>
      </c>
      <c r="B72" s="4">
        <v>45670</v>
      </c>
      <c r="C72" s="3" t="s">
        <v>2017</v>
      </c>
      <c r="D72" s="3" t="s">
        <v>2037</v>
      </c>
      <c r="E72" s="3" t="s">
        <v>2055</v>
      </c>
      <c r="F72" s="3" t="s">
        <v>2060</v>
      </c>
      <c r="G72" s="3">
        <v>1</v>
      </c>
      <c r="H72" s="3">
        <v>2500</v>
      </c>
      <c r="I72" s="3">
        <v>2875</v>
      </c>
      <c r="J72" s="3">
        <v>1.2</v>
      </c>
      <c r="K72" s="3">
        <v>2840.56</v>
      </c>
      <c r="L72" s="3">
        <v>340.56</v>
      </c>
      <c r="M72" s="3">
        <f t="shared" si="6"/>
        <v>3450</v>
      </c>
      <c r="N72" s="3">
        <f t="shared" si="7"/>
        <v>2500</v>
      </c>
      <c r="O72" s="3">
        <f t="shared" si="8"/>
        <v>11.989185231081196</v>
      </c>
      <c r="P72" s="3" t="str">
        <f t="shared" si="9"/>
        <v>Jan</v>
      </c>
      <c r="Q72" s="3" t="str">
        <f t="shared" si="5"/>
        <v>good profit</v>
      </c>
    </row>
    <row r="73" spans="1:17" x14ac:dyDescent="0.25">
      <c r="A73" s="3" t="s">
        <v>1947</v>
      </c>
      <c r="B73" s="4">
        <v>45670</v>
      </c>
      <c r="C73" s="3" t="s">
        <v>2020</v>
      </c>
      <c r="D73" s="3" t="s">
        <v>2040</v>
      </c>
      <c r="E73" s="3" t="s">
        <v>2053</v>
      </c>
      <c r="F73" s="3" t="s">
        <v>2062</v>
      </c>
      <c r="G73" s="3">
        <v>3</v>
      </c>
      <c r="H73" s="3">
        <v>350</v>
      </c>
      <c r="I73" s="3">
        <v>455</v>
      </c>
      <c r="J73" s="3">
        <v>18.25</v>
      </c>
      <c r="K73" s="3">
        <v>1115.8699999999999</v>
      </c>
      <c r="L73" s="3">
        <v>65.87</v>
      </c>
      <c r="M73" s="3">
        <f t="shared" si="6"/>
        <v>24911.25</v>
      </c>
      <c r="N73" s="3">
        <f t="shared" si="7"/>
        <v>1050</v>
      </c>
      <c r="O73" s="3">
        <f t="shared" si="8"/>
        <v>5.9030173765761251</v>
      </c>
      <c r="P73" s="3" t="str">
        <f t="shared" si="9"/>
        <v>Jan</v>
      </c>
      <c r="Q73" s="3" t="str">
        <f t="shared" si="5"/>
        <v>low profit</v>
      </c>
    </row>
    <row r="74" spans="1:17" x14ac:dyDescent="0.25">
      <c r="A74" s="3" t="s">
        <v>91</v>
      </c>
      <c r="B74" s="4">
        <v>45671</v>
      </c>
      <c r="C74" s="3" t="s">
        <v>2021</v>
      </c>
      <c r="D74" s="3" t="s">
        <v>2041</v>
      </c>
      <c r="E74" s="3" t="s">
        <v>2056</v>
      </c>
      <c r="F74" s="3" t="s">
        <v>2060</v>
      </c>
      <c r="G74" s="3">
        <v>1</v>
      </c>
      <c r="H74" s="3">
        <v>300</v>
      </c>
      <c r="I74" s="3">
        <v>405</v>
      </c>
      <c r="J74" s="3">
        <v>10.93</v>
      </c>
      <c r="K74" s="3">
        <v>360.72</v>
      </c>
      <c r="L74" s="3">
        <v>60.72</v>
      </c>
      <c r="M74" s="3">
        <f t="shared" si="6"/>
        <v>4426.6499999999996</v>
      </c>
      <c r="N74" s="3">
        <f t="shared" si="7"/>
        <v>300</v>
      </c>
      <c r="O74" s="3">
        <f t="shared" si="8"/>
        <v>16.833000665335991</v>
      </c>
      <c r="P74" s="3" t="str">
        <f t="shared" si="9"/>
        <v>Jan</v>
      </c>
      <c r="Q74" s="3" t="str">
        <f t="shared" si="5"/>
        <v>good profit</v>
      </c>
    </row>
    <row r="75" spans="1:17" x14ac:dyDescent="0.25">
      <c r="A75" s="3" t="s">
        <v>179</v>
      </c>
      <c r="B75" s="4">
        <v>45671</v>
      </c>
      <c r="C75" s="3" t="s">
        <v>2024</v>
      </c>
      <c r="D75" s="3" t="s">
        <v>2044</v>
      </c>
      <c r="E75" s="3" t="s">
        <v>2055</v>
      </c>
      <c r="F75" s="3" t="s">
        <v>2059</v>
      </c>
      <c r="G75" s="3">
        <v>2</v>
      </c>
      <c r="H75" s="3">
        <v>180</v>
      </c>
      <c r="I75" s="3">
        <v>243</v>
      </c>
      <c r="J75" s="3">
        <v>17.579999999999998</v>
      </c>
      <c r="K75" s="3">
        <v>400.58</v>
      </c>
      <c r="L75" s="3">
        <v>40.58</v>
      </c>
      <c r="M75" s="3">
        <f t="shared" si="6"/>
        <v>8543.8799999999992</v>
      </c>
      <c r="N75" s="3">
        <f t="shared" si="7"/>
        <v>360</v>
      </c>
      <c r="O75" s="3">
        <f t="shared" si="8"/>
        <v>10.130311048978982</v>
      </c>
      <c r="P75" s="3" t="str">
        <f t="shared" si="9"/>
        <v>Jan</v>
      </c>
      <c r="Q75" s="3" t="str">
        <f t="shared" si="5"/>
        <v>good profit</v>
      </c>
    </row>
    <row r="76" spans="1:17" x14ac:dyDescent="0.25">
      <c r="A76" s="3" t="s">
        <v>406</v>
      </c>
      <c r="B76" s="4">
        <v>45671</v>
      </c>
      <c r="C76" s="3" t="s">
        <v>2023</v>
      </c>
      <c r="D76" s="3" t="s">
        <v>2043</v>
      </c>
      <c r="E76" s="3" t="s">
        <v>2053</v>
      </c>
      <c r="F76" s="3" t="s">
        <v>2060</v>
      </c>
      <c r="G76" s="3">
        <v>6</v>
      </c>
      <c r="H76" s="3">
        <v>550</v>
      </c>
      <c r="I76" s="3">
        <v>742.5</v>
      </c>
      <c r="J76" s="3">
        <v>12.2</v>
      </c>
      <c r="K76" s="3">
        <v>3911.41</v>
      </c>
      <c r="L76" s="3">
        <v>611.41</v>
      </c>
      <c r="M76" s="3">
        <f t="shared" si="6"/>
        <v>54351</v>
      </c>
      <c r="N76" s="3">
        <f t="shared" si="7"/>
        <v>3300</v>
      </c>
      <c r="O76" s="3">
        <f t="shared" si="8"/>
        <v>15.631447483132682</v>
      </c>
      <c r="P76" s="3" t="str">
        <f t="shared" si="9"/>
        <v>Jan</v>
      </c>
      <c r="Q76" s="3" t="str">
        <f t="shared" si="5"/>
        <v>good profit</v>
      </c>
    </row>
    <row r="77" spans="1:17" x14ac:dyDescent="0.25">
      <c r="A77" s="3" t="s">
        <v>439</v>
      </c>
      <c r="B77" s="4">
        <v>45671</v>
      </c>
      <c r="C77" s="3" t="s">
        <v>2021</v>
      </c>
      <c r="D77" s="3" t="s">
        <v>2041</v>
      </c>
      <c r="E77" s="3" t="s">
        <v>2056</v>
      </c>
      <c r="F77" s="3" t="s">
        <v>2060</v>
      </c>
      <c r="G77" s="3">
        <v>2</v>
      </c>
      <c r="H77" s="3">
        <v>300</v>
      </c>
      <c r="I77" s="3">
        <v>405</v>
      </c>
      <c r="J77" s="3">
        <v>0.77</v>
      </c>
      <c r="K77" s="3">
        <v>803.79</v>
      </c>
      <c r="L77" s="3">
        <v>203.79</v>
      </c>
      <c r="M77" s="3">
        <f t="shared" si="6"/>
        <v>623.70000000000005</v>
      </c>
      <c r="N77" s="3">
        <f t="shared" si="7"/>
        <v>600</v>
      </c>
      <c r="O77" s="3">
        <f t="shared" si="8"/>
        <v>25.353637144030156</v>
      </c>
      <c r="P77" s="3" t="str">
        <f t="shared" si="9"/>
        <v>Jan</v>
      </c>
      <c r="Q77" s="3" t="str">
        <f t="shared" si="5"/>
        <v>good profit</v>
      </c>
    </row>
    <row r="78" spans="1:17" x14ac:dyDescent="0.25">
      <c r="A78" s="3" t="s">
        <v>1365</v>
      </c>
      <c r="B78" s="4">
        <v>45671</v>
      </c>
      <c r="C78" s="3" t="s">
        <v>2028</v>
      </c>
      <c r="D78" s="3" t="s">
        <v>2048</v>
      </c>
      <c r="E78" s="3" t="s">
        <v>2057</v>
      </c>
      <c r="F78" s="3" t="s">
        <v>2061</v>
      </c>
      <c r="G78" s="3">
        <v>7</v>
      </c>
      <c r="H78" s="3">
        <v>80</v>
      </c>
      <c r="I78" s="3">
        <v>116</v>
      </c>
      <c r="J78" s="3">
        <v>10.14</v>
      </c>
      <c r="K78" s="3">
        <v>729.62</v>
      </c>
      <c r="L78" s="3">
        <v>169.62</v>
      </c>
      <c r="M78" s="3">
        <f t="shared" si="6"/>
        <v>8233.68</v>
      </c>
      <c r="N78" s="3">
        <f t="shared" si="7"/>
        <v>560</v>
      </c>
      <c r="O78" s="3">
        <f t="shared" si="8"/>
        <v>23.247717990186672</v>
      </c>
      <c r="P78" s="3" t="str">
        <f t="shared" si="9"/>
        <v>Jan</v>
      </c>
      <c r="Q78" s="3" t="str">
        <f t="shared" si="5"/>
        <v>good profit</v>
      </c>
    </row>
    <row r="79" spans="1:17" x14ac:dyDescent="0.25">
      <c r="A79" s="3" t="s">
        <v>1999</v>
      </c>
      <c r="B79" s="4">
        <v>45671</v>
      </c>
      <c r="C79" s="3" t="s">
        <v>2016</v>
      </c>
      <c r="D79" s="3" t="s">
        <v>2036</v>
      </c>
      <c r="E79" s="3" t="s">
        <v>2052</v>
      </c>
      <c r="F79" s="3" t="s">
        <v>2059</v>
      </c>
      <c r="G79" s="3">
        <v>7</v>
      </c>
      <c r="H79" s="3">
        <v>900</v>
      </c>
      <c r="I79" s="3">
        <v>1170</v>
      </c>
      <c r="J79" s="3">
        <v>8.24</v>
      </c>
      <c r="K79" s="3">
        <v>7514.76</v>
      </c>
      <c r="L79" s="3">
        <v>1214.76</v>
      </c>
      <c r="M79" s="3">
        <f t="shared" si="6"/>
        <v>67485.600000000006</v>
      </c>
      <c r="N79" s="3">
        <f t="shared" si="7"/>
        <v>6300</v>
      </c>
      <c r="O79" s="3">
        <f t="shared" si="8"/>
        <v>16.164987304983789</v>
      </c>
      <c r="P79" s="3" t="str">
        <f t="shared" si="9"/>
        <v>Jan</v>
      </c>
      <c r="Q79" s="3" t="str">
        <f t="shared" si="5"/>
        <v>good profit</v>
      </c>
    </row>
    <row r="80" spans="1:17" x14ac:dyDescent="0.25">
      <c r="A80" s="3" t="s">
        <v>897</v>
      </c>
      <c r="B80" s="4">
        <v>45672</v>
      </c>
      <c r="C80" s="3" t="s">
        <v>2016</v>
      </c>
      <c r="D80" s="3" t="s">
        <v>2036</v>
      </c>
      <c r="E80" s="3" t="s">
        <v>2052</v>
      </c>
      <c r="F80" s="3" t="s">
        <v>2059</v>
      </c>
      <c r="G80" s="3">
        <v>8</v>
      </c>
      <c r="H80" s="3">
        <v>900</v>
      </c>
      <c r="I80" s="3">
        <v>1170</v>
      </c>
      <c r="J80" s="3">
        <v>5.34</v>
      </c>
      <c r="K80" s="3">
        <v>8860.57</v>
      </c>
      <c r="L80" s="3">
        <v>1660.57</v>
      </c>
      <c r="M80" s="3">
        <f t="shared" si="6"/>
        <v>49982.400000000001</v>
      </c>
      <c r="N80" s="3">
        <f t="shared" si="7"/>
        <v>7200</v>
      </c>
      <c r="O80" s="3">
        <f t="shared" si="8"/>
        <v>18.741119363652679</v>
      </c>
      <c r="P80" s="3" t="str">
        <f t="shared" si="9"/>
        <v>Jan</v>
      </c>
      <c r="Q80" s="3" t="str">
        <f t="shared" si="5"/>
        <v>good profit</v>
      </c>
    </row>
    <row r="81" spans="1:17" x14ac:dyDescent="0.25">
      <c r="A81" s="3" t="s">
        <v>1624</v>
      </c>
      <c r="B81" s="4">
        <v>45672</v>
      </c>
      <c r="C81" s="3" t="s">
        <v>2030</v>
      </c>
      <c r="D81" s="3" t="s">
        <v>2050</v>
      </c>
      <c r="E81" s="3" t="s">
        <v>2058</v>
      </c>
      <c r="F81" s="3" t="s">
        <v>2061</v>
      </c>
      <c r="G81" s="3">
        <v>10</v>
      </c>
      <c r="H81" s="3">
        <v>1800</v>
      </c>
      <c r="I81" s="3">
        <v>2124</v>
      </c>
      <c r="J81" s="3">
        <v>14.55</v>
      </c>
      <c r="K81" s="3">
        <v>18150.240000000002</v>
      </c>
      <c r="L81" s="3">
        <v>150.24</v>
      </c>
      <c r="M81" s="3">
        <f t="shared" si="6"/>
        <v>309042</v>
      </c>
      <c r="N81" s="3">
        <f t="shared" si="7"/>
        <v>18000</v>
      </c>
      <c r="O81" s="3">
        <f t="shared" si="8"/>
        <v>0.82775764948562658</v>
      </c>
      <c r="P81" s="3" t="str">
        <f t="shared" si="9"/>
        <v>Jan</v>
      </c>
      <c r="Q81" s="3" t="str">
        <f t="shared" si="5"/>
        <v>low profit</v>
      </c>
    </row>
    <row r="82" spans="1:17" x14ac:dyDescent="0.25">
      <c r="A82" s="3" t="s">
        <v>710</v>
      </c>
      <c r="B82" s="4">
        <v>45673</v>
      </c>
      <c r="C82" s="3" t="s">
        <v>2016</v>
      </c>
      <c r="D82" s="3" t="s">
        <v>2036</v>
      </c>
      <c r="E82" s="3" t="s">
        <v>2052</v>
      </c>
      <c r="F82" s="3" t="s">
        <v>2062</v>
      </c>
      <c r="G82" s="3">
        <v>6</v>
      </c>
      <c r="H82" s="3">
        <v>900</v>
      </c>
      <c r="I82" s="3">
        <v>1170</v>
      </c>
      <c r="J82" s="3">
        <v>29.36</v>
      </c>
      <c r="K82" s="3">
        <v>4958.72</v>
      </c>
      <c r="L82" s="3">
        <v>-441.28</v>
      </c>
      <c r="M82" s="3">
        <f t="shared" si="6"/>
        <v>206107.19999999998</v>
      </c>
      <c r="N82" s="3">
        <f t="shared" si="7"/>
        <v>5400</v>
      </c>
      <c r="O82" s="3">
        <f t="shared" si="8"/>
        <v>-8.8990707279297876</v>
      </c>
      <c r="P82" s="3" t="str">
        <f t="shared" si="9"/>
        <v>Jan</v>
      </c>
      <c r="Q82" s="3" t="str">
        <f t="shared" si="5"/>
        <v>loss</v>
      </c>
    </row>
    <row r="83" spans="1:17" x14ac:dyDescent="0.25">
      <c r="A83" s="3" t="s">
        <v>870</v>
      </c>
      <c r="B83" s="4">
        <v>45673</v>
      </c>
      <c r="C83" s="3" t="s">
        <v>2029</v>
      </c>
      <c r="D83" s="3" t="s">
        <v>2049</v>
      </c>
      <c r="E83" s="3" t="s">
        <v>2055</v>
      </c>
      <c r="F83" s="3" t="s">
        <v>2061</v>
      </c>
      <c r="G83" s="3">
        <v>2</v>
      </c>
      <c r="H83" s="3">
        <v>1200</v>
      </c>
      <c r="I83" s="3">
        <v>1464</v>
      </c>
      <c r="J83" s="3">
        <v>14.82</v>
      </c>
      <c r="K83" s="3">
        <v>2494.06</v>
      </c>
      <c r="L83" s="3">
        <v>94.06</v>
      </c>
      <c r="M83" s="3">
        <f t="shared" si="6"/>
        <v>43392.959999999999</v>
      </c>
      <c r="N83" s="3">
        <f t="shared" si="7"/>
        <v>2400</v>
      </c>
      <c r="O83" s="3">
        <f t="shared" si="8"/>
        <v>3.7713607531494828</v>
      </c>
      <c r="P83" s="3" t="str">
        <f t="shared" si="9"/>
        <v>Jan</v>
      </c>
      <c r="Q83" s="3" t="str">
        <f t="shared" si="5"/>
        <v>low profit</v>
      </c>
    </row>
    <row r="84" spans="1:17" x14ac:dyDescent="0.25">
      <c r="A84" s="3" t="s">
        <v>1321</v>
      </c>
      <c r="B84" s="4">
        <v>45673</v>
      </c>
      <c r="C84" s="3" t="s">
        <v>2012</v>
      </c>
      <c r="D84" s="3" t="s">
        <v>2032</v>
      </c>
      <c r="E84" s="3" t="s">
        <v>2052</v>
      </c>
      <c r="F84" s="3" t="s">
        <v>2062</v>
      </c>
      <c r="G84" s="3">
        <v>1</v>
      </c>
      <c r="H84" s="3">
        <v>6500</v>
      </c>
      <c r="I84" s="3">
        <v>8125</v>
      </c>
      <c r="J84" s="3">
        <v>17.68</v>
      </c>
      <c r="K84" s="3">
        <v>6688.56</v>
      </c>
      <c r="L84" s="3">
        <v>188.56</v>
      </c>
      <c r="M84" s="3">
        <f t="shared" si="6"/>
        <v>143650</v>
      </c>
      <c r="N84" s="3">
        <f t="shared" si="7"/>
        <v>6500</v>
      </c>
      <c r="O84" s="3">
        <f t="shared" si="8"/>
        <v>2.8191419378760152</v>
      </c>
      <c r="P84" s="3" t="str">
        <f t="shared" si="9"/>
        <v>Jan</v>
      </c>
      <c r="Q84" s="3" t="str">
        <f t="shared" si="5"/>
        <v>low profit</v>
      </c>
    </row>
    <row r="85" spans="1:17" x14ac:dyDescent="0.25">
      <c r="A85" s="3" t="s">
        <v>1462</v>
      </c>
      <c r="B85" s="4">
        <v>45673</v>
      </c>
      <c r="C85" s="3" t="s">
        <v>2030</v>
      </c>
      <c r="D85" s="3" t="s">
        <v>2050</v>
      </c>
      <c r="E85" s="3" t="s">
        <v>2058</v>
      </c>
      <c r="F85" s="3" t="s">
        <v>2060</v>
      </c>
      <c r="G85" s="3">
        <v>7</v>
      </c>
      <c r="H85" s="3">
        <v>1800</v>
      </c>
      <c r="I85" s="3">
        <v>2124</v>
      </c>
      <c r="J85" s="3">
        <v>20.48</v>
      </c>
      <c r="K85" s="3">
        <v>11822.66</v>
      </c>
      <c r="L85" s="3">
        <v>-777.34</v>
      </c>
      <c r="M85" s="3">
        <f t="shared" si="6"/>
        <v>304496.64000000001</v>
      </c>
      <c r="N85" s="3">
        <f t="shared" si="7"/>
        <v>12600</v>
      </c>
      <c r="O85" s="3">
        <f t="shared" si="8"/>
        <v>-6.5750008881250075</v>
      </c>
      <c r="P85" s="3" t="str">
        <f t="shared" si="9"/>
        <v>Jan</v>
      </c>
      <c r="Q85" s="3" t="str">
        <f t="shared" si="5"/>
        <v>loss</v>
      </c>
    </row>
    <row r="86" spans="1:17" x14ac:dyDescent="0.25">
      <c r="A86" s="3" t="s">
        <v>1550</v>
      </c>
      <c r="B86" s="4">
        <v>45673</v>
      </c>
      <c r="C86" s="3" t="s">
        <v>2022</v>
      </c>
      <c r="D86" s="3" t="s">
        <v>2042</v>
      </c>
      <c r="E86" s="3" t="s">
        <v>2053</v>
      </c>
      <c r="F86" s="3" t="s">
        <v>2060</v>
      </c>
      <c r="G86" s="3">
        <v>6</v>
      </c>
      <c r="H86" s="3">
        <v>8500</v>
      </c>
      <c r="I86" s="3">
        <v>9520</v>
      </c>
      <c r="J86" s="3">
        <v>19.29</v>
      </c>
      <c r="K86" s="3">
        <v>46100.43</v>
      </c>
      <c r="L86" s="3">
        <v>-4899.57</v>
      </c>
      <c r="M86" s="3">
        <f t="shared" si="6"/>
        <v>1101844.8</v>
      </c>
      <c r="N86" s="3">
        <f t="shared" si="7"/>
        <v>51000</v>
      </c>
      <c r="O86" s="3">
        <f t="shared" si="8"/>
        <v>-10.628035356720099</v>
      </c>
      <c r="P86" s="3" t="str">
        <f t="shared" si="9"/>
        <v>Jan</v>
      </c>
      <c r="Q86" s="3" t="str">
        <f t="shared" si="5"/>
        <v>loss</v>
      </c>
    </row>
    <row r="87" spans="1:17" x14ac:dyDescent="0.25">
      <c r="A87" s="3" t="s">
        <v>1861</v>
      </c>
      <c r="B87" s="4">
        <v>45673</v>
      </c>
      <c r="C87" s="3" t="s">
        <v>2014</v>
      </c>
      <c r="D87" s="3" t="s">
        <v>2034</v>
      </c>
      <c r="E87" s="3" t="s">
        <v>2052</v>
      </c>
      <c r="F87" s="3" t="s">
        <v>2059</v>
      </c>
      <c r="G87" s="3">
        <v>4</v>
      </c>
      <c r="H87" s="3">
        <v>4500</v>
      </c>
      <c r="I87" s="3">
        <v>5220</v>
      </c>
      <c r="J87" s="3">
        <v>8.0500000000000007</v>
      </c>
      <c r="K87" s="3">
        <v>19198.73</v>
      </c>
      <c r="L87" s="3">
        <v>1198.73</v>
      </c>
      <c r="M87" s="3">
        <f t="shared" si="6"/>
        <v>168084.00000000003</v>
      </c>
      <c r="N87" s="3">
        <f t="shared" si="7"/>
        <v>18000</v>
      </c>
      <c r="O87" s="3">
        <f t="shared" si="8"/>
        <v>6.2437984179161852</v>
      </c>
      <c r="P87" s="3" t="str">
        <f t="shared" si="9"/>
        <v>Jan</v>
      </c>
      <c r="Q87" s="3" t="str">
        <f t="shared" si="5"/>
        <v>low profit</v>
      </c>
    </row>
    <row r="88" spans="1:17" x14ac:dyDescent="0.25">
      <c r="A88" s="3" t="s">
        <v>225</v>
      </c>
      <c r="B88" s="4">
        <v>45674</v>
      </c>
      <c r="C88" s="3" t="s">
        <v>2029</v>
      </c>
      <c r="D88" s="3" t="s">
        <v>2049</v>
      </c>
      <c r="E88" s="3" t="s">
        <v>2055</v>
      </c>
      <c r="F88" s="3" t="s">
        <v>2061</v>
      </c>
      <c r="G88" s="3">
        <v>6</v>
      </c>
      <c r="H88" s="3">
        <v>1200</v>
      </c>
      <c r="I88" s="3">
        <v>1464</v>
      </c>
      <c r="J88" s="3">
        <v>5.25</v>
      </c>
      <c r="K88" s="3">
        <v>8322.68</v>
      </c>
      <c r="L88" s="3">
        <v>1122.68</v>
      </c>
      <c r="M88" s="3">
        <f t="shared" si="6"/>
        <v>46116</v>
      </c>
      <c r="N88" s="3">
        <f t="shared" si="7"/>
        <v>7200</v>
      </c>
      <c r="O88" s="3">
        <f t="shared" si="8"/>
        <v>13.489404855166844</v>
      </c>
      <c r="P88" s="3" t="str">
        <f t="shared" si="9"/>
        <v>Jan</v>
      </c>
      <c r="Q88" s="3" t="str">
        <f t="shared" si="5"/>
        <v>good profit</v>
      </c>
    </row>
    <row r="89" spans="1:17" x14ac:dyDescent="0.25">
      <c r="A89" s="3" t="s">
        <v>259</v>
      </c>
      <c r="B89" s="4">
        <v>45674</v>
      </c>
      <c r="C89" s="3" t="s">
        <v>2029</v>
      </c>
      <c r="D89" s="3" t="s">
        <v>2049</v>
      </c>
      <c r="E89" s="3" t="s">
        <v>2055</v>
      </c>
      <c r="F89" s="3" t="s">
        <v>2060</v>
      </c>
      <c r="G89" s="3">
        <v>2</v>
      </c>
      <c r="H89" s="3">
        <v>1200</v>
      </c>
      <c r="I89" s="3">
        <v>1464</v>
      </c>
      <c r="J89" s="3">
        <v>8.77</v>
      </c>
      <c r="K89" s="3">
        <v>2671.17</v>
      </c>
      <c r="L89" s="3">
        <v>271.17</v>
      </c>
      <c r="M89" s="3">
        <f t="shared" si="6"/>
        <v>25678.559999999998</v>
      </c>
      <c r="N89" s="3">
        <f t="shared" si="7"/>
        <v>2400</v>
      </c>
      <c r="O89" s="3">
        <f t="shared" si="8"/>
        <v>10.151731263828211</v>
      </c>
      <c r="P89" s="3" t="str">
        <f t="shared" si="9"/>
        <v>Jan</v>
      </c>
      <c r="Q89" s="3" t="str">
        <f t="shared" si="5"/>
        <v>good profit</v>
      </c>
    </row>
    <row r="90" spans="1:17" x14ac:dyDescent="0.25">
      <c r="A90" s="3" t="s">
        <v>611</v>
      </c>
      <c r="B90" s="4">
        <v>45674</v>
      </c>
      <c r="C90" s="3" t="s">
        <v>2020</v>
      </c>
      <c r="D90" s="3" t="s">
        <v>2040</v>
      </c>
      <c r="E90" s="3" t="s">
        <v>2053</v>
      </c>
      <c r="F90" s="3" t="s">
        <v>2061</v>
      </c>
      <c r="G90" s="3">
        <v>4</v>
      </c>
      <c r="H90" s="3">
        <v>350</v>
      </c>
      <c r="I90" s="3">
        <v>455</v>
      </c>
      <c r="J90" s="3">
        <v>17.28</v>
      </c>
      <c r="K90" s="3">
        <v>1505.44</v>
      </c>
      <c r="L90" s="3">
        <v>105.44</v>
      </c>
      <c r="M90" s="3">
        <f t="shared" si="6"/>
        <v>31449.600000000002</v>
      </c>
      <c r="N90" s="3">
        <f t="shared" si="7"/>
        <v>1400</v>
      </c>
      <c r="O90" s="3">
        <f t="shared" si="8"/>
        <v>7.0039324051440106</v>
      </c>
      <c r="P90" s="3" t="str">
        <f t="shared" si="9"/>
        <v>Jan</v>
      </c>
      <c r="Q90" s="3" t="str">
        <f t="shared" si="5"/>
        <v>low profit</v>
      </c>
    </row>
    <row r="91" spans="1:17" x14ac:dyDescent="0.25">
      <c r="A91" s="3" t="s">
        <v>969</v>
      </c>
      <c r="B91" s="4">
        <v>45674</v>
      </c>
      <c r="C91" s="3" t="s">
        <v>2031</v>
      </c>
      <c r="D91" s="3" t="s">
        <v>2051</v>
      </c>
      <c r="E91" s="3" t="s">
        <v>2058</v>
      </c>
      <c r="F91" s="3" t="s">
        <v>2062</v>
      </c>
      <c r="G91" s="3">
        <v>6</v>
      </c>
      <c r="H91" s="3">
        <v>3200</v>
      </c>
      <c r="I91" s="3">
        <v>3840</v>
      </c>
      <c r="J91" s="3">
        <v>4</v>
      </c>
      <c r="K91" s="3">
        <v>22118.400000000001</v>
      </c>
      <c r="L91" s="3">
        <v>2918.4</v>
      </c>
      <c r="M91" s="3">
        <f t="shared" si="6"/>
        <v>92160</v>
      </c>
      <c r="N91" s="3">
        <f t="shared" si="7"/>
        <v>19200</v>
      </c>
      <c r="O91" s="3">
        <f t="shared" si="8"/>
        <v>13.194444444444445</v>
      </c>
      <c r="P91" s="3" t="str">
        <f t="shared" si="9"/>
        <v>Jan</v>
      </c>
      <c r="Q91" s="3" t="str">
        <f t="shared" si="5"/>
        <v>good profit</v>
      </c>
    </row>
    <row r="92" spans="1:17" x14ac:dyDescent="0.25">
      <c r="A92" s="3" t="s">
        <v>1209</v>
      </c>
      <c r="B92" s="4">
        <v>45674</v>
      </c>
      <c r="C92" s="3" t="s">
        <v>2021</v>
      </c>
      <c r="D92" s="3" t="s">
        <v>2041</v>
      </c>
      <c r="E92" s="3" t="s">
        <v>2056</v>
      </c>
      <c r="F92" s="3" t="s">
        <v>2060</v>
      </c>
      <c r="G92" s="3">
        <v>10</v>
      </c>
      <c r="H92" s="3">
        <v>300</v>
      </c>
      <c r="I92" s="3">
        <v>405</v>
      </c>
      <c r="J92" s="3">
        <v>10.28</v>
      </c>
      <c r="K92" s="3">
        <v>3633.7</v>
      </c>
      <c r="L92" s="3">
        <v>633.70000000000005</v>
      </c>
      <c r="M92" s="3">
        <f t="shared" si="6"/>
        <v>41634</v>
      </c>
      <c r="N92" s="3">
        <f t="shared" si="7"/>
        <v>3000</v>
      </c>
      <c r="O92" s="3">
        <f t="shared" si="8"/>
        <v>17.439524451660844</v>
      </c>
      <c r="P92" s="3" t="str">
        <f t="shared" si="9"/>
        <v>Jan</v>
      </c>
      <c r="Q92" s="3" t="str">
        <f t="shared" si="5"/>
        <v>good profit</v>
      </c>
    </row>
    <row r="93" spans="1:17" x14ac:dyDescent="0.25">
      <c r="A93" s="3" t="s">
        <v>1513</v>
      </c>
      <c r="B93" s="4">
        <v>45674</v>
      </c>
      <c r="C93" s="3" t="s">
        <v>2014</v>
      </c>
      <c r="D93" s="3" t="s">
        <v>2034</v>
      </c>
      <c r="E93" s="3" t="s">
        <v>2052</v>
      </c>
      <c r="F93" s="3" t="s">
        <v>2060</v>
      </c>
      <c r="G93" s="3">
        <v>7</v>
      </c>
      <c r="H93" s="3">
        <v>4500</v>
      </c>
      <c r="I93" s="3">
        <v>5220</v>
      </c>
      <c r="J93" s="3">
        <v>7.54</v>
      </c>
      <c r="K93" s="3">
        <v>33786.03</v>
      </c>
      <c r="L93" s="3">
        <v>2286.0300000000002</v>
      </c>
      <c r="M93" s="3">
        <f t="shared" si="6"/>
        <v>275511.59999999998</v>
      </c>
      <c r="N93" s="3">
        <f t="shared" si="7"/>
        <v>31500</v>
      </c>
      <c r="O93" s="3">
        <f t="shared" si="8"/>
        <v>6.7661989289656121</v>
      </c>
      <c r="P93" s="3" t="str">
        <f t="shared" si="9"/>
        <v>Jan</v>
      </c>
      <c r="Q93" s="3" t="str">
        <f t="shared" si="5"/>
        <v>low profit</v>
      </c>
    </row>
    <row r="94" spans="1:17" x14ac:dyDescent="0.25">
      <c r="A94" s="3" t="s">
        <v>1588</v>
      </c>
      <c r="B94" s="4">
        <v>45674</v>
      </c>
      <c r="C94" s="3" t="s">
        <v>2021</v>
      </c>
      <c r="D94" s="3" t="s">
        <v>2041</v>
      </c>
      <c r="E94" s="3" t="s">
        <v>2056</v>
      </c>
      <c r="F94" s="3" t="s">
        <v>2059</v>
      </c>
      <c r="G94" s="3">
        <v>6</v>
      </c>
      <c r="H94" s="3">
        <v>300</v>
      </c>
      <c r="I94" s="3">
        <v>405</v>
      </c>
      <c r="J94" s="3">
        <v>14.02</v>
      </c>
      <c r="K94" s="3">
        <v>2089.3000000000002</v>
      </c>
      <c r="L94" s="3">
        <v>289.3</v>
      </c>
      <c r="M94" s="3">
        <f t="shared" si="6"/>
        <v>34068.6</v>
      </c>
      <c r="N94" s="3">
        <f t="shared" si="7"/>
        <v>1800</v>
      </c>
      <c r="O94" s="3">
        <f t="shared" si="8"/>
        <v>13.84674292825348</v>
      </c>
      <c r="P94" s="3" t="str">
        <f t="shared" si="9"/>
        <v>Jan</v>
      </c>
      <c r="Q94" s="3" t="str">
        <f t="shared" si="5"/>
        <v>good profit</v>
      </c>
    </row>
    <row r="95" spans="1:17" x14ac:dyDescent="0.25">
      <c r="A95" s="3" t="s">
        <v>1747</v>
      </c>
      <c r="B95" s="4">
        <v>45674</v>
      </c>
      <c r="C95" s="3" t="s">
        <v>2023</v>
      </c>
      <c r="D95" s="3" t="s">
        <v>2043</v>
      </c>
      <c r="E95" s="3" t="s">
        <v>2053</v>
      </c>
      <c r="F95" s="3" t="s">
        <v>2060</v>
      </c>
      <c r="G95" s="3">
        <v>7</v>
      </c>
      <c r="H95" s="3">
        <v>550</v>
      </c>
      <c r="I95" s="3">
        <v>742.5</v>
      </c>
      <c r="J95" s="3">
        <v>18.600000000000001</v>
      </c>
      <c r="K95" s="3">
        <v>4230.92</v>
      </c>
      <c r="L95" s="3">
        <v>380.92</v>
      </c>
      <c r="M95" s="3">
        <f t="shared" si="6"/>
        <v>96673.500000000015</v>
      </c>
      <c r="N95" s="3">
        <f t="shared" si="7"/>
        <v>3850</v>
      </c>
      <c r="O95" s="3">
        <f t="shared" si="8"/>
        <v>9.0032427935295392</v>
      </c>
      <c r="P95" s="3" t="str">
        <f t="shared" si="9"/>
        <v>Jan</v>
      </c>
      <c r="Q95" s="3" t="str">
        <f t="shared" si="5"/>
        <v>low profit</v>
      </c>
    </row>
    <row r="96" spans="1:17" x14ac:dyDescent="0.25">
      <c r="A96" s="3" t="s">
        <v>332</v>
      </c>
      <c r="B96" s="4">
        <v>45675</v>
      </c>
      <c r="C96" s="3" t="s">
        <v>2012</v>
      </c>
      <c r="D96" s="3" t="s">
        <v>2032</v>
      </c>
      <c r="E96" s="3" t="s">
        <v>2052</v>
      </c>
      <c r="F96" s="3" t="s">
        <v>2061</v>
      </c>
      <c r="G96" s="3">
        <v>8</v>
      </c>
      <c r="H96" s="3">
        <v>6500</v>
      </c>
      <c r="I96" s="3">
        <v>8125</v>
      </c>
      <c r="J96" s="3">
        <v>5.71</v>
      </c>
      <c r="K96" s="3">
        <v>61286.18</v>
      </c>
      <c r="L96" s="3">
        <v>9286.18</v>
      </c>
      <c r="M96" s="3">
        <f t="shared" si="6"/>
        <v>371150</v>
      </c>
      <c r="N96" s="3">
        <f t="shared" si="7"/>
        <v>52000</v>
      </c>
      <c r="O96" s="3">
        <f t="shared" si="8"/>
        <v>15.152159915987584</v>
      </c>
      <c r="P96" s="3" t="str">
        <f t="shared" si="9"/>
        <v>Jan</v>
      </c>
      <c r="Q96" s="3" t="str">
        <f t="shared" si="5"/>
        <v>good profit</v>
      </c>
    </row>
    <row r="97" spans="1:17" x14ac:dyDescent="0.25">
      <c r="A97" s="3" t="s">
        <v>369</v>
      </c>
      <c r="B97" s="4">
        <v>45676</v>
      </c>
      <c r="C97" s="3" t="s">
        <v>2031</v>
      </c>
      <c r="D97" s="3" t="s">
        <v>2051</v>
      </c>
      <c r="E97" s="3" t="s">
        <v>2058</v>
      </c>
      <c r="F97" s="3" t="s">
        <v>2060</v>
      </c>
      <c r="G97" s="3">
        <v>4</v>
      </c>
      <c r="H97" s="3">
        <v>3200</v>
      </c>
      <c r="I97" s="3">
        <v>3840</v>
      </c>
      <c r="J97" s="3">
        <v>14.42</v>
      </c>
      <c r="K97" s="3">
        <v>13145.85</v>
      </c>
      <c r="L97" s="3">
        <v>345.85</v>
      </c>
      <c r="M97" s="3">
        <f t="shared" si="6"/>
        <v>221491.20000000001</v>
      </c>
      <c r="N97" s="3">
        <f t="shared" si="7"/>
        <v>12800</v>
      </c>
      <c r="O97" s="3">
        <f t="shared" si="8"/>
        <v>2.6308682968389263</v>
      </c>
      <c r="P97" s="3" t="str">
        <f t="shared" si="9"/>
        <v>Jan</v>
      </c>
      <c r="Q97" s="3" t="str">
        <f t="shared" si="5"/>
        <v>low profit</v>
      </c>
    </row>
    <row r="98" spans="1:17" x14ac:dyDescent="0.25">
      <c r="A98" s="3" t="s">
        <v>465</v>
      </c>
      <c r="B98" s="4">
        <v>45676</v>
      </c>
      <c r="C98" s="3" t="s">
        <v>2019</v>
      </c>
      <c r="D98" s="3" t="s">
        <v>2039</v>
      </c>
      <c r="E98" s="3" t="s">
        <v>2053</v>
      </c>
      <c r="F98" s="3" t="s">
        <v>2060</v>
      </c>
      <c r="G98" s="3">
        <v>3</v>
      </c>
      <c r="H98" s="3">
        <v>900</v>
      </c>
      <c r="I98" s="3">
        <v>1152</v>
      </c>
      <c r="J98" s="3">
        <v>20.079999999999998</v>
      </c>
      <c r="K98" s="3">
        <v>2761.89</v>
      </c>
      <c r="L98" s="3">
        <v>61.89</v>
      </c>
      <c r="M98" s="3">
        <f t="shared" si="6"/>
        <v>69396.479999999996</v>
      </c>
      <c r="N98" s="3">
        <f t="shared" si="7"/>
        <v>2700</v>
      </c>
      <c r="O98" s="3">
        <f t="shared" si="8"/>
        <v>2.2408568045794728</v>
      </c>
      <c r="P98" s="3" t="str">
        <f t="shared" si="9"/>
        <v>Jan</v>
      </c>
      <c r="Q98" s="3" t="str">
        <f t="shared" si="5"/>
        <v>low profit</v>
      </c>
    </row>
    <row r="99" spans="1:17" x14ac:dyDescent="0.25">
      <c r="A99" s="3" t="s">
        <v>987</v>
      </c>
      <c r="B99" s="4">
        <v>45676</v>
      </c>
      <c r="C99" s="3" t="s">
        <v>2017</v>
      </c>
      <c r="D99" s="3" t="s">
        <v>2037</v>
      </c>
      <c r="E99" s="3" t="s">
        <v>2055</v>
      </c>
      <c r="F99" s="3" t="s">
        <v>2060</v>
      </c>
      <c r="G99" s="3">
        <v>10</v>
      </c>
      <c r="H99" s="3">
        <v>2500</v>
      </c>
      <c r="I99" s="3">
        <v>2875</v>
      </c>
      <c r="J99" s="3">
        <v>9.86</v>
      </c>
      <c r="K99" s="3">
        <v>25915.61</v>
      </c>
      <c r="L99" s="3">
        <v>915.61</v>
      </c>
      <c r="M99" s="3">
        <f t="shared" si="6"/>
        <v>283475</v>
      </c>
      <c r="N99" s="3">
        <f t="shared" si="7"/>
        <v>25000</v>
      </c>
      <c r="O99" s="3">
        <f t="shared" si="8"/>
        <v>3.5330443697833078</v>
      </c>
      <c r="P99" s="3" t="str">
        <f t="shared" si="9"/>
        <v>Jan</v>
      </c>
      <c r="Q99" s="3" t="str">
        <f t="shared" si="5"/>
        <v>low profit</v>
      </c>
    </row>
    <row r="100" spans="1:17" x14ac:dyDescent="0.25">
      <c r="A100" s="3" t="s">
        <v>1277</v>
      </c>
      <c r="B100" s="4">
        <v>45676</v>
      </c>
      <c r="C100" s="3" t="s">
        <v>2025</v>
      </c>
      <c r="D100" s="3" t="s">
        <v>2045</v>
      </c>
      <c r="E100" s="3" t="s">
        <v>2057</v>
      </c>
      <c r="F100" s="3" t="s">
        <v>2061</v>
      </c>
      <c r="G100" s="3">
        <v>2</v>
      </c>
      <c r="H100" s="3">
        <v>45</v>
      </c>
      <c r="I100" s="3">
        <v>63</v>
      </c>
      <c r="J100" s="3">
        <v>10.02</v>
      </c>
      <c r="K100" s="3">
        <v>113.38</v>
      </c>
      <c r="L100" s="3">
        <v>23.38</v>
      </c>
      <c r="M100" s="3">
        <f t="shared" si="6"/>
        <v>1262.52</v>
      </c>
      <c r="N100" s="3">
        <f t="shared" si="7"/>
        <v>90</v>
      </c>
      <c r="O100" s="3">
        <f t="shared" si="8"/>
        <v>20.62092079731875</v>
      </c>
      <c r="P100" s="3" t="str">
        <f t="shared" si="9"/>
        <v>Jan</v>
      </c>
      <c r="Q100" s="3" t="str">
        <f t="shared" si="5"/>
        <v>good profit</v>
      </c>
    </row>
    <row r="101" spans="1:17" x14ac:dyDescent="0.25">
      <c r="A101" s="3" t="s">
        <v>1670</v>
      </c>
      <c r="B101" s="4">
        <v>45676</v>
      </c>
      <c r="C101" s="3" t="s">
        <v>2016</v>
      </c>
      <c r="D101" s="3" t="s">
        <v>2036</v>
      </c>
      <c r="E101" s="3" t="s">
        <v>2052</v>
      </c>
      <c r="F101" s="3" t="s">
        <v>2061</v>
      </c>
      <c r="G101" s="3">
        <v>1</v>
      </c>
      <c r="H101" s="3">
        <v>900</v>
      </c>
      <c r="I101" s="3">
        <v>1170</v>
      </c>
      <c r="J101" s="3">
        <v>8.4600000000000009</v>
      </c>
      <c r="K101" s="3">
        <v>1071.05</v>
      </c>
      <c r="L101" s="3">
        <v>171.05</v>
      </c>
      <c r="M101" s="3">
        <f t="shared" si="6"/>
        <v>9898.2000000000007</v>
      </c>
      <c r="N101" s="3">
        <f t="shared" si="7"/>
        <v>900</v>
      </c>
      <c r="O101" s="3">
        <f t="shared" si="8"/>
        <v>15.970309509359975</v>
      </c>
      <c r="P101" s="3" t="str">
        <f t="shared" si="9"/>
        <v>Jan</v>
      </c>
      <c r="Q101" s="3" t="str">
        <f t="shared" si="5"/>
        <v>good profit</v>
      </c>
    </row>
    <row r="102" spans="1:17" x14ac:dyDescent="0.25">
      <c r="A102" s="3" t="s">
        <v>1988</v>
      </c>
      <c r="B102" s="4">
        <v>45676</v>
      </c>
      <c r="C102" s="3" t="s">
        <v>2022</v>
      </c>
      <c r="D102" s="3" t="s">
        <v>2042</v>
      </c>
      <c r="E102" s="3" t="s">
        <v>2053</v>
      </c>
      <c r="F102" s="3" t="s">
        <v>2062</v>
      </c>
      <c r="G102" s="3">
        <v>1</v>
      </c>
      <c r="H102" s="3">
        <v>8500</v>
      </c>
      <c r="I102" s="3">
        <v>9520</v>
      </c>
      <c r="J102" s="3">
        <v>4.8600000000000003</v>
      </c>
      <c r="K102" s="3">
        <v>9057.09</v>
      </c>
      <c r="L102" s="3">
        <v>557.09</v>
      </c>
      <c r="M102" s="3">
        <f t="shared" si="6"/>
        <v>46267.200000000004</v>
      </c>
      <c r="N102" s="3">
        <f t="shared" si="7"/>
        <v>8500</v>
      </c>
      <c r="O102" s="3">
        <f t="shared" si="8"/>
        <v>6.1508718584004356</v>
      </c>
      <c r="P102" s="3" t="str">
        <f t="shared" si="9"/>
        <v>Jan</v>
      </c>
      <c r="Q102" s="3" t="str">
        <f t="shared" si="5"/>
        <v>low profit</v>
      </c>
    </row>
    <row r="103" spans="1:17" x14ac:dyDescent="0.25">
      <c r="A103" s="3" t="s">
        <v>129</v>
      </c>
      <c r="B103" s="4">
        <v>45677</v>
      </c>
      <c r="C103" s="3" t="s">
        <v>2025</v>
      </c>
      <c r="D103" s="3" t="s">
        <v>2045</v>
      </c>
      <c r="E103" s="3" t="s">
        <v>2057</v>
      </c>
      <c r="F103" s="3" t="s">
        <v>2061</v>
      </c>
      <c r="G103" s="3">
        <v>2</v>
      </c>
      <c r="H103" s="3">
        <v>45</v>
      </c>
      <c r="I103" s="3">
        <v>63</v>
      </c>
      <c r="J103" s="3">
        <v>5.43</v>
      </c>
      <c r="K103" s="3">
        <v>119.16</v>
      </c>
      <c r="L103" s="3">
        <v>29.16</v>
      </c>
      <c r="M103" s="3">
        <f t="shared" si="6"/>
        <v>684.18</v>
      </c>
      <c r="N103" s="3">
        <f t="shared" si="7"/>
        <v>90</v>
      </c>
      <c r="O103" s="3">
        <f t="shared" si="8"/>
        <v>24.471299093655592</v>
      </c>
      <c r="P103" s="3" t="str">
        <f t="shared" si="9"/>
        <v>Jan</v>
      </c>
      <c r="Q103" s="3" t="str">
        <f t="shared" si="5"/>
        <v>good profit</v>
      </c>
    </row>
    <row r="104" spans="1:17" x14ac:dyDescent="0.25">
      <c r="A104" s="3" t="s">
        <v>408</v>
      </c>
      <c r="B104" s="4">
        <v>45677</v>
      </c>
      <c r="C104" s="3" t="s">
        <v>2025</v>
      </c>
      <c r="D104" s="3" t="s">
        <v>2045</v>
      </c>
      <c r="E104" s="3" t="s">
        <v>2057</v>
      </c>
      <c r="F104" s="3" t="s">
        <v>2061</v>
      </c>
      <c r="G104" s="3">
        <v>3</v>
      </c>
      <c r="H104" s="3">
        <v>45</v>
      </c>
      <c r="I104" s="3">
        <v>63</v>
      </c>
      <c r="J104" s="3">
        <v>9.91</v>
      </c>
      <c r="K104" s="3">
        <v>170.27</v>
      </c>
      <c r="L104" s="3">
        <v>35.270000000000003</v>
      </c>
      <c r="M104" s="3">
        <f t="shared" si="6"/>
        <v>1872.99</v>
      </c>
      <c r="N104" s="3">
        <f t="shared" si="7"/>
        <v>135</v>
      </c>
      <c r="O104" s="3">
        <f t="shared" si="8"/>
        <v>20.714159863745817</v>
      </c>
      <c r="P104" s="3" t="str">
        <f t="shared" si="9"/>
        <v>Jan</v>
      </c>
      <c r="Q104" s="3" t="str">
        <f t="shared" si="5"/>
        <v>good profit</v>
      </c>
    </row>
    <row r="105" spans="1:17" x14ac:dyDescent="0.25">
      <c r="A105" s="3" t="s">
        <v>420</v>
      </c>
      <c r="B105" s="4">
        <v>45677</v>
      </c>
      <c r="C105" s="3" t="s">
        <v>2026</v>
      </c>
      <c r="D105" s="3" t="s">
        <v>2046</v>
      </c>
      <c r="E105" s="3" t="s">
        <v>2052</v>
      </c>
      <c r="F105" s="3" t="s">
        <v>2060</v>
      </c>
      <c r="G105" s="3">
        <v>4</v>
      </c>
      <c r="H105" s="3">
        <v>3000</v>
      </c>
      <c r="I105" s="3">
        <v>3600</v>
      </c>
      <c r="J105" s="3">
        <v>23.44</v>
      </c>
      <c r="K105" s="3">
        <v>11024.33</v>
      </c>
      <c r="L105" s="3">
        <v>-975.67</v>
      </c>
      <c r="M105" s="3">
        <f t="shared" si="6"/>
        <v>337536</v>
      </c>
      <c r="N105" s="3">
        <f t="shared" si="7"/>
        <v>12000</v>
      </c>
      <c r="O105" s="3">
        <f t="shared" si="8"/>
        <v>-8.8501523448590529</v>
      </c>
      <c r="P105" s="3" t="str">
        <f t="shared" si="9"/>
        <v>Jan</v>
      </c>
      <c r="Q105" s="3" t="str">
        <f t="shared" si="5"/>
        <v>loss</v>
      </c>
    </row>
    <row r="106" spans="1:17" x14ac:dyDescent="0.25">
      <c r="A106" s="3" t="s">
        <v>433</v>
      </c>
      <c r="B106" s="4">
        <v>45677</v>
      </c>
      <c r="C106" s="3" t="s">
        <v>2019</v>
      </c>
      <c r="D106" s="3" t="s">
        <v>2039</v>
      </c>
      <c r="E106" s="3" t="s">
        <v>2053</v>
      </c>
      <c r="F106" s="3" t="s">
        <v>2059</v>
      </c>
      <c r="G106" s="3">
        <v>6</v>
      </c>
      <c r="H106" s="3">
        <v>900</v>
      </c>
      <c r="I106" s="3">
        <v>1152</v>
      </c>
      <c r="J106" s="3">
        <v>2.5499999999999998</v>
      </c>
      <c r="K106" s="3">
        <v>6736.09</v>
      </c>
      <c r="L106" s="3">
        <v>1336.09</v>
      </c>
      <c r="M106" s="3">
        <f t="shared" si="6"/>
        <v>17625.599999999999</v>
      </c>
      <c r="N106" s="3">
        <f t="shared" si="7"/>
        <v>5400</v>
      </c>
      <c r="O106" s="3">
        <f t="shared" si="8"/>
        <v>19.834800307003022</v>
      </c>
      <c r="P106" s="3" t="str">
        <f t="shared" si="9"/>
        <v>Jan</v>
      </c>
      <c r="Q106" s="3" t="str">
        <f t="shared" si="5"/>
        <v>good profit</v>
      </c>
    </row>
    <row r="107" spans="1:17" x14ac:dyDescent="0.25">
      <c r="A107" s="3" t="s">
        <v>642</v>
      </c>
      <c r="B107" s="4">
        <v>45677</v>
      </c>
      <c r="C107" s="3" t="s">
        <v>2030</v>
      </c>
      <c r="D107" s="3" t="s">
        <v>2050</v>
      </c>
      <c r="E107" s="3" t="s">
        <v>2058</v>
      </c>
      <c r="F107" s="3" t="s">
        <v>2059</v>
      </c>
      <c r="G107" s="3">
        <v>9</v>
      </c>
      <c r="H107" s="3">
        <v>1800</v>
      </c>
      <c r="I107" s="3">
        <v>2124</v>
      </c>
      <c r="J107" s="3">
        <v>6.35</v>
      </c>
      <c r="K107" s="3">
        <v>17902.98</v>
      </c>
      <c r="L107" s="3">
        <v>1702.98</v>
      </c>
      <c r="M107" s="3">
        <f t="shared" si="6"/>
        <v>121386.59999999999</v>
      </c>
      <c r="N107" s="3">
        <f t="shared" si="7"/>
        <v>16200</v>
      </c>
      <c r="O107" s="3">
        <f t="shared" si="8"/>
        <v>9.5122711414524286</v>
      </c>
      <c r="P107" s="3" t="str">
        <f t="shared" si="9"/>
        <v>Jan</v>
      </c>
      <c r="Q107" s="3" t="str">
        <f t="shared" si="5"/>
        <v>low profit</v>
      </c>
    </row>
    <row r="108" spans="1:17" x14ac:dyDescent="0.25">
      <c r="A108" s="3" t="s">
        <v>1205</v>
      </c>
      <c r="B108" s="4">
        <v>45677</v>
      </c>
      <c r="C108" s="3" t="s">
        <v>2019</v>
      </c>
      <c r="D108" s="3" t="s">
        <v>2039</v>
      </c>
      <c r="E108" s="3" t="s">
        <v>2053</v>
      </c>
      <c r="F108" s="3" t="s">
        <v>2061</v>
      </c>
      <c r="G108" s="3">
        <v>6</v>
      </c>
      <c r="H108" s="3">
        <v>900</v>
      </c>
      <c r="I108" s="3">
        <v>1152</v>
      </c>
      <c r="J108" s="3">
        <v>15.6</v>
      </c>
      <c r="K108" s="3">
        <v>5833.65</v>
      </c>
      <c r="L108" s="3">
        <v>433.65</v>
      </c>
      <c r="M108" s="3">
        <f t="shared" si="6"/>
        <v>107827.2</v>
      </c>
      <c r="N108" s="3">
        <f t="shared" si="7"/>
        <v>5400</v>
      </c>
      <c r="O108" s="3">
        <f t="shared" si="8"/>
        <v>7.4335964619063537</v>
      </c>
      <c r="P108" s="3" t="str">
        <f t="shared" si="9"/>
        <v>Jan</v>
      </c>
      <c r="Q108" s="3" t="str">
        <f t="shared" si="5"/>
        <v>low profit</v>
      </c>
    </row>
    <row r="109" spans="1:17" x14ac:dyDescent="0.25">
      <c r="A109" s="3" t="s">
        <v>220</v>
      </c>
      <c r="B109" s="4">
        <v>45678</v>
      </c>
      <c r="C109" s="3" t="s">
        <v>2012</v>
      </c>
      <c r="D109" s="3" t="s">
        <v>2032</v>
      </c>
      <c r="E109" s="3" t="s">
        <v>2052</v>
      </c>
      <c r="F109" s="3" t="s">
        <v>2060</v>
      </c>
      <c r="G109" s="3">
        <v>9</v>
      </c>
      <c r="H109" s="3">
        <v>6500</v>
      </c>
      <c r="I109" s="3">
        <v>8125</v>
      </c>
      <c r="J109" s="3">
        <v>11.49</v>
      </c>
      <c r="K109" s="3">
        <v>64720.95</v>
      </c>
      <c r="L109" s="3">
        <v>6220.95</v>
      </c>
      <c r="M109" s="3">
        <f t="shared" si="6"/>
        <v>840206.25</v>
      </c>
      <c r="N109" s="3">
        <f t="shared" si="7"/>
        <v>58500</v>
      </c>
      <c r="O109" s="3">
        <f t="shared" si="8"/>
        <v>9.6119571792441239</v>
      </c>
      <c r="P109" s="3" t="str">
        <f t="shared" si="9"/>
        <v>Jan</v>
      </c>
      <c r="Q109" s="3" t="str">
        <f t="shared" si="5"/>
        <v>low profit</v>
      </c>
    </row>
    <row r="110" spans="1:17" x14ac:dyDescent="0.25">
      <c r="A110" s="3" t="s">
        <v>568</v>
      </c>
      <c r="B110" s="4">
        <v>45678</v>
      </c>
      <c r="C110" s="3" t="s">
        <v>2015</v>
      </c>
      <c r="D110" s="3" t="s">
        <v>2035</v>
      </c>
      <c r="E110" s="3" t="s">
        <v>2054</v>
      </c>
      <c r="F110" s="3" t="s">
        <v>2060</v>
      </c>
      <c r="G110" s="3">
        <v>4</v>
      </c>
      <c r="H110" s="3">
        <v>900</v>
      </c>
      <c r="I110" s="3">
        <v>1170</v>
      </c>
      <c r="J110" s="3">
        <v>18.850000000000001</v>
      </c>
      <c r="K110" s="3">
        <v>3797.99</v>
      </c>
      <c r="L110" s="3">
        <v>197.99</v>
      </c>
      <c r="M110" s="3">
        <f t="shared" si="6"/>
        <v>88218</v>
      </c>
      <c r="N110" s="3">
        <f t="shared" si="7"/>
        <v>3600</v>
      </c>
      <c r="O110" s="3">
        <f t="shared" si="8"/>
        <v>5.2130205714075082</v>
      </c>
      <c r="P110" s="3" t="str">
        <f t="shared" si="9"/>
        <v>Jan</v>
      </c>
      <c r="Q110" s="3" t="str">
        <f t="shared" si="5"/>
        <v>low profit</v>
      </c>
    </row>
    <row r="111" spans="1:17" x14ac:dyDescent="0.25">
      <c r="A111" s="3" t="s">
        <v>585</v>
      </c>
      <c r="B111" s="4">
        <v>45678</v>
      </c>
      <c r="C111" s="3" t="s">
        <v>2025</v>
      </c>
      <c r="D111" s="3" t="s">
        <v>2045</v>
      </c>
      <c r="E111" s="3" t="s">
        <v>2057</v>
      </c>
      <c r="F111" s="3" t="s">
        <v>2062</v>
      </c>
      <c r="G111" s="3">
        <v>2</v>
      </c>
      <c r="H111" s="3">
        <v>45</v>
      </c>
      <c r="I111" s="3">
        <v>63</v>
      </c>
      <c r="J111" s="3">
        <v>14.03</v>
      </c>
      <c r="K111" s="3">
        <v>108.32</v>
      </c>
      <c r="L111" s="3">
        <v>18.32</v>
      </c>
      <c r="M111" s="3">
        <f t="shared" si="6"/>
        <v>1767.78</v>
      </c>
      <c r="N111" s="3">
        <f t="shared" si="7"/>
        <v>90</v>
      </c>
      <c r="O111" s="3">
        <f t="shared" si="8"/>
        <v>16.912850812407683</v>
      </c>
      <c r="P111" s="3" t="str">
        <f t="shared" si="9"/>
        <v>Jan</v>
      </c>
      <c r="Q111" s="3" t="str">
        <f t="shared" si="5"/>
        <v>good profit</v>
      </c>
    </row>
    <row r="112" spans="1:17" x14ac:dyDescent="0.25">
      <c r="A112" s="3" t="s">
        <v>714</v>
      </c>
      <c r="B112" s="4">
        <v>45678</v>
      </c>
      <c r="C112" s="3" t="s">
        <v>2019</v>
      </c>
      <c r="D112" s="3" t="s">
        <v>2039</v>
      </c>
      <c r="E112" s="3" t="s">
        <v>2053</v>
      </c>
      <c r="F112" s="3" t="s">
        <v>2059</v>
      </c>
      <c r="G112" s="3">
        <v>1</v>
      </c>
      <c r="H112" s="3">
        <v>900</v>
      </c>
      <c r="I112" s="3">
        <v>1152</v>
      </c>
      <c r="J112" s="3">
        <v>20.21</v>
      </c>
      <c r="K112" s="3">
        <v>919.18</v>
      </c>
      <c r="L112" s="3">
        <v>19.18</v>
      </c>
      <c r="M112" s="3">
        <f t="shared" si="6"/>
        <v>23281.920000000002</v>
      </c>
      <c r="N112" s="3">
        <f t="shared" si="7"/>
        <v>900</v>
      </c>
      <c r="O112" s="3">
        <f t="shared" si="8"/>
        <v>2.0866424421767227</v>
      </c>
      <c r="P112" s="3" t="str">
        <f t="shared" si="9"/>
        <v>Jan</v>
      </c>
      <c r="Q112" s="3" t="str">
        <f t="shared" si="5"/>
        <v>low profit</v>
      </c>
    </row>
    <row r="113" spans="1:17" x14ac:dyDescent="0.25">
      <c r="A113" s="3" t="s">
        <v>791</v>
      </c>
      <c r="B113" s="4">
        <v>45678</v>
      </c>
      <c r="C113" s="3" t="s">
        <v>2027</v>
      </c>
      <c r="D113" s="3" t="s">
        <v>2047</v>
      </c>
      <c r="E113" s="3" t="s">
        <v>2053</v>
      </c>
      <c r="F113" s="3" t="s">
        <v>2059</v>
      </c>
      <c r="G113" s="3">
        <v>9</v>
      </c>
      <c r="H113" s="3">
        <v>1100</v>
      </c>
      <c r="I113" s="3">
        <v>1298</v>
      </c>
      <c r="J113" s="3">
        <v>4.47</v>
      </c>
      <c r="K113" s="3">
        <v>11159.86</v>
      </c>
      <c r="L113" s="3">
        <v>1259.8599999999999</v>
      </c>
      <c r="M113" s="3">
        <f t="shared" si="6"/>
        <v>52218.539999999994</v>
      </c>
      <c r="N113" s="3">
        <f t="shared" si="7"/>
        <v>9900</v>
      </c>
      <c r="O113" s="3">
        <f t="shared" si="8"/>
        <v>11.289209721268904</v>
      </c>
      <c r="P113" s="3" t="str">
        <f t="shared" si="9"/>
        <v>Jan</v>
      </c>
      <c r="Q113" s="3" t="str">
        <f t="shared" si="5"/>
        <v>good profit</v>
      </c>
    </row>
    <row r="114" spans="1:17" x14ac:dyDescent="0.25">
      <c r="A114" s="3" t="s">
        <v>904</v>
      </c>
      <c r="B114" s="4">
        <v>45678</v>
      </c>
      <c r="C114" s="3" t="s">
        <v>2024</v>
      </c>
      <c r="D114" s="3" t="s">
        <v>2044</v>
      </c>
      <c r="E114" s="3" t="s">
        <v>2055</v>
      </c>
      <c r="F114" s="3" t="s">
        <v>2059</v>
      </c>
      <c r="G114" s="3">
        <v>4</v>
      </c>
      <c r="H114" s="3">
        <v>180</v>
      </c>
      <c r="I114" s="3">
        <v>243</v>
      </c>
      <c r="J114" s="3">
        <v>13.75</v>
      </c>
      <c r="K114" s="3">
        <v>838.39</v>
      </c>
      <c r="L114" s="3">
        <v>118.39</v>
      </c>
      <c r="M114" s="3">
        <f t="shared" si="6"/>
        <v>13365</v>
      </c>
      <c r="N114" s="3">
        <f t="shared" si="7"/>
        <v>720</v>
      </c>
      <c r="O114" s="3">
        <f t="shared" si="8"/>
        <v>14.121113085795395</v>
      </c>
      <c r="P114" s="3" t="str">
        <f t="shared" si="9"/>
        <v>Jan</v>
      </c>
      <c r="Q114" s="3" t="str">
        <f t="shared" si="5"/>
        <v>good profit</v>
      </c>
    </row>
    <row r="115" spans="1:17" x14ac:dyDescent="0.25">
      <c r="A115" s="3" t="s">
        <v>1161</v>
      </c>
      <c r="B115" s="4">
        <v>45678</v>
      </c>
      <c r="C115" s="3" t="s">
        <v>2031</v>
      </c>
      <c r="D115" s="3" t="s">
        <v>2051</v>
      </c>
      <c r="E115" s="3" t="s">
        <v>2058</v>
      </c>
      <c r="F115" s="3" t="s">
        <v>2059</v>
      </c>
      <c r="G115" s="3">
        <v>4</v>
      </c>
      <c r="H115" s="3">
        <v>3200</v>
      </c>
      <c r="I115" s="3">
        <v>3840</v>
      </c>
      <c r="J115" s="3">
        <v>20.79</v>
      </c>
      <c r="K115" s="3">
        <v>12167.32</v>
      </c>
      <c r="L115" s="3">
        <v>-632.67999999999995</v>
      </c>
      <c r="M115" s="3">
        <f t="shared" si="6"/>
        <v>319334.39999999997</v>
      </c>
      <c r="N115" s="3">
        <f t="shared" si="7"/>
        <v>12800</v>
      </c>
      <c r="O115" s="3">
        <f t="shared" si="8"/>
        <v>-5.1998303652735354</v>
      </c>
      <c r="P115" s="3" t="str">
        <f t="shared" si="9"/>
        <v>Jan</v>
      </c>
      <c r="Q115" s="3" t="str">
        <f t="shared" si="5"/>
        <v>loss</v>
      </c>
    </row>
    <row r="116" spans="1:17" x14ac:dyDescent="0.25">
      <c r="A116" s="3" t="s">
        <v>1348</v>
      </c>
      <c r="B116" s="4">
        <v>45678</v>
      </c>
      <c r="C116" s="3" t="s">
        <v>2024</v>
      </c>
      <c r="D116" s="3" t="s">
        <v>2044</v>
      </c>
      <c r="E116" s="3" t="s">
        <v>2055</v>
      </c>
      <c r="F116" s="3" t="s">
        <v>2059</v>
      </c>
      <c r="G116" s="3">
        <v>3</v>
      </c>
      <c r="H116" s="3">
        <v>180</v>
      </c>
      <c r="I116" s="3">
        <v>243</v>
      </c>
      <c r="J116" s="3">
        <v>23.2</v>
      </c>
      <c r="K116" s="3">
        <v>559.89</v>
      </c>
      <c r="L116" s="3">
        <v>19.89</v>
      </c>
      <c r="M116" s="3">
        <f t="shared" si="6"/>
        <v>16912.8</v>
      </c>
      <c r="N116" s="3">
        <f t="shared" si="7"/>
        <v>540</v>
      </c>
      <c r="O116" s="3">
        <f t="shared" si="8"/>
        <v>3.5524835235492684</v>
      </c>
      <c r="P116" s="3" t="str">
        <f t="shared" si="9"/>
        <v>Jan</v>
      </c>
      <c r="Q116" s="3" t="str">
        <f t="shared" si="5"/>
        <v>low profit</v>
      </c>
    </row>
    <row r="117" spans="1:17" x14ac:dyDescent="0.25">
      <c r="A117" s="3" t="s">
        <v>1439</v>
      </c>
      <c r="B117" s="4">
        <v>45678</v>
      </c>
      <c r="C117" s="3" t="s">
        <v>2031</v>
      </c>
      <c r="D117" s="3" t="s">
        <v>2051</v>
      </c>
      <c r="E117" s="3" t="s">
        <v>2058</v>
      </c>
      <c r="F117" s="3" t="s">
        <v>2059</v>
      </c>
      <c r="G117" s="3">
        <v>7</v>
      </c>
      <c r="H117" s="3">
        <v>3200</v>
      </c>
      <c r="I117" s="3">
        <v>3840</v>
      </c>
      <c r="J117" s="3">
        <v>4</v>
      </c>
      <c r="K117" s="3">
        <v>25804.799999999999</v>
      </c>
      <c r="L117" s="3">
        <v>3404.8</v>
      </c>
      <c r="M117" s="3">
        <f t="shared" si="6"/>
        <v>107520</v>
      </c>
      <c r="N117" s="3">
        <f t="shared" si="7"/>
        <v>22400</v>
      </c>
      <c r="O117" s="3">
        <f t="shared" si="8"/>
        <v>13.194444444444445</v>
      </c>
      <c r="P117" s="3" t="str">
        <f t="shared" si="9"/>
        <v>Jan</v>
      </c>
      <c r="Q117" s="3" t="str">
        <f t="shared" si="5"/>
        <v>good profit</v>
      </c>
    </row>
    <row r="118" spans="1:17" x14ac:dyDescent="0.25">
      <c r="A118" s="3" t="s">
        <v>1486</v>
      </c>
      <c r="B118" s="4">
        <v>45678</v>
      </c>
      <c r="C118" s="3" t="s">
        <v>2014</v>
      </c>
      <c r="D118" s="3" t="s">
        <v>2034</v>
      </c>
      <c r="E118" s="3" t="s">
        <v>2052</v>
      </c>
      <c r="F118" s="3" t="s">
        <v>2059</v>
      </c>
      <c r="G118" s="3">
        <v>7</v>
      </c>
      <c r="H118" s="3">
        <v>4500</v>
      </c>
      <c r="I118" s="3">
        <v>5220</v>
      </c>
      <c r="J118" s="3">
        <v>4</v>
      </c>
      <c r="K118" s="3">
        <v>35078.400000000001</v>
      </c>
      <c r="L118" s="3">
        <v>3578.4</v>
      </c>
      <c r="M118" s="3">
        <f t="shared" si="6"/>
        <v>146160</v>
      </c>
      <c r="N118" s="3">
        <f t="shared" si="7"/>
        <v>31500</v>
      </c>
      <c r="O118" s="3">
        <f t="shared" si="8"/>
        <v>10.201149425287356</v>
      </c>
      <c r="P118" s="3" t="str">
        <f t="shared" si="9"/>
        <v>Jan</v>
      </c>
      <c r="Q118" s="3" t="str">
        <f t="shared" si="5"/>
        <v>good profit</v>
      </c>
    </row>
    <row r="119" spans="1:17" x14ac:dyDescent="0.25">
      <c r="A119" s="3" t="s">
        <v>349</v>
      </c>
      <c r="B119" s="4">
        <v>45679</v>
      </c>
      <c r="C119" s="3" t="s">
        <v>2025</v>
      </c>
      <c r="D119" s="3" t="s">
        <v>2045</v>
      </c>
      <c r="E119" s="3" t="s">
        <v>2057</v>
      </c>
      <c r="F119" s="3" t="s">
        <v>2060</v>
      </c>
      <c r="G119" s="3">
        <v>6</v>
      </c>
      <c r="H119" s="3">
        <v>45</v>
      </c>
      <c r="I119" s="3">
        <v>63</v>
      </c>
      <c r="J119" s="3">
        <v>19.25</v>
      </c>
      <c r="K119" s="3">
        <v>305.25</v>
      </c>
      <c r="L119" s="3">
        <v>35.25</v>
      </c>
      <c r="M119" s="3">
        <f t="shared" si="6"/>
        <v>7276.5</v>
      </c>
      <c r="N119" s="3">
        <f t="shared" si="7"/>
        <v>270</v>
      </c>
      <c r="O119" s="3">
        <f t="shared" si="8"/>
        <v>11.547911547911548</v>
      </c>
      <c r="P119" s="3" t="str">
        <f t="shared" si="9"/>
        <v>Jan</v>
      </c>
      <c r="Q119" s="3" t="str">
        <f t="shared" si="5"/>
        <v>good profit</v>
      </c>
    </row>
    <row r="120" spans="1:17" x14ac:dyDescent="0.25">
      <c r="A120" s="3" t="s">
        <v>620</v>
      </c>
      <c r="B120" s="4">
        <v>45679</v>
      </c>
      <c r="C120" s="3" t="s">
        <v>2024</v>
      </c>
      <c r="D120" s="3" t="s">
        <v>2044</v>
      </c>
      <c r="E120" s="3" t="s">
        <v>2055</v>
      </c>
      <c r="F120" s="3" t="s">
        <v>2059</v>
      </c>
      <c r="G120" s="3">
        <v>8</v>
      </c>
      <c r="H120" s="3">
        <v>180</v>
      </c>
      <c r="I120" s="3">
        <v>243</v>
      </c>
      <c r="J120" s="3">
        <v>0</v>
      </c>
      <c r="K120" s="3">
        <v>1944</v>
      </c>
      <c r="L120" s="3">
        <v>504</v>
      </c>
      <c r="M120" s="3">
        <f t="shared" si="6"/>
        <v>0</v>
      </c>
      <c r="N120" s="3">
        <f t="shared" si="7"/>
        <v>1440</v>
      </c>
      <c r="O120" s="3">
        <f t="shared" si="8"/>
        <v>25.925925925925924</v>
      </c>
      <c r="P120" s="3" t="str">
        <f t="shared" si="9"/>
        <v>Jan</v>
      </c>
      <c r="Q120" s="3" t="str">
        <f t="shared" si="5"/>
        <v>good profit</v>
      </c>
    </row>
    <row r="121" spans="1:17" x14ac:dyDescent="0.25">
      <c r="A121" s="3" t="s">
        <v>1256</v>
      </c>
      <c r="B121" s="4">
        <v>45679</v>
      </c>
      <c r="C121" s="3" t="s">
        <v>2012</v>
      </c>
      <c r="D121" s="3" t="s">
        <v>2032</v>
      </c>
      <c r="E121" s="3" t="s">
        <v>2052</v>
      </c>
      <c r="F121" s="3" t="s">
        <v>2062</v>
      </c>
      <c r="G121" s="3">
        <v>6</v>
      </c>
      <c r="H121" s="3">
        <v>6500</v>
      </c>
      <c r="I121" s="3">
        <v>8125</v>
      </c>
      <c r="J121" s="3">
        <v>21.5</v>
      </c>
      <c r="K121" s="3">
        <v>38270.129999999997</v>
      </c>
      <c r="L121" s="3">
        <v>-729.87</v>
      </c>
      <c r="M121" s="3">
        <f t="shared" si="6"/>
        <v>1048125</v>
      </c>
      <c r="N121" s="3">
        <f t="shared" si="7"/>
        <v>39000</v>
      </c>
      <c r="O121" s="3">
        <f t="shared" si="8"/>
        <v>-1.9071531766419398</v>
      </c>
      <c r="P121" s="3" t="str">
        <f t="shared" si="9"/>
        <v>Jan</v>
      </c>
      <c r="Q121" s="3" t="str">
        <f t="shared" si="5"/>
        <v>loss</v>
      </c>
    </row>
    <row r="122" spans="1:17" x14ac:dyDescent="0.25">
      <c r="A122" s="3" t="s">
        <v>1369</v>
      </c>
      <c r="B122" s="4">
        <v>45679</v>
      </c>
      <c r="C122" s="3" t="s">
        <v>2020</v>
      </c>
      <c r="D122" s="3" t="s">
        <v>2040</v>
      </c>
      <c r="E122" s="3" t="s">
        <v>2053</v>
      </c>
      <c r="F122" s="3" t="s">
        <v>2059</v>
      </c>
      <c r="G122" s="3">
        <v>7</v>
      </c>
      <c r="H122" s="3">
        <v>350</v>
      </c>
      <c r="I122" s="3">
        <v>455</v>
      </c>
      <c r="J122" s="3">
        <v>14.68</v>
      </c>
      <c r="K122" s="3">
        <v>2717.32</v>
      </c>
      <c r="L122" s="3">
        <v>267.32</v>
      </c>
      <c r="M122" s="3">
        <f t="shared" si="6"/>
        <v>46755.799999999996</v>
      </c>
      <c r="N122" s="3">
        <f t="shared" si="7"/>
        <v>2450</v>
      </c>
      <c r="O122" s="3">
        <f t="shared" si="8"/>
        <v>9.8376341395198192</v>
      </c>
      <c r="P122" s="3" t="str">
        <f t="shared" si="9"/>
        <v>Jan</v>
      </c>
      <c r="Q122" s="3" t="str">
        <f t="shared" si="5"/>
        <v>low profit</v>
      </c>
    </row>
    <row r="123" spans="1:17" x14ac:dyDescent="0.25">
      <c r="A123" s="3" t="s">
        <v>1862</v>
      </c>
      <c r="B123" s="4">
        <v>45679</v>
      </c>
      <c r="C123" s="3" t="s">
        <v>2021</v>
      </c>
      <c r="D123" s="3" t="s">
        <v>2041</v>
      </c>
      <c r="E123" s="3" t="s">
        <v>2056</v>
      </c>
      <c r="F123" s="3" t="s">
        <v>2060</v>
      </c>
      <c r="G123" s="3">
        <v>8</v>
      </c>
      <c r="H123" s="3">
        <v>300</v>
      </c>
      <c r="I123" s="3">
        <v>405</v>
      </c>
      <c r="J123" s="3">
        <v>15.64</v>
      </c>
      <c r="K123" s="3">
        <v>2733.22</v>
      </c>
      <c r="L123" s="3">
        <v>333.22</v>
      </c>
      <c r="M123" s="3">
        <f t="shared" si="6"/>
        <v>50673.599999999999</v>
      </c>
      <c r="N123" s="3">
        <f t="shared" si="7"/>
        <v>2400</v>
      </c>
      <c r="O123" s="3">
        <f t="shared" si="8"/>
        <v>12.191481110192376</v>
      </c>
      <c r="P123" s="3" t="str">
        <f t="shared" si="9"/>
        <v>Jan</v>
      </c>
      <c r="Q123" s="3" t="str">
        <f t="shared" si="5"/>
        <v>good profit</v>
      </c>
    </row>
    <row r="124" spans="1:17" x14ac:dyDescent="0.25">
      <c r="A124" s="3" t="s">
        <v>1959</v>
      </c>
      <c r="B124" s="4">
        <v>45679</v>
      </c>
      <c r="C124" s="3" t="s">
        <v>2031</v>
      </c>
      <c r="D124" s="3" t="s">
        <v>2051</v>
      </c>
      <c r="E124" s="3" t="s">
        <v>2058</v>
      </c>
      <c r="F124" s="3" t="s">
        <v>2062</v>
      </c>
      <c r="G124" s="3">
        <v>1</v>
      </c>
      <c r="H124" s="3">
        <v>3200</v>
      </c>
      <c r="I124" s="3">
        <v>3840</v>
      </c>
      <c r="J124" s="3">
        <v>7.37</v>
      </c>
      <c r="K124" s="3">
        <v>3557.03</v>
      </c>
      <c r="L124" s="3">
        <v>357.03</v>
      </c>
      <c r="M124" s="3">
        <f t="shared" si="6"/>
        <v>28300.799999999999</v>
      </c>
      <c r="N124" s="3">
        <f t="shared" si="7"/>
        <v>3200</v>
      </c>
      <c r="O124" s="3">
        <f t="shared" si="8"/>
        <v>10.037306404500383</v>
      </c>
      <c r="P124" s="3" t="str">
        <f t="shared" si="9"/>
        <v>Jan</v>
      </c>
      <c r="Q124" s="3" t="str">
        <f t="shared" si="5"/>
        <v>good profit</v>
      </c>
    </row>
    <row r="125" spans="1:17" x14ac:dyDescent="0.25">
      <c r="A125" s="3" t="s">
        <v>370</v>
      </c>
      <c r="B125" s="4">
        <v>45680</v>
      </c>
      <c r="C125" s="3" t="s">
        <v>2029</v>
      </c>
      <c r="D125" s="3" t="s">
        <v>2049</v>
      </c>
      <c r="E125" s="3" t="s">
        <v>2055</v>
      </c>
      <c r="F125" s="3" t="s">
        <v>2060</v>
      </c>
      <c r="G125" s="3">
        <v>1</v>
      </c>
      <c r="H125" s="3">
        <v>1200</v>
      </c>
      <c r="I125" s="3">
        <v>1464</v>
      </c>
      <c r="J125" s="3">
        <v>2</v>
      </c>
      <c r="K125" s="3">
        <v>1434.67</v>
      </c>
      <c r="L125" s="3">
        <v>234.67</v>
      </c>
      <c r="M125" s="3">
        <f t="shared" si="6"/>
        <v>2928</v>
      </c>
      <c r="N125" s="3">
        <f t="shared" si="7"/>
        <v>1200</v>
      </c>
      <c r="O125" s="3">
        <f t="shared" si="8"/>
        <v>16.357071661078855</v>
      </c>
      <c r="P125" s="3" t="str">
        <f t="shared" si="9"/>
        <v>Jan</v>
      </c>
      <c r="Q125" s="3" t="str">
        <f t="shared" si="5"/>
        <v>good profit</v>
      </c>
    </row>
    <row r="126" spans="1:17" x14ac:dyDescent="0.25">
      <c r="A126" s="3" t="s">
        <v>1077</v>
      </c>
      <c r="B126" s="4">
        <v>45680</v>
      </c>
      <c r="C126" s="3" t="s">
        <v>2023</v>
      </c>
      <c r="D126" s="3" t="s">
        <v>2043</v>
      </c>
      <c r="E126" s="3" t="s">
        <v>2053</v>
      </c>
      <c r="F126" s="3" t="s">
        <v>2061</v>
      </c>
      <c r="G126" s="3">
        <v>6</v>
      </c>
      <c r="H126" s="3">
        <v>550</v>
      </c>
      <c r="I126" s="3">
        <v>742.5</v>
      </c>
      <c r="J126" s="3">
        <v>9.31</v>
      </c>
      <c r="K126" s="3">
        <v>4040.25</v>
      </c>
      <c r="L126" s="3">
        <v>740.25</v>
      </c>
      <c r="M126" s="3">
        <f t="shared" si="6"/>
        <v>41476.050000000003</v>
      </c>
      <c r="N126" s="3">
        <f t="shared" si="7"/>
        <v>3300</v>
      </c>
      <c r="O126" s="3">
        <f t="shared" si="8"/>
        <v>18.321886021904586</v>
      </c>
      <c r="P126" s="3" t="str">
        <f t="shared" si="9"/>
        <v>Jan</v>
      </c>
      <c r="Q126" s="3" t="str">
        <f t="shared" si="5"/>
        <v>good profit</v>
      </c>
    </row>
    <row r="127" spans="1:17" x14ac:dyDescent="0.25">
      <c r="A127" s="3" t="s">
        <v>1304</v>
      </c>
      <c r="B127" s="4">
        <v>45680</v>
      </c>
      <c r="C127" s="3" t="s">
        <v>2029</v>
      </c>
      <c r="D127" s="3" t="s">
        <v>2049</v>
      </c>
      <c r="E127" s="3" t="s">
        <v>2055</v>
      </c>
      <c r="F127" s="3" t="s">
        <v>2062</v>
      </c>
      <c r="G127" s="3">
        <v>8</v>
      </c>
      <c r="H127" s="3">
        <v>1200</v>
      </c>
      <c r="I127" s="3">
        <v>1464</v>
      </c>
      <c r="J127" s="3">
        <v>12.44</v>
      </c>
      <c r="K127" s="3">
        <v>10254.5</v>
      </c>
      <c r="L127" s="3">
        <v>654.5</v>
      </c>
      <c r="M127" s="3">
        <f t="shared" si="6"/>
        <v>145697.28</v>
      </c>
      <c r="N127" s="3">
        <f t="shared" si="7"/>
        <v>9600</v>
      </c>
      <c r="O127" s="3">
        <f t="shared" si="8"/>
        <v>6.3825637524989025</v>
      </c>
      <c r="P127" s="3" t="str">
        <f t="shared" si="9"/>
        <v>Jan</v>
      </c>
      <c r="Q127" s="3" t="str">
        <f t="shared" si="5"/>
        <v>low profit</v>
      </c>
    </row>
    <row r="128" spans="1:17" x14ac:dyDescent="0.25">
      <c r="A128" s="3" t="s">
        <v>1357</v>
      </c>
      <c r="B128" s="4">
        <v>45680</v>
      </c>
      <c r="C128" s="3" t="s">
        <v>2031</v>
      </c>
      <c r="D128" s="3" t="s">
        <v>2051</v>
      </c>
      <c r="E128" s="3" t="s">
        <v>2058</v>
      </c>
      <c r="F128" s="3" t="s">
        <v>2059</v>
      </c>
      <c r="G128" s="3">
        <v>9</v>
      </c>
      <c r="H128" s="3">
        <v>3200</v>
      </c>
      <c r="I128" s="3">
        <v>3840</v>
      </c>
      <c r="J128" s="3">
        <v>13.23</v>
      </c>
      <c r="K128" s="3">
        <v>29986.39</v>
      </c>
      <c r="L128" s="3">
        <v>1186.3900000000001</v>
      </c>
      <c r="M128" s="3">
        <f t="shared" si="6"/>
        <v>457228.79999999999</v>
      </c>
      <c r="N128" s="3">
        <f t="shared" si="7"/>
        <v>28800</v>
      </c>
      <c r="O128" s="3">
        <f t="shared" si="8"/>
        <v>3.9564282329416787</v>
      </c>
      <c r="P128" s="3" t="str">
        <f t="shared" si="9"/>
        <v>Jan</v>
      </c>
      <c r="Q128" s="3" t="str">
        <f t="shared" si="5"/>
        <v>low profit</v>
      </c>
    </row>
    <row r="129" spans="1:17" x14ac:dyDescent="0.25">
      <c r="A129" s="3" t="s">
        <v>1427</v>
      </c>
      <c r="B129" s="4">
        <v>45680</v>
      </c>
      <c r="C129" s="3" t="s">
        <v>2030</v>
      </c>
      <c r="D129" s="3" t="s">
        <v>2050</v>
      </c>
      <c r="E129" s="3" t="s">
        <v>2058</v>
      </c>
      <c r="F129" s="3" t="s">
        <v>2061</v>
      </c>
      <c r="G129" s="3">
        <v>4</v>
      </c>
      <c r="H129" s="3">
        <v>1800</v>
      </c>
      <c r="I129" s="3">
        <v>2124</v>
      </c>
      <c r="J129" s="3">
        <v>23.77</v>
      </c>
      <c r="K129" s="3">
        <v>6476.13</v>
      </c>
      <c r="L129" s="3">
        <v>-723.87</v>
      </c>
      <c r="M129" s="3">
        <f t="shared" si="6"/>
        <v>201949.91999999998</v>
      </c>
      <c r="N129" s="3">
        <f t="shared" si="7"/>
        <v>7200</v>
      </c>
      <c r="O129" s="3">
        <f t="shared" si="8"/>
        <v>-11.177508789971789</v>
      </c>
      <c r="P129" s="3" t="str">
        <f t="shared" si="9"/>
        <v>Jan</v>
      </c>
      <c r="Q129" s="3" t="str">
        <f t="shared" si="5"/>
        <v>loss</v>
      </c>
    </row>
    <row r="130" spans="1:17" x14ac:dyDescent="0.25">
      <c r="A130" s="3" t="s">
        <v>421</v>
      </c>
      <c r="B130" s="4">
        <v>45681</v>
      </c>
      <c r="C130" s="3" t="s">
        <v>2020</v>
      </c>
      <c r="D130" s="3" t="s">
        <v>2040</v>
      </c>
      <c r="E130" s="3" t="s">
        <v>2053</v>
      </c>
      <c r="F130" s="3" t="s">
        <v>2062</v>
      </c>
      <c r="G130" s="3">
        <v>7</v>
      </c>
      <c r="H130" s="3">
        <v>350</v>
      </c>
      <c r="I130" s="3">
        <v>455</v>
      </c>
      <c r="J130" s="3">
        <v>20.48</v>
      </c>
      <c r="K130" s="3">
        <v>2532.59</v>
      </c>
      <c r="L130" s="3">
        <v>82.59</v>
      </c>
      <c r="M130" s="3">
        <f t="shared" si="6"/>
        <v>65228.800000000003</v>
      </c>
      <c r="N130" s="3">
        <f t="shared" si="7"/>
        <v>2450</v>
      </c>
      <c r="O130" s="3">
        <f t="shared" si="8"/>
        <v>3.261088450953372</v>
      </c>
      <c r="P130" s="3" t="str">
        <f t="shared" si="9"/>
        <v>Jan</v>
      </c>
      <c r="Q130" s="3" t="str">
        <f t="shared" ref="Q130:Q193" si="10">IF(L130&lt;0,"loss",IF(O130&lt;10,"low profit","good profit"))</f>
        <v>low profit</v>
      </c>
    </row>
    <row r="131" spans="1:17" x14ac:dyDescent="0.25">
      <c r="A131" s="3" t="s">
        <v>447</v>
      </c>
      <c r="B131" s="4">
        <v>45681</v>
      </c>
      <c r="C131" s="3" t="s">
        <v>2024</v>
      </c>
      <c r="D131" s="3" t="s">
        <v>2044</v>
      </c>
      <c r="E131" s="3" t="s">
        <v>2055</v>
      </c>
      <c r="F131" s="3" t="s">
        <v>2062</v>
      </c>
      <c r="G131" s="3">
        <v>6</v>
      </c>
      <c r="H131" s="3">
        <v>180</v>
      </c>
      <c r="I131" s="3">
        <v>243</v>
      </c>
      <c r="J131" s="3">
        <v>28</v>
      </c>
      <c r="K131" s="3">
        <v>1049.8</v>
      </c>
      <c r="L131" s="3">
        <v>-30.2</v>
      </c>
      <c r="M131" s="3">
        <f t="shared" ref="M131:M194" si="11">G131*I131*J131</f>
        <v>40824</v>
      </c>
      <c r="N131" s="3">
        <f t="shared" ref="N131:N194" si="12">G131*H131</f>
        <v>1080</v>
      </c>
      <c r="O131" s="3">
        <f t="shared" ref="O131:O194" si="13">IFERROR(L131/K131*100,0)</f>
        <v>-2.8767384263669271</v>
      </c>
      <c r="P131" s="3" t="str">
        <f t="shared" ref="P131:P194" si="14">TEXT(B131,"mmm")</f>
        <v>Jan</v>
      </c>
      <c r="Q131" s="3" t="str">
        <f t="shared" si="10"/>
        <v>loss</v>
      </c>
    </row>
    <row r="132" spans="1:17" x14ac:dyDescent="0.25">
      <c r="A132" s="3" t="s">
        <v>1432</v>
      </c>
      <c r="B132" s="4">
        <v>45681</v>
      </c>
      <c r="C132" s="3" t="s">
        <v>2031</v>
      </c>
      <c r="D132" s="3" t="s">
        <v>2051</v>
      </c>
      <c r="E132" s="3" t="s">
        <v>2058</v>
      </c>
      <c r="F132" s="3" t="s">
        <v>2059</v>
      </c>
      <c r="G132" s="3">
        <v>3</v>
      </c>
      <c r="H132" s="3">
        <v>3200</v>
      </c>
      <c r="I132" s="3">
        <v>3840</v>
      </c>
      <c r="J132" s="3">
        <v>11.8</v>
      </c>
      <c r="K132" s="3">
        <v>10160.41</v>
      </c>
      <c r="L132" s="3">
        <v>560.41</v>
      </c>
      <c r="M132" s="3">
        <f t="shared" si="11"/>
        <v>135936</v>
      </c>
      <c r="N132" s="3">
        <f t="shared" si="12"/>
        <v>9600</v>
      </c>
      <c r="O132" s="3">
        <f t="shared" si="13"/>
        <v>5.5156238773829003</v>
      </c>
      <c r="P132" s="3" t="str">
        <f t="shared" si="14"/>
        <v>Jan</v>
      </c>
      <c r="Q132" s="3" t="str">
        <f t="shared" si="10"/>
        <v>low profit</v>
      </c>
    </row>
    <row r="133" spans="1:17" x14ac:dyDescent="0.25">
      <c r="A133" s="3" t="s">
        <v>1516</v>
      </c>
      <c r="B133" s="4">
        <v>45681</v>
      </c>
      <c r="C133" s="3" t="s">
        <v>2016</v>
      </c>
      <c r="D133" s="3" t="s">
        <v>2036</v>
      </c>
      <c r="E133" s="3" t="s">
        <v>2052</v>
      </c>
      <c r="F133" s="3" t="s">
        <v>2060</v>
      </c>
      <c r="G133" s="3">
        <v>3</v>
      </c>
      <c r="H133" s="3">
        <v>900</v>
      </c>
      <c r="I133" s="3">
        <v>1170</v>
      </c>
      <c r="J133" s="3">
        <v>2.46</v>
      </c>
      <c r="K133" s="3">
        <v>3423.49</v>
      </c>
      <c r="L133" s="3">
        <v>723.49</v>
      </c>
      <c r="M133" s="3">
        <f t="shared" si="11"/>
        <v>8634.6</v>
      </c>
      <c r="N133" s="3">
        <f t="shared" si="12"/>
        <v>2700</v>
      </c>
      <c r="O133" s="3">
        <f t="shared" si="13"/>
        <v>21.133112700781954</v>
      </c>
      <c r="P133" s="3" t="str">
        <f t="shared" si="14"/>
        <v>Jan</v>
      </c>
      <c r="Q133" s="3" t="str">
        <f t="shared" si="10"/>
        <v>good profit</v>
      </c>
    </row>
    <row r="134" spans="1:17" x14ac:dyDescent="0.25">
      <c r="A134" s="3" t="s">
        <v>1811</v>
      </c>
      <c r="B134" s="4">
        <v>45681</v>
      </c>
      <c r="C134" s="3" t="s">
        <v>2028</v>
      </c>
      <c r="D134" s="3" t="s">
        <v>2048</v>
      </c>
      <c r="E134" s="3" t="s">
        <v>2057</v>
      </c>
      <c r="F134" s="3" t="s">
        <v>2061</v>
      </c>
      <c r="G134" s="3">
        <v>10</v>
      </c>
      <c r="H134" s="3">
        <v>80</v>
      </c>
      <c r="I134" s="3">
        <v>116</v>
      </c>
      <c r="J134" s="3">
        <v>9.42</v>
      </c>
      <c r="K134" s="3">
        <v>1050.67</v>
      </c>
      <c r="L134" s="3">
        <v>250.67</v>
      </c>
      <c r="M134" s="3">
        <f t="shared" si="11"/>
        <v>10927.2</v>
      </c>
      <c r="N134" s="3">
        <f t="shared" si="12"/>
        <v>800</v>
      </c>
      <c r="O134" s="3">
        <f t="shared" si="13"/>
        <v>23.858109587215772</v>
      </c>
      <c r="P134" s="3" t="str">
        <f t="shared" si="14"/>
        <v>Jan</v>
      </c>
      <c r="Q134" s="3" t="str">
        <f t="shared" si="10"/>
        <v>good profit</v>
      </c>
    </row>
    <row r="135" spans="1:17" x14ac:dyDescent="0.25">
      <c r="A135" s="3" t="s">
        <v>1812</v>
      </c>
      <c r="B135" s="4">
        <v>45681</v>
      </c>
      <c r="C135" s="3" t="s">
        <v>2015</v>
      </c>
      <c r="D135" s="3" t="s">
        <v>2035</v>
      </c>
      <c r="E135" s="3" t="s">
        <v>2054</v>
      </c>
      <c r="F135" s="3" t="s">
        <v>2062</v>
      </c>
      <c r="G135" s="3">
        <v>3</v>
      </c>
      <c r="H135" s="3">
        <v>900</v>
      </c>
      <c r="I135" s="3">
        <v>1170</v>
      </c>
      <c r="J135" s="3">
        <v>2.3199999999999998</v>
      </c>
      <c r="K135" s="3">
        <v>3428.44</v>
      </c>
      <c r="L135" s="3">
        <v>728.44</v>
      </c>
      <c r="M135" s="3">
        <f t="shared" si="11"/>
        <v>8143.2</v>
      </c>
      <c r="N135" s="3">
        <f t="shared" si="12"/>
        <v>2700</v>
      </c>
      <c r="O135" s="3">
        <f t="shared" si="13"/>
        <v>21.246981134276815</v>
      </c>
      <c r="P135" s="3" t="str">
        <f t="shared" si="14"/>
        <v>Jan</v>
      </c>
      <c r="Q135" s="3" t="str">
        <f t="shared" si="10"/>
        <v>good profit</v>
      </c>
    </row>
    <row r="136" spans="1:17" x14ac:dyDescent="0.25">
      <c r="A136" s="3" t="s">
        <v>101</v>
      </c>
      <c r="B136" s="4">
        <v>45682</v>
      </c>
      <c r="C136" s="3" t="s">
        <v>2025</v>
      </c>
      <c r="D136" s="3" t="s">
        <v>2045</v>
      </c>
      <c r="E136" s="3" t="s">
        <v>2057</v>
      </c>
      <c r="F136" s="3" t="s">
        <v>2059</v>
      </c>
      <c r="G136" s="3">
        <v>9</v>
      </c>
      <c r="H136" s="3">
        <v>45</v>
      </c>
      <c r="I136" s="3">
        <v>63</v>
      </c>
      <c r="J136" s="3">
        <v>8.82</v>
      </c>
      <c r="K136" s="3">
        <v>517</v>
      </c>
      <c r="L136" s="3">
        <v>112</v>
      </c>
      <c r="M136" s="3">
        <f t="shared" si="11"/>
        <v>5000.9400000000005</v>
      </c>
      <c r="N136" s="3">
        <f t="shared" si="12"/>
        <v>405</v>
      </c>
      <c r="O136" s="3">
        <f t="shared" si="13"/>
        <v>21.663442940038685</v>
      </c>
      <c r="P136" s="3" t="str">
        <f t="shared" si="14"/>
        <v>Jan</v>
      </c>
      <c r="Q136" s="3" t="str">
        <f t="shared" si="10"/>
        <v>good profit</v>
      </c>
    </row>
    <row r="137" spans="1:17" x14ac:dyDescent="0.25">
      <c r="A137" s="3" t="s">
        <v>114</v>
      </c>
      <c r="B137" s="4">
        <v>45682</v>
      </c>
      <c r="C137" s="3" t="s">
        <v>2016</v>
      </c>
      <c r="D137" s="3" t="s">
        <v>2036</v>
      </c>
      <c r="E137" s="3" t="s">
        <v>2052</v>
      </c>
      <c r="F137" s="3" t="s">
        <v>2062</v>
      </c>
      <c r="G137" s="3">
        <v>5</v>
      </c>
      <c r="H137" s="3">
        <v>900</v>
      </c>
      <c r="I137" s="3">
        <v>1170</v>
      </c>
      <c r="J137" s="3">
        <v>8.35</v>
      </c>
      <c r="K137" s="3">
        <v>5361.28</v>
      </c>
      <c r="L137" s="3">
        <v>861.28</v>
      </c>
      <c r="M137" s="3">
        <f t="shared" si="11"/>
        <v>48847.5</v>
      </c>
      <c r="N137" s="3">
        <f t="shared" si="12"/>
        <v>4500</v>
      </c>
      <c r="O137" s="3">
        <f t="shared" si="13"/>
        <v>16.064820341411007</v>
      </c>
      <c r="P137" s="3" t="str">
        <f t="shared" si="14"/>
        <v>Jan</v>
      </c>
      <c r="Q137" s="3" t="str">
        <f t="shared" si="10"/>
        <v>good profit</v>
      </c>
    </row>
    <row r="138" spans="1:17" x14ac:dyDescent="0.25">
      <c r="A138" s="3" t="s">
        <v>117</v>
      </c>
      <c r="B138" s="4">
        <v>45682</v>
      </c>
      <c r="C138" s="3" t="s">
        <v>2019</v>
      </c>
      <c r="D138" s="3" t="s">
        <v>2039</v>
      </c>
      <c r="E138" s="3" t="s">
        <v>2053</v>
      </c>
      <c r="F138" s="3" t="s">
        <v>2060</v>
      </c>
      <c r="G138" s="3">
        <v>1</v>
      </c>
      <c r="H138" s="3">
        <v>900</v>
      </c>
      <c r="I138" s="3">
        <v>1152</v>
      </c>
      <c r="J138" s="3">
        <v>17.13</v>
      </c>
      <c r="K138" s="3">
        <v>954.64</v>
      </c>
      <c r="L138" s="3">
        <v>54.64</v>
      </c>
      <c r="M138" s="3">
        <f t="shared" si="11"/>
        <v>19733.759999999998</v>
      </c>
      <c r="N138" s="3">
        <f t="shared" si="12"/>
        <v>900</v>
      </c>
      <c r="O138" s="3">
        <f t="shared" si="13"/>
        <v>5.7236235649040479</v>
      </c>
      <c r="P138" s="3" t="str">
        <f t="shared" si="14"/>
        <v>Jan</v>
      </c>
      <c r="Q138" s="3" t="str">
        <f t="shared" si="10"/>
        <v>low profit</v>
      </c>
    </row>
    <row r="139" spans="1:17" x14ac:dyDescent="0.25">
      <c r="A139" s="3" t="s">
        <v>726</v>
      </c>
      <c r="B139" s="4">
        <v>45682</v>
      </c>
      <c r="C139" s="3" t="s">
        <v>2021</v>
      </c>
      <c r="D139" s="3" t="s">
        <v>2041</v>
      </c>
      <c r="E139" s="3" t="s">
        <v>2056</v>
      </c>
      <c r="F139" s="3" t="s">
        <v>2062</v>
      </c>
      <c r="G139" s="3">
        <v>2</v>
      </c>
      <c r="H139" s="3">
        <v>300</v>
      </c>
      <c r="I139" s="3">
        <v>405</v>
      </c>
      <c r="J139" s="3">
        <v>15.32</v>
      </c>
      <c r="K139" s="3">
        <v>685.93</v>
      </c>
      <c r="L139" s="3">
        <v>85.93</v>
      </c>
      <c r="M139" s="3">
        <f t="shared" si="11"/>
        <v>12409.2</v>
      </c>
      <c r="N139" s="3">
        <f t="shared" si="12"/>
        <v>600</v>
      </c>
      <c r="O139" s="3">
        <f t="shared" si="13"/>
        <v>12.527517385155923</v>
      </c>
      <c r="P139" s="3" t="str">
        <f t="shared" si="14"/>
        <v>Jan</v>
      </c>
      <c r="Q139" s="3" t="str">
        <f t="shared" si="10"/>
        <v>good profit</v>
      </c>
    </row>
    <row r="140" spans="1:17" x14ac:dyDescent="0.25">
      <c r="A140" s="3" t="s">
        <v>1287</v>
      </c>
      <c r="B140" s="4">
        <v>45682</v>
      </c>
      <c r="C140" s="3" t="s">
        <v>2012</v>
      </c>
      <c r="D140" s="3" t="s">
        <v>2032</v>
      </c>
      <c r="E140" s="3" t="s">
        <v>2052</v>
      </c>
      <c r="F140" s="3" t="s">
        <v>2059</v>
      </c>
      <c r="G140" s="3">
        <v>10</v>
      </c>
      <c r="H140" s="3">
        <v>6500</v>
      </c>
      <c r="I140" s="3">
        <v>8125</v>
      </c>
      <c r="J140" s="3">
        <v>12.25</v>
      </c>
      <c r="K140" s="3">
        <v>71296.320000000007</v>
      </c>
      <c r="L140" s="3">
        <v>6296.32</v>
      </c>
      <c r="M140" s="3">
        <f t="shared" si="11"/>
        <v>995312.5</v>
      </c>
      <c r="N140" s="3">
        <f t="shared" si="12"/>
        <v>65000</v>
      </c>
      <c r="O140" s="3">
        <f t="shared" si="13"/>
        <v>8.8311991418350893</v>
      </c>
      <c r="P140" s="3" t="str">
        <f t="shared" si="14"/>
        <v>Jan</v>
      </c>
      <c r="Q140" s="3" t="str">
        <f t="shared" si="10"/>
        <v>low profit</v>
      </c>
    </row>
    <row r="141" spans="1:17" x14ac:dyDescent="0.25">
      <c r="A141" s="3" t="s">
        <v>1594</v>
      </c>
      <c r="B141" s="4">
        <v>45682</v>
      </c>
      <c r="C141" s="3" t="s">
        <v>2028</v>
      </c>
      <c r="D141" s="3" t="s">
        <v>2048</v>
      </c>
      <c r="E141" s="3" t="s">
        <v>2057</v>
      </c>
      <c r="F141" s="3" t="s">
        <v>2060</v>
      </c>
      <c r="G141" s="3">
        <v>9</v>
      </c>
      <c r="H141" s="3">
        <v>80</v>
      </c>
      <c r="I141" s="3">
        <v>116</v>
      </c>
      <c r="J141" s="3">
        <v>2.73</v>
      </c>
      <c r="K141" s="3">
        <v>1015.47</v>
      </c>
      <c r="L141" s="3">
        <v>295.47000000000003</v>
      </c>
      <c r="M141" s="3">
        <f t="shared" si="11"/>
        <v>2850.12</v>
      </c>
      <c r="N141" s="3">
        <f t="shared" si="12"/>
        <v>720</v>
      </c>
      <c r="O141" s="3">
        <f t="shared" si="13"/>
        <v>29.096871399450503</v>
      </c>
      <c r="P141" s="3" t="str">
        <f t="shared" si="14"/>
        <v>Jan</v>
      </c>
      <c r="Q141" s="3" t="str">
        <f t="shared" si="10"/>
        <v>good profit</v>
      </c>
    </row>
    <row r="142" spans="1:17" x14ac:dyDescent="0.25">
      <c r="A142" s="3" t="s">
        <v>1854</v>
      </c>
      <c r="B142" s="4">
        <v>45682</v>
      </c>
      <c r="C142" s="3" t="s">
        <v>2020</v>
      </c>
      <c r="D142" s="3" t="s">
        <v>2040</v>
      </c>
      <c r="E142" s="3" t="s">
        <v>2053</v>
      </c>
      <c r="F142" s="3" t="s">
        <v>2060</v>
      </c>
      <c r="G142" s="3">
        <v>8</v>
      </c>
      <c r="H142" s="3">
        <v>350</v>
      </c>
      <c r="I142" s="3">
        <v>455</v>
      </c>
      <c r="J142" s="3">
        <v>17</v>
      </c>
      <c r="K142" s="3">
        <v>3021.17</v>
      </c>
      <c r="L142" s="3">
        <v>221.17</v>
      </c>
      <c r="M142" s="3">
        <f t="shared" si="11"/>
        <v>61880</v>
      </c>
      <c r="N142" s="3">
        <f t="shared" si="12"/>
        <v>2800</v>
      </c>
      <c r="O142" s="3">
        <f t="shared" si="13"/>
        <v>7.3206737787016278</v>
      </c>
      <c r="P142" s="3" t="str">
        <f t="shared" si="14"/>
        <v>Jan</v>
      </c>
      <c r="Q142" s="3" t="str">
        <f t="shared" si="10"/>
        <v>low profit</v>
      </c>
    </row>
    <row r="143" spans="1:17" x14ac:dyDescent="0.25">
      <c r="A143" s="3" t="s">
        <v>657</v>
      </c>
      <c r="B143" s="4">
        <v>45683</v>
      </c>
      <c r="C143" s="3" t="s">
        <v>2019</v>
      </c>
      <c r="D143" s="3" t="s">
        <v>2039</v>
      </c>
      <c r="E143" s="3" t="s">
        <v>2053</v>
      </c>
      <c r="F143" s="3" t="s">
        <v>2059</v>
      </c>
      <c r="G143" s="3">
        <v>5</v>
      </c>
      <c r="H143" s="3">
        <v>900</v>
      </c>
      <c r="I143" s="3">
        <v>1152</v>
      </c>
      <c r="J143" s="3">
        <v>11.03</v>
      </c>
      <c r="K143" s="3">
        <v>5124.59</v>
      </c>
      <c r="L143" s="3">
        <v>624.59</v>
      </c>
      <c r="M143" s="3">
        <f t="shared" si="11"/>
        <v>63532.799999999996</v>
      </c>
      <c r="N143" s="3">
        <f t="shared" si="12"/>
        <v>4500</v>
      </c>
      <c r="O143" s="3">
        <f t="shared" si="13"/>
        <v>12.188096998979431</v>
      </c>
      <c r="P143" s="3" t="str">
        <f t="shared" si="14"/>
        <v>Jan</v>
      </c>
      <c r="Q143" s="3" t="str">
        <f t="shared" si="10"/>
        <v>good profit</v>
      </c>
    </row>
    <row r="144" spans="1:17" x14ac:dyDescent="0.25">
      <c r="A144" s="3" t="s">
        <v>900</v>
      </c>
      <c r="B144" s="4">
        <v>45683</v>
      </c>
      <c r="C144" s="3" t="s">
        <v>2022</v>
      </c>
      <c r="D144" s="3" t="s">
        <v>2042</v>
      </c>
      <c r="E144" s="3" t="s">
        <v>2053</v>
      </c>
      <c r="F144" s="3" t="s">
        <v>2060</v>
      </c>
      <c r="G144" s="3">
        <v>5</v>
      </c>
      <c r="H144" s="3">
        <v>8500</v>
      </c>
      <c r="I144" s="3">
        <v>9520</v>
      </c>
      <c r="J144" s="3">
        <v>12.6</v>
      </c>
      <c r="K144" s="3">
        <v>41604.129999999997</v>
      </c>
      <c r="L144" s="3">
        <v>-895.87</v>
      </c>
      <c r="M144" s="3">
        <f t="shared" si="11"/>
        <v>599760</v>
      </c>
      <c r="N144" s="3">
        <f t="shared" si="12"/>
        <v>42500</v>
      </c>
      <c r="O144" s="3">
        <f t="shared" si="13"/>
        <v>-2.1533198747335902</v>
      </c>
      <c r="P144" s="3" t="str">
        <f t="shared" si="14"/>
        <v>Jan</v>
      </c>
      <c r="Q144" s="3" t="str">
        <f t="shared" si="10"/>
        <v>loss</v>
      </c>
    </row>
    <row r="145" spans="1:17" x14ac:dyDescent="0.25">
      <c r="A145" s="3" t="s">
        <v>1593</v>
      </c>
      <c r="B145" s="4">
        <v>45683</v>
      </c>
      <c r="C145" s="3" t="s">
        <v>2022</v>
      </c>
      <c r="D145" s="3" t="s">
        <v>2042</v>
      </c>
      <c r="E145" s="3" t="s">
        <v>2053</v>
      </c>
      <c r="F145" s="3" t="s">
        <v>2062</v>
      </c>
      <c r="G145" s="3">
        <v>7</v>
      </c>
      <c r="H145" s="3">
        <v>8500</v>
      </c>
      <c r="I145" s="3">
        <v>9520</v>
      </c>
      <c r="J145" s="3">
        <v>8.51</v>
      </c>
      <c r="K145" s="3">
        <v>60968.37</v>
      </c>
      <c r="L145" s="3">
        <v>1468.37</v>
      </c>
      <c r="M145" s="3">
        <f t="shared" si="11"/>
        <v>567106.4</v>
      </c>
      <c r="N145" s="3">
        <f t="shared" si="12"/>
        <v>59500</v>
      </c>
      <c r="O145" s="3">
        <f t="shared" si="13"/>
        <v>2.408412755663305</v>
      </c>
      <c r="P145" s="3" t="str">
        <f t="shared" si="14"/>
        <v>Jan</v>
      </c>
      <c r="Q145" s="3" t="str">
        <f t="shared" si="10"/>
        <v>low profit</v>
      </c>
    </row>
    <row r="146" spans="1:17" x14ac:dyDescent="0.25">
      <c r="A146" s="3" t="s">
        <v>1338</v>
      </c>
      <c r="B146" s="4">
        <v>45684</v>
      </c>
      <c r="C146" s="3" t="s">
        <v>2024</v>
      </c>
      <c r="D146" s="3" t="s">
        <v>2044</v>
      </c>
      <c r="E146" s="3" t="s">
        <v>2055</v>
      </c>
      <c r="F146" s="3" t="s">
        <v>2061</v>
      </c>
      <c r="G146" s="3">
        <v>1</v>
      </c>
      <c r="H146" s="3">
        <v>180</v>
      </c>
      <c r="I146" s="3">
        <v>243</v>
      </c>
      <c r="J146" s="3">
        <v>14.28</v>
      </c>
      <c r="K146" s="3">
        <v>208.29</v>
      </c>
      <c r="L146" s="3">
        <v>28.29</v>
      </c>
      <c r="M146" s="3">
        <f t="shared" si="11"/>
        <v>3470.04</v>
      </c>
      <c r="N146" s="3">
        <f t="shared" si="12"/>
        <v>180</v>
      </c>
      <c r="O146" s="3">
        <f t="shared" si="13"/>
        <v>13.582025061212732</v>
      </c>
      <c r="P146" s="3" t="str">
        <f t="shared" si="14"/>
        <v>Jan</v>
      </c>
      <c r="Q146" s="3" t="str">
        <f t="shared" si="10"/>
        <v>good profit</v>
      </c>
    </row>
    <row r="147" spans="1:17" x14ac:dyDescent="0.25">
      <c r="A147" s="3" t="s">
        <v>268</v>
      </c>
      <c r="B147" s="4">
        <v>45685</v>
      </c>
      <c r="C147" s="3" t="s">
        <v>2018</v>
      </c>
      <c r="D147" s="3" t="s">
        <v>2038</v>
      </c>
      <c r="E147" s="3" t="s">
        <v>2053</v>
      </c>
      <c r="F147" s="3" t="s">
        <v>2060</v>
      </c>
      <c r="G147" s="3">
        <v>8</v>
      </c>
      <c r="H147" s="3">
        <v>500</v>
      </c>
      <c r="I147" s="3">
        <v>610</v>
      </c>
      <c r="J147" s="3">
        <v>13.2</v>
      </c>
      <c r="K147" s="3">
        <v>4235.68</v>
      </c>
      <c r="L147" s="3">
        <v>235.68</v>
      </c>
      <c r="M147" s="3">
        <f t="shared" si="11"/>
        <v>64416</v>
      </c>
      <c r="N147" s="3">
        <f t="shared" si="12"/>
        <v>4000</v>
      </c>
      <c r="O147" s="3">
        <f t="shared" si="13"/>
        <v>5.5641597098930982</v>
      </c>
      <c r="P147" s="3" t="str">
        <f t="shared" si="14"/>
        <v>Jan</v>
      </c>
      <c r="Q147" s="3" t="str">
        <f t="shared" si="10"/>
        <v>low profit</v>
      </c>
    </row>
    <row r="148" spans="1:17" x14ac:dyDescent="0.25">
      <c r="A148" s="3" t="s">
        <v>606</v>
      </c>
      <c r="B148" s="4">
        <v>45685</v>
      </c>
      <c r="C148" s="3" t="s">
        <v>2022</v>
      </c>
      <c r="D148" s="3" t="s">
        <v>2042</v>
      </c>
      <c r="E148" s="3" t="s">
        <v>2053</v>
      </c>
      <c r="F148" s="3" t="s">
        <v>2060</v>
      </c>
      <c r="G148" s="3">
        <v>8</v>
      </c>
      <c r="H148" s="3">
        <v>8500</v>
      </c>
      <c r="I148" s="3">
        <v>9520</v>
      </c>
      <c r="J148" s="3">
        <v>14.85</v>
      </c>
      <c r="K148" s="3">
        <v>64846.44</v>
      </c>
      <c r="L148" s="3">
        <v>-3153.56</v>
      </c>
      <c r="M148" s="3">
        <f t="shared" si="11"/>
        <v>1130976</v>
      </c>
      <c r="N148" s="3">
        <f t="shared" si="12"/>
        <v>68000</v>
      </c>
      <c r="O148" s="3">
        <f t="shared" si="13"/>
        <v>-4.8631197024848234</v>
      </c>
      <c r="P148" s="3" t="str">
        <f t="shared" si="14"/>
        <v>Jan</v>
      </c>
      <c r="Q148" s="3" t="str">
        <f t="shared" si="10"/>
        <v>loss</v>
      </c>
    </row>
    <row r="149" spans="1:17" x14ac:dyDescent="0.25">
      <c r="A149" s="3" t="s">
        <v>913</v>
      </c>
      <c r="B149" s="4">
        <v>45685</v>
      </c>
      <c r="C149" s="3" t="s">
        <v>2017</v>
      </c>
      <c r="D149" s="3" t="s">
        <v>2037</v>
      </c>
      <c r="E149" s="3" t="s">
        <v>2055</v>
      </c>
      <c r="F149" s="3" t="s">
        <v>2061</v>
      </c>
      <c r="G149" s="3">
        <v>2</v>
      </c>
      <c r="H149" s="3">
        <v>2500</v>
      </c>
      <c r="I149" s="3">
        <v>2875</v>
      </c>
      <c r="J149" s="3">
        <v>5.63</v>
      </c>
      <c r="K149" s="3">
        <v>5426.26</v>
      </c>
      <c r="L149" s="3">
        <v>426.26</v>
      </c>
      <c r="M149" s="3">
        <f t="shared" si="11"/>
        <v>32372.5</v>
      </c>
      <c r="N149" s="3">
        <f t="shared" si="12"/>
        <v>5000</v>
      </c>
      <c r="O149" s="3">
        <f t="shared" si="13"/>
        <v>7.8555026850906513</v>
      </c>
      <c r="P149" s="3" t="str">
        <f t="shared" si="14"/>
        <v>Jan</v>
      </c>
      <c r="Q149" s="3" t="str">
        <f t="shared" si="10"/>
        <v>low profit</v>
      </c>
    </row>
    <row r="150" spans="1:17" x14ac:dyDescent="0.25">
      <c r="A150" s="3" t="s">
        <v>1034</v>
      </c>
      <c r="B150" s="4">
        <v>45685</v>
      </c>
      <c r="C150" s="3" t="s">
        <v>2024</v>
      </c>
      <c r="D150" s="3" t="s">
        <v>2044</v>
      </c>
      <c r="E150" s="3" t="s">
        <v>2055</v>
      </c>
      <c r="F150" s="3" t="s">
        <v>2059</v>
      </c>
      <c r="G150" s="3">
        <v>8</v>
      </c>
      <c r="H150" s="3">
        <v>180</v>
      </c>
      <c r="I150" s="3">
        <v>243</v>
      </c>
      <c r="J150" s="3">
        <v>11.98</v>
      </c>
      <c r="K150" s="3">
        <v>1711.07</v>
      </c>
      <c r="L150" s="3">
        <v>271.07</v>
      </c>
      <c r="M150" s="3">
        <f t="shared" si="11"/>
        <v>23289.120000000003</v>
      </c>
      <c r="N150" s="3">
        <f t="shared" si="12"/>
        <v>1440</v>
      </c>
      <c r="O150" s="3">
        <f t="shared" si="13"/>
        <v>15.842133869450109</v>
      </c>
      <c r="P150" s="3" t="str">
        <f t="shared" si="14"/>
        <v>Jan</v>
      </c>
      <c r="Q150" s="3" t="str">
        <f t="shared" si="10"/>
        <v>good profit</v>
      </c>
    </row>
    <row r="151" spans="1:17" x14ac:dyDescent="0.25">
      <c r="A151" s="3" t="s">
        <v>1448</v>
      </c>
      <c r="B151" s="4">
        <v>45685</v>
      </c>
      <c r="C151" s="3" t="s">
        <v>2014</v>
      </c>
      <c r="D151" s="3" t="s">
        <v>2034</v>
      </c>
      <c r="E151" s="3" t="s">
        <v>2052</v>
      </c>
      <c r="F151" s="3" t="s">
        <v>2059</v>
      </c>
      <c r="G151" s="3">
        <v>8</v>
      </c>
      <c r="H151" s="3">
        <v>4500</v>
      </c>
      <c r="I151" s="3">
        <v>5220</v>
      </c>
      <c r="J151" s="3">
        <v>17.399999999999999</v>
      </c>
      <c r="K151" s="3">
        <v>34492.81</v>
      </c>
      <c r="L151" s="3">
        <v>-1507.19</v>
      </c>
      <c r="M151" s="3">
        <f t="shared" si="11"/>
        <v>726623.99999999988</v>
      </c>
      <c r="N151" s="3">
        <f t="shared" si="12"/>
        <v>36000</v>
      </c>
      <c r="O151" s="3">
        <f t="shared" si="13"/>
        <v>-4.3695773119093522</v>
      </c>
      <c r="P151" s="3" t="str">
        <f t="shared" si="14"/>
        <v>Jan</v>
      </c>
      <c r="Q151" s="3" t="str">
        <f t="shared" si="10"/>
        <v>loss</v>
      </c>
    </row>
    <row r="152" spans="1:17" x14ac:dyDescent="0.25">
      <c r="A152" s="3" t="s">
        <v>1479</v>
      </c>
      <c r="B152" s="4">
        <v>45685</v>
      </c>
      <c r="C152" s="3" t="s">
        <v>2020</v>
      </c>
      <c r="D152" s="3" t="s">
        <v>2040</v>
      </c>
      <c r="E152" s="3" t="s">
        <v>2053</v>
      </c>
      <c r="F152" s="3" t="s">
        <v>2060</v>
      </c>
      <c r="G152" s="3">
        <v>6</v>
      </c>
      <c r="H152" s="3">
        <v>350</v>
      </c>
      <c r="I152" s="3">
        <v>455</v>
      </c>
      <c r="J152" s="3">
        <v>10.11</v>
      </c>
      <c r="K152" s="3">
        <v>2453.91</v>
      </c>
      <c r="L152" s="3">
        <v>353.91</v>
      </c>
      <c r="M152" s="3">
        <f t="shared" si="11"/>
        <v>27600.3</v>
      </c>
      <c r="N152" s="3">
        <f t="shared" si="12"/>
        <v>2100</v>
      </c>
      <c r="O152" s="3">
        <f t="shared" si="13"/>
        <v>14.422289326014404</v>
      </c>
      <c r="P152" s="3" t="str">
        <f t="shared" si="14"/>
        <v>Jan</v>
      </c>
      <c r="Q152" s="3" t="str">
        <f t="shared" si="10"/>
        <v>good profit</v>
      </c>
    </row>
    <row r="153" spans="1:17" x14ac:dyDescent="0.25">
      <c r="A153" s="3" t="s">
        <v>1482</v>
      </c>
      <c r="B153" s="4">
        <v>45685</v>
      </c>
      <c r="C153" s="3" t="s">
        <v>2019</v>
      </c>
      <c r="D153" s="3" t="s">
        <v>2039</v>
      </c>
      <c r="E153" s="3" t="s">
        <v>2053</v>
      </c>
      <c r="F153" s="3" t="s">
        <v>2061</v>
      </c>
      <c r="G153" s="3">
        <v>6</v>
      </c>
      <c r="H153" s="3">
        <v>900</v>
      </c>
      <c r="I153" s="3">
        <v>1152</v>
      </c>
      <c r="J153" s="3">
        <v>15.59</v>
      </c>
      <c r="K153" s="3">
        <v>5834.32</v>
      </c>
      <c r="L153" s="3">
        <v>434.32</v>
      </c>
      <c r="M153" s="3">
        <f t="shared" si="11"/>
        <v>107758.08</v>
      </c>
      <c r="N153" s="3">
        <f t="shared" si="12"/>
        <v>5400</v>
      </c>
      <c r="O153" s="3">
        <f t="shared" si="13"/>
        <v>7.4442265765333415</v>
      </c>
      <c r="P153" s="3" t="str">
        <f t="shared" si="14"/>
        <v>Jan</v>
      </c>
      <c r="Q153" s="3" t="str">
        <f t="shared" si="10"/>
        <v>low profit</v>
      </c>
    </row>
    <row r="154" spans="1:17" x14ac:dyDescent="0.25">
      <c r="A154" s="3" t="s">
        <v>1585</v>
      </c>
      <c r="B154" s="4">
        <v>45685</v>
      </c>
      <c r="C154" s="3" t="s">
        <v>2014</v>
      </c>
      <c r="D154" s="3" t="s">
        <v>2034</v>
      </c>
      <c r="E154" s="3" t="s">
        <v>2052</v>
      </c>
      <c r="F154" s="3" t="s">
        <v>2059</v>
      </c>
      <c r="G154" s="3">
        <v>1</v>
      </c>
      <c r="H154" s="3">
        <v>4500</v>
      </c>
      <c r="I154" s="3">
        <v>5220</v>
      </c>
      <c r="J154" s="3">
        <v>22.56</v>
      </c>
      <c r="K154" s="3">
        <v>4042.6</v>
      </c>
      <c r="L154" s="3">
        <v>-457.4</v>
      </c>
      <c r="M154" s="3">
        <f t="shared" si="11"/>
        <v>117763.2</v>
      </c>
      <c r="N154" s="3">
        <f t="shared" si="12"/>
        <v>4500</v>
      </c>
      <c r="O154" s="3">
        <f t="shared" si="13"/>
        <v>-11.31450056894078</v>
      </c>
      <c r="P154" s="3" t="str">
        <f t="shared" si="14"/>
        <v>Jan</v>
      </c>
      <c r="Q154" s="3" t="str">
        <f t="shared" si="10"/>
        <v>loss</v>
      </c>
    </row>
    <row r="155" spans="1:17" x14ac:dyDescent="0.25">
      <c r="A155" s="3" t="s">
        <v>231</v>
      </c>
      <c r="B155" s="4">
        <v>45686</v>
      </c>
      <c r="C155" s="3" t="s">
        <v>2013</v>
      </c>
      <c r="D155" s="3" t="s">
        <v>2033</v>
      </c>
      <c r="E155" s="3" t="s">
        <v>2053</v>
      </c>
      <c r="F155" s="3" t="s">
        <v>2061</v>
      </c>
      <c r="G155" s="3">
        <v>1</v>
      </c>
      <c r="H155" s="3">
        <v>6500</v>
      </c>
      <c r="I155" s="3">
        <v>7150</v>
      </c>
      <c r="J155" s="3">
        <v>31.67</v>
      </c>
      <c r="K155" s="3">
        <v>4885.54</v>
      </c>
      <c r="L155" s="3">
        <v>-1614.46</v>
      </c>
      <c r="M155" s="3">
        <f t="shared" si="11"/>
        <v>226440.5</v>
      </c>
      <c r="N155" s="3">
        <f t="shared" si="12"/>
        <v>6500</v>
      </c>
      <c r="O155" s="3">
        <f t="shared" si="13"/>
        <v>-33.045681746541838</v>
      </c>
      <c r="P155" s="3" t="str">
        <f t="shared" si="14"/>
        <v>Jan</v>
      </c>
      <c r="Q155" s="3" t="str">
        <f t="shared" si="10"/>
        <v>loss</v>
      </c>
    </row>
    <row r="156" spans="1:17" x14ac:dyDescent="0.25">
      <c r="A156" s="3" t="s">
        <v>354</v>
      </c>
      <c r="B156" s="4">
        <v>45686</v>
      </c>
      <c r="C156" s="3" t="s">
        <v>2023</v>
      </c>
      <c r="D156" s="3" t="s">
        <v>2043</v>
      </c>
      <c r="E156" s="3" t="s">
        <v>2053</v>
      </c>
      <c r="F156" s="3" t="s">
        <v>2059</v>
      </c>
      <c r="G156" s="3">
        <v>10</v>
      </c>
      <c r="H156" s="3">
        <v>550</v>
      </c>
      <c r="I156" s="3">
        <v>742.5</v>
      </c>
      <c r="J156" s="3">
        <v>8.42</v>
      </c>
      <c r="K156" s="3">
        <v>6799.5</v>
      </c>
      <c r="L156" s="3">
        <v>1299.5</v>
      </c>
      <c r="M156" s="3">
        <f t="shared" si="11"/>
        <v>62518.5</v>
      </c>
      <c r="N156" s="3">
        <f t="shared" si="12"/>
        <v>5500</v>
      </c>
      <c r="O156" s="3">
        <f t="shared" si="13"/>
        <v>19.111699389661005</v>
      </c>
      <c r="P156" s="3" t="str">
        <f t="shared" si="14"/>
        <v>Jan</v>
      </c>
      <c r="Q156" s="3" t="str">
        <f t="shared" si="10"/>
        <v>good profit</v>
      </c>
    </row>
    <row r="157" spans="1:17" x14ac:dyDescent="0.25">
      <c r="A157" s="3" t="s">
        <v>1517</v>
      </c>
      <c r="B157" s="4">
        <v>45686</v>
      </c>
      <c r="C157" s="3" t="s">
        <v>2030</v>
      </c>
      <c r="D157" s="3" t="s">
        <v>2050</v>
      </c>
      <c r="E157" s="3" t="s">
        <v>2058</v>
      </c>
      <c r="F157" s="3" t="s">
        <v>2060</v>
      </c>
      <c r="G157" s="3">
        <v>8</v>
      </c>
      <c r="H157" s="3">
        <v>1800</v>
      </c>
      <c r="I157" s="3">
        <v>2124</v>
      </c>
      <c r="J157" s="3">
        <v>10.64</v>
      </c>
      <c r="K157" s="3">
        <v>15183.34</v>
      </c>
      <c r="L157" s="3">
        <v>783.34</v>
      </c>
      <c r="M157" s="3">
        <f t="shared" si="11"/>
        <v>180794.88</v>
      </c>
      <c r="N157" s="3">
        <f t="shared" si="12"/>
        <v>14400</v>
      </c>
      <c r="O157" s="3">
        <f t="shared" si="13"/>
        <v>5.1592073944204637</v>
      </c>
      <c r="P157" s="3" t="str">
        <f t="shared" si="14"/>
        <v>Jan</v>
      </c>
      <c r="Q157" s="3" t="str">
        <f t="shared" si="10"/>
        <v>low profit</v>
      </c>
    </row>
    <row r="158" spans="1:17" x14ac:dyDescent="0.25">
      <c r="A158" s="3" t="s">
        <v>2004</v>
      </c>
      <c r="B158" s="4">
        <v>45686</v>
      </c>
      <c r="C158" s="3" t="s">
        <v>2022</v>
      </c>
      <c r="D158" s="3" t="s">
        <v>2042</v>
      </c>
      <c r="E158" s="3" t="s">
        <v>2053</v>
      </c>
      <c r="F158" s="3" t="s">
        <v>2060</v>
      </c>
      <c r="G158" s="3">
        <v>8</v>
      </c>
      <c r="H158" s="3">
        <v>8500</v>
      </c>
      <c r="I158" s="3">
        <v>9520</v>
      </c>
      <c r="J158" s="3">
        <v>4</v>
      </c>
      <c r="K158" s="3">
        <v>73113.600000000006</v>
      </c>
      <c r="L158" s="3">
        <v>5113.6000000000004</v>
      </c>
      <c r="M158" s="3">
        <f t="shared" si="11"/>
        <v>304640</v>
      </c>
      <c r="N158" s="3">
        <f t="shared" si="12"/>
        <v>68000</v>
      </c>
      <c r="O158" s="3">
        <f t="shared" si="13"/>
        <v>6.9940476190476195</v>
      </c>
      <c r="P158" s="3" t="str">
        <f t="shared" si="14"/>
        <v>Jan</v>
      </c>
      <c r="Q158" s="3" t="str">
        <f t="shared" si="10"/>
        <v>low profit</v>
      </c>
    </row>
    <row r="159" spans="1:17" x14ac:dyDescent="0.25">
      <c r="A159" s="3" t="s">
        <v>32</v>
      </c>
      <c r="B159" s="4">
        <v>45687</v>
      </c>
      <c r="C159" s="3" t="s">
        <v>2025</v>
      </c>
      <c r="D159" s="3" t="s">
        <v>2045</v>
      </c>
      <c r="E159" s="3" t="s">
        <v>2057</v>
      </c>
      <c r="F159" s="3" t="s">
        <v>2062</v>
      </c>
      <c r="G159" s="3">
        <v>2</v>
      </c>
      <c r="H159" s="3">
        <v>45</v>
      </c>
      <c r="I159" s="3">
        <v>63</v>
      </c>
      <c r="J159" s="3">
        <v>4.42</v>
      </c>
      <c r="K159" s="3">
        <v>120.43</v>
      </c>
      <c r="L159" s="3">
        <v>30.43</v>
      </c>
      <c r="M159" s="3">
        <f t="shared" si="11"/>
        <v>556.91999999999996</v>
      </c>
      <c r="N159" s="3">
        <f t="shared" si="12"/>
        <v>90</v>
      </c>
      <c r="O159" s="3">
        <f t="shared" si="13"/>
        <v>25.267790417670017</v>
      </c>
      <c r="P159" s="3" t="str">
        <f t="shared" si="14"/>
        <v>Jan</v>
      </c>
      <c r="Q159" s="3" t="str">
        <f t="shared" si="10"/>
        <v>good profit</v>
      </c>
    </row>
    <row r="160" spans="1:17" x14ac:dyDescent="0.25">
      <c r="A160" s="3" t="s">
        <v>371</v>
      </c>
      <c r="B160" s="4">
        <v>45687</v>
      </c>
      <c r="C160" s="3" t="s">
        <v>2025</v>
      </c>
      <c r="D160" s="3" t="s">
        <v>2045</v>
      </c>
      <c r="E160" s="3" t="s">
        <v>2057</v>
      </c>
      <c r="F160" s="3" t="s">
        <v>2059</v>
      </c>
      <c r="G160" s="3">
        <v>3</v>
      </c>
      <c r="H160" s="3">
        <v>45</v>
      </c>
      <c r="I160" s="3">
        <v>63</v>
      </c>
      <c r="J160" s="3">
        <v>17.05</v>
      </c>
      <c r="K160" s="3">
        <v>156.77000000000001</v>
      </c>
      <c r="L160" s="3">
        <v>21.77</v>
      </c>
      <c r="M160" s="3">
        <f t="shared" si="11"/>
        <v>3222.4500000000003</v>
      </c>
      <c r="N160" s="3">
        <f t="shared" si="12"/>
        <v>135</v>
      </c>
      <c r="O160" s="3">
        <f t="shared" si="13"/>
        <v>13.886585443643554</v>
      </c>
      <c r="P160" s="3" t="str">
        <f t="shared" si="14"/>
        <v>Jan</v>
      </c>
      <c r="Q160" s="3" t="str">
        <f t="shared" si="10"/>
        <v>good profit</v>
      </c>
    </row>
    <row r="161" spans="1:17" x14ac:dyDescent="0.25">
      <c r="A161" s="3" t="s">
        <v>460</v>
      </c>
      <c r="B161" s="4">
        <v>45687</v>
      </c>
      <c r="C161" s="3" t="s">
        <v>2025</v>
      </c>
      <c r="D161" s="3" t="s">
        <v>2045</v>
      </c>
      <c r="E161" s="3" t="s">
        <v>2057</v>
      </c>
      <c r="F161" s="3" t="s">
        <v>2061</v>
      </c>
      <c r="G161" s="3">
        <v>4</v>
      </c>
      <c r="H161" s="3">
        <v>45</v>
      </c>
      <c r="I161" s="3">
        <v>63</v>
      </c>
      <c r="J161" s="3">
        <v>8.56</v>
      </c>
      <c r="K161" s="3">
        <v>230.44</v>
      </c>
      <c r="L161" s="3">
        <v>50.44</v>
      </c>
      <c r="M161" s="3">
        <f t="shared" si="11"/>
        <v>2157.1200000000003</v>
      </c>
      <c r="N161" s="3">
        <f t="shared" si="12"/>
        <v>180</v>
      </c>
      <c r="O161" s="3">
        <f t="shared" si="13"/>
        <v>21.888561013712895</v>
      </c>
      <c r="P161" s="3" t="str">
        <f t="shared" si="14"/>
        <v>Jan</v>
      </c>
      <c r="Q161" s="3" t="str">
        <f t="shared" si="10"/>
        <v>good profit</v>
      </c>
    </row>
    <row r="162" spans="1:17" x14ac:dyDescent="0.25">
      <c r="A162" s="3" t="s">
        <v>818</v>
      </c>
      <c r="B162" s="4">
        <v>45687</v>
      </c>
      <c r="C162" s="3" t="s">
        <v>2022</v>
      </c>
      <c r="D162" s="3" t="s">
        <v>2042</v>
      </c>
      <c r="E162" s="3" t="s">
        <v>2053</v>
      </c>
      <c r="F162" s="3" t="s">
        <v>2061</v>
      </c>
      <c r="G162" s="3">
        <v>4</v>
      </c>
      <c r="H162" s="3">
        <v>8500</v>
      </c>
      <c r="I162" s="3">
        <v>9520</v>
      </c>
      <c r="J162" s="3">
        <v>4</v>
      </c>
      <c r="K162" s="3">
        <v>36556.800000000003</v>
      </c>
      <c r="L162" s="3">
        <v>2556.8000000000002</v>
      </c>
      <c r="M162" s="3">
        <f t="shared" si="11"/>
        <v>152320</v>
      </c>
      <c r="N162" s="3">
        <f t="shared" si="12"/>
        <v>34000</v>
      </c>
      <c r="O162" s="3">
        <f t="shared" si="13"/>
        <v>6.9940476190476195</v>
      </c>
      <c r="P162" s="3" t="str">
        <f t="shared" si="14"/>
        <v>Jan</v>
      </c>
      <c r="Q162" s="3" t="str">
        <f t="shared" si="10"/>
        <v>low profit</v>
      </c>
    </row>
    <row r="163" spans="1:17" x14ac:dyDescent="0.25">
      <c r="A163" s="3" t="s">
        <v>1066</v>
      </c>
      <c r="B163" s="4">
        <v>45687</v>
      </c>
      <c r="C163" s="3" t="s">
        <v>2023</v>
      </c>
      <c r="D163" s="3" t="s">
        <v>2043</v>
      </c>
      <c r="E163" s="3" t="s">
        <v>2053</v>
      </c>
      <c r="F163" s="3" t="s">
        <v>2062</v>
      </c>
      <c r="G163" s="3">
        <v>3</v>
      </c>
      <c r="H163" s="3">
        <v>550</v>
      </c>
      <c r="I163" s="3">
        <v>742.5</v>
      </c>
      <c r="J163" s="3">
        <v>13.06</v>
      </c>
      <c r="K163" s="3">
        <v>1936.62</v>
      </c>
      <c r="L163" s="3">
        <v>286.62</v>
      </c>
      <c r="M163" s="3">
        <f t="shared" si="11"/>
        <v>29091.15</v>
      </c>
      <c r="N163" s="3">
        <f t="shared" si="12"/>
        <v>1650</v>
      </c>
      <c r="O163" s="3">
        <f t="shared" si="13"/>
        <v>14.800012392725471</v>
      </c>
      <c r="P163" s="3" t="str">
        <f t="shared" si="14"/>
        <v>Jan</v>
      </c>
      <c r="Q163" s="3" t="str">
        <f t="shared" si="10"/>
        <v>good profit</v>
      </c>
    </row>
    <row r="164" spans="1:17" x14ac:dyDescent="0.25">
      <c r="A164" s="3" t="s">
        <v>1126</v>
      </c>
      <c r="B164" s="4">
        <v>45687</v>
      </c>
      <c r="C164" s="3" t="s">
        <v>2017</v>
      </c>
      <c r="D164" s="3" t="s">
        <v>2037</v>
      </c>
      <c r="E164" s="3" t="s">
        <v>2055</v>
      </c>
      <c r="F164" s="3" t="s">
        <v>2059</v>
      </c>
      <c r="G164" s="3">
        <v>1</v>
      </c>
      <c r="H164" s="3">
        <v>2500</v>
      </c>
      <c r="I164" s="3">
        <v>2875</v>
      </c>
      <c r="J164" s="3">
        <v>2.54</v>
      </c>
      <c r="K164" s="3">
        <v>2802.08</v>
      </c>
      <c r="L164" s="3">
        <v>302.08</v>
      </c>
      <c r="M164" s="3">
        <f t="shared" si="11"/>
        <v>7302.5</v>
      </c>
      <c r="N164" s="3">
        <f t="shared" si="12"/>
        <v>2500</v>
      </c>
      <c r="O164" s="3">
        <f t="shared" si="13"/>
        <v>10.780563010335181</v>
      </c>
      <c r="P164" s="3" t="str">
        <f t="shared" si="14"/>
        <v>Jan</v>
      </c>
      <c r="Q164" s="3" t="str">
        <f t="shared" si="10"/>
        <v>good profit</v>
      </c>
    </row>
    <row r="165" spans="1:17" x14ac:dyDescent="0.25">
      <c r="A165" s="3" t="s">
        <v>1282</v>
      </c>
      <c r="B165" s="4">
        <v>45687</v>
      </c>
      <c r="C165" s="3" t="s">
        <v>2020</v>
      </c>
      <c r="D165" s="3" t="s">
        <v>2040</v>
      </c>
      <c r="E165" s="3" t="s">
        <v>2053</v>
      </c>
      <c r="F165" s="3" t="s">
        <v>2061</v>
      </c>
      <c r="G165" s="3">
        <v>2</v>
      </c>
      <c r="H165" s="3">
        <v>350</v>
      </c>
      <c r="I165" s="3">
        <v>455</v>
      </c>
      <c r="J165" s="3">
        <v>2.23</v>
      </c>
      <c r="K165" s="3">
        <v>889.74</v>
      </c>
      <c r="L165" s="3">
        <v>189.74</v>
      </c>
      <c r="M165" s="3">
        <f t="shared" si="11"/>
        <v>2029.3</v>
      </c>
      <c r="N165" s="3">
        <f t="shared" si="12"/>
        <v>700</v>
      </c>
      <c r="O165" s="3">
        <f t="shared" si="13"/>
        <v>21.32533099557174</v>
      </c>
      <c r="P165" s="3" t="str">
        <f t="shared" si="14"/>
        <v>Jan</v>
      </c>
      <c r="Q165" s="3" t="str">
        <f t="shared" si="10"/>
        <v>good profit</v>
      </c>
    </row>
    <row r="166" spans="1:17" x14ac:dyDescent="0.25">
      <c r="A166" s="3" t="s">
        <v>1370</v>
      </c>
      <c r="B166" s="4">
        <v>45687</v>
      </c>
      <c r="C166" s="3" t="s">
        <v>2021</v>
      </c>
      <c r="D166" s="3" t="s">
        <v>2041</v>
      </c>
      <c r="E166" s="3" t="s">
        <v>2056</v>
      </c>
      <c r="F166" s="3" t="s">
        <v>2062</v>
      </c>
      <c r="G166" s="3">
        <v>6</v>
      </c>
      <c r="H166" s="3">
        <v>300</v>
      </c>
      <c r="I166" s="3">
        <v>405</v>
      </c>
      <c r="J166" s="3">
        <v>6</v>
      </c>
      <c r="K166" s="3">
        <v>2284.19</v>
      </c>
      <c r="L166" s="3">
        <v>484.19</v>
      </c>
      <c r="M166" s="3">
        <f t="shared" si="11"/>
        <v>14580</v>
      </c>
      <c r="N166" s="3">
        <f t="shared" si="12"/>
        <v>1800</v>
      </c>
      <c r="O166" s="3">
        <f t="shared" si="13"/>
        <v>21.19744854850078</v>
      </c>
      <c r="P166" s="3" t="str">
        <f t="shared" si="14"/>
        <v>Jan</v>
      </c>
      <c r="Q166" s="3" t="str">
        <f t="shared" si="10"/>
        <v>good profit</v>
      </c>
    </row>
    <row r="167" spans="1:17" x14ac:dyDescent="0.25">
      <c r="A167" s="3" t="s">
        <v>1851</v>
      </c>
      <c r="B167" s="4">
        <v>45687</v>
      </c>
      <c r="C167" s="3" t="s">
        <v>2019</v>
      </c>
      <c r="D167" s="3" t="s">
        <v>2039</v>
      </c>
      <c r="E167" s="3" t="s">
        <v>2053</v>
      </c>
      <c r="F167" s="3" t="s">
        <v>2061</v>
      </c>
      <c r="G167" s="3">
        <v>10</v>
      </c>
      <c r="H167" s="3">
        <v>900</v>
      </c>
      <c r="I167" s="3">
        <v>1152</v>
      </c>
      <c r="J167" s="3">
        <v>0.76</v>
      </c>
      <c r="K167" s="3">
        <v>11432.14</v>
      </c>
      <c r="L167" s="3">
        <v>2432.14</v>
      </c>
      <c r="M167" s="3">
        <f t="shared" si="11"/>
        <v>8755.2000000000007</v>
      </c>
      <c r="N167" s="3">
        <f t="shared" si="12"/>
        <v>9000</v>
      </c>
      <c r="O167" s="3">
        <f t="shared" si="13"/>
        <v>21.274582011766828</v>
      </c>
      <c r="P167" s="3" t="str">
        <f t="shared" si="14"/>
        <v>Jan</v>
      </c>
      <c r="Q167" s="3" t="str">
        <f t="shared" si="10"/>
        <v>good profit</v>
      </c>
    </row>
    <row r="168" spans="1:17" x14ac:dyDescent="0.25">
      <c r="A168" s="3" t="s">
        <v>127</v>
      </c>
      <c r="B168" s="4">
        <v>45688</v>
      </c>
      <c r="C168" s="3" t="s">
        <v>2014</v>
      </c>
      <c r="D168" s="3" t="s">
        <v>2034</v>
      </c>
      <c r="E168" s="3" t="s">
        <v>2052</v>
      </c>
      <c r="F168" s="3" t="s">
        <v>2061</v>
      </c>
      <c r="G168" s="3">
        <v>7</v>
      </c>
      <c r="H168" s="3">
        <v>4500</v>
      </c>
      <c r="I168" s="3">
        <v>5220</v>
      </c>
      <c r="J168" s="3">
        <v>17.16</v>
      </c>
      <c r="K168" s="3">
        <v>30271.5</v>
      </c>
      <c r="L168" s="3">
        <v>-1228.5</v>
      </c>
      <c r="M168" s="3">
        <f t="shared" si="11"/>
        <v>627026.4</v>
      </c>
      <c r="N168" s="3">
        <f t="shared" si="12"/>
        <v>31500</v>
      </c>
      <c r="O168" s="3">
        <f t="shared" si="13"/>
        <v>-4.0582726326742975</v>
      </c>
      <c r="P168" s="3" t="str">
        <f t="shared" si="14"/>
        <v>Jan</v>
      </c>
      <c r="Q168" s="3" t="str">
        <f t="shared" si="10"/>
        <v>loss</v>
      </c>
    </row>
    <row r="169" spans="1:17" x14ac:dyDescent="0.25">
      <c r="A169" s="3" t="s">
        <v>539</v>
      </c>
      <c r="B169" s="4">
        <v>45688</v>
      </c>
      <c r="C169" s="3" t="s">
        <v>2018</v>
      </c>
      <c r="D169" s="3" t="s">
        <v>2038</v>
      </c>
      <c r="E169" s="3" t="s">
        <v>2053</v>
      </c>
      <c r="F169" s="3" t="s">
        <v>2061</v>
      </c>
      <c r="G169" s="3">
        <v>8</v>
      </c>
      <c r="H169" s="3">
        <v>500</v>
      </c>
      <c r="I169" s="3">
        <v>610</v>
      </c>
      <c r="J169" s="3">
        <v>8.33</v>
      </c>
      <c r="K169" s="3">
        <v>4473.2700000000004</v>
      </c>
      <c r="L169" s="3">
        <v>473.27</v>
      </c>
      <c r="M169" s="3">
        <f t="shared" si="11"/>
        <v>40650.400000000001</v>
      </c>
      <c r="N169" s="3">
        <f t="shared" si="12"/>
        <v>4000</v>
      </c>
      <c r="O169" s="3">
        <f t="shared" si="13"/>
        <v>10.579956050048397</v>
      </c>
      <c r="P169" s="3" t="str">
        <f t="shared" si="14"/>
        <v>Jan</v>
      </c>
      <c r="Q169" s="3" t="str">
        <f t="shared" si="10"/>
        <v>good profit</v>
      </c>
    </row>
    <row r="170" spans="1:17" x14ac:dyDescent="0.25">
      <c r="A170" s="3" t="s">
        <v>1107</v>
      </c>
      <c r="B170" s="4">
        <v>45688</v>
      </c>
      <c r="C170" s="3" t="s">
        <v>2025</v>
      </c>
      <c r="D170" s="3" t="s">
        <v>2045</v>
      </c>
      <c r="E170" s="3" t="s">
        <v>2057</v>
      </c>
      <c r="F170" s="3" t="s">
        <v>2062</v>
      </c>
      <c r="G170" s="3">
        <v>7</v>
      </c>
      <c r="H170" s="3">
        <v>45</v>
      </c>
      <c r="I170" s="3">
        <v>63</v>
      </c>
      <c r="J170" s="3">
        <v>8.18</v>
      </c>
      <c r="K170" s="3">
        <v>404.94</v>
      </c>
      <c r="L170" s="3">
        <v>89.94</v>
      </c>
      <c r="M170" s="3">
        <f t="shared" si="11"/>
        <v>3607.3799999999997</v>
      </c>
      <c r="N170" s="3">
        <f t="shared" si="12"/>
        <v>315</v>
      </c>
      <c r="O170" s="3">
        <f t="shared" si="13"/>
        <v>22.210697881167579</v>
      </c>
      <c r="P170" s="3" t="str">
        <f t="shared" si="14"/>
        <v>Jan</v>
      </c>
      <c r="Q170" s="3" t="str">
        <f t="shared" si="10"/>
        <v>good profit</v>
      </c>
    </row>
    <row r="171" spans="1:17" x14ac:dyDescent="0.25">
      <c r="A171" s="3" t="s">
        <v>1354</v>
      </c>
      <c r="B171" s="4">
        <v>45688</v>
      </c>
      <c r="C171" s="3" t="s">
        <v>2019</v>
      </c>
      <c r="D171" s="3" t="s">
        <v>2039</v>
      </c>
      <c r="E171" s="3" t="s">
        <v>2053</v>
      </c>
      <c r="F171" s="3" t="s">
        <v>2061</v>
      </c>
      <c r="G171" s="3">
        <v>4</v>
      </c>
      <c r="H171" s="3">
        <v>900</v>
      </c>
      <c r="I171" s="3">
        <v>1152</v>
      </c>
      <c r="J171" s="3">
        <v>18.09</v>
      </c>
      <c r="K171" s="3">
        <v>3774.47</v>
      </c>
      <c r="L171" s="3">
        <v>174.47</v>
      </c>
      <c r="M171" s="3">
        <f t="shared" si="11"/>
        <v>83358.720000000001</v>
      </c>
      <c r="N171" s="3">
        <f t="shared" si="12"/>
        <v>3600</v>
      </c>
      <c r="O171" s="3">
        <f t="shared" si="13"/>
        <v>4.6223708229234832</v>
      </c>
      <c r="P171" s="3" t="str">
        <f t="shared" si="14"/>
        <v>Jan</v>
      </c>
      <c r="Q171" s="3" t="str">
        <f t="shared" si="10"/>
        <v>low profit</v>
      </c>
    </row>
    <row r="172" spans="1:17" x14ac:dyDescent="0.25">
      <c r="A172" s="3" t="s">
        <v>1461</v>
      </c>
      <c r="B172" s="4">
        <v>45688</v>
      </c>
      <c r="C172" s="3" t="s">
        <v>2029</v>
      </c>
      <c r="D172" s="3" t="s">
        <v>2049</v>
      </c>
      <c r="E172" s="3" t="s">
        <v>2055</v>
      </c>
      <c r="F172" s="3" t="s">
        <v>2062</v>
      </c>
      <c r="G172" s="3">
        <v>9</v>
      </c>
      <c r="H172" s="3">
        <v>1200</v>
      </c>
      <c r="I172" s="3">
        <v>1464</v>
      </c>
      <c r="J172" s="3">
        <v>11.91</v>
      </c>
      <c r="K172" s="3">
        <v>11606.68</v>
      </c>
      <c r="L172" s="3">
        <v>806.68</v>
      </c>
      <c r="M172" s="3">
        <f t="shared" si="11"/>
        <v>156926.16</v>
      </c>
      <c r="N172" s="3">
        <f t="shared" si="12"/>
        <v>10800</v>
      </c>
      <c r="O172" s="3">
        <f t="shared" si="13"/>
        <v>6.9501356115616169</v>
      </c>
      <c r="P172" s="3" t="str">
        <f t="shared" si="14"/>
        <v>Jan</v>
      </c>
      <c r="Q172" s="3" t="str">
        <f t="shared" si="10"/>
        <v>low profit</v>
      </c>
    </row>
    <row r="173" spans="1:17" x14ac:dyDescent="0.25">
      <c r="A173" s="3" t="s">
        <v>326</v>
      </c>
      <c r="B173" s="4">
        <v>45689</v>
      </c>
      <c r="C173" s="3" t="s">
        <v>2026</v>
      </c>
      <c r="D173" s="3" t="s">
        <v>2046</v>
      </c>
      <c r="E173" s="3" t="s">
        <v>2052</v>
      </c>
      <c r="F173" s="3" t="s">
        <v>2062</v>
      </c>
      <c r="G173" s="3">
        <v>5</v>
      </c>
      <c r="H173" s="3">
        <v>3000</v>
      </c>
      <c r="I173" s="3">
        <v>3600</v>
      </c>
      <c r="J173" s="3">
        <v>11.12</v>
      </c>
      <c r="K173" s="3">
        <v>15998.94</v>
      </c>
      <c r="L173" s="3">
        <v>998.94</v>
      </c>
      <c r="M173" s="3">
        <f t="shared" si="11"/>
        <v>200160</v>
      </c>
      <c r="N173" s="3">
        <f t="shared" si="12"/>
        <v>15000</v>
      </c>
      <c r="O173" s="3">
        <f t="shared" si="13"/>
        <v>6.2437886509981286</v>
      </c>
      <c r="P173" s="3" t="str">
        <f t="shared" si="14"/>
        <v>Feb</v>
      </c>
      <c r="Q173" s="3" t="str">
        <f t="shared" si="10"/>
        <v>low profit</v>
      </c>
    </row>
    <row r="174" spans="1:17" x14ac:dyDescent="0.25">
      <c r="A174" s="3" t="s">
        <v>640</v>
      </c>
      <c r="B174" s="4">
        <v>45689</v>
      </c>
      <c r="C174" s="3" t="s">
        <v>2017</v>
      </c>
      <c r="D174" s="3" t="s">
        <v>2037</v>
      </c>
      <c r="E174" s="3" t="s">
        <v>2055</v>
      </c>
      <c r="F174" s="3" t="s">
        <v>2062</v>
      </c>
      <c r="G174" s="3">
        <v>8</v>
      </c>
      <c r="H174" s="3">
        <v>2500</v>
      </c>
      <c r="I174" s="3">
        <v>2875</v>
      </c>
      <c r="J174" s="3">
        <v>4</v>
      </c>
      <c r="K174" s="3">
        <v>22079.21</v>
      </c>
      <c r="L174" s="3">
        <v>2079.21</v>
      </c>
      <c r="M174" s="3">
        <f t="shared" si="11"/>
        <v>92000</v>
      </c>
      <c r="N174" s="3">
        <f t="shared" si="12"/>
        <v>20000</v>
      </c>
      <c r="O174" s="3">
        <f t="shared" si="13"/>
        <v>9.41704888897746</v>
      </c>
      <c r="P174" s="3" t="str">
        <f t="shared" si="14"/>
        <v>Feb</v>
      </c>
      <c r="Q174" s="3" t="str">
        <f t="shared" si="10"/>
        <v>low profit</v>
      </c>
    </row>
    <row r="175" spans="1:17" x14ac:dyDescent="0.25">
      <c r="A175" s="3" t="s">
        <v>706</v>
      </c>
      <c r="B175" s="4">
        <v>45689</v>
      </c>
      <c r="C175" s="3" t="s">
        <v>2014</v>
      </c>
      <c r="D175" s="3" t="s">
        <v>2034</v>
      </c>
      <c r="E175" s="3" t="s">
        <v>2052</v>
      </c>
      <c r="F175" s="3" t="s">
        <v>2061</v>
      </c>
      <c r="G175" s="3">
        <v>5</v>
      </c>
      <c r="H175" s="3">
        <v>4500</v>
      </c>
      <c r="I175" s="3">
        <v>5220</v>
      </c>
      <c r="J175" s="3">
        <v>22.18</v>
      </c>
      <c r="K175" s="3">
        <v>20310.52</v>
      </c>
      <c r="L175" s="3">
        <v>-2189.48</v>
      </c>
      <c r="M175" s="3">
        <f t="shared" si="11"/>
        <v>578898</v>
      </c>
      <c r="N175" s="3">
        <f t="shared" si="12"/>
        <v>22500</v>
      </c>
      <c r="O175" s="3">
        <f t="shared" si="13"/>
        <v>-10.780029265621954</v>
      </c>
      <c r="P175" s="3" t="str">
        <f t="shared" si="14"/>
        <v>Feb</v>
      </c>
      <c r="Q175" s="3" t="str">
        <f t="shared" si="10"/>
        <v>loss</v>
      </c>
    </row>
    <row r="176" spans="1:17" x14ac:dyDescent="0.25">
      <c r="A176" s="3" t="s">
        <v>1358</v>
      </c>
      <c r="B176" s="4">
        <v>45689</v>
      </c>
      <c r="C176" s="3" t="s">
        <v>2014</v>
      </c>
      <c r="D176" s="3" t="s">
        <v>2034</v>
      </c>
      <c r="E176" s="3" t="s">
        <v>2052</v>
      </c>
      <c r="F176" s="3" t="s">
        <v>2059</v>
      </c>
      <c r="G176" s="3">
        <v>6</v>
      </c>
      <c r="H176" s="3">
        <v>4500</v>
      </c>
      <c r="I176" s="3">
        <v>5220</v>
      </c>
      <c r="J176" s="3">
        <v>26.12</v>
      </c>
      <c r="K176" s="3">
        <v>23138.13</v>
      </c>
      <c r="L176" s="3">
        <v>-3861.87</v>
      </c>
      <c r="M176" s="3">
        <f t="shared" si="11"/>
        <v>818078.4</v>
      </c>
      <c r="N176" s="3">
        <f t="shared" si="12"/>
        <v>27000</v>
      </c>
      <c r="O176" s="3">
        <f t="shared" si="13"/>
        <v>-16.690501782123274</v>
      </c>
      <c r="P176" s="3" t="str">
        <f t="shared" si="14"/>
        <v>Feb</v>
      </c>
      <c r="Q176" s="3" t="str">
        <f t="shared" si="10"/>
        <v>loss</v>
      </c>
    </row>
    <row r="177" spans="1:17" x14ac:dyDescent="0.25">
      <c r="A177" s="3" t="s">
        <v>1871</v>
      </c>
      <c r="B177" s="4">
        <v>45689</v>
      </c>
      <c r="C177" s="3" t="s">
        <v>2015</v>
      </c>
      <c r="D177" s="3" t="s">
        <v>2035</v>
      </c>
      <c r="E177" s="3" t="s">
        <v>2054</v>
      </c>
      <c r="F177" s="3" t="s">
        <v>2060</v>
      </c>
      <c r="G177" s="3">
        <v>8</v>
      </c>
      <c r="H177" s="3">
        <v>900</v>
      </c>
      <c r="I177" s="3">
        <v>1170</v>
      </c>
      <c r="J177" s="3">
        <v>9.02</v>
      </c>
      <c r="K177" s="3">
        <v>8515.36</v>
      </c>
      <c r="L177" s="3">
        <v>1315.36</v>
      </c>
      <c r="M177" s="3">
        <f t="shared" si="11"/>
        <v>84427.199999999997</v>
      </c>
      <c r="N177" s="3">
        <f t="shared" si="12"/>
        <v>7200</v>
      </c>
      <c r="O177" s="3">
        <f t="shared" si="13"/>
        <v>15.44691005430187</v>
      </c>
      <c r="P177" s="3" t="str">
        <f t="shared" si="14"/>
        <v>Feb</v>
      </c>
      <c r="Q177" s="3" t="str">
        <f t="shared" si="10"/>
        <v>good profit</v>
      </c>
    </row>
    <row r="178" spans="1:17" x14ac:dyDescent="0.25">
      <c r="A178" s="3" t="s">
        <v>1927</v>
      </c>
      <c r="B178" s="4">
        <v>45689</v>
      </c>
      <c r="C178" s="3" t="s">
        <v>2026</v>
      </c>
      <c r="D178" s="3" t="s">
        <v>2046</v>
      </c>
      <c r="E178" s="3" t="s">
        <v>2052</v>
      </c>
      <c r="F178" s="3" t="s">
        <v>2059</v>
      </c>
      <c r="G178" s="3">
        <v>1</v>
      </c>
      <c r="H178" s="3">
        <v>3000</v>
      </c>
      <c r="I178" s="3">
        <v>3600</v>
      </c>
      <c r="J178" s="3">
        <v>18.829999999999998</v>
      </c>
      <c r="K178" s="3">
        <v>2922.26</v>
      </c>
      <c r="L178" s="3">
        <v>-77.739999999999995</v>
      </c>
      <c r="M178" s="3">
        <f t="shared" si="11"/>
        <v>67788</v>
      </c>
      <c r="N178" s="3">
        <f t="shared" si="12"/>
        <v>3000</v>
      </c>
      <c r="O178" s="3">
        <f t="shared" si="13"/>
        <v>-2.6602697911890112</v>
      </c>
      <c r="P178" s="3" t="str">
        <f t="shared" si="14"/>
        <v>Feb</v>
      </c>
      <c r="Q178" s="3" t="str">
        <f t="shared" si="10"/>
        <v>loss</v>
      </c>
    </row>
    <row r="179" spans="1:17" x14ac:dyDescent="0.25">
      <c r="A179" s="3" t="s">
        <v>1543</v>
      </c>
      <c r="B179" s="4">
        <v>45690</v>
      </c>
      <c r="C179" s="3" t="s">
        <v>2031</v>
      </c>
      <c r="D179" s="3" t="s">
        <v>2051</v>
      </c>
      <c r="E179" s="3" t="s">
        <v>2058</v>
      </c>
      <c r="F179" s="3" t="s">
        <v>2061</v>
      </c>
      <c r="G179" s="3">
        <v>10</v>
      </c>
      <c r="H179" s="3">
        <v>3200</v>
      </c>
      <c r="I179" s="3">
        <v>3840</v>
      </c>
      <c r="J179" s="3">
        <v>18.5</v>
      </c>
      <c r="K179" s="3">
        <v>31297.74</v>
      </c>
      <c r="L179" s="3">
        <v>-702.26</v>
      </c>
      <c r="M179" s="3">
        <f t="shared" si="11"/>
        <v>710400</v>
      </c>
      <c r="N179" s="3">
        <f t="shared" si="12"/>
        <v>32000</v>
      </c>
      <c r="O179" s="3">
        <f t="shared" si="13"/>
        <v>-2.2438041852223192</v>
      </c>
      <c r="P179" s="3" t="str">
        <f t="shared" si="14"/>
        <v>Feb</v>
      </c>
      <c r="Q179" s="3" t="str">
        <f t="shared" si="10"/>
        <v>loss</v>
      </c>
    </row>
    <row r="180" spans="1:17" x14ac:dyDescent="0.25">
      <c r="A180" s="3" t="s">
        <v>1985</v>
      </c>
      <c r="B180" s="4">
        <v>45690</v>
      </c>
      <c r="C180" s="3" t="s">
        <v>2028</v>
      </c>
      <c r="D180" s="3" t="s">
        <v>2048</v>
      </c>
      <c r="E180" s="3" t="s">
        <v>2057</v>
      </c>
      <c r="F180" s="3" t="s">
        <v>2062</v>
      </c>
      <c r="G180" s="3">
        <v>4</v>
      </c>
      <c r="H180" s="3">
        <v>80</v>
      </c>
      <c r="I180" s="3">
        <v>116</v>
      </c>
      <c r="J180" s="3">
        <v>4.42</v>
      </c>
      <c r="K180" s="3">
        <v>443.49</v>
      </c>
      <c r="L180" s="3">
        <v>123.49</v>
      </c>
      <c r="M180" s="3">
        <f t="shared" si="11"/>
        <v>2050.88</v>
      </c>
      <c r="N180" s="3">
        <f t="shared" si="12"/>
        <v>320</v>
      </c>
      <c r="O180" s="3">
        <f t="shared" si="13"/>
        <v>27.845047238945636</v>
      </c>
      <c r="P180" s="3" t="str">
        <f t="shared" si="14"/>
        <v>Feb</v>
      </c>
      <c r="Q180" s="3" t="str">
        <f t="shared" si="10"/>
        <v>good profit</v>
      </c>
    </row>
    <row r="181" spans="1:17" x14ac:dyDescent="0.25">
      <c r="A181" s="3" t="s">
        <v>210</v>
      </c>
      <c r="B181" s="4">
        <v>45691</v>
      </c>
      <c r="C181" s="3" t="s">
        <v>2018</v>
      </c>
      <c r="D181" s="3" t="s">
        <v>2038</v>
      </c>
      <c r="E181" s="3" t="s">
        <v>2053</v>
      </c>
      <c r="F181" s="3" t="s">
        <v>2060</v>
      </c>
      <c r="G181" s="3">
        <v>5</v>
      </c>
      <c r="H181" s="3">
        <v>500</v>
      </c>
      <c r="I181" s="3">
        <v>610</v>
      </c>
      <c r="J181" s="3">
        <v>5.78</v>
      </c>
      <c r="K181" s="3">
        <v>2873.67</v>
      </c>
      <c r="L181" s="3">
        <v>373.67</v>
      </c>
      <c r="M181" s="3">
        <f t="shared" si="11"/>
        <v>17629</v>
      </c>
      <c r="N181" s="3">
        <f t="shared" si="12"/>
        <v>2500</v>
      </c>
      <c r="O181" s="3">
        <f t="shared" si="13"/>
        <v>13.003232799869158</v>
      </c>
      <c r="P181" s="3" t="str">
        <f t="shared" si="14"/>
        <v>Feb</v>
      </c>
      <c r="Q181" s="3" t="str">
        <f t="shared" si="10"/>
        <v>good profit</v>
      </c>
    </row>
    <row r="182" spans="1:17" x14ac:dyDescent="0.25">
      <c r="A182" s="3" t="s">
        <v>754</v>
      </c>
      <c r="B182" s="4">
        <v>45691</v>
      </c>
      <c r="C182" s="3" t="s">
        <v>2014</v>
      </c>
      <c r="D182" s="3" t="s">
        <v>2034</v>
      </c>
      <c r="E182" s="3" t="s">
        <v>2052</v>
      </c>
      <c r="F182" s="3" t="s">
        <v>2061</v>
      </c>
      <c r="G182" s="3">
        <v>7</v>
      </c>
      <c r="H182" s="3">
        <v>4500</v>
      </c>
      <c r="I182" s="3">
        <v>5220</v>
      </c>
      <c r="J182" s="3">
        <v>12.74</v>
      </c>
      <c r="K182" s="3">
        <v>31885.13</v>
      </c>
      <c r="L182" s="3">
        <v>385.13</v>
      </c>
      <c r="M182" s="3">
        <f t="shared" si="11"/>
        <v>465519.60000000003</v>
      </c>
      <c r="N182" s="3">
        <f t="shared" si="12"/>
        <v>31500</v>
      </c>
      <c r="O182" s="3">
        <f t="shared" si="13"/>
        <v>1.2078671154861216</v>
      </c>
      <c r="P182" s="3" t="str">
        <f t="shared" si="14"/>
        <v>Feb</v>
      </c>
      <c r="Q182" s="3" t="str">
        <f t="shared" si="10"/>
        <v>low profit</v>
      </c>
    </row>
    <row r="183" spans="1:17" x14ac:dyDescent="0.25">
      <c r="A183" s="3" t="s">
        <v>1730</v>
      </c>
      <c r="B183" s="4">
        <v>45691</v>
      </c>
      <c r="C183" s="3" t="s">
        <v>2021</v>
      </c>
      <c r="D183" s="3" t="s">
        <v>2041</v>
      </c>
      <c r="E183" s="3" t="s">
        <v>2056</v>
      </c>
      <c r="F183" s="3" t="s">
        <v>2061</v>
      </c>
      <c r="G183" s="3">
        <v>5</v>
      </c>
      <c r="H183" s="3">
        <v>300</v>
      </c>
      <c r="I183" s="3">
        <v>405</v>
      </c>
      <c r="J183" s="3">
        <v>3.81</v>
      </c>
      <c r="K183" s="3">
        <v>1947.77</v>
      </c>
      <c r="L183" s="3">
        <v>447.77</v>
      </c>
      <c r="M183" s="3">
        <f t="shared" si="11"/>
        <v>7715.25</v>
      </c>
      <c r="N183" s="3">
        <f t="shared" si="12"/>
        <v>1500</v>
      </c>
      <c r="O183" s="3">
        <f t="shared" si="13"/>
        <v>22.98885392012404</v>
      </c>
      <c r="P183" s="3" t="str">
        <f t="shared" si="14"/>
        <v>Feb</v>
      </c>
      <c r="Q183" s="3" t="str">
        <f t="shared" si="10"/>
        <v>good profit</v>
      </c>
    </row>
    <row r="184" spans="1:17" x14ac:dyDescent="0.25">
      <c r="A184" s="3" t="s">
        <v>511</v>
      </c>
      <c r="B184" s="4">
        <v>45692</v>
      </c>
      <c r="C184" s="3" t="s">
        <v>2029</v>
      </c>
      <c r="D184" s="3" t="s">
        <v>2049</v>
      </c>
      <c r="E184" s="3" t="s">
        <v>2055</v>
      </c>
      <c r="F184" s="3" t="s">
        <v>2059</v>
      </c>
      <c r="G184" s="3">
        <v>5</v>
      </c>
      <c r="H184" s="3">
        <v>1200</v>
      </c>
      <c r="I184" s="3">
        <v>1464</v>
      </c>
      <c r="J184" s="3">
        <v>1.07</v>
      </c>
      <c r="K184" s="3">
        <v>7241.72</v>
      </c>
      <c r="L184" s="3">
        <v>1241.72</v>
      </c>
      <c r="M184" s="3">
        <f t="shared" si="11"/>
        <v>7832.4000000000005</v>
      </c>
      <c r="N184" s="3">
        <f t="shared" si="12"/>
        <v>6000</v>
      </c>
      <c r="O184" s="3">
        <f t="shared" si="13"/>
        <v>17.146755190755787</v>
      </c>
      <c r="P184" s="3" t="str">
        <f t="shared" si="14"/>
        <v>Feb</v>
      </c>
      <c r="Q184" s="3" t="str">
        <f t="shared" si="10"/>
        <v>good profit</v>
      </c>
    </row>
    <row r="185" spans="1:17" x14ac:dyDescent="0.25">
      <c r="A185" s="3" t="s">
        <v>816</v>
      </c>
      <c r="B185" s="4">
        <v>45692</v>
      </c>
      <c r="C185" s="3" t="s">
        <v>2022</v>
      </c>
      <c r="D185" s="3" t="s">
        <v>2042</v>
      </c>
      <c r="E185" s="3" t="s">
        <v>2053</v>
      </c>
      <c r="F185" s="3" t="s">
        <v>2062</v>
      </c>
      <c r="G185" s="3">
        <v>10</v>
      </c>
      <c r="H185" s="3">
        <v>8500</v>
      </c>
      <c r="I185" s="3">
        <v>9520</v>
      </c>
      <c r="J185" s="3">
        <v>17.16</v>
      </c>
      <c r="K185" s="3">
        <v>78859.509999999995</v>
      </c>
      <c r="L185" s="3">
        <v>-6140.49</v>
      </c>
      <c r="M185" s="3">
        <f t="shared" si="11"/>
        <v>1633632</v>
      </c>
      <c r="N185" s="3">
        <f t="shared" si="12"/>
        <v>85000</v>
      </c>
      <c r="O185" s="3">
        <f t="shared" si="13"/>
        <v>-7.7866195212219811</v>
      </c>
      <c r="P185" s="3" t="str">
        <f t="shared" si="14"/>
        <v>Feb</v>
      </c>
      <c r="Q185" s="3" t="str">
        <f t="shared" si="10"/>
        <v>loss</v>
      </c>
    </row>
    <row r="186" spans="1:17" x14ac:dyDescent="0.25">
      <c r="A186" s="3" t="s">
        <v>874</v>
      </c>
      <c r="B186" s="4">
        <v>45692</v>
      </c>
      <c r="C186" s="3" t="s">
        <v>2020</v>
      </c>
      <c r="D186" s="3" t="s">
        <v>2040</v>
      </c>
      <c r="E186" s="3" t="s">
        <v>2053</v>
      </c>
      <c r="F186" s="3" t="s">
        <v>2061</v>
      </c>
      <c r="G186" s="3">
        <v>7</v>
      </c>
      <c r="H186" s="3">
        <v>350</v>
      </c>
      <c r="I186" s="3">
        <v>455</v>
      </c>
      <c r="J186" s="3">
        <v>7.39</v>
      </c>
      <c r="K186" s="3">
        <v>2949.55</v>
      </c>
      <c r="L186" s="3">
        <v>499.55</v>
      </c>
      <c r="M186" s="3">
        <f t="shared" si="11"/>
        <v>23537.149999999998</v>
      </c>
      <c r="N186" s="3">
        <f t="shared" si="12"/>
        <v>2450</v>
      </c>
      <c r="O186" s="3">
        <f t="shared" si="13"/>
        <v>16.936481836212302</v>
      </c>
      <c r="P186" s="3" t="str">
        <f t="shared" si="14"/>
        <v>Feb</v>
      </c>
      <c r="Q186" s="3" t="str">
        <f t="shared" si="10"/>
        <v>good profit</v>
      </c>
    </row>
    <row r="187" spans="1:17" x14ac:dyDescent="0.25">
      <c r="A187" s="3" t="s">
        <v>887</v>
      </c>
      <c r="B187" s="4">
        <v>45692</v>
      </c>
      <c r="C187" s="3" t="s">
        <v>2027</v>
      </c>
      <c r="D187" s="3" t="s">
        <v>2047</v>
      </c>
      <c r="E187" s="3" t="s">
        <v>2053</v>
      </c>
      <c r="F187" s="3" t="s">
        <v>2059</v>
      </c>
      <c r="G187" s="3">
        <v>6</v>
      </c>
      <c r="H187" s="3">
        <v>1100</v>
      </c>
      <c r="I187" s="3">
        <v>1298</v>
      </c>
      <c r="J187" s="3">
        <v>4.75</v>
      </c>
      <c r="K187" s="3">
        <v>7417.95</v>
      </c>
      <c r="L187" s="3">
        <v>817.95</v>
      </c>
      <c r="M187" s="3">
        <f t="shared" si="11"/>
        <v>36993</v>
      </c>
      <c r="N187" s="3">
        <f t="shared" si="12"/>
        <v>6600</v>
      </c>
      <c r="O187" s="3">
        <f t="shared" si="13"/>
        <v>11.026631346935476</v>
      </c>
      <c r="P187" s="3" t="str">
        <f t="shared" si="14"/>
        <v>Feb</v>
      </c>
      <c r="Q187" s="3" t="str">
        <f t="shared" si="10"/>
        <v>good profit</v>
      </c>
    </row>
    <row r="188" spans="1:17" x14ac:dyDescent="0.25">
      <c r="A188" s="3" t="s">
        <v>1133</v>
      </c>
      <c r="B188" s="4">
        <v>45692</v>
      </c>
      <c r="C188" s="3" t="s">
        <v>2012</v>
      </c>
      <c r="D188" s="3" t="s">
        <v>2032</v>
      </c>
      <c r="E188" s="3" t="s">
        <v>2052</v>
      </c>
      <c r="F188" s="3" t="s">
        <v>2062</v>
      </c>
      <c r="G188" s="3">
        <v>9</v>
      </c>
      <c r="H188" s="3">
        <v>6500</v>
      </c>
      <c r="I188" s="3">
        <v>8125</v>
      </c>
      <c r="J188" s="3">
        <v>11.91</v>
      </c>
      <c r="K188" s="3">
        <v>64417.09</v>
      </c>
      <c r="L188" s="3">
        <v>5917.09</v>
      </c>
      <c r="M188" s="3">
        <f t="shared" si="11"/>
        <v>870918.75</v>
      </c>
      <c r="N188" s="3">
        <f t="shared" si="12"/>
        <v>58500</v>
      </c>
      <c r="O188" s="3">
        <f t="shared" si="13"/>
        <v>9.1855903456675865</v>
      </c>
      <c r="P188" s="3" t="str">
        <f t="shared" si="14"/>
        <v>Feb</v>
      </c>
      <c r="Q188" s="3" t="str">
        <f t="shared" si="10"/>
        <v>low profit</v>
      </c>
    </row>
    <row r="189" spans="1:17" x14ac:dyDescent="0.25">
      <c r="A189" s="3" t="s">
        <v>1270</v>
      </c>
      <c r="B189" s="4">
        <v>45692</v>
      </c>
      <c r="C189" s="3" t="s">
        <v>2024</v>
      </c>
      <c r="D189" s="3" t="s">
        <v>2044</v>
      </c>
      <c r="E189" s="3" t="s">
        <v>2055</v>
      </c>
      <c r="F189" s="3" t="s">
        <v>2059</v>
      </c>
      <c r="G189" s="3">
        <v>6</v>
      </c>
      <c r="H189" s="3">
        <v>180</v>
      </c>
      <c r="I189" s="3">
        <v>243</v>
      </c>
      <c r="J189" s="3">
        <v>3.56</v>
      </c>
      <c r="K189" s="3">
        <v>1406.05</v>
      </c>
      <c r="L189" s="3">
        <v>326.05</v>
      </c>
      <c r="M189" s="3">
        <f t="shared" si="11"/>
        <v>5190.4800000000005</v>
      </c>
      <c r="N189" s="3">
        <f t="shared" si="12"/>
        <v>1080</v>
      </c>
      <c r="O189" s="3">
        <f t="shared" si="13"/>
        <v>23.189075779666442</v>
      </c>
      <c r="P189" s="3" t="str">
        <f t="shared" si="14"/>
        <v>Feb</v>
      </c>
      <c r="Q189" s="3" t="str">
        <f t="shared" si="10"/>
        <v>good profit</v>
      </c>
    </row>
    <row r="190" spans="1:17" x14ac:dyDescent="0.25">
      <c r="A190" s="3" t="s">
        <v>1300</v>
      </c>
      <c r="B190" s="4">
        <v>45692</v>
      </c>
      <c r="C190" s="3" t="s">
        <v>2024</v>
      </c>
      <c r="D190" s="3" t="s">
        <v>2044</v>
      </c>
      <c r="E190" s="3" t="s">
        <v>2055</v>
      </c>
      <c r="F190" s="3" t="s">
        <v>2061</v>
      </c>
      <c r="G190" s="3">
        <v>2</v>
      </c>
      <c r="H190" s="3">
        <v>180</v>
      </c>
      <c r="I190" s="3">
        <v>243</v>
      </c>
      <c r="J190" s="3">
        <v>4</v>
      </c>
      <c r="K190" s="3">
        <v>466.58</v>
      </c>
      <c r="L190" s="3">
        <v>106.58</v>
      </c>
      <c r="M190" s="3">
        <f t="shared" si="11"/>
        <v>1944</v>
      </c>
      <c r="N190" s="3">
        <f t="shared" si="12"/>
        <v>360</v>
      </c>
      <c r="O190" s="3">
        <f t="shared" si="13"/>
        <v>22.842813665395003</v>
      </c>
      <c r="P190" s="3" t="str">
        <f t="shared" si="14"/>
        <v>Feb</v>
      </c>
      <c r="Q190" s="3" t="str">
        <f t="shared" si="10"/>
        <v>good profit</v>
      </c>
    </row>
    <row r="191" spans="1:17" x14ac:dyDescent="0.25">
      <c r="A191" s="3" t="s">
        <v>17</v>
      </c>
      <c r="B191" s="4">
        <v>45693</v>
      </c>
      <c r="C191" s="3" t="s">
        <v>2012</v>
      </c>
      <c r="D191" s="3" t="s">
        <v>2032</v>
      </c>
      <c r="E191" s="3" t="s">
        <v>2052</v>
      </c>
      <c r="F191" s="3" t="s">
        <v>2060</v>
      </c>
      <c r="G191" s="3">
        <v>5</v>
      </c>
      <c r="H191" s="3">
        <v>6500</v>
      </c>
      <c r="I191" s="3">
        <v>8125</v>
      </c>
      <c r="J191" s="3">
        <v>4</v>
      </c>
      <c r="K191" s="3">
        <v>39000</v>
      </c>
      <c r="L191" s="3">
        <v>6500</v>
      </c>
      <c r="M191" s="3">
        <f t="shared" si="11"/>
        <v>162500</v>
      </c>
      <c r="N191" s="3">
        <f t="shared" si="12"/>
        <v>32500</v>
      </c>
      <c r="O191" s="3">
        <f t="shared" si="13"/>
        <v>16.666666666666664</v>
      </c>
      <c r="P191" s="3" t="str">
        <f t="shared" si="14"/>
        <v>Feb</v>
      </c>
      <c r="Q191" s="3" t="str">
        <f t="shared" si="10"/>
        <v>good profit</v>
      </c>
    </row>
    <row r="192" spans="1:17" x14ac:dyDescent="0.25">
      <c r="A192" s="3" t="s">
        <v>542</v>
      </c>
      <c r="B192" s="4">
        <v>45693</v>
      </c>
      <c r="C192" s="3" t="s">
        <v>2017</v>
      </c>
      <c r="D192" s="3" t="s">
        <v>2037</v>
      </c>
      <c r="E192" s="3" t="s">
        <v>2055</v>
      </c>
      <c r="F192" s="3" t="s">
        <v>2061</v>
      </c>
      <c r="G192" s="3">
        <v>5</v>
      </c>
      <c r="H192" s="3">
        <v>2500</v>
      </c>
      <c r="I192" s="3">
        <v>2875</v>
      </c>
      <c r="J192" s="3">
        <v>17.96</v>
      </c>
      <c r="K192" s="3">
        <v>11792.58</v>
      </c>
      <c r="L192" s="3">
        <v>-707.42</v>
      </c>
      <c r="M192" s="3">
        <f t="shared" si="11"/>
        <v>258175</v>
      </c>
      <c r="N192" s="3">
        <f t="shared" si="12"/>
        <v>12500</v>
      </c>
      <c r="O192" s="3">
        <f t="shared" si="13"/>
        <v>-5.9988569083270997</v>
      </c>
      <c r="P192" s="3" t="str">
        <f t="shared" si="14"/>
        <v>Feb</v>
      </c>
      <c r="Q192" s="3" t="str">
        <f t="shared" si="10"/>
        <v>loss</v>
      </c>
    </row>
    <row r="193" spans="1:17" x14ac:dyDescent="0.25">
      <c r="A193" s="3" t="s">
        <v>1705</v>
      </c>
      <c r="B193" s="4">
        <v>45693</v>
      </c>
      <c r="C193" s="3" t="s">
        <v>2015</v>
      </c>
      <c r="D193" s="3" t="s">
        <v>2035</v>
      </c>
      <c r="E193" s="3" t="s">
        <v>2054</v>
      </c>
      <c r="F193" s="3" t="s">
        <v>2061</v>
      </c>
      <c r="G193" s="3">
        <v>7</v>
      </c>
      <c r="H193" s="3">
        <v>900</v>
      </c>
      <c r="I193" s="3">
        <v>1170</v>
      </c>
      <c r="J193" s="3">
        <v>5.0199999999999996</v>
      </c>
      <c r="K193" s="3">
        <v>7779.07</v>
      </c>
      <c r="L193" s="3">
        <v>1479.07</v>
      </c>
      <c r="M193" s="3">
        <f t="shared" si="11"/>
        <v>41113.799999999996</v>
      </c>
      <c r="N193" s="3">
        <f t="shared" si="12"/>
        <v>6300</v>
      </c>
      <c r="O193" s="3">
        <f t="shared" si="13"/>
        <v>19.013455335920618</v>
      </c>
      <c r="P193" s="3" t="str">
        <f t="shared" si="14"/>
        <v>Feb</v>
      </c>
      <c r="Q193" s="3" t="str">
        <f t="shared" si="10"/>
        <v>good profit</v>
      </c>
    </row>
    <row r="194" spans="1:17" x14ac:dyDescent="0.25">
      <c r="A194" s="3" t="s">
        <v>966</v>
      </c>
      <c r="B194" s="4">
        <v>45694</v>
      </c>
      <c r="C194" s="3" t="s">
        <v>2030</v>
      </c>
      <c r="D194" s="3" t="s">
        <v>2050</v>
      </c>
      <c r="E194" s="3" t="s">
        <v>2058</v>
      </c>
      <c r="F194" s="3" t="s">
        <v>2061</v>
      </c>
      <c r="G194" s="3">
        <v>6</v>
      </c>
      <c r="H194" s="3">
        <v>1800</v>
      </c>
      <c r="I194" s="3">
        <v>2124</v>
      </c>
      <c r="J194" s="3">
        <v>18.82</v>
      </c>
      <c r="K194" s="3">
        <v>10345.19</v>
      </c>
      <c r="L194" s="3">
        <v>-454.81</v>
      </c>
      <c r="M194" s="3">
        <f t="shared" si="11"/>
        <v>239842.08000000002</v>
      </c>
      <c r="N194" s="3">
        <f t="shared" si="12"/>
        <v>10800</v>
      </c>
      <c r="O194" s="3">
        <f t="shared" si="13"/>
        <v>-4.3963426481292274</v>
      </c>
      <c r="P194" s="3" t="str">
        <f t="shared" si="14"/>
        <v>Feb</v>
      </c>
      <c r="Q194" s="3" t="str">
        <f t="shared" ref="Q194:Q257" si="15">IF(L194&lt;0,"loss",IF(O194&lt;10,"low profit","good profit"))</f>
        <v>loss</v>
      </c>
    </row>
    <row r="195" spans="1:17" x14ac:dyDescent="0.25">
      <c r="A195" s="3" t="s">
        <v>1129</v>
      </c>
      <c r="B195" s="4">
        <v>45694</v>
      </c>
      <c r="C195" s="3" t="s">
        <v>2028</v>
      </c>
      <c r="D195" s="3" t="s">
        <v>2048</v>
      </c>
      <c r="E195" s="3" t="s">
        <v>2057</v>
      </c>
      <c r="F195" s="3" t="s">
        <v>2060</v>
      </c>
      <c r="G195" s="3">
        <v>3</v>
      </c>
      <c r="H195" s="3">
        <v>80</v>
      </c>
      <c r="I195" s="3">
        <v>116</v>
      </c>
      <c r="J195" s="3">
        <v>16.739999999999998</v>
      </c>
      <c r="K195" s="3">
        <v>289.76</v>
      </c>
      <c r="L195" s="3">
        <v>49.76</v>
      </c>
      <c r="M195" s="3">
        <f t="shared" ref="M195:M258" si="16">G195*I195*J195</f>
        <v>5825.5199999999995</v>
      </c>
      <c r="N195" s="3">
        <f t="shared" ref="N195:N258" si="17">G195*H195</f>
        <v>240</v>
      </c>
      <c r="O195" s="3">
        <f t="shared" ref="O195:O258" si="18">IFERROR(L195/K195*100,0)</f>
        <v>17.172832689122032</v>
      </c>
      <c r="P195" s="3" t="str">
        <f t="shared" ref="P195:P258" si="19">TEXT(B195,"mmm")</f>
        <v>Feb</v>
      </c>
      <c r="Q195" s="3" t="str">
        <f t="shared" si="15"/>
        <v>good profit</v>
      </c>
    </row>
    <row r="196" spans="1:17" x14ac:dyDescent="0.25">
      <c r="A196" s="3" t="s">
        <v>1288</v>
      </c>
      <c r="B196" s="4">
        <v>45694</v>
      </c>
      <c r="C196" s="3" t="s">
        <v>2030</v>
      </c>
      <c r="D196" s="3" t="s">
        <v>2050</v>
      </c>
      <c r="E196" s="3" t="s">
        <v>2058</v>
      </c>
      <c r="F196" s="3" t="s">
        <v>2062</v>
      </c>
      <c r="G196" s="3">
        <v>9</v>
      </c>
      <c r="H196" s="3">
        <v>1800</v>
      </c>
      <c r="I196" s="3">
        <v>2124</v>
      </c>
      <c r="J196" s="3">
        <v>22.01</v>
      </c>
      <c r="K196" s="3">
        <v>14909.38</v>
      </c>
      <c r="L196" s="3">
        <v>-1290.6199999999999</v>
      </c>
      <c r="M196" s="3">
        <f t="shared" si="16"/>
        <v>420743.16000000003</v>
      </c>
      <c r="N196" s="3">
        <f t="shared" si="17"/>
        <v>16200</v>
      </c>
      <c r="O196" s="3">
        <f t="shared" si="18"/>
        <v>-8.6564297106921941</v>
      </c>
      <c r="P196" s="3" t="str">
        <f t="shared" si="19"/>
        <v>Feb</v>
      </c>
      <c r="Q196" s="3" t="str">
        <f t="shared" si="15"/>
        <v>loss</v>
      </c>
    </row>
    <row r="197" spans="1:17" x14ac:dyDescent="0.25">
      <c r="A197" s="3" t="s">
        <v>1290</v>
      </c>
      <c r="B197" s="4">
        <v>45694</v>
      </c>
      <c r="C197" s="3" t="s">
        <v>2024</v>
      </c>
      <c r="D197" s="3" t="s">
        <v>2044</v>
      </c>
      <c r="E197" s="3" t="s">
        <v>2055</v>
      </c>
      <c r="F197" s="3" t="s">
        <v>2061</v>
      </c>
      <c r="G197" s="3">
        <v>4</v>
      </c>
      <c r="H197" s="3">
        <v>180</v>
      </c>
      <c r="I197" s="3">
        <v>243</v>
      </c>
      <c r="J197" s="3">
        <v>5.5</v>
      </c>
      <c r="K197" s="3">
        <v>918.55</v>
      </c>
      <c r="L197" s="3">
        <v>198.55</v>
      </c>
      <c r="M197" s="3">
        <f t="shared" si="16"/>
        <v>5346</v>
      </c>
      <c r="N197" s="3">
        <f t="shared" si="17"/>
        <v>720</v>
      </c>
      <c r="O197" s="3">
        <f t="shared" si="18"/>
        <v>21.615589788253228</v>
      </c>
      <c r="P197" s="3" t="str">
        <f t="shared" si="19"/>
        <v>Feb</v>
      </c>
      <c r="Q197" s="3" t="str">
        <f t="shared" si="15"/>
        <v>good profit</v>
      </c>
    </row>
    <row r="198" spans="1:17" x14ac:dyDescent="0.25">
      <c r="A198" s="3" t="s">
        <v>52</v>
      </c>
      <c r="B198" s="4">
        <v>45695</v>
      </c>
      <c r="C198" s="3" t="s">
        <v>2014</v>
      </c>
      <c r="D198" s="3" t="s">
        <v>2034</v>
      </c>
      <c r="E198" s="3" t="s">
        <v>2052</v>
      </c>
      <c r="F198" s="3" t="s">
        <v>2061</v>
      </c>
      <c r="G198" s="3">
        <v>3</v>
      </c>
      <c r="H198" s="3">
        <v>4500</v>
      </c>
      <c r="I198" s="3">
        <v>5220</v>
      </c>
      <c r="J198" s="3">
        <v>12.19</v>
      </c>
      <c r="K198" s="3">
        <v>13750.41</v>
      </c>
      <c r="L198" s="3">
        <v>250.41</v>
      </c>
      <c r="M198" s="3">
        <f t="shared" si="16"/>
        <v>190895.4</v>
      </c>
      <c r="N198" s="3">
        <f t="shared" si="17"/>
        <v>13500</v>
      </c>
      <c r="O198" s="3">
        <f t="shared" si="18"/>
        <v>1.8211093341943985</v>
      </c>
      <c r="P198" s="3" t="str">
        <f t="shared" si="19"/>
        <v>Feb</v>
      </c>
      <c r="Q198" s="3" t="str">
        <f t="shared" si="15"/>
        <v>low profit</v>
      </c>
    </row>
    <row r="199" spans="1:17" x14ac:dyDescent="0.25">
      <c r="A199" s="3" t="s">
        <v>277</v>
      </c>
      <c r="B199" s="4">
        <v>45695</v>
      </c>
      <c r="C199" s="3" t="s">
        <v>2023</v>
      </c>
      <c r="D199" s="3" t="s">
        <v>2043</v>
      </c>
      <c r="E199" s="3" t="s">
        <v>2053</v>
      </c>
      <c r="F199" s="3" t="s">
        <v>2061</v>
      </c>
      <c r="G199" s="3">
        <v>1</v>
      </c>
      <c r="H199" s="3">
        <v>550</v>
      </c>
      <c r="I199" s="3">
        <v>742.5</v>
      </c>
      <c r="J199" s="3">
        <v>11.79</v>
      </c>
      <c r="K199" s="3">
        <v>654.96</v>
      </c>
      <c r="L199" s="3">
        <v>104.96</v>
      </c>
      <c r="M199" s="3">
        <f t="shared" si="16"/>
        <v>8754.0749999999989</v>
      </c>
      <c r="N199" s="3">
        <f t="shared" si="17"/>
        <v>550</v>
      </c>
      <c r="O199" s="3">
        <f t="shared" si="18"/>
        <v>16.025406131672163</v>
      </c>
      <c r="P199" s="3" t="str">
        <f t="shared" si="19"/>
        <v>Feb</v>
      </c>
      <c r="Q199" s="3" t="str">
        <f t="shared" si="15"/>
        <v>good profit</v>
      </c>
    </row>
    <row r="200" spans="1:17" x14ac:dyDescent="0.25">
      <c r="A200" s="3" t="s">
        <v>429</v>
      </c>
      <c r="B200" s="4">
        <v>45695</v>
      </c>
      <c r="C200" s="3" t="s">
        <v>2017</v>
      </c>
      <c r="D200" s="3" t="s">
        <v>2037</v>
      </c>
      <c r="E200" s="3" t="s">
        <v>2055</v>
      </c>
      <c r="F200" s="3" t="s">
        <v>2060</v>
      </c>
      <c r="G200" s="3">
        <v>1</v>
      </c>
      <c r="H200" s="3">
        <v>2500</v>
      </c>
      <c r="I200" s="3">
        <v>2875</v>
      </c>
      <c r="J200" s="3">
        <v>13.95</v>
      </c>
      <c r="K200" s="3">
        <v>2474.02</v>
      </c>
      <c r="L200" s="3">
        <v>-25.98</v>
      </c>
      <c r="M200" s="3">
        <f t="shared" si="16"/>
        <v>40106.25</v>
      </c>
      <c r="N200" s="3">
        <f t="shared" si="17"/>
        <v>2500</v>
      </c>
      <c r="O200" s="3">
        <f t="shared" si="18"/>
        <v>-1.0501127719258536</v>
      </c>
      <c r="P200" s="3" t="str">
        <f t="shared" si="19"/>
        <v>Feb</v>
      </c>
      <c r="Q200" s="3" t="str">
        <f t="shared" si="15"/>
        <v>loss</v>
      </c>
    </row>
    <row r="201" spans="1:17" x14ac:dyDescent="0.25">
      <c r="A201" s="3" t="s">
        <v>811</v>
      </c>
      <c r="B201" s="4">
        <v>45695</v>
      </c>
      <c r="C201" s="3" t="s">
        <v>2020</v>
      </c>
      <c r="D201" s="3" t="s">
        <v>2040</v>
      </c>
      <c r="E201" s="3" t="s">
        <v>2053</v>
      </c>
      <c r="F201" s="3" t="s">
        <v>2062</v>
      </c>
      <c r="G201" s="3">
        <v>5</v>
      </c>
      <c r="H201" s="3">
        <v>350</v>
      </c>
      <c r="I201" s="3">
        <v>455</v>
      </c>
      <c r="J201" s="3">
        <v>1.02</v>
      </c>
      <c r="K201" s="3">
        <v>2251.75</v>
      </c>
      <c r="L201" s="3">
        <v>501.75</v>
      </c>
      <c r="M201" s="3">
        <f t="shared" si="16"/>
        <v>2320.5</v>
      </c>
      <c r="N201" s="3">
        <f t="shared" si="17"/>
        <v>1750</v>
      </c>
      <c r="O201" s="3">
        <f t="shared" si="18"/>
        <v>22.28266903519485</v>
      </c>
      <c r="P201" s="3" t="str">
        <f t="shared" si="19"/>
        <v>Feb</v>
      </c>
      <c r="Q201" s="3" t="str">
        <f t="shared" si="15"/>
        <v>good profit</v>
      </c>
    </row>
    <row r="202" spans="1:17" x14ac:dyDescent="0.25">
      <c r="A202" s="3" t="s">
        <v>906</v>
      </c>
      <c r="B202" s="4">
        <v>45695</v>
      </c>
      <c r="C202" s="3" t="s">
        <v>2014</v>
      </c>
      <c r="D202" s="3" t="s">
        <v>2034</v>
      </c>
      <c r="E202" s="3" t="s">
        <v>2052</v>
      </c>
      <c r="F202" s="3" t="s">
        <v>2060</v>
      </c>
      <c r="G202" s="3">
        <v>5</v>
      </c>
      <c r="H202" s="3">
        <v>4500</v>
      </c>
      <c r="I202" s="3">
        <v>5220</v>
      </c>
      <c r="J202" s="3">
        <v>22.84</v>
      </c>
      <c r="K202" s="3">
        <v>20138.97</v>
      </c>
      <c r="L202" s="3">
        <v>-2361.0300000000002</v>
      </c>
      <c r="M202" s="3">
        <f t="shared" si="16"/>
        <v>596124</v>
      </c>
      <c r="N202" s="3">
        <f t="shared" si="17"/>
        <v>22500</v>
      </c>
      <c r="O202" s="3">
        <f t="shared" si="18"/>
        <v>-11.723687954249895</v>
      </c>
      <c r="P202" s="3" t="str">
        <f t="shared" si="19"/>
        <v>Feb</v>
      </c>
      <c r="Q202" s="3" t="str">
        <f t="shared" si="15"/>
        <v>loss</v>
      </c>
    </row>
    <row r="203" spans="1:17" x14ac:dyDescent="0.25">
      <c r="A203" s="3" t="s">
        <v>1845</v>
      </c>
      <c r="B203" s="4">
        <v>45695</v>
      </c>
      <c r="C203" s="3" t="s">
        <v>2030</v>
      </c>
      <c r="D203" s="3" t="s">
        <v>2050</v>
      </c>
      <c r="E203" s="3" t="s">
        <v>2058</v>
      </c>
      <c r="F203" s="3" t="s">
        <v>2059</v>
      </c>
      <c r="G203" s="3">
        <v>7</v>
      </c>
      <c r="H203" s="3">
        <v>1800</v>
      </c>
      <c r="I203" s="3">
        <v>2124</v>
      </c>
      <c r="J203" s="3">
        <v>4</v>
      </c>
      <c r="K203" s="3">
        <v>14273.28</v>
      </c>
      <c r="L203" s="3">
        <v>1673.28</v>
      </c>
      <c r="M203" s="3">
        <f t="shared" si="16"/>
        <v>59472</v>
      </c>
      <c r="N203" s="3">
        <f t="shared" si="17"/>
        <v>12600</v>
      </c>
      <c r="O203" s="3">
        <f t="shared" si="18"/>
        <v>11.723163841807908</v>
      </c>
      <c r="P203" s="3" t="str">
        <f t="shared" si="19"/>
        <v>Feb</v>
      </c>
      <c r="Q203" s="3" t="str">
        <f t="shared" si="15"/>
        <v>good profit</v>
      </c>
    </row>
    <row r="204" spans="1:17" x14ac:dyDescent="0.25">
      <c r="A204" s="3" t="s">
        <v>329</v>
      </c>
      <c r="B204" s="4">
        <v>45696</v>
      </c>
      <c r="C204" s="3" t="s">
        <v>2019</v>
      </c>
      <c r="D204" s="3" t="s">
        <v>2039</v>
      </c>
      <c r="E204" s="3" t="s">
        <v>2053</v>
      </c>
      <c r="F204" s="3" t="s">
        <v>2061</v>
      </c>
      <c r="G204" s="3">
        <v>2</v>
      </c>
      <c r="H204" s="3">
        <v>900</v>
      </c>
      <c r="I204" s="3">
        <v>1152</v>
      </c>
      <c r="J204" s="3">
        <v>6.47</v>
      </c>
      <c r="K204" s="3">
        <v>2154.92</v>
      </c>
      <c r="L204" s="3">
        <v>354.92</v>
      </c>
      <c r="M204" s="3">
        <f t="shared" si="16"/>
        <v>14906.88</v>
      </c>
      <c r="N204" s="3">
        <f t="shared" si="17"/>
        <v>1800</v>
      </c>
      <c r="O204" s="3">
        <f t="shared" si="18"/>
        <v>16.470216991814084</v>
      </c>
      <c r="P204" s="3" t="str">
        <f t="shared" si="19"/>
        <v>Feb</v>
      </c>
      <c r="Q204" s="3" t="str">
        <f t="shared" si="15"/>
        <v>good profit</v>
      </c>
    </row>
    <row r="205" spans="1:17" x14ac:dyDescent="0.25">
      <c r="A205" s="3" t="s">
        <v>797</v>
      </c>
      <c r="B205" s="4">
        <v>45696</v>
      </c>
      <c r="C205" s="3" t="s">
        <v>2027</v>
      </c>
      <c r="D205" s="3" t="s">
        <v>2047</v>
      </c>
      <c r="E205" s="3" t="s">
        <v>2053</v>
      </c>
      <c r="F205" s="3" t="s">
        <v>2061</v>
      </c>
      <c r="G205" s="3">
        <v>5</v>
      </c>
      <c r="H205" s="3">
        <v>1100</v>
      </c>
      <c r="I205" s="3">
        <v>1298</v>
      </c>
      <c r="J205" s="3">
        <v>0</v>
      </c>
      <c r="K205" s="3">
        <v>6490</v>
      </c>
      <c r="L205" s="3">
        <v>990</v>
      </c>
      <c r="M205" s="3">
        <f t="shared" si="16"/>
        <v>0</v>
      </c>
      <c r="N205" s="3">
        <f t="shared" si="17"/>
        <v>5500</v>
      </c>
      <c r="O205" s="3">
        <f t="shared" si="18"/>
        <v>15.254237288135593</v>
      </c>
      <c r="P205" s="3" t="str">
        <f t="shared" si="19"/>
        <v>Feb</v>
      </c>
      <c r="Q205" s="3" t="str">
        <f t="shared" si="15"/>
        <v>good profit</v>
      </c>
    </row>
    <row r="206" spans="1:17" x14ac:dyDescent="0.25">
      <c r="A206" s="3" t="s">
        <v>976</v>
      </c>
      <c r="B206" s="4">
        <v>45696</v>
      </c>
      <c r="C206" s="3" t="s">
        <v>2021</v>
      </c>
      <c r="D206" s="3" t="s">
        <v>2041</v>
      </c>
      <c r="E206" s="3" t="s">
        <v>2056</v>
      </c>
      <c r="F206" s="3" t="s">
        <v>2060</v>
      </c>
      <c r="G206" s="3">
        <v>5</v>
      </c>
      <c r="H206" s="3">
        <v>300</v>
      </c>
      <c r="I206" s="3">
        <v>405</v>
      </c>
      <c r="J206" s="3">
        <v>8.25</v>
      </c>
      <c r="K206" s="3">
        <v>1857.98</v>
      </c>
      <c r="L206" s="3">
        <v>357.98</v>
      </c>
      <c r="M206" s="3">
        <f t="shared" si="16"/>
        <v>16706.25</v>
      </c>
      <c r="N206" s="3">
        <f t="shared" si="17"/>
        <v>1500</v>
      </c>
      <c r="O206" s="3">
        <f t="shared" si="18"/>
        <v>19.267161110453287</v>
      </c>
      <c r="P206" s="3" t="str">
        <f t="shared" si="19"/>
        <v>Feb</v>
      </c>
      <c r="Q206" s="3" t="str">
        <f t="shared" si="15"/>
        <v>good profit</v>
      </c>
    </row>
    <row r="207" spans="1:17" x14ac:dyDescent="0.25">
      <c r="A207" s="3" t="s">
        <v>1033</v>
      </c>
      <c r="B207" s="4">
        <v>45696</v>
      </c>
      <c r="C207" s="3" t="s">
        <v>2016</v>
      </c>
      <c r="D207" s="3" t="s">
        <v>2036</v>
      </c>
      <c r="E207" s="3" t="s">
        <v>2052</v>
      </c>
      <c r="F207" s="3" t="s">
        <v>2060</v>
      </c>
      <c r="G207" s="3">
        <v>7</v>
      </c>
      <c r="H207" s="3">
        <v>900</v>
      </c>
      <c r="I207" s="3">
        <v>1170</v>
      </c>
      <c r="J207" s="3">
        <v>9.07</v>
      </c>
      <c r="K207" s="3">
        <v>7447.06</v>
      </c>
      <c r="L207" s="3">
        <v>1147.06</v>
      </c>
      <c r="M207" s="3">
        <f t="shared" si="16"/>
        <v>74283.3</v>
      </c>
      <c r="N207" s="3">
        <f t="shared" si="17"/>
        <v>6300</v>
      </c>
      <c r="O207" s="3">
        <f t="shared" si="18"/>
        <v>15.402856966373305</v>
      </c>
      <c r="P207" s="3" t="str">
        <f t="shared" si="19"/>
        <v>Feb</v>
      </c>
      <c r="Q207" s="3" t="str">
        <f t="shared" si="15"/>
        <v>good profit</v>
      </c>
    </row>
    <row r="208" spans="1:17" x14ac:dyDescent="0.25">
      <c r="A208" s="3" t="s">
        <v>1693</v>
      </c>
      <c r="B208" s="4">
        <v>45696</v>
      </c>
      <c r="C208" s="3" t="s">
        <v>2022</v>
      </c>
      <c r="D208" s="3" t="s">
        <v>2042</v>
      </c>
      <c r="E208" s="3" t="s">
        <v>2053</v>
      </c>
      <c r="F208" s="3" t="s">
        <v>2062</v>
      </c>
      <c r="G208" s="3">
        <v>3</v>
      </c>
      <c r="H208" s="3">
        <v>8500</v>
      </c>
      <c r="I208" s="3">
        <v>9520</v>
      </c>
      <c r="J208" s="3">
        <v>11.07</v>
      </c>
      <c r="K208" s="3">
        <v>25399.42</v>
      </c>
      <c r="L208" s="3">
        <v>-100.58</v>
      </c>
      <c r="M208" s="3">
        <f t="shared" si="16"/>
        <v>316159.2</v>
      </c>
      <c r="N208" s="3">
        <f t="shared" si="17"/>
        <v>25500</v>
      </c>
      <c r="O208" s="3">
        <f t="shared" si="18"/>
        <v>-0.39599329433506758</v>
      </c>
      <c r="P208" s="3" t="str">
        <f t="shared" si="19"/>
        <v>Feb</v>
      </c>
      <c r="Q208" s="3" t="str">
        <f t="shared" si="15"/>
        <v>loss</v>
      </c>
    </row>
    <row r="209" spans="1:17" x14ac:dyDescent="0.25">
      <c r="A209" s="3" t="s">
        <v>1860</v>
      </c>
      <c r="B209" s="4">
        <v>45696</v>
      </c>
      <c r="C209" s="3" t="s">
        <v>2027</v>
      </c>
      <c r="D209" s="3" t="s">
        <v>2047</v>
      </c>
      <c r="E209" s="3" t="s">
        <v>2053</v>
      </c>
      <c r="F209" s="3" t="s">
        <v>2061</v>
      </c>
      <c r="G209" s="3">
        <v>10</v>
      </c>
      <c r="H209" s="3">
        <v>1100</v>
      </c>
      <c r="I209" s="3">
        <v>1298</v>
      </c>
      <c r="J209" s="3">
        <v>15.25</v>
      </c>
      <c r="K209" s="3">
        <v>11000.32</v>
      </c>
      <c r="L209" s="3">
        <v>0.32</v>
      </c>
      <c r="M209" s="3">
        <f t="shared" si="16"/>
        <v>197945</v>
      </c>
      <c r="N209" s="3">
        <f t="shared" si="17"/>
        <v>11000</v>
      </c>
      <c r="O209" s="3">
        <f t="shared" si="18"/>
        <v>2.9090062834535727E-3</v>
      </c>
      <c r="P209" s="3" t="str">
        <f t="shared" si="19"/>
        <v>Feb</v>
      </c>
      <c r="Q209" s="3" t="str">
        <f t="shared" si="15"/>
        <v>low profit</v>
      </c>
    </row>
    <row r="210" spans="1:17" x14ac:dyDescent="0.25">
      <c r="A210" s="3" t="s">
        <v>161</v>
      </c>
      <c r="B210" s="4">
        <v>45697</v>
      </c>
      <c r="C210" s="3" t="s">
        <v>2022</v>
      </c>
      <c r="D210" s="3" t="s">
        <v>2042</v>
      </c>
      <c r="E210" s="3" t="s">
        <v>2053</v>
      </c>
      <c r="F210" s="3" t="s">
        <v>2060</v>
      </c>
      <c r="G210" s="3">
        <v>4</v>
      </c>
      <c r="H210" s="3">
        <v>8500</v>
      </c>
      <c r="I210" s="3">
        <v>9520</v>
      </c>
      <c r="J210" s="3">
        <v>18.309999999999999</v>
      </c>
      <c r="K210" s="3">
        <v>31107.38</v>
      </c>
      <c r="L210" s="3">
        <v>-2892.62</v>
      </c>
      <c r="M210" s="3">
        <f t="shared" si="16"/>
        <v>697244.79999999993</v>
      </c>
      <c r="N210" s="3">
        <f t="shared" si="17"/>
        <v>34000</v>
      </c>
      <c r="O210" s="3">
        <f t="shared" si="18"/>
        <v>-9.298822337336027</v>
      </c>
      <c r="P210" s="3" t="str">
        <f t="shared" si="19"/>
        <v>Feb</v>
      </c>
      <c r="Q210" s="3" t="str">
        <f t="shared" si="15"/>
        <v>loss</v>
      </c>
    </row>
    <row r="211" spans="1:17" x14ac:dyDescent="0.25">
      <c r="A211" s="3" t="s">
        <v>695</v>
      </c>
      <c r="B211" s="4">
        <v>45697</v>
      </c>
      <c r="C211" s="3" t="s">
        <v>2013</v>
      </c>
      <c r="D211" s="3" t="s">
        <v>2033</v>
      </c>
      <c r="E211" s="3" t="s">
        <v>2053</v>
      </c>
      <c r="F211" s="3" t="s">
        <v>2062</v>
      </c>
      <c r="G211" s="3">
        <v>8</v>
      </c>
      <c r="H211" s="3">
        <v>6500</v>
      </c>
      <c r="I211" s="3">
        <v>7150</v>
      </c>
      <c r="J211" s="3">
        <v>16.09</v>
      </c>
      <c r="K211" s="3">
        <v>47994.58</v>
      </c>
      <c r="L211" s="3">
        <v>-4005.42</v>
      </c>
      <c r="M211" s="3">
        <f t="shared" si="16"/>
        <v>920348</v>
      </c>
      <c r="N211" s="3">
        <f t="shared" si="17"/>
        <v>52000</v>
      </c>
      <c r="O211" s="3">
        <f t="shared" si="18"/>
        <v>-8.3455673536470147</v>
      </c>
      <c r="P211" s="3" t="str">
        <f t="shared" si="19"/>
        <v>Feb</v>
      </c>
      <c r="Q211" s="3" t="str">
        <f t="shared" si="15"/>
        <v>loss</v>
      </c>
    </row>
    <row r="212" spans="1:17" x14ac:dyDescent="0.25">
      <c r="A212" s="3" t="s">
        <v>1788</v>
      </c>
      <c r="B212" s="4">
        <v>45697</v>
      </c>
      <c r="C212" s="3" t="s">
        <v>2024</v>
      </c>
      <c r="D212" s="3" t="s">
        <v>2044</v>
      </c>
      <c r="E212" s="3" t="s">
        <v>2055</v>
      </c>
      <c r="F212" s="3" t="s">
        <v>2059</v>
      </c>
      <c r="G212" s="3">
        <v>1</v>
      </c>
      <c r="H212" s="3">
        <v>180</v>
      </c>
      <c r="I212" s="3">
        <v>243</v>
      </c>
      <c r="J212" s="3">
        <v>1.83</v>
      </c>
      <c r="K212" s="3">
        <v>238.54</v>
      </c>
      <c r="L212" s="3">
        <v>58.54</v>
      </c>
      <c r="M212" s="3">
        <f t="shared" si="16"/>
        <v>444.69</v>
      </c>
      <c r="N212" s="3">
        <f t="shared" si="17"/>
        <v>180</v>
      </c>
      <c r="O212" s="3">
        <f t="shared" si="18"/>
        <v>24.540957491406054</v>
      </c>
      <c r="P212" s="3" t="str">
        <f t="shared" si="19"/>
        <v>Feb</v>
      </c>
      <c r="Q212" s="3" t="str">
        <f t="shared" si="15"/>
        <v>good profit</v>
      </c>
    </row>
    <row r="213" spans="1:17" x14ac:dyDescent="0.25">
      <c r="A213" s="3" t="s">
        <v>1808</v>
      </c>
      <c r="B213" s="4">
        <v>45697</v>
      </c>
      <c r="C213" s="3" t="s">
        <v>2031</v>
      </c>
      <c r="D213" s="3" t="s">
        <v>2051</v>
      </c>
      <c r="E213" s="3" t="s">
        <v>2058</v>
      </c>
      <c r="F213" s="3" t="s">
        <v>2060</v>
      </c>
      <c r="G213" s="3">
        <v>3</v>
      </c>
      <c r="H213" s="3">
        <v>3200</v>
      </c>
      <c r="I213" s="3">
        <v>3840</v>
      </c>
      <c r="J213" s="3">
        <v>9.33</v>
      </c>
      <c r="K213" s="3">
        <v>10445.48</v>
      </c>
      <c r="L213" s="3">
        <v>845.48</v>
      </c>
      <c r="M213" s="3">
        <f t="shared" si="16"/>
        <v>107481.60000000001</v>
      </c>
      <c r="N213" s="3">
        <f t="shared" si="17"/>
        <v>9600</v>
      </c>
      <c r="O213" s="3">
        <f t="shared" si="18"/>
        <v>8.0942187434182067</v>
      </c>
      <c r="P213" s="3" t="str">
        <f t="shared" si="19"/>
        <v>Feb</v>
      </c>
      <c r="Q213" s="3" t="str">
        <f t="shared" si="15"/>
        <v>low profit</v>
      </c>
    </row>
    <row r="214" spans="1:17" x14ac:dyDescent="0.25">
      <c r="A214" s="3" t="s">
        <v>755</v>
      </c>
      <c r="B214" s="4">
        <v>45698</v>
      </c>
      <c r="C214" s="3" t="s">
        <v>2030</v>
      </c>
      <c r="D214" s="3" t="s">
        <v>2050</v>
      </c>
      <c r="E214" s="3" t="s">
        <v>2058</v>
      </c>
      <c r="F214" s="3" t="s">
        <v>2062</v>
      </c>
      <c r="G214" s="3">
        <v>4</v>
      </c>
      <c r="H214" s="3">
        <v>1800</v>
      </c>
      <c r="I214" s="3">
        <v>2124</v>
      </c>
      <c r="J214" s="3">
        <v>17.73</v>
      </c>
      <c r="K214" s="3">
        <v>6989.92</v>
      </c>
      <c r="L214" s="3">
        <v>-210.08</v>
      </c>
      <c r="M214" s="3">
        <f t="shared" si="16"/>
        <v>150634.08000000002</v>
      </c>
      <c r="N214" s="3">
        <f t="shared" si="17"/>
        <v>7200</v>
      </c>
      <c r="O214" s="3">
        <f t="shared" si="18"/>
        <v>-3.0054707350012593</v>
      </c>
      <c r="P214" s="3" t="str">
        <f t="shared" si="19"/>
        <v>Feb</v>
      </c>
      <c r="Q214" s="3" t="str">
        <f t="shared" si="15"/>
        <v>loss</v>
      </c>
    </row>
    <row r="215" spans="1:17" x14ac:dyDescent="0.25">
      <c r="A215" s="3" t="s">
        <v>857</v>
      </c>
      <c r="B215" s="4">
        <v>45698</v>
      </c>
      <c r="C215" s="3" t="s">
        <v>2013</v>
      </c>
      <c r="D215" s="3" t="s">
        <v>2033</v>
      </c>
      <c r="E215" s="3" t="s">
        <v>2053</v>
      </c>
      <c r="F215" s="3" t="s">
        <v>2062</v>
      </c>
      <c r="G215" s="3">
        <v>3</v>
      </c>
      <c r="H215" s="3">
        <v>6500</v>
      </c>
      <c r="I215" s="3">
        <v>7150</v>
      </c>
      <c r="J215" s="3">
        <v>10.32</v>
      </c>
      <c r="K215" s="3">
        <v>19236.27</v>
      </c>
      <c r="L215" s="3">
        <v>-263.73</v>
      </c>
      <c r="M215" s="3">
        <f t="shared" si="16"/>
        <v>221364</v>
      </c>
      <c r="N215" s="3">
        <f t="shared" si="17"/>
        <v>19500</v>
      </c>
      <c r="O215" s="3">
        <f t="shared" si="18"/>
        <v>-1.3710038380621608</v>
      </c>
      <c r="P215" s="3" t="str">
        <f t="shared" si="19"/>
        <v>Feb</v>
      </c>
      <c r="Q215" s="3" t="str">
        <f t="shared" si="15"/>
        <v>loss</v>
      </c>
    </row>
    <row r="216" spans="1:17" x14ac:dyDescent="0.25">
      <c r="A216" s="3" t="s">
        <v>968</v>
      </c>
      <c r="B216" s="4">
        <v>45698</v>
      </c>
      <c r="C216" s="3" t="s">
        <v>2021</v>
      </c>
      <c r="D216" s="3" t="s">
        <v>2041</v>
      </c>
      <c r="E216" s="3" t="s">
        <v>2056</v>
      </c>
      <c r="F216" s="3" t="s">
        <v>2062</v>
      </c>
      <c r="G216" s="3">
        <v>1</v>
      </c>
      <c r="H216" s="3">
        <v>300</v>
      </c>
      <c r="I216" s="3">
        <v>405</v>
      </c>
      <c r="J216" s="3">
        <v>2.4700000000000002</v>
      </c>
      <c r="K216" s="3">
        <v>395</v>
      </c>
      <c r="L216" s="3">
        <v>95</v>
      </c>
      <c r="M216" s="3">
        <f t="shared" si="16"/>
        <v>1000.35</v>
      </c>
      <c r="N216" s="3">
        <f t="shared" si="17"/>
        <v>300</v>
      </c>
      <c r="O216" s="3">
        <f t="shared" si="18"/>
        <v>24.050632911392405</v>
      </c>
      <c r="P216" s="3" t="str">
        <f t="shared" si="19"/>
        <v>Feb</v>
      </c>
      <c r="Q216" s="3" t="str">
        <f t="shared" si="15"/>
        <v>good profit</v>
      </c>
    </row>
    <row r="217" spans="1:17" x14ac:dyDescent="0.25">
      <c r="A217" s="3" t="s">
        <v>975</v>
      </c>
      <c r="B217" s="4">
        <v>45698</v>
      </c>
      <c r="C217" s="3" t="s">
        <v>2015</v>
      </c>
      <c r="D217" s="3" t="s">
        <v>2035</v>
      </c>
      <c r="E217" s="3" t="s">
        <v>2054</v>
      </c>
      <c r="F217" s="3" t="s">
        <v>2061</v>
      </c>
      <c r="G217" s="3">
        <v>1</v>
      </c>
      <c r="H217" s="3">
        <v>900</v>
      </c>
      <c r="I217" s="3">
        <v>1170</v>
      </c>
      <c r="J217" s="3">
        <v>8.8000000000000007</v>
      </c>
      <c r="K217" s="3">
        <v>1067.02</v>
      </c>
      <c r="L217" s="3">
        <v>167.02</v>
      </c>
      <c r="M217" s="3">
        <f t="shared" si="16"/>
        <v>10296</v>
      </c>
      <c r="N217" s="3">
        <f t="shared" si="17"/>
        <v>900</v>
      </c>
      <c r="O217" s="3">
        <f t="shared" si="18"/>
        <v>15.652939963637047</v>
      </c>
      <c r="P217" s="3" t="str">
        <f t="shared" si="19"/>
        <v>Feb</v>
      </c>
      <c r="Q217" s="3" t="str">
        <f t="shared" si="15"/>
        <v>good profit</v>
      </c>
    </row>
    <row r="218" spans="1:17" x14ac:dyDescent="0.25">
      <c r="A218" s="3" t="s">
        <v>1021</v>
      </c>
      <c r="B218" s="4">
        <v>45698</v>
      </c>
      <c r="C218" s="3" t="s">
        <v>2022</v>
      </c>
      <c r="D218" s="3" t="s">
        <v>2042</v>
      </c>
      <c r="E218" s="3" t="s">
        <v>2053</v>
      </c>
      <c r="F218" s="3" t="s">
        <v>2059</v>
      </c>
      <c r="G218" s="3">
        <v>8</v>
      </c>
      <c r="H218" s="3">
        <v>8500</v>
      </c>
      <c r="I218" s="3">
        <v>9520</v>
      </c>
      <c r="J218" s="3">
        <v>4.99</v>
      </c>
      <c r="K218" s="3">
        <v>72362.22</v>
      </c>
      <c r="L218" s="3">
        <v>4362.22</v>
      </c>
      <c r="M218" s="3">
        <f t="shared" si="16"/>
        <v>380038.40000000002</v>
      </c>
      <c r="N218" s="3">
        <f t="shared" si="17"/>
        <v>68000</v>
      </c>
      <c r="O218" s="3">
        <f t="shared" si="18"/>
        <v>6.028311458658953</v>
      </c>
      <c r="P218" s="3" t="str">
        <f t="shared" si="19"/>
        <v>Feb</v>
      </c>
      <c r="Q218" s="3" t="str">
        <f t="shared" si="15"/>
        <v>low profit</v>
      </c>
    </row>
    <row r="219" spans="1:17" x14ac:dyDescent="0.25">
      <c r="A219" s="3" t="s">
        <v>1075</v>
      </c>
      <c r="B219" s="4">
        <v>45698</v>
      </c>
      <c r="C219" s="3" t="s">
        <v>2019</v>
      </c>
      <c r="D219" s="3" t="s">
        <v>2039</v>
      </c>
      <c r="E219" s="3" t="s">
        <v>2053</v>
      </c>
      <c r="F219" s="3" t="s">
        <v>2061</v>
      </c>
      <c r="G219" s="3">
        <v>6</v>
      </c>
      <c r="H219" s="3">
        <v>900</v>
      </c>
      <c r="I219" s="3">
        <v>1152</v>
      </c>
      <c r="J219" s="3">
        <v>18.64</v>
      </c>
      <c r="K219" s="3">
        <v>5623.62</v>
      </c>
      <c r="L219" s="3">
        <v>223.62</v>
      </c>
      <c r="M219" s="3">
        <f t="shared" si="16"/>
        <v>128839.68000000001</v>
      </c>
      <c r="N219" s="3">
        <f t="shared" si="17"/>
        <v>5400</v>
      </c>
      <c r="O219" s="3">
        <f t="shared" si="18"/>
        <v>3.9764422204914274</v>
      </c>
      <c r="P219" s="3" t="str">
        <f t="shared" si="19"/>
        <v>Feb</v>
      </c>
      <c r="Q219" s="3" t="str">
        <f t="shared" si="15"/>
        <v>low profit</v>
      </c>
    </row>
    <row r="220" spans="1:17" x14ac:dyDescent="0.25">
      <c r="A220" s="3" t="s">
        <v>1449</v>
      </c>
      <c r="B220" s="4">
        <v>45698</v>
      </c>
      <c r="C220" s="3" t="s">
        <v>2027</v>
      </c>
      <c r="D220" s="3" t="s">
        <v>2047</v>
      </c>
      <c r="E220" s="3" t="s">
        <v>2053</v>
      </c>
      <c r="F220" s="3" t="s">
        <v>2061</v>
      </c>
      <c r="G220" s="3">
        <v>9</v>
      </c>
      <c r="H220" s="3">
        <v>1100</v>
      </c>
      <c r="I220" s="3">
        <v>1298</v>
      </c>
      <c r="J220" s="3">
        <v>0</v>
      </c>
      <c r="K220" s="3">
        <v>11682</v>
      </c>
      <c r="L220" s="3">
        <v>1782</v>
      </c>
      <c r="M220" s="3">
        <f t="shared" si="16"/>
        <v>0</v>
      </c>
      <c r="N220" s="3">
        <f t="shared" si="17"/>
        <v>9900</v>
      </c>
      <c r="O220" s="3">
        <f t="shared" si="18"/>
        <v>15.254237288135593</v>
      </c>
      <c r="P220" s="3" t="str">
        <f t="shared" si="19"/>
        <v>Feb</v>
      </c>
      <c r="Q220" s="3" t="str">
        <f t="shared" si="15"/>
        <v>good profit</v>
      </c>
    </row>
    <row r="221" spans="1:17" x14ac:dyDescent="0.25">
      <c r="A221" s="3" t="s">
        <v>1766</v>
      </c>
      <c r="B221" s="4">
        <v>45698</v>
      </c>
      <c r="C221" s="3" t="s">
        <v>2013</v>
      </c>
      <c r="D221" s="3" t="s">
        <v>2033</v>
      </c>
      <c r="E221" s="3" t="s">
        <v>2053</v>
      </c>
      <c r="F221" s="3" t="s">
        <v>2060</v>
      </c>
      <c r="G221" s="3">
        <v>7</v>
      </c>
      <c r="H221" s="3">
        <v>6500</v>
      </c>
      <c r="I221" s="3">
        <v>7150</v>
      </c>
      <c r="J221" s="3">
        <v>28.02</v>
      </c>
      <c r="K221" s="3">
        <v>36025.81</v>
      </c>
      <c r="L221" s="3">
        <v>-9474.19</v>
      </c>
      <c r="M221" s="3">
        <f t="shared" si="16"/>
        <v>1402401</v>
      </c>
      <c r="N221" s="3">
        <f t="shared" si="17"/>
        <v>45500</v>
      </c>
      <c r="O221" s="3">
        <f t="shared" si="18"/>
        <v>-26.298339995686433</v>
      </c>
      <c r="P221" s="3" t="str">
        <f t="shared" si="19"/>
        <v>Feb</v>
      </c>
      <c r="Q221" s="3" t="str">
        <f t="shared" si="15"/>
        <v>loss</v>
      </c>
    </row>
    <row r="222" spans="1:17" x14ac:dyDescent="0.25">
      <c r="A222" s="3" t="s">
        <v>1798</v>
      </c>
      <c r="B222" s="4">
        <v>45698</v>
      </c>
      <c r="C222" s="3" t="s">
        <v>2026</v>
      </c>
      <c r="D222" s="3" t="s">
        <v>2046</v>
      </c>
      <c r="E222" s="3" t="s">
        <v>2052</v>
      </c>
      <c r="F222" s="3" t="s">
        <v>2062</v>
      </c>
      <c r="G222" s="3">
        <v>9</v>
      </c>
      <c r="H222" s="3">
        <v>3000</v>
      </c>
      <c r="I222" s="3">
        <v>3600</v>
      </c>
      <c r="J222" s="3">
        <v>14.65</v>
      </c>
      <c r="K222" s="3">
        <v>27654.53</v>
      </c>
      <c r="L222" s="3">
        <v>654.53</v>
      </c>
      <c r="M222" s="3">
        <f t="shared" si="16"/>
        <v>474660</v>
      </c>
      <c r="N222" s="3">
        <f t="shared" si="17"/>
        <v>27000</v>
      </c>
      <c r="O222" s="3">
        <f t="shared" si="18"/>
        <v>2.3668093437133084</v>
      </c>
      <c r="P222" s="3" t="str">
        <f t="shared" si="19"/>
        <v>Feb</v>
      </c>
      <c r="Q222" s="3" t="str">
        <f t="shared" si="15"/>
        <v>low profit</v>
      </c>
    </row>
    <row r="223" spans="1:17" x14ac:dyDescent="0.25">
      <c r="A223" s="3" t="s">
        <v>80</v>
      </c>
      <c r="B223" s="4">
        <v>45699</v>
      </c>
      <c r="C223" s="3" t="s">
        <v>2031</v>
      </c>
      <c r="D223" s="3" t="s">
        <v>2051</v>
      </c>
      <c r="E223" s="3" t="s">
        <v>2058</v>
      </c>
      <c r="F223" s="3" t="s">
        <v>2059</v>
      </c>
      <c r="G223" s="3">
        <v>1</v>
      </c>
      <c r="H223" s="3">
        <v>3200</v>
      </c>
      <c r="I223" s="3">
        <v>3840</v>
      </c>
      <c r="J223" s="3">
        <v>4.63</v>
      </c>
      <c r="K223" s="3">
        <v>3662.37</v>
      </c>
      <c r="L223" s="3">
        <v>462.37</v>
      </c>
      <c r="M223" s="3">
        <f t="shared" si="16"/>
        <v>17779.2</v>
      </c>
      <c r="N223" s="3">
        <f t="shared" si="17"/>
        <v>3200</v>
      </c>
      <c r="O223" s="3">
        <f t="shared" si="18"/>
        <v>12.62488497885249</v>
      </c>
      <c r="P223" s="3" t="str">
        <f t="shared" si="19"/>
        <v>Feb</v>
      </c>
      <c r="Q223" s="3" t="str">
        <f t="shared" si="15"/>
        <v>good profit</v>
      </c>
    </row>
    <row r="224" spans="1:17" x14ac:dyDescent="0.25">
      <c r="A224" s="3" t="s">
        <v>219</v>
      </c>
      <c r="B224" s="4">
        <v>45699</v>
      </c>
      <c r="C224" s="3" t="s">
        <v>2016</v>
      </c>
      <c r="D224" s="3" t="s">
        <v>2036</v>
      </c>
      <c r="E224" s="3" t="s">
        <v>2052</v>
      </c>
      <c r="F224" s="3" t="s">
        <v>2061</v>
      </c>
      <c r="G224" s="3">
        <v>5</v>
      </c>
      <c r="H224" s="3">
        <v>900</v>
      </c>
      <c r="I224" s="3">
        <v>1170</v>
      </c>
      <c r="J224" s="3">
        <v>10.39</v>
      </c>
      <c r="K224" s="3">
        <v>5242.46</v>
      </c>
      <c r="L224" s="3">
        <v>742.46</v>
      </c>
      <c r="M224" s="3">
        <f t="shared" si="16"/>
        <v>60781.5</v>
      </c>
      <c r="N224" s="3">
        <f t="shared" si="17"/>
        <v>4500</v>
      </c>
      <c r="O224" s="3">
        <f t="shared" si="18"/>
        <v>14.16243519263857</v>
      </c>
      <c r="P224" s="3" t="str">
        <f t="shared" si="19"/>
        <v>Feb</v>
      </c>
      <c r="Q224" s="3" t="str">
        <f t="shared" si="15"/>
        <v>good profit</v>
      </c>
    </row>
    <row r="225" spans="1:17" x14ac:dyDescent="0.25">
      <c r="A225" s="3" t="s">
        <v>221</v>
      </c>
      <c r="B225" s="4">
        <v>45699</v>
      </c>
      <c r="C225" s="3" t="s">
        <v>2029</v>
      </c>
      <c r="D225" s="3" t="s">
        <v>2049</v>
      </c>
      <c r="E225" s="3" t="s">
        <v>2055</v>
      </c>
      <c r="F225" s="3" t="s">
        <v>2062</v>
      </c>
      <c r="G225" s="3">
        <v>6</v>
      </c>
      <c r="H225" s="3">
        <v>1200</v>
      </c>
      <c r="I225" s="3">
        <v>1464</v>
      </c>
      <c r="J225" s="3">
        <v>21.36</v>
      </c>
      <c r="K225" s="3">
        <v>6907.9</v>
      </c>
      <c r="L225" s="3">
        <v>-292.10000000000002</v>
      </c>
      <c r="M225" s="3">
        <f t="shared" si="16"/>
        <v>187626.23999999999</v>
      </c>
      <c r="N225" s="3">
        <f t="shared" si="17"/>
        <v>7200</v>
      </c>
      <c r="O225" s="3">
        <f t="shared" si="18"/>
        <v>-4.2284920163870359</v>
      </c>
      <c r="P225" s="3" t="str">
        <f t="shared" si="19"/>
        <v>Feb</v>
      </c>
      <c r="Q225" s="3" t="str">
        <f t="shared" si="15"/>
        <v>loss</v>
      </c>
    </row>
    <row r="226" spans="1:17" x14ac:dyDescent="0.25">
      <c r="A226" s="3" t="s">
        <v>663</v>
      </c>
      <c r="B226" s="4">
        <v>45699</v>
      </c>
      <c r="C226" s="3" t="s">
        <v>2024</v>
      </c>
      <c r="D226" s="3" t="s">
        <v>2044</v>
      </c>
      <c r="E226" s="3" t="s">
        <v>2055</v>
      </c>
      <c r="F226" s="3" t="s">
        <v>2059</v>
      </c>
      <c r="G226" s="3">
        <v>9</v>
      </c>
      <c r="H226" s="3">
        <v>180</v>
      </c>
      <c r="I226" s="3">
        <v>243</v>
      </c>
      <c r="J226" s="3">
        <v>6.89</v>
      </c>
      <c r="K226" s="3">
        <v>2036.35</v>
      </c>
      <c r="L226" s="3">
        <v>416.35</v>
      </c>
      <c r="M226" s="3">
        <f t="shared" si="16"/>
        <v>15068.429999999998</v>
      </c>
      <c r="N226" s="3">
        <f t="shared" si="17"/>
        <v>1620</v>
      </c>
      <c r="O226" s="3">
        <f t="shared" si="18"/>
        <v>20.445895843052522</v>
      </c>
      <c r="P226" s="3" t="str">
        <f t="shared" si="19"/>
        <v>Feb</v>
      </c>
      <c r="Q226" s="3" t="str">
        <f t="shared" si="15"/>
        <v>good profit</v>
      </c>
    </row>
    <row r="227" spans="1:17" x14ac:dyDescent="0.25">
      <c r="A227" s="3" t="s">
        <v>685</v>
      </c>
      <c r="B227" s="4">
        <v>45699</v>
      </c>
      <c r="C227" s="3" t="s">
        <v>2014</v>
      </c>
      <c r="D227" s="3" t="s">
        <v>2034</v>
      </c>
      <c r="E227" s="3" t="s">
        <v>2052</v>
      </c>
      <c r="F227" s="3" t="s">
        <v>2059</v>
      </c>
      <c r="G227" s="3">
        <v>8</v>
      </c>
      <c r="H227" s="3">
        <v>4500</v>
      </c>
      <c r="I227" s="3">
        <v>5220</v>
      </c>
      <c r="J227" s="3">
        <v>19.3</v>
      </c>
      <c r="K227" s="3">
        <v>33702.15</v>
      </c>
      <c r="L227" s="3">
        <v>-2297.85</v>
      </c>
      <c r="M227" s="3">
        <f t="shared" si="16"/>
        <v>805968</v>
      </c>
      <c r="N227" s="3">
        <f t="shared" si="17"/>
        <v>36000</v>
      </c>
      <c r="O227" s="3">
        <f t="shared" si="18"/>
        <v>-6.818111010721867</v>
      </c>
      <c r="P227" s="3" t="str">
        <f t="shared" si="19"/>
        <v>Feb</v>
      </c>
      <c r="Q227" s="3" t="str">
        <f t="shared" si="15"/>
        <v>loss</v>
      </c>
    </row>
    <row r="228" spans="1:17" x14ac:dyDescent="0.25">
      <c r="A228" s="3" t="s">
        <v>1155</v>
      </c>
      <c r="B228" s="4">
        <v>45699</v>
      </c>
      <c r="C228" s="3" t="s">
        <v>2016</v>
      </c>
      <c r="D228" s="3" t="s">
        <v>2036</v>
      </c>
      <c r="E228" s="3" t="s">
        <v>2052</v>
      </c>
      <c r="F228" s="3" t="s">
        <v>2060</v>
      </c>
      <c r="G228" s="3">
        <v>7</v>
      </c>
      <c r="H228" s="3">
        <v>900</v>
      </c>
      <c r="I228" s="3">
        <v>1170</v>
      </c>
      <c r="J228" s="3">
        <v>14.19</v>
      </c>
      <c r="K228" s="3">
        <v>7027.68</v>
      </c>
      <c r="L228" s="3">
        <v>727.68</v>
      </c>
      <c r="M228" s="3">
        <f t="shared" si="16"/>
        <v>116216.09999999999</v>
      </c>
      <c r="N228" s="3">
        <f t="shared" si="17"/>
        <v>6300</v>
      </c>
      <c r="O228" s="3">
        <f t="shared" si="18"/>
        <v>10.354483983334472</v>
      </c>
      <c r="P228" s="3" t="str">
        <f t="shared" si="19"/>
        <v>Feb</v>
      </c>
      <c r="Q228" s="3" t="str">
        <f t="shared" si="15"/>
        <v>good profit</v>
      </c>
    </row>
    <row r="229" spans="1:17" x14ac:dyDescent="0.25">
      <c r="A229" s="3" t="s">
        <v>134</v>
      </c>
      <c r="B229" s="4">
        <v>45700</v>
      </c>
      <c r="C229" s="3" t="s">
        <v>2013</v>
      </c>
      <c r="D229" s="3" t="s">
        <v>2033</v>
      </c>
      <c r="E229" s="3" t="s">
        <v>2053</v>
      </c>
      <c r="F229" s="3" t="s">
        <v>2059</v>
      </c>
      <c r="G229" s="3">
        <v>3</v>
      </c>
      <c r="H229" s="3">
        <v>6500</v>
      </c>
      <c r="I229" s="3">
        <v>7150</v>
      </c>
      <c r="J229" s="3">
        <v>4</v>
      </c>
      <c r="K229" s="3">
        <v>20592</v>
      </c>
      <c r="L229" s="3">
        <v>1092</v>
      </c>
      <c r="M229" s="3">
        <f t="shared" si="16"/>
        <v>85800</v>
      </c>
      <c r="N229" s="3">
        <f t="shared" si="17"/>
        <v>19500</v>
      </c>
      <c r="O229" s="3">
        <f t="shared" si="18"/>
        <v>5.3030303030303028</v>
      </c>
      <c r="P229" s="3" t="str">
        <f t="shared" si="19"/>
        <v>Feb</v>
      </c>
      <c r="Q229" s="3" t="str">
        <f t="shared" si="15"/>
        <v>low profit</v>
      </c>
    </row>
    <row r="230" spans="1:17" x14ac:dyDescent="0.25">
      <c r="A230" s="3" t="s">
        <v>256</v>
      </c>
      <c r="B230" s="4">
        <v>45700</v>
      </c>
      <c r="C230" s="3" t="s">
        <v>2019</v>
      </c>
      <c r="D230" s="3" t="s">
        <v>2039</v>
      </c>
      <c r="E230" s="3" t="s">
        <v>2053</v>
      </c>
      <c r="F230" s="3" t="s">
        <v>2061</v>
      </c>
      <c r="G230" s="3">
        <v>10</v>
      </c>
      <c r="H230" s="3">
        <v>900</v>
      </c>
      <c r="I230" s="3">
        <v>1152</v>
      </c>
      <c r="J230" s="3">
        <v>8.24</v>
      </c>
      <c r="K230" s="3">
        <v>10570.8</v>
      </c>
      <c r="L230" s="3">
        <v>1570.8</v>
      </c>
      <c r="M230" s="3">
        <f t="shared" si="16"/>
        <v>94924.800000000003</v>
      </c>
      <c r="N230" s="3">
        <f t="shared" si="17"/>
        <v>9000</v>
      </c>
      <c r="O230" s="3">
        <f t="shared" si="18"/>
        <v>14.859802474741743</v>
      </c>
      <c r="P230" s="3" t="str">
        <f t="shared" si="19"/>
        <v>Feb</v>
      </c>
      <c r="Q230" s="3" t="str">
        <f t="shared" si="15"/>
        <v>good profit</v>
      </c>
    </row>
    <row r="231" spans="1:17" x14ac:dyDescent="0.25">
      <c r="A231" s="3" t="s">
        <v>607</v>
      </c>
      <c r="B231" s="4">
        <v>45700</v>
      </c>
      <c r="C231" s="3" t="s">
        <v>2029</v>
      </c>
      <c r="D231" s="3" t="s">
        <v>2049</v>
      </c>
      <c r="E231" s="3" t="s">
        <v>2055</v>
      </c>
      <c r="F231" s="3" t="s">
        <v>2060</v>
      </c>
      <c r="G231" s="3">
        <v>8</v>
      </c>
      <c r="H231" s="3">
        <v>1200</v>
      </c>
      <c r="I231" s="3">
        <v>1464</v>
      </c>
      <c r="J231" s="3">
        <v>20.62</v>
      </c>
      <c r="K231" s="3">
        <v>9297.31</v>
      </c>
      <c r="L231" s="3">
        <v>-302.69</v>
      </c>
      <c r="M231" s="3">
        <f t="shared" si="16"/>
        <v>241501.44</v>
      </c>
      <c r="N231" s="3">
        <f t="shared" si="17"/>
        <v>9600</v>
      </c>
      <c r="O231" s="3">
        <f t="shared" si="18"/>
        <v>-3.2556728774236849</v>
      </c>
      <c r="P231" s="3" t="str">
        <f t="shared" si="19"/>
        <v>Feb</v>
      </c>
      <c r="Q231" s="3" t="str">
        <f t="shared" si="15"/>
        <v>loss</v>
      </c>
    </row>
    <row r="232" spans="1:17" x14ac:dyDescent="0.25">
      <c r="A232" s="3" t="s">
        <v>952</v>
      </c>
      <c r="B232" s="4">
        <v>45700</v>
      </c>
      <c r="C232" s="3" t="s">
        <v>2017</v>
      </c>
      <c r="D232" s="3" t="s">
        <v>2037</v>
      </c>
      <c r="E232" s="3" t="s">
        <v>2055</v>
      </c>
      <c r="F232" s="3" t="s">
        <v>2059</v>
      </c>
      <c r="G232" s="3">
        <v>1</v>
      </c>
      <c r="H232" s="3">
        <v>2500</v>
      </c>
      <c r="I232" s="3">
        <v>2875</v>
      </c>
      <c r="J232" s="3">
        <v>22.86</v>
      </c>
      <c r="K232" s="3">
        <v>2217.7600000000002</v>
      </c>
      <c r="L232" s="3">
        <v>-282.24</v>
      </c>
      <c r="M232" s="3">
        <f t="shared" si="16"/>
        <v>65722.5</v>
      </c>
      <c r="N232" s="3">
        <f t="shared" si="17"/>
        <v>2500</v>
      </c>
      <c r="O232" s="3">
        <f t="shared" si="18"/>
        <v>-12.72635451987591</v>
      </c>
      <c r="P232" s="3" t="str">
        <f t="shared" si="19"/>
        <v>Feb</v>
      </c>
      <c r="Q232" s="3" t="str">
        <f t="shared" si="15"/>
        <v>loss</v>
      </c>
    </row>
    <row r="233" spans="1:17" x14ac:dyDescent="0.25">
      <c r="A233" s="3" t="s">
        <v>1552</v>
      </c>
      <c r="B233" s="4">
        <v>45700</v>
      </c>
      <c r="C233" s="3" t="s">
        <v>2031</v>
      </c>
      <c r="D233" s="3" t="s">
        <v>2051</v>
      </c>
      <c r="E233" s="3" t="s">
        <v>2058</v>
      </c>
      <c r="F233" s="3" t="s">
        <v>2061</v>
      </c>
      <c r="G233" s="3">
        <v>5</v>
      </c>
      <c r="H233" s="3">
        <v>3200</v>
      </c>
      <c r="I233" s="3">
        <v>3840</v>
      </c>
      <c r="J233" s="3">
        <v>29.63</v>
      </c>
      <c r="K233" s="3">
        <v>13510.59</v>
      </c>
      <c r="L233" s="3">
        <v>-2489.41</v>
      </c>
      <c r="M233" s="3">
        <f t="shared" si="16"/>
        <v>568896</v>
      </c>
      <c r="N233" s="3">
        <f t="shared" si="17"/>
        <v>16000</v>
      </c>
      <c r="O233" s="3">
        <f t="shared" si="18"/>
        <v>-18.42562019867378</v>
      </c>
      <c r="P233" s="3" t="str">
        <f t="shared" si="19"/>
        <v>Feb</v>
      </c>
      <c r="Q233" s="3" t="str">
        <f t="shared" si="15"/>
        <v>loss</v>
      </c>
    </row>
    <row r="234" spans="1:17" x14ac:dyDescent="0.25">
      <c r="A234" s="3" t="s">
        <v>1931</v>
      </c>
      <c r="B234" s="4">
        <v>45700</v>
      </c>
      <c r="C234" s="3" t="s">
        <v>2029</v>
      </c>
      <c r="D234" s="3" t="s">
        <v>2049</v>
      </c>
      <c r="E234" s="3" t="s">
        <v>2055</v>
      </c>
      <c r="F234" s="3" t="s">
        <v>2060</v>
      </c>
      <c r="G234" s="3">
        <v>4</v>
      </c>
      <c r="H234" s="3">
        <v>1200</v>
      </c>
      <c r="I234" s="3">
        <v>1464</v>
      </c>
      <c r="J234" s="3">
        <v>6.4</v>
      </c>
      <c r="K234" s="3">
        <v>5481.23</v>
      </c>
      <c r="L234" s="3">
        <v>681.23</v>
      </c>
      <c r="M234" s="3">
        <f t="shared" si="16"/>
        <v>37478.400000000001</v>
      </c>
      <c r="N234" s="3">
        <f t="shared" si="17"/>
        <v>4800</v>
      </c>
      <c r="O234" s="3">
        <f t="shared" si="18"/>
        <v>12.428414790110979</v>
      </c>
      <c r="P234" s="3" t="str">
        <f t="shared" si="19"/>
        <v>Feb</v>
      </c>
      <c r="Q234" s="3" t="str">
        <f t="shared" si="15"/>
        <v>good profit</v>
      </c>
    </row>
    <row r="235" spans="1:17" x14ac:dyDescent="0.25">
      <c r="A235" s="3" t="s">
        <v>1953</v>
      </c>
      <c r="B235" s="4">
        <v>45700</v>
      </c>
      <c r="C235" s="3" t="s">
        <v>2019</v>
      </c>
      <c r="D235" s="3" t="s">
        <v>2039</v>
      </c>
      <c r="E235" s="3" t="s">
        <v>2053</v>
      </c>
      <c r="F235" s="3" t="s">
        <v>2059</v>
      </c>
      <c r="G235" s="3">
        <v>8</v>
      </c>
      <c r="H235" s="3">
        <v>900</v>
      </c>
      <c r="I235" s="3">
        <v>1152</v>
      </c>
      <c r="J235" s="3">
        <v>11.9</v>
      </c>
      <c r="K235" s="3">
        <v>8119.17</v>
      </c>
      <c r="L235" s="3">
        <v>919.17</v>
      </c>
      <c r="M235" s="3">
        <f t="shared" si="16"/>
        <v>109670.40000000001</v>
      </c>
      <c r="N235" s="3">
        <f t="shared" si="17"/>
        <v>7200</v>
      </c>
      <c r="O235" s="3">
        <f t="shared" si="18"/>
        <v>11.320984780464013</v>
      </c>
      <c r="P235" s="3" t="str">
        <f t="shared" si="19"/>
        <v>Feb</v>
      </c>
      <c r="Q235" s="3" t="str">
        <f t="shared" si="15"/>
        <v>good profit</v>
      </c>
    </row>
    <row r="236" spans="1:17" x14ac:dyDescent="0.25">
      <c r="A236" s="3" t="s">
        <v>360</v>
      </c>
      <c r="B236" s="4">
        <v>45701</v>
      </c>
      <c r="C236" s="3" t="s">
        <v>2018</v>
      </c>
      <c r="D236" s="3" t="s">
        <v>2038</v>
      </c>
      <c r="E236" s="3" t="s">
        <v>2053</v>
      </c>
      <c r="F236" s="3" t="s">
        <v>2062</v>
      </c>
      <c r="G236" s="3">
        <v>9</v>
      </c>
      <c r="H236" s="3">
        <v>500</v>
      </c>
      <c r="I236" s="3">
        <v>610</v>
      </c>
      <c r="J236" s="3">
        <v>18.48</v>
      </c>
      <c r="K236" s="3">
        <v>4475.3599999999997</v>
      </c>
      <c r="L236" s="3">
        <v>-24.64</v>
      </c>
      <c r="M236" s="3">
        <f t="shared" si="16"/>
        <v>101455.2</v>
      </c>
      <c r="N236" s="3">
        <f t="shared" si="17"/>
        <v>4500</v>
      </c>
      <c r="O236" s="3">
        <f t="shared" si="18"/>
        <v>-0.55057023345607947</v>
      </c>
      <c r="P236" s="3" t="str">
        <f t="shared" si="19"/>
        <v>Feb</v>
      </c>
      <c r="Q236" s="3" t="str">
        <f t="shared" si="15"/>
        <v>loss</v>
      </c>
    </row>
    <row r="237" spans="1:17" x14ac:dyDescent="0.25">
      <c r="A237" s="3" t="s">
        <v>558</v>
      </c>
      <c r="B237" s="4">
        <v>45701</v>
      </c>
      <c r="C237" s="3" t="s">
        <v>2031</v>
      </c>
      <c r="D237" s="3" t="s">
        <v>2051</v>
      </c>
      <c r="E237" s="3" t="s">
        <v>2058</v>
      </c>
      <c r="F237" s="3" t="s">
        <v>2061</v>
      </c>
      <c r="G237" s="3">
        <v>4</v>
      </c>
      <c r="H237" s="3">
        <v>3200</v>
      </c>
      <c r="I237" s="3">
        <v>3840</v>
      </c>
      <c r="J237" s="3">
        <v>10.28</v>
      </c>
      <c r="K237" s="3">
        <v>13781.49</v>
      </c>
      <c r="L237" s="3">
        <v>981.49</v>
      </c>
      <c r="M237" s="3">
        <f t="shared" si="16"/>
        <v>157900.79999999999</v>
      </c>
      <c r="N237" s="3">
        <f t="shared" si="17"/>
        <v>12800</v>
      </c>
      <c r="O237" s="3">
        <f t="shared" si="18"/>
        <v>7.1217988766091329</v>
      </c>
      <c r="P237" s="3" t="str">
        <f t="shared" si="19"/>
        <v>Feb</v>
      </c>
      <c r="Q237" s="3" t="str">
        <f t="shared" si="15"/>
        <v>low profit</v>
      </c>
    </row>
    <row r="238" spans="1:17" x14ac:dyDescent="0.25">
      <c r="A238" s="3" t="s">
        <v>661</v>
      </c>
      <c r="B238" s="4">
        <v>45701</v>
      </c>
      <c r="C238" s="3" t="s">
        <v>2021</v>
      </c>
      <c r="D238" s="3" t="s">
        <v>2041</v>
      </c>
      <c r="E238" s="3" t="s">
        <v>2056</v>
      </c>
      <c r="F238" s="3" t="s">
        <v>2061</v>
      </c>
      <c r="G238" s="3">
        <v>3</v>
      </c>
      <c r="H238" s="3">
        <v>300</v>
      </c>
      <c r="I238" s="3">
        <v>405</v>
      </c>
      <c r="J238" s="3">
        <v>22.23</v>
      </c>
      <c r="K238" s="3">
        <v>944.89</v>
      </c>
      <c r="L238" s="3">
        <v>44.89</v>
      </c>
      <c r="M238" s="3">
        <f t="shared" si="16"/>
        <v>27009.45</v>
      </c>
      <c r="N238" s="3">
        <f t="shared" si="17"/>
        <v>900</v>
      </c>
      <c r="O238" s="3">
        <f t="shared" si="18"/>
        <v>4.7508175554826488</v>
      </c>
      <c r="P238" s="3" t="str">
        <f t="shared" si="19"/>
        <v>Feb</v>
      </c>
      <c r="Q238" s="3" t="str">
        <f t="shared" si="15"/>
        <v>low profit</v>
      </c>
    </row>
    <row r="239" spans="1:17" x14ac:dyDescent="0.25">
      <c r="A239" s="3" t="s">
        <v>1497</v>
      </c>
      <c r="B239" s="4">
        <v>45701</v>
      </c>
      <c r="C239" s="3" t="s">
        <v>2014</v>
      </c>
      <c r="D239" s="3" t="s">
        <v>2034</v>
      </c>
      <c r="E239" s="3" t="s">
        <v>2052</v>
      </c>
      <c r="F239" s="3" t="s">
        <v>2061</v>
      </c>
      <c r="G239" s="3">
        <v>9</v>
      </c>
      <c r="H239" s="3">
        <v>4500</v>
      </c>
      <c r="I239" s="3">
        <v>5220</v>
      </c>
      <c r="J239" s="3">
        <v>14.49</v>
      </c>
      <c r="K239" s="3">
        <v>40174.19</v>
      </c>
      <c r="L239" s="3">
        <v>-325.81</v>
      </c>
      <c r="M239" s="3">
        <f t="shared" si="16"/>
        <v>680740.2</v>
      </c>
      <c r="N239" s="3">
        <f t="shared" si="17"/>
        <v>40500</v>
      </c>
      <c r="O239" s="3">
        <f t="shared" si="18"/>
        <v>-0.81099332681007374</v>
      </c>
      <c r="P239" s="3" t="str">
        <f t="shared" si="19"/>
        <v>Feb</v>
      </c>
      <c r="Q239" s="3" t="str">
        <f t="shared" si="15"/>
        <v>loss</v>
      </c>
    </row>
    <row r="240" spans="1:17" x14ac:dyDescent="0.25">
      <c r="A240" s="3" t="s">
        <v>1702</v>
      </c>
      <c r="B240" s="4">
        <v>45701</v>
      </c>
      <c r="C240" s="3" t="s">
        <v>2018</v>
      </c>
      <c r="D240" s="3" t="s">
        <v>2038</v>
      </c>
      <c r="E240" s="3" t="s">
        <v>2053</v>
      </c>
      <c r="F240" s="3" t="s">
        <v>2062</v>
      </c>
      <c r="G240" s="3">
        <v>3</v>
      </c>
      <c r="H240" s="3">
        <v>500</v>
      </c>
      <c r="I240" s="3">
        <v>610</v>
      </c>
      <c r="J240" s="3">
        <v>4.21</v>
      </c>
      <c r="K240" s="3">
        <v>1752.9</v>
      </c>
      <c r="L240" s="3">
        <v>252.9</v>
      </c>
      <c r="M240" s="3">
        <f t="shared" si="16"/>
        <v>7704.3</v>
      </c>
      <c r="N240" s="3">
        <f t="shared" si="17"/>
        <v>1500</v>
      </c>
      <c r="O240" s="3">
        <f t="shared" si="18"/>
        <v>14.427520109532773</v>
      </c>
      <c r="P240" s="3" t="str">
        <f t="shared" si="19"/>
        <v>Feb</v>
      </c>
      <c r="Q240" s="3" t="str">
        <f t="shared" si="15"/>
        <v>good profit</v>
      </c>
    </row>
    <row r="241" spans="1:17" x14ac:dyDescent="0.25">
      <c r="A241" s="3" t="s">
        <v>983</v>
      </c>
      <c r="B241" s="4">
        <v>45702</v>
      </c>
      <c r="C241" s="3" t="s">
        <v>2016</v>
      </c>
      <c r="D241" s="3" t="s">
        <v>2036</v>
      </c>
      <c r="E241" s="3" t="s">
        <v>2052</v>
      </c>
      <c r="F241" s="3" t="s">
        <v>2062</v>
      </c>
      <c r="G241" s="3">
        <v>1</v>
      </c>
      <c r="H241" s="3">
        <v>900</v>
      </c>
      <c r="I241" s="3">
        <v>1170</v>
      </c>
      <c r="J241" s="3">
        <v>0</v>
      </c>
      <c r="K241" s="3">
        <v>1170</v>
      </c>
      <c r="L241" s="3">
        <v>270</v>
      </c>
      <c r="M241" s="3">
        <f t="shared" si="16"/>
        <v>0</v>
      </c>
      <c r="N241" s="3">
        <f t="shared" si="17"/>
        <v>900</v>
      </c>
      <c r="O241" s="3">
        <f t="shared" si="18"/>
        <v>23.076923076923077</v>
      </c>
      <c r="P241" s="3" t="str">
        <f t="shared" si="19"/>
        <v>Feb</v>
      </c>
      <c r="Q241" s="3" t="str">
        <f t="shared" si="15"/>
        <v>good profit</v>
      </c>
    </row>
    <row r="242" spans="1:17" x14ac:dyDescent="0.25">
      <c r="A242" s="3" t="s">
        <v>1114</v>
      </c>
      <c r="B242" s="4">
        <v>45702</v>
      </c>
      <c r="C242" s="3" t="s">
        <v>2022</v>
      </c>
      <c r="D242" s="3" t="s">
        <v>2042</v>
      </c>
      <c r="E242" s="3" t="s">
        <v>2053</v>
      </c>
      <c r="F242" s="3" t="s">
        <v>2060</v>
      </c>
      <c r="G242" s="3">
        <v>3</v>
      </c>
      <c r="H242" s="3">
        <v>8500</v>
      </c>
      <c r="I242" s="3">
        <v>9520</v>
      </c>
      <c r="J242" s="3">
        <v>5.57</v>
      </c>
      <c r="K242" s="3">
        <v>26969.82</v>
      </c>
      <c r="L242" s="3">
        <v>1469.82</v>
      </c>
      <c r="M242" s="3">
        <f t="shared" si="16"/>
        <v>159079.20000000001</v>
      </c>
      <c r="N242" s="3">
        <f t="shared" si="17"/>
        <v>25500</v>
      </c>
      <c r="O242" s="3">
        <f t="shared" si="18"/>
        <v>5.4498695208199388</v>
      </c>
      <c r="P242" s="3" t="str">
        <f t="shared" si="19"/>
        <v>Feb</v>
      </c>
      <c r="Q242" s="3" t="str">
        <f t="shared" si="15"/>
        <v>low profit</v>
      </c>
    </row>
    <row r="243" spans="1:17" x14ac:dyDescent="0.25">
      <c r="A243" s="3" t="s">
        <v>1316</v>
      </c>
      <c r="B243" s="4">
        <v>45702</v>
      </c>
      <c r="C243" s="3" t="s">
        <v>2021</v>
      </c>
      <c r="D243" s="3" t="s">
        <v>2041</v>
      </c>
      <c r="E243" s="3" t="s">
        <v>2056</v>
      </c>
      <c r="F243" s="3" t="s">
        <v>2060</v>
      </c>
      <c r="G243" s="3">
        <v>4</v>
      </c>
      <c r="H243" s="3">
        <v>300</v>
      </c>
      <c r="I243" s="3">
        <v>405</v>
      </c>
      <c r="J243" s="3">
        <v>7.99</v>
      </c>
      <c r="K243" s="3">
        <v>1490.61</v>
      </c>
      <c r="L243" s="3">
        <v>290.61</v>
      </c>
      <c r="M243" s="3">
        <f t="shared" si="16"/>
        <v>12943.800000000001</v>
      </c>
      <c r="N243" s="3">
        <f t="shared" si="17"/>
        <v>1200</v>
      </c>
      <c r="O243" s="3">
        <f t="shared" si="18"/>
        <v>19.496045243222575</v>
      </c>
      <c r="P243" s="3" t="str">
        <f t="shared" si="19"/>
        <v>Feb</v>
      </c>
      <c r="Q243" s="3" t="str">
        <f t="shared" si="15"/>
        <v>good profit</v>
      </c>
    </row>
    <row r="244" spans="1:17" x14ac:dyDescent="0.25">
      <c r="A244" s="3" t="s">
        <v>1562</v>
      </c>
      <c r="B244" s="4">
        <v>45702</v>
      </c>
      <c r="C244" s="3" t="s">
        <v>2030</v>
      </c>
      <c r="D244" s="3" t="s">
        <v>2050</v>
      </c>
      <c r="E244" s="3" t="s">
        <v>2058</v>
      </c>
      <c r="F244" s="3" t="s">
        <v>2059</v>
      </c>
      <c r="G244" s="3">
        <v>9</v>
      </c>
      <c r="H244" s="3">
        <v>1800</v>
      </c>
      <c r="I244" s="3">
        <v>2124</v>
      </c>
      <c r="J244" s="3">
        <v>20.29</v>
      </c>
      <c r="K244" s="3">
        <v>15237.57</v>
      </c>
      <c r="L244" s="3">
        <v>-962.43</v>
      </c>
      <c r="M244" s="3">
        <f t="shared" si="16"/>
        <v>387863.63999999996</v>
      </c>
      <c r="N244" s="3">
        <f t="shared" si="17"/>
        <v>16200</v>
      </c>
      <c r="O244" s="3">
        <f t="shared" si="18"/>
        <v>-6.3161645852980497</v>
      </c>
      <c r="P244" s="3" t="str">
        <f t="shared" si="19"/>
        <v>Feb</v>
      </c>
      <c r="Q244" s="3" t="str">
        <f t="shared" si="15"/>
        <v>loss</v>
      </c>
    </row>
    <row r="245" spans="1:17" x14ac:dyDescent="0.25">
      <c r="A245" s="3" t="s">
        <v>810</v>
      </c>
      <c r="B245" s="4">
        <v>45703</v>
      </c>
      <c r="C245" s="3" t="s">
        <v>2022</v>
      </c>
      <c r="D245" s="3" t="s">
        <v>2042</v>
      </c>
      <c r="E245" s="3" t="s">
        <v>2053</v>
      </c>
      <c r="F245" s="3" t="s">
        <v>2062</v>
      </c>
      <c r="G245" s="3">
        <v>7</v>
      </c>
      <c r="H245" s="3">
        <v>8500</v>
      </c>
      <c r="I245" s="3">
        <v>9520</v>
      </c>
      <c r="J245" s="3">
        <v>17.86</v>
      </c>
      <c r="K245" s="3">
        <v>54740.9</v>
      </c>
      <c r="L245" s="3">
        <v>-4759.1000000000004</v>
      </c>
      <c r="M245" s="3">
        <f t="shared" si="16"/>
        <v>1190190.3999999999</v>
      </c>
      <c r="N245" s="3">
        <f t="shared" si="17"/>
        <v>59500</v>
      </c>
      <c r="O245" s="3">
        <f t="shared" si="18"/>
        <v>-8.6938650990392929</v>
      </c>
      <c r="P245" s="3" t="str">
        <f t="shared" si="19"/>
        <v>Feb</v>
      </c>
      <c r="Q245" s="3" t="str">
        <f t="shared" si="15"/>
        <v>loss</v>
      </c>
    </row>
    <row r="246" spans="1:17" x14ac:dyDescent="0.25">
      <c r="A246" s="3" t="s">
        <v>982</v>
      </c>
      <c r="B246" s="4">
        <v>45703</v>
      </c>
      <c r="C246" s="3" t="s">
        <v>2027</v>
      </c>
      <c r="D246" s="3" t="s">
        <v>2047</v>
      </c>
      <c r="E246" s="3" t="s">
        <v>2053</v>
      </c>
      <c r="F246" s="3" t="s">
        <v>2060</v>
      </c>
      <c r="G246" s="3">
        <v>10</v>
      </c>
      <c r="H246" s="3">
        <v>1100</v>
      </c>
      <c r="I246" s="3">
        <v>1298</v>
      </c>
      <c r="J246" s="3">
        <v>19.3</v>
      </c>
      <c r="K246" s="3">
        <v>10474.85</v>
      </c>
      <c r="L246" s="3">
        <v>-525.15</v>
      </c>
      <c r="M246" s="3">
        <f t="shared" si="16"/>
        <v>250514</v>
      </c>
      <c r="N246" s="3">
        <f t="shared" si="17"/>
        <v>11000</v>
      </c>
      <c r="O246" s="3">
        <f t="shared" si="18"/>
        <v>-5.0134369465911206</v>
      </c>
      <c r="P246" s="3" t="str">
        <f t="shared" si="19"/>
        <v>Feb</v>
      </c>
      <c r="Q246" s="3" t="str">
        <f t="shared" si="15"/>
        <v>loss</v>
      </c>
    </row>
    <row r="247" spans="1:17" x14ac:dyDescent="0.25">
      <c r="A247" s="3" t="s">
        <v>1206</v>
      </c>
      <c r="B247" s="4">
        <v>45703</v>
      </c>
      <c r="C247" s="3" t="s">
        <v>2029</v>
      </c>
      <c r="D247" s="3" t="s">
        <v>2049</v>
      </c>
      <c r="E247" s="3" t="s">
        <v>2055</v>
      </c>
      <c r="F247" s="3" t="s">
        <v>2061</v>
      </c>
      <c r="G247" s="3">
        <v>10</v>
      </c>
      <c r="H247" s="3">
        <v>1200</v>
      </c>
      <c r="I247" s="3">
        <v>1464</v>
      </c>
      <c r="J247" s="3">
        <v>11.06</v>
      </c>
      <c r="K247" s="3">
        <v>13020.7</v>
      </c>
      <c r="L247" s="3">
        <v>1020.7</v>
      </c>
      <c r="M247" s="3">
        <f t="shared" si="16"/>
        <v>161918.39999999999</v>
      </c>
      <c r="N247" s="3">
        <f t="shared" si="17"/>
        <v>12000</v>
      </c>
      <c r="O247" s="3">
        <f t="shared" si="18"/>
        <v>7.8390562719362249</v>
      </c>
      <c r="P247" s="3" t="str">
        <f t="shared" si="19"/>
        <v>Feb</v>
      </c>
      <c r="Q247" s="3" t="str">
        <f t="shared" si="15"/>
        <v>low profit</v>
      </c>
    </row>
    <row r="248" spans="1:17" x14ac:dyDescent="0.25">
      <c r="A248" s="3" t="s">
        <v>1501</v>
      </c>
      <c r="B248" s="4">
        <v>45703</v>
      </c>
      <c r="C248" s="3" t="s">
        <v>2022</v>
      </c>
      <c r="D248" s="3" t="s">
        <v>2042</v>
      </c>
      <c r="E248" s="3" t="s">
        <v>2053</v>
      </c>
      <c r="F248" s="3" t="s">
        <v>2060</v>
      </c>
      <c r="G248" s="3">
        <v>4</v>
      </c>
      <c r="H248" s="3">
        <v>8500</v>
      </c>
      <c r="I248" s="3">
        <v>9520</v>
      </c>
      <c r="J248" s="3">
        <v>25.35</v>
      </c>
      <c r="K248" s="3">
        <v>28428.29</v>
      </c>
      <c r="L248" s="3">
        <v>-5571.71</v>
      </c>
      <c r="M248" s="3">
        <f t="shared" si="16"/>
        <v>965328</v>
      </c>
      <c r="N248" s="3">
        <f t="shared" si="17"/>
        <v>34000</v>
      </c>
      <c r="O248" s="3">
        <f t="shared" si="18"/>
        <v>-19.599173921470477</v>
      </c>
      <c r="P248" s="3" t="str">
        <f t="shared" si="19"/>
        <v>Feb</v>
      </c>
      <c r="Q248" s="3" t="str">
        <f t="shared" si="15"/>
        <v>loss</v>
      </c>
    </row>
    <row r="249" spans="1:17" x14ac:dyDescent="0.25">
      <c r="A249" s="3" t="s">
        <v>1629</v>
      </c>
      <c r="B249" s="4">
        <v>45703</v>
      </c>
      <c r="C249" s="3" t="s">
        <v>2021</v>
      </c>
      <c r="D249" s="3" t="s">
        <v>2041</v>
      </c>
      <c r="E249" s="3" t="s">
        <v>2056</v>
      </c>
      <c r="F249" s="3" t="s">
        <v>2061</v>
      </c>
      <c r="G249" s="3">
        <v>3</v>
      </c>
      <c r="H249" s="3">
        <v>300</v>
      </c>
      <c r="I249" s="3">
        <v>405</v>
      </c>
      <c r="J249" s="3">
        <v>9.94</v>
      </c>
      <c r="K249" s="3">
        <v>1094.24</v>
      </c>
      <c r="L249" s="3">
        <v>194.24</v>
      </c>
      <c r="M249" s="3">
        <f t="shared" si="16"/>
        <v>12077.099999999999</v>
      </c>
      <c r="N249" s="3">
        <f t="shared" si="17"/>
        <v>900</v>
      </c>
      <c r="O249" s="3">
        <f t="shared" si="18"/>
        <v>17.751133206609154</v>
      </c>
      <c r="P249" s="3" t="str">
        <f t="shared" si="19"/>
        <v>Feb</v>
      </c>
      <c r="Q249" s="3" t="str">
        <f t="shared" si="15"/>
        <v>good profit</v>
      </c>
    </row>
    <row r="250" spans="1:17" x14ac:dyDescent="0.25">
      <c r="A250" s="3" t="s">
        <v>1802</v>
      </c>
      <c r="B250" s="4">
        <v>45703</v>
      </c>
      <c r="C250" s="3" t="s">
        <v>2029</v>
      </c>
      <c r="D250" s="3" t="s">
        <v>2049</v>
      </c>
      <c r="E250" s="3" t="s">
        <v>2055</v>
      </c>
      <c r="F250" s="3" t="s">
        <v>2059</v>
      </c>
      <c r="G250" s="3">
        <v>2</v>
      </c>
      <c r="H250" s="3">
        <v>1200</v>
      </c>
      <c r="I250" s="3">
        <v>1464</v>
      </c>
      <c r="J250" s="3">
        <v>15.54</v>
      </c>
      <c r="K250" s="3">
        <v>2472.88</v>
      </c>
      <c r="L250" s="3">
        <v>72.88</v>
      </c>
      <c r="M250" s="3">
        <f t="shared" si="16"/>
        <v>45501.119999999995</v>
      </c>
      <c r="N250" s="3">
        <f t="shared" si="17"/>
        <v>2400</v>
      </c>
      <c r="O250" s="3">
        <f t="shared" si="18"/>
        <v>2.9471709100320274</v>
      </c>
      <c r="P250" s="3" t="str">
        <f t="shared" si="19"/>
        <v>Feb</v>
      </c>
      <c r="Q250" s="3" t="str">
        <f t="shared" si="15"/>
        <v>low profit</v>
      </c>
    </row>
    <row r="251" spans="1:17" x14ac:dyDescent="0.25">
      <c r="A251" s="3" t="s">
        <v>487</v>
      </c>
      <c r="B251" s="4">
        <v>45704</v>
      </c>
      <c r="C251" s="3" t="s">
        <v>2017</v>
      </c>
      <c r="D251" s="3" t="s">
        <v>2037</v>
      </c>
      <c r="E251" s="3" t="s">
        <v>2055</v>
      </c>
      <c r="F251" s="3" t="s">
        <v>2061</v>
      </c>
      <c r="G251" s="3">
        <v>3</v>
      </c>
      <c r="H251" s="3">
        <v>2500</v>
      </c>
      <c r="I251" s="3">
        <v>2875</v>
      </c>
      <c r="J251" s="3">
        <v>0</v>
      </c>
      <c r="K251" s="3">
        <v>8625</v>
      </c>
      <c r="L251" s="3">
        <v>1125</v>
      </c>
      <c r="M251" s="3">
        <f t="shared" si="16"/>
        <v>0</v>
      </c>
      <c r="N251" s="3">
        <f t="shared" si="17"/>
        <v>7500</v>
      </c>
      <c r="O251" s="3">
        <f t="shared" si="18"/>
        <v>13.043478260869565</v>
      </c>
      <c r="P251" s="3" t="str">
        <f t="shared" si="19"/>
        <v>Feb</v>
      </c>
      <c r="Q251" s="3" t="str">
        <f t="shared" si="15"/>
        <v>good profit</v>
      </c>
    </row>
    <row r="252" spans="1:17" x14ac:dyDescent="0.25">
      <c r="A252" s="3" t="s">
        <v>489</v>
      </c>
      <c r="B252" s="4">
        <v>45704</v>
      </c>
      <c r="C252" s="3" t="s">
        <v>2028</v>
      </c>
      <c r="D252" s="3" t="s">
        <v>2048</v>
      </c>
      <c r="E252" s="3" t="s">
        <v>2057</v>
      </c>
      <c r="F252" s="3" t="s">
        <v>2059</v>
      </c>
      <c r="G252" s="3">
        <v>8</v>
      </c>
      <c r="H252" s="3">
        <v>80</v>
      </c>
      <c r="I252" s="3">
        <v>116</v>
      </c>
      <c r="J252" s="3">
        <v>16.97</v>
      </c>
      <c r="K252" s="3">
        <v>770.48</v>
      </c>
      <c r="L252" s="3">
        <v>130.47999999999999</v>
      </c>
      <c r="M252" s="3">
        <f t="shared" si="16"/>
        <v>15748.16</v>
      </c>
      <c r="N252" s="3">
        <f t="shared" si="17"/>
        <v>640</v>
      </c>
      <c r="O252" s="3">
        <f t="shared" si="18"/>
        <v>16.934897726092824</v>
      </c>
      <c r="P252" s="3" t="str">
        <f t="shared" si="19"/>
        <v>Feb</v>
      </c>
      <c r="Q252" s="3" t="str">
        <f t="shared" si="15"/>
        <v>good profit</v>
      </c>
    </row>
    <row r="253" spans="1:17" x14ac:dyDescent="0.25">
      <c r="A253" s="3" t="s">
        <v>681</v>
      </c>
      <c r="B253" s="4">
        <v>45704</v>
      </c>
      <c r="C253" s="3" t="s">
        <v>2020</v>
      </c>
      <c r="D253" s="3" t="s">
        <v>2040</v>
      </c>
      <c r="E253" s="3" t="s">
        <v>2053</v>
      </c>
      <c r="F253" s="3" t="s">
        <v>2061</v>
      </c>
      <c r="G253" s="3">
        <v>8</v>
      </c>
      <c r="H253" s="3">
        <v>350</v>
      </c>
      <c r="I253" s="3">
        <v>455</v>
      </c>
      <c r="J253" s="3">
        <v>6.02</v>
      </c>
      <c r="K253" s="3">
        <v>3420.75</v>
      </c>
      <c r="L253" s="3">
        <v>620.75</v>
      </c>
      <c r="M253" s="3">
        <f t="shared" si="16"/>
        <v>21912.799999999999</v>
      </c>
      <c r="N253" s="3">
        <f t="shared" si="17"/>
        <v>2800</v>
      </c>
      <c r="O253" s="3">
        <f t="shared" si="18"/>
        <v>18.146605276620626</v>
      </c>
      <c r="P253" s="3" t="str">
        <f t="shared" si="19"/>
        <v>Feb</v>
      </c>
      <c r="Q253" s="3" t="str">
        <f t="shared" si="15"/>
        <v>good profit</v>
      </c>
    </row>
    <row r="254" spans="1:17" x14ac:dyDescent="0.25">
      <c r="A254" s="3" t="s">
        <v>776</v>
      </c>
      <c r="B254" s="4">
        <v>45704</v>
      </c>
      <c r="C254" s="3" t="s">
        <v>2028</v>
      </c>
      <c r="D254" s="3" t="s">
        <v>2048</v>
      </c>
      <c r="E254" s="3" t="s">
        <v>2057</v>
      </c>
      <c r="F254" s="3" t="s">
        <v>2059</v>
      </c>
      <c r="G254" s="3">
        <v>1</v>
      </c>
      <c r="H254" s="3">
        <v>80</v>
      </c>
      <c r="I254" s="3">
        <v>116</v>
      </c>
      <c r="J254" s="3">
        <v>10.51</v>
      </c>
      <c r="K254" s="3">
        <v>103.81</v>
      </c>
      <c r="L254" s="3">
        <v>23.81</v>
      </c>
      <c r="M254" s="3">
        <f t="shared" si="16"/>
        <v>1219.1600000000001</v>
      </c>
      <c r="N254" s="3">
        <f t="shared" si="17"/>
        <v>80</v>
      </c>
      <c r="O254" s="3">
        <f t="shared" si="18"/>
        <v>22.936133320489354</v>
      </c>
      <c r="P254" s="3" t="str">
        <f t="shared" si="19"/>
        <v>Feb</v>
      </c>
      <c r="Q254" s="3" t="str">
        <f t="shared" si="15"/>
        <v>good profit</v>
      </c>
    </row>
    <row r="255" spans="1:17" x14ac:dyDescent="0.25">
      <c r="A255" s="3" t="s">
        <v>896</v>
      </c>
      <c r="B255" s="4">
        <v>45704</v>
      </c>
      <c r="C255" s="3" t="s">
        <v>2012</v>
      </c>
      <c r="D255" s="3" t="s">
        <v>2032</v>
      </c>
      <c r="E255" s="3" t="s">
        <v>2052</v>
      </c>
      <c r="F255" s="3" t="s">
        <v>2061</v>
      </c>
      <c r="G255" s="3">
        <v>5</v>
      </c>
      <c r="H255" s="3">
        <v>6500</v>
      </c>
      <c r="I255" s="3">
        <v>8125</v>
      </c>
      <c r="J255" s="3">
        <v>18.579999999999998</v>
      </c>
      <c r="K255" s="3">
        <v>33076.160000000003</v>
      </c>
      <c r="L255" s="3">
        <v>576.16</v>
      </c>
      <c r="M255" s="3">
        <f t="shared" si="16"/>
        <v>754812.49999999988</v>
      </c>
      <c r="N255" s="3">
        <f t="shared" si="17"/>
        <v>32500</v>
      </c>
      <c r="O255" s="3">
        <f t="shared" si="18"/>
        <v>1.7419192554395673</v>
      </c>
      <c r="P255" s="3" t="str">
        <f t="shared" si="19"/>
        <v>Feb</v>
      </c>
      <c r="Q255" s="3" t="str">
        <f t="shared" si="15"/>
        <v>low profit</v>
      </c>
    </row>
    <row r="256" spans="1:17" x14ac:dyDescent="0.25">
      <c r="A256" s="3" t="s">
        <v>1093</v>
      </c>
      <c r="B256" s="4">
        <v>45704</v>
      </c>
      <c r="C256" s="3" t="s">
        <v>2025</v>
      </c>
      <c r="D256" s="3" t="s">
        <v>2045</v>
      </c>
      <c r="E256" s="3" t="s">
        <v>2057</v>
      </c>
      <c r="F256" s="3" t="s">
        <v>2062</v>
      </c>
      <c r="G256" s="3">
        <v>7</v>
      </c>
      <c r="H256" s="3">
        <v>45</v>
      </c>
      <c r="I256" s="3">
        <v>63</v>
      </c>
      <c r="J256" s="3">
        <v>8.8699999999999992</v>
      </c>
      <c r="K256" s="3">
        <v>401.87</v>
      </c>
      <c r="L256" s="3">
        <v>86.87</v>
      </c>
      <c r="M256" s="3">
        <f t="shared" si="16"/>
        <v>3911.6699999999996</v>
      </c>
      <c r="N256" s="3">
        <f t="shared" si="17"/>
        <v>315</v>
      </c>
      <c r="O256" s="3">
        <f t="shared" si="18"/>
        <v>21.616443128374847</v>
      </c>
      <c r="P256" s="3" t="str">
        <f t="shared" si="19"/>
        <v>Feb</v>
      </c>
      <c r="Q256" s="3" t="str">
        <f t="shared" si="15"/>
        <v>good profit</v>
      </c>
    </row>
    <row r="257" spans="1:17" x14ac:dyDescent="0.25">
      <c r="A257" s="3" t="s">
        <v>1198</v>
      </c>
      <c r="B257" s="4">
        <v>45704</v>
      </c>
      <c r="C257" s="3" t="s">
        <v>2024</v>
      </c>
      <c r="D257" s="3" t="s">
        <v>2044</v>
      </c>
      <c r="E257" s="3" t="s">
        <v>2055</v>
      </c>
      <c r="F257" s="3" t="s">
        <v>2062</v>
      </c>
      <c r="G257" s="3">
        <v>4</v>
      </c>
      <c r="H257" s="3">
        <v>180</v>
      </c>
      <c r="I257" s="3">
        <v>243</v>
      </c>
      <c r="J257" s="3">
        <v>9.7899999999999991</v>
      </c>
      <c r="K257" s="3">
        <v>876.87</v>
      </c>
      <c r="L257" s="3">
        <v>156.87</v>
      </c>
      <c r="M257" s="3">
        <f t="shared" si="16"/>
        <v>9515.8799999999992</v>
      </c>
      <c r="N257" s="3">
        <f t="shared" si="17"/>
        <v>720</v>
      </c>
      <c r="O257" s="3">
        <f t="shared" si="18"/>
        <v>17.889767012213898</v>
      </c>
      <c r="P257" s="3" t="str">
        <f t="shared" si="19"/>
        <v>Feb</v>
      </c>
      <c r="Q257" s="3" t="str">
        <f t="shared" si="15"/>
        <v>good profit</v>
      </c>
    </row>
    <row r="258" spans="1:17" x14ac:dyDescent="0.25">
      <c r="A258" s="3" t="s">
        <v>1610</v>
      </c>
      <c r="B258" s="4">
        <v>45704</v>
      </c>
      <c r="C258" s="3" t="s">
        <v>2018</v>
      </c>
      <c r="D258" s="3" t="s">
        <v>2038</v>
      </c>
      <c r="E258" s="3" t="s">
        <v>2053</v>
      </c>
      <c r="F258" s="3" t="s">
        <v>2062</v>
      </c>
      <c r="G258" s="3">
        <v>7</v>
      </c>
      <c r="H258" s="3">
        <v>500</v>
      </c>
      <c r="I258" s="3">
        <v>610</v>
      </c>
      <c r="J258" s="3">
        <v>4.49</v>
      </c>
      <c r="K258" s="3">
        <v>4078.46</v>
      </c>
      <c r="L258" s="3">
        <v>578.46</v>
      </c>
      <c r="M258" s="3">
        <f t="shared" si="16"/>
        <v>19172.3</v>
      </c>
      <c r="N258" s="3">
        <f t="shared" si="17"/>
        <v>3500</v>
      </c>
      <c r="O258" s="3">
        <f t="shared" si="18"/>
        <v>14.183294674950838</v>
      </c>
      <c r="P258" s="3" t="str">
        <f t="shared" si="19"/>
        <v>Feb</v>
      </c>
      <c r="Q258" s="3" t="str">
        <f t="shared" ref="Q258:Q321" si="20">IF(L258&lt;0,"loss",IF(O258&lt;10,"low profit","good profit"))</f>
        <v>good profit</v>
      </c>
    </row>
    <row r="259" spans="1:17" x14ac:dyDescent="0.25">
      <c r="A259" s="3" t="s">
        <v>1858</v>
      </c>
      <c r="B259" s="4">
        <v>45704</v>
      </c>
      <c r="C259" s="3" t="s">
        <v>2020</v>
      </c>
      <c r="D259" s="3" t="s">
        <v>2040</v>
      </c>
      <c r="E259" s="3" t="s">
        <v>2053</v>
      </c>
      <c r="F259" s="3" t="s">
        <v>2061</v>
      </c>
      <c r="G259" s="3">
        <v>3</v>
      </c>
      <c r="H259" s="3">
        <v>350</v>
      </c>
      <c r="I259" s="3">
        <v>455</v>
      </c>
      <c r="J259" s="3">
        <v>12.55</v>
      </c>
      <c r="K259" s="3">
        <v>1193.69</v>
      </c>
      <c r="L259" s="3">
        <v>143.69</v>
      </c>
      <c r="M259" s="3">
        <f t="shared" ref="M259:M322" si="21">G259*I259*J259</f>
        <v>17130.75</v>
      </c>
      <c r="N259" s="3">
        <f t="shared" ref="N259:N322" si="22">G259*H259</f>
        <v>1050</v>
      </c>
      <c r="O259" s="3">
        <f t="shared" ref="O259:O322" si="23">IFERROR(L259/K259*100,0)</f>
        <v>12.037463663095108</v>
      </c>
      <c r="P259" s="3" t="str">
        <f t="shared" ref="P259:P322" si="24">TEXT(B259,"mmm")</f>
        <v>Feb</v>
      </c>
      <c r="Q259" s="3" t="str">
        <f t="shared" si="20"/>
        <v>good profit</v>
      </c>
    </row>
    <row r="260" spans="1:17" x14ac:dyDescent="0.25">
      <c r="A260" s="3" t="s">
        <v>1991</v>
      </c>
      <c r="B260" s="4">
        <v>45704</v>
      </c>
      <c r="C260" s="3" t="s">
        <v>2018</v>
      </c>
      <c r="D260" s="3" t="s">
        <v>2038</v>
      </c>
      <c r="E260" s="3" t="s">
        <v>2053</v>
      </c>
      <c r="F260" s="3" t="s">
        <v>2061</v>
      </c>
      <c r="G260" s="3">
        <v>7</v>
      </c>
      <c r="H260" s="3">
        <v>500</v>
      </c>
      <c r="I260" s="3">
        <v>610</v>
      </c>
      <c r="J260" s="3">
        <v>5.58</v>
      </c>
      <c r="K260" s="3">
        <v>4031.78</v>
      </c>
      <c r="L260" s="3">
        <v>531.78</v>
      </c>
      <c r="M260" s="3">
        <f t="shared" si="21"/>
        <v>23826.6</v>
      </c>
      <c r="N260" s="3">
        <f t="shared" si="22"/>
        <v>3500</v>
      </c>
      <c r="O260" s="3">
        <f t="shared" si="23"/>
        <v>13.189707771753417</v>
      </c>
      <c r="P260" s="3" t="str">
        <f t="shared" si="24"/>
        <v>Feb</v>
      </c>
      <c r="Q260" s="3" t="str">
        <f t="shared" si="20"/>
        <v>good profit</v>
      </c>
    </row>
    <row r="261" spans="1:17" x14ac:dyDescent="0.25">
      <c r="A261" s="3" t="s">
        <v>230</v>
      </c>
      <c r="B261" s="4">
        <v>45705</v>
      </c>
      <c r="C261" s="3" t="s">
        <v>2026</v>
      </c>
      <c r="D261" s="3" t="s">
        <v>2046</v>
      </c>
      <c r="E261" s="3" t="s">
        <v>2052</v>
      </c>
      <c r="F261" s="3" t="s">
        <v>2061</v>
      </c>
      <c r="G261" s="3">
        <v>7</v>
      </c>
      <c r="H261" s="3">
        <v>3000</v>
      </c>
      <c r="I261" s="3">
        <v>3600</v>
      </c>
      <c r="J261" s="3">
        <v>11.19</v>
      </c>
      <c r="K261" s="3">
        <v>22378.99</v>
      </c>
      <c r="L261" s="3">
        <v>1378.99</v>
      </c>
      <c r="M261" s="3">
        <f t="shared" si="21"/>
        <v>281988</v>
      </c>
      <c r="N261" s="3">
        <f t="shared" si="22"/>
        <v>21000</v>
      </c>
      <c r="O261" s="3">
        <f t="shared" si="23"/>
        <v>6.1619849689373822</v>
      </c>
      <c r="P261" s="3" t="str">
        <f t="shared" si="24"/>
        <v>Feb</v>
      </c>
      <c r="Q261" s="3" t="str">
        <f t="shared" si="20"/>
        <v>low profit</v>
      </c>
    </row>
    <row r="262" spans="1:17" x14ac:dyDescent="0.25">
      <c r="A262" s="3" t="s">
        <v>1080</v>
      </c>
      <c r="B262" s="4">
        <v>45705</v>
      </c>
      <c r="C262" s="3" t="s">
        <v>2020</v>
      </c>
      <c r="D262" s="3" t="s">
        <v>2040</v>
      </c>
      <c r="E262" s="3" t="s">
        <v>2053</v>
      </c>
      <c r="F262" s="3" t="s">
        <v>2059</v>
      </c>
      <c r="G262" s="3">
        <v>1</v>
      </c>
      <c r="H262" s="3">
        <v>350</v>
      </c>
      <c r="I262" s="3">
        <v>455</v>
      </c>
      <c r="J262" s="3">
        <v>9.14</v>
      </c>
      <c r="K262" s="3">
        <v>413.43</v>
      </c>
      <c r="L262" s="3">
        <v>63.43</v>
      </c>
      <c r="M262" s="3">
        <f t="shared" si="21"/>
        <v>4158.7</v>
      </c>
      <c r="N262" s="3">
        <f t="shared" si="22"/>
        <v>350</v>
      </c>
      <c r="O262" s="3">
        <f t="shared" si="23"/>
        <v>15.342379604769851</v>
      </c>
      <c r="P262" s="3" t="str">
        <f t="shared" si="24"/>
        <v>Feb</v>
      </c>
      <c r="Q262" s="3" t="str">
        <f t="shared" si="20"/>
        <v>good profit</v>
      </c>
    </row>
    <row r="263" spans="1:17" x14ac:dyDescent="0.25">
      <c r="A263" s="3" t="s">
        <v>1237</v>
      </c>
      <c r="B263" s="4">
        <v>45705</v>
      </c>
      <c r="C263" s="3" t="s">
        <v>2025</v>
      </c>
      <c r="D263" s="3" t="s">
        <v>2045</v>
      </c>
      <c r="E263" s="3" t="s">
        <v>2057</v>
      </c>
      <c r="F263" s="3" t="s">
        <v>2061</v>
      </c>
      <c r="G263" s="3">
        <v>2</v>
      </c>
      <c r="H263" s="3">
        <v>45</v>
      </c>
      <c r="I263" s="3">
        <v>63</v>
      </c>
      <c r="J263" s="3">
        <v>10.97</v>
      </c>
      <c r="K263" s="3">
        <v>112.18</v>
      </c>
      <c r="L263" s="3">
        <v>22.18</v>
      </c>
      <c r="M263" s="3">
        <f t="shared" si="21"/>
        <v>1382.22</v>
      </c>
      <c r="N263" s="3">
        <f t="shared" si="22"/>
        <v>90</v>
      </c>
      <c r="O263" s="3">
        <f t="shared" si="23"/>
        <v>19.771795328935639</v>
      </c>
      <c r="P263" s="3" t="str">
        <f t="shared" si="24"/>
        <v>Feb</v>
      </c>
      <c r="Q263" s="3" t="str">
        <f t="shared" si="20"/>
        <v>good profit</v>
      </c>
    </row>
    <row r="264" spans="1:17" x14ac:dyDescent="0.25">
      <c r="A264" s="3" t="s">
        <v>1660</v>
      </c>
      <c r="B264" s="4">
        <v>45705</v>
      </c>
      <c r="C264" s="3" t="s">
        <v>2018</v>
      </c>
      <c r="D264" s="3" t="s">
        <v>2038</v>
      </c>
      <c r="E264" s="3" t="s">
        <v>2053</v>
      </c>
      <c r="F264" s="3" t="s">
        <v>2060</v>
      </c>
      <c r="G264" s="3">
        <v>5</v>
      </c>
      <c r="H264" s="3">
        <v>500</v>
      </c>
      <c r="I264" s="3">
        <v>610</v>
      </c>
      <c r="J264" s="3">
        <v>16.420000000000002</v>
      </c>
      <c r="K264" s="3">
        <v>2549.12</v>
      </c>
      <c r="L264" s="3">
        <v>49.12</v>
      </c>
      <c r="M264" s="3">
        <f t="shared" si="21"/>
        <v>50081.000000000007</v>
      </c>
      <c r="N264" s="3">
        <f t="shared" si="22"/>
        <v>2500</v>
      </c>
      <c r="O264" s="3">
        <f t="shared" si="23"/>
        <v>1.9269394928445895</v>
      </c>
      <c r="P264" s="3" t="str">
        <f t="shared" si="24"/>
        <v>Feb</v>
      </c>
      <c r="Q264" s="3" t="str">
        <f t="shared" si="20"/>
        <v>low profit</v>
      </c>
    </row>
    <row r="265" spans="1:17" x14ac:dyDescent="0.25">
      <c r="A265" s="3" t="s">
        <v>1881</v>
      </c>
      <c r="B265" s="4">
        <v>45705</v>
      </c>
      <c r="C265" s="3" t="s">
        <v>2018</v>
      </c>
      <c r="D265" s="3" t="s">
        <v>2038</v>
      </c>
      <c r="E265" s="3" t="s">
        <v>2053</v>
      </c>
      <c r="F265" s="3" t="s">
        <v>2062</v>
      </c>
      <c r="G265" s="3">
        <v>7</v>
      </c>
      <c r="H265" s="3">
        <v>500</v>
      </c>
      <c r="I265" s="3">
        <v>610</v>
      </c>
      <c r="J265" s="3">
        <v>8.6</v>
      </c>
      <c r="K265" s="3">
        <v>3902.78</v>
      </c>
      <c r="L265" s="3">
        <v>402.78</v>
      </c>
      <c r="M265" s="3">
        <f t="shared" si="21"/>
        <v>36722</v>
      </c>
      <c r="N265" s="3">
        <f t="shared" si="22"/>
        <v>3500</v>
      </c>
      <c r="O265" s="3">
        <f t="shared" si="23"/>
        <v>10.32033576066291</v>
      </c>
      <c r="P265" s="3" t="str">
        <f t="shared" si="24"/>
        <v>Feb</v>
      </c>
      <c r="Q265" s="3" t="str">
        <f t="shared" si="20"/>
        <v>good profit</v>
      </c>
    </row>
    <row r="266" spans="1:17" x14ac:dyDescent="0.25">
      <c r="A266" s="3" t="s">
        <v>79</v>
      </c>
      <c r="B266" s="4">
        <v>45706</v>
      </c>
      <c r="C266" s="3" t="s">
        <v>2026</v>
      </c>
      <c r="D266" s="3" t="s">
        <v>2046</v>
      </c>
      <c r="E266" s="3" t="s">
        <v>2052</v>
      </c>
      <c r="F266" s="3" t="s">
        <v>2060</v>
      </c>
      <c r="G266" s="3">
        <v>7</v>
      </c>
      <c r="H266" s="3">
        <v>3000</v>
      </c>
      <c r="I266" s="3">
        <v>3600</v>
      </c>
      <c r="J266" s="3">
        <v>19.989999999999998</v>
      </c>
      <c r="K266" s="3">
        <v>20162.48</v>
      </c>
      <c r="L266" s="3">
        <v>-837.52</v>
      </c>
      <c r="M266" s="3">
        <f t="shared" si="21"/>
        <v>503747.99999999994</v>
      </c>
      <c r="N266" s="3">
        <f t="shared" si="22"/>
        <v>21000</v>
      </c>
      <c r="O266" s="3">
        <f t="shared" si="23"/>
        <v>-4.1538540893778935</v>
      </c>
      <c r="P266" s="3" t="str">
        <f t="shared" si="24"/>
        <v>Feb</v>
      </c>
      <c r="Q266" s="3" t="str">
        <f t="shared" si="20"/>
        <v>loss</v>
      </c>
    </row>
    <row r="267" spans="1:17" x14ac:dyDescent="0.25">
      <c r="A267" s="3" t="s">
        <v>286</v>
      </c>
      <c r="B267" s="4">
        <v>45706</v>
      </c>
      <c r="C267" s="3" t="s">
        <v>2016</v>
      </c>
      <c r="D267" s="3" t="s">
        <v>2036</v>
      </c>
      <c r="E267" s="3" t="s">
        <v>2052</v>
      </c>
      <c r="F267" s="3" t="s">
        <v>2060</v>
      </c>
      <c r="G267" s="3">
        <v>7</v>
      </c>
      <c r="H267" s="3">
        <v>900</v>
      </c>
      <c r="I267" s="3">
        <v>1170</v>
      </c>
      <c r="J267" s="3">
        <v>2.39</v>
      </c>
      <c r="K267" s="3">
        <v>7993.96</v>
      </c>
      <c r="L267" s="3">
        <v>1693.96</v>
      </c>
      <c r="M267" s="3">
        <f t="shared" si="21"/>
        <v>19574.100000000002</v>
      </c>
      <c r="N267" s="3">
        <f t="shared" si="22"/>
        <v>6300</v>
      </c>
      <c r="O267" s="3">
        <f t="shared" si="23"/>
        <v>21.190498826614093</v>
      </c>
      <c r="P267" s="3" t="str">
        <f t="shared" si="24"/>
        <v>Feb</v>
      </c>
      <c r="Q267" s="3" t="str">
        <f t="shared" si="20"/>
        <v>good profit</v>
      </c>
    </row>
    <row r="268" spans="1:17" x14ac:dyDescent="0.25">
      <c r="A268" s="3" t="s">
        <v>516</v>
      </c>
      <c r="B268" s="4">
        <v>45706</v>
      </c>
      <c r="C268" s="3" t="s">
        <v>2021</v>
      </c>
      <c r="D268" s="3" t="s">
        <v>2041</v>
      </c>
      <c r="E268" s="3" t="s">
        <v>2056</v>
      </c>
      <c r="F268" s="3" t="s">
        <v>2062</v>
      </c>
      <c r="G268" s="3">
        <v>6</v>
      </c>
      <c r="H268" s="3">
        <v>300</v>
      </c>
      <c r="I268" s="3">
        <v>405</v>
      </c>
      <c r="J268" s="3">
        <v>11.76</v>
      </c>
      <c r="K268" s="3">
        <v>2144.15</v>
      </c>
      <c r="L268" s="3">
        <v>344.15</v>
      </c>
      <c r="M268" s="3">
        <f t="shared" si="21"/>
        <v>28576.799999999999</v>
      </c>
      <c r="N268" s="3">
        <f t="shared" si="22"/>
        <v>1800</v>
      </c>
      <c r="O268" s="3">
        <f t="shared" si="23"/>
        <v>16.050649441503626</v>
      </c>
      <c r="P268" s="3" t="str">
        <f t="shared" si="24"/>
        <v>Feb</v>
      </c>
      <c r="Q268" s="3" t="str">
        <f t="shared" si="20"/>
        <v>good profit</v>
      </c>
    </row>
    <row r="269" spans="1:17" x14ac:dyDescent="0.25">
      <c r="A269" s="3" t="s">
        <v>639</v>
      </c>
      <c r="B269" s="4">
        <v>45706</v>
      </c>
      <c r="C269" s="3" t="s">
        <v>2025</v>
      </c>
      <c r="D269" s="3" t="s">
        <v>2045</v>
      </c>
      <c r="E269" s="3" t="s">
        <v>2057</v>
      </c>
      <c r="F269" s="3" t="s">
        <v>2061</v>
      </c>
      <c r="G269" s="3">
        <v>5</v>
      </c>
      <c r="H269" s="3">
        <v>45</v>
      </c>
      <c r="I269" s="3">
        <v>63</v>
      </c>
      <c r="J269" s="3">
        <v>4.32</v>
      </c>
      <c r="K269" s="3">
        <v>301.39999999999998</v>
      </c>
      <c r="L269" s="3">
        <v>76.400000000000006</v>
      </c>
      <c r="M269" s="3">
        <f t="shared" si="21"/>
        <v>1360.8000000000002</v>
      </c>
      <c r="N269" s="3">
        <f t="shared" si="22"/>
        <v>225</v>
      </c>
      <c r="O269" s="3">
        <f t="shared" si="23"/>
        <v>25.348374253483748</v>
      </c>
      <c r="P269" s="3" t="str">
        <f t="shared" si="24"/>
        <v>Feb</v>
      </c>
      <c r="Q269" s="3" t="str">
        <f t="shared" si="20"/>
        <v>good profit</v>
      </c>
    </row>
    <row r="270" spans="1:17" x14ac:dyDescent="0.25">
      <c r="A270" s="3" t="s">
        <v>948</v>
      </c>
      <c r="B270" s="4">
        <v>45706</v>
      </c>
      <c r="C270" s="3" t="s">
        <v>2018</v>
      </c>
      <c r="D270" s="3" t="s">
        <v>2038</v>
      </c>
      <c r="E270" s="3" t="s">
        <v>2053</v>
      </c>
      <c r="F270" s="3" t="s">
        <v>2062</v>
      </c>
      <c r="G270" s="3">
        <v>7</v>
      </c>
      <c r="H270" s="3">
        <v>500</v>
      </c>
      <c r="I270" s="3">
        <v>610</v>
      </c>
      <c r="J270" s="3">
        <v>6.57</v>
      </c>
      <c r="K270" s="3">
        <v>3989.53</v>
      </c>
      <c r="L270" s="3">
        <v>489.53</v>
      </c>
      <c r="M270" s="3">
        <f t="shared" si="21"/>
        <v>28053.9</v>
      </c>
      <c r="N270" s="3">
        <f t="shared" si="22"/>
        <v>3500</v>
      </c>
      <c r="O270" s="3">
        <f t="shared" si="23"/>
        <v>12.270367687421825</v>
      </c>
      <c r="P270" s="3" t="str">
        <f t="shared" si="24"/>
        <v>Feb</v>
      </c>
      <c r="Q270" s="3" t="str">
        <f t="shared" si="20"/>
        <v>good profit</v>
      </c>
    </row>
    <row r="271" spans="1:17" x14ac:dyDescent="0.25">
      <c r="A271" s="3" t="s">
        <v>1054</v>
      </c>
      <c r="B271" s="4">
        <v>45706</v>
      </c>
      <c r="C271" s="3" t="s">
        <v>2022</v>
      </c>
      <c r="D271" s="3" t="s">
        <v>2042</v>
      </c>
      <c r="E271" s="3" t="s">
        <v>2053</v>
      </c>
      <c r="F271" s="3" t="s">
        <v>2062</v>
      </c>
      <c r="G271" s="3">
        <v>7</v>
      </c>
      <c r="H271" s="3">
        <v>8500</v>
      </c>
      <c r="I271" s="3">
        <v>9520</v>
      </c>
      <c r="J271" s="3">
        <v>18.670000000000002</v>
      </c>
      <c r="K271" s="3">
        <v>54196.54</v>
      </c>
      <c r="L271" s="3">
        <v>-5303.46</v>
      </c>
      <c r="M271" s="3">
        <f t="shared" si="21"/>
        <v>1244168.8</v>
      </c>
      <c r="N271" s="3">
        <f t="shared" si="22"/>
        <v>59500</v>
      </c>
      <c r="O271" s="3">
        <f t="shared" si="23"/>
        <v>-9.7856062398079278</v>
      </c>
      <c r="P271" s="3" t="str">
        <f t="shared" si="24"/>
        <v>Feb</v>
      </c>
      <c r="Q271" s="3" t="str">
        <f t="shared" si="20"/>
        <v>loss</v>
      </c>
    </row>
    <row r="272" spans="1:17" x14ac:dyDescent="0.25">
      <c r="A272" s="3" t="s">
        <v>1386</v>
      </c>
      <c r="B272" s="4">
        <v>45706</v>
      </c>
      <c r="C272" s="3" t="s">
        <v>2026</v>
      </c>
      <c r="D272" s="3" t="s">
        <v>2046</v>
      </c>
      <c r="E272" s="3" t="s">
        <v>2052</v>
      </c>
      <c r="F272" s="3" t="s">
        <v>2061</v>
      </c>
      <c r="G272" s="3">
        <v>3</v>
      </c>
      <c r="H272" s="3">
        <v>3000</v>
      </c>
      <c r="I272" s="3">
        <v>3600</v>
      </c>
      <c r="J272" s="3">
        <v>13.74</v>
      </c>
      <c r="K272" s="3">
        <v>9316.35</v>
      </c>
      <c r="L272" s="3">
        <v>316.35000000000002</v>
      </c>
      <c r="M272" s="3">
        <f t="shared" si="21"/>
        <v>148392</v>
      </c>
      <c r="N272" s="3">
        <f t="shared" si="22"/>
        <v>9000</v>
      </c>
      <c r="O272" s="3">
        <f t="shared" si="23"/>
        <v>3.3956431435057723</v>
      </c>
      <c r="P272" s="3" t="str">
        <f t="shared" si="24"/>
        <v>Feb</v>
      </c>
      <c r="Q272" s="3" t="str">
        <f t="shared" si="20"/>
        <v>low profit</v>
      </c>
    </row>
    <row r="273" spans="1:17" x14ac:dyDescent="0.25">
      <c r="A273" s="3" t="s">
        <v>1492</v>
      </c>
      <c r="B273" s="4">
        <v>45706</v>
      </c>
      <c r="C273" s="3" t="s">
        <v>2013</v>
      </c>
      <c r="D273" s="3" t="s">
        <v>2033</v>
      </c>
      <c r="E273" s="3" t="s">
        <v>2053</v>
      </c>
      <c r="F273" s="3" t="s">
        <v>2060</v>
      </c>
      <c r="G273" s="3">
        <v>2</v>
      </c>
      <c r="H273" s="3">
        <v>6500</v>
      </c>
      <c r="I273" s="3">
        <v>7150</v>
      </c>
      <c r="J273" s="3">
        <v>4</v>
      </c>
      <c r="K273" s="3">
        <v>13728</v>
      </c>
      <c r="L273" s="3">
        <v>728</v>
      </c>
      <c r="M273" s="3">
        <f t="shared" si="21"/>
        <v>57200</v>
      </c>
      <c r="N273" s="3">
        <f t="shared" si="22"/>
        <v>13000</v>
      </c>
      <c r="O273" s="3">
        <f t="shared" si="23"/>
        <v>5.3030303030303028</v>
      </c>
      <c r="P273" s="3" t="str">
        <f t="shared" si="24"/>
        <v>Feb</v>
      </c>
      <c r="Q273" s="3" t="str">
        <f t="shared" si="20"/>
        <v>low profit</v>
      </c>
    </row>
    <row r="274" spans="1:17" x14ac:dyDescent="0.25">
      <c r="A274" s="3" t="s">
        <v>1603</v>
      </c>
      <c r="B274" s="4">
        <v>45706</v>
      </c>
      <c r="C274" s="3" t="s">
        <v>2029</v>
      </c>
      <c r="D274" s="3" t="s">
        <v>2049</v>
      </c>
      <c r="E274" s="3" t="s">
        <v>2055</v>
      </c>
      <c r="F274" s="3" t="s">
        <v>2062</v>
      </c>
      <c r="G274" s="3">
        <v>6</v>
      </c>
      <c r="H274" s="3">
        <v>1200</v>
      </c>
      <c r="I274" s="3">
        <v>1464</v>
      </c>
      <c r="J274" s="3">
        <v>19.5</v>
      </c>
      <c r="K274" s="3">
        <v>7071.56</v>
      </c>
      <c r="L274" s="3">
        <v>-128.44</v>
      </c>
      <c r="M274" s="3">
        <f t="shared" si="21"/>
        <v>171288</v>
      </c>
      <c r="N274" s="3">
        <f t="shared" si="22"/>
        <v>7200</v>
      </c>
      <c r="O274" s="3">
        <f t="shared" si="23"/>
        <v>-1.8162894750238985</v>
      </c>
      <c r="P274" s="3" t="str">
        <f t="shared" si="24"/>
        <v>Feb</v>
      </c>
      <c r="Q274" s="3" t="str">
        <f t="shared" si="20"/>
        <v>loss</v>
      </c>
    </row>
    <row r="275" spans="1:17" x14ac:dyDescent="0.25">
      <c r="A275" s="3" t="s">
        <v>1917</v>
      </c>
      <c r="B275" s="4">
        <v>45706</v>
      </c>
      <c r="C275" s="3" t="s">
        <v>2031</v>
      </c>
      <c r="D275" s="3" t="s">
        <v>2051</v>
      </c>
      <c r="E275" s="3" t="s">
        <v>2058</v>
      </c>
      <c r="F275" s="3" t="s">
        <v>2060</v>
      </c>
      <c r="G275" s="3">
        <v>1</v>
      </c>
      <c r="H275" s="3">
        <v>3200</v>
      </c>
      <c r="I275" s="3">
        <v>3840</v>
      </c>
      <c r="J275" s="3">
        <v>10.61</v>
      </c>
      <c r="K275" s="3">
        <v>3432.57</v>
      </c>
      <c r="L275" s="3">
        <v>232.57</v>
      </c>
      <c r="M275" s="3">
        <f t="shared" si="21"/>
        <v>40742.399999999994</v>
      </c>
      <c r="N275" s="3">
        <f t="shared" si="22"/>
        <v>3200</v>
      </c>
      <c r="O275" s="3">
        <f t="shared" si="23"/>
        <v>6.7753898682328391</v>
      </c>
      <c r="P275" s="3" t="str">
        <f t="shared" si="24"/>
        <v>Feb</v>
      </c>
      <c r="Q275" s="3" t="str">
        <f t="shared" si="20"/>
        <v>low profit</v>
      </c>
    </row>
    <row r="276" spans="1:17" x14ac:dyDescent="0.25">
      <c r="A276" s="3" t="s">
        <v>357</v>
      </c>
      <c r="B276" s="4">
        <v>45707</v>
      </c>
      <c r="C276" s="3" t="s">
        <v>2021</v>
      </c>
      <c r="D276" s="3" t="s">
        <v>2041</v>
      </c>
      <c r="E276" s="3" t="s">
        <v>2056</v>
      </c>
      <c r="F276" s="3" t="s">
        <v>2061</v>
      </c>
      <c r="G276" s="3">
        <v>9</v>
      </c>
      <c r="H276" s="3">
        <v>300</v>
      </c>
      <c r="I276" s="3">
        <v>405</v>
      </c>
      <c r="J276" s="3">
        <v>12.27</v>
      </c>
      <c r="K276" s="3">
        <v>3197.91</v>
      </c>
      <c r="L276" s="3">
        <v>497.91</v>
      </c>
      <c r="M276" s="3">
        <f t="shared" si="21"/>
        <v>44724.15</v>
      </c>
      <c r="N276" s="3">
        <f t="shared" si="22"/>
        <v>2700</v>
      </c>
      <c r="O276" s="3">
        <f t="shared" si="23"/>
        <v>15.569856562567427</v>
      </c>
      <c r="P276" s="3" t="str">
        <f t="shared" si="24"/>
        <v>Feb</v>
      </c>
      <c r="Q276" s="3" t="str">
        <f t="shared" si="20"/>
        <v>good profit</v>
      </c>
    </row>
    <row r="277" spans="1:17" x14ac:dyDescent="0.25">
      <c r="A277" s="3" t="s">
        <v>499</v>
      </c>
      <c r="B277" s="4">
        <v>45707</v>
      </c>
      <c r="C277" s="3" t="s">
        <v>2013</v>
      </c>
      <c r="D277" s="3" t="s">
        <v>2033</v>
      </c>
      <c r="E277" s="3" t="s">
        <v>2053</v>
      </c>
      <c r="F277" s="3" t="s">
        <v>2062</v>
      </c>
      <c r="G277" s="3">
        <v>1</v>
      </c>
      <c r="H277" s="3">
        <v>6500</v>
      </c>
      <c r="I277" s="3">
        <v>7150</v>
      </c>
      <c r="J277" s="3">
        <v>12.97</v>
      </c>
      <c r="K277" s="3">
        <v>6222.93</v>
      </c>
      <c r="L277" s="3">
        <v>-277.07</v>
      </c>
      <c r="M277" s="3">
        <f t="shared" si="21"/>
        <v>92735.5</v>
      </c>
      <c r="N277" s="3">
        <f t="shared" si="22"/>
        <v>6500</v>
      </c>
      <c r="O277" s="3">
        <f t="shared" si="23"/>
        <v>-4.4524042533019008</v>
      </c>
      <c r="P277" s="3" t="str">
        <f t="shared" si="24"/>
        <v>Feb</v>
      </c>
      <c r="Q277" s="3" t="str">
        <f t="shared" si="20"/>
        <v>loss</v>
      </c>
    </row>
    <row r="278" spans="1:17" x14ac:dyDescent="0.25">
      <c r="A278" s="3" t="s">
        <v>877</v>
      </c>
      <c r="B278" s="4">
        <v>45707</v>
      </c>
      <c r="C278" s="3" t="s">
        <v>2019</v>
      </c>
      <c r="D278" s="3" t="s">
        <v>2039</v>
      </c>
      <c r="E278" s="3" t="s">
        <v>2053</v>
      </c>
      <c r="F278" s="3" t="s">
        <v>2059</v>
      </c>
      <c r="G278" s="3">
        <v>6</v>
      </c>
      <c r="H278" s="3">
        <v>900</v>
      </c>
      <c r="I278" s="3">
        <v>1152</v>
      </c>
      <c r="J278" s="3">
        <v>2.37</v>
      </c>
      <c r="K278" s="3">
        <v>6748.27</v>
      </c>
      <c r="L278" s="3">
        <v>1348.27</v>
      </c>
      <c r="M278" s="3">
        <f t="shared" si="21"/>
        <v>16381.44</v>
      </c>
      <c r="N278" s="3">
        <f t="shared" si="22"/>
        <v>5400</v>
      </c>
      <c r="O278" s="3">
        <f t="shared" si="23"/>
        <v>19.979491039925787</v>
      </c>
      <c r="P278" s="3" t="str">
        <f t="shared" si="24"/>
        <v>Feb</v>
      </c>
      <c r="Q278" s="3" t="str">
        <f t="shared" si="20"/>
        <v>good profit</v>
      </c>
    </row>
    <row r="279" spans="1:17" x14ac:dyDescent="0.25">
      <c r="A279" s="3" t="s">
        <v>1650</v>
      </c>
      <c r="B279" s="4">
        <v>45707</v>
      </c>
      <c r="C279" s="3" t="s">
        <v>2029</v>
      </c>
      <c r="D279" s="3" t="s">
        <v>2049</v>
      </c>
      <c r="E279" s="3" t="s">
        <v>2055</v>
      </c>
      <c r="F279" s="3" t="s">
        <v>2059</v>
      </c>
      <c r="G279" s="3">
        <v>9</v>
      </c>
      <c r="H279" s="3">
        <v>1200</v>
      </c>
      <c r="I279" s="3">
        <v>1464</v>
      </c>
      <c r="J279" s="3">
        <v>7.06</v>
      </c>
      <c r="K279" s="3">
        <v>12246.43</v>
      </c>
      <c r="L279" s="3">
        <v>1446.43</v>
      </c>
      <c r="M279" s="3">
        <f t="shared" si="21"/>
        <v>93022.56</v>
      </c>
      <c r="N279" s="3">
        <f t="shared" si="22"/>
        <v>10800</v>
      </c>
      <c r="O279" s="3">
        <f t="shared" si="23"/>
        <v>11.811033909474027</v>
      </c>
      <c r="P279" s="3" t="str">
        <f t="shared" si="24"/>
        <v>Feb</v>
      </c>
      <c r="Q279" s="3" t="str">
        <f t="shared" si="20"/>
        <v>good profit</v>
      </c>
    </row>
    <row r="280" spans="1:17" x14ac:dyDescent="0.25">
      <c r="A280" s="3" t="s">
        <v>1987</v>
      </c>
      <c r="B280" s="4">
        <v>45707</v>
      </c>
      <c r="C280" s="3" t="s">
        <v>2023</v>
      </c>
      <c r="D280" s="3" t="s">
        <v>2043</v>
      </c>
      <c r="E280" s="3" t="s">
        <v>2053</v>
      </c>
      <c r="F280" s="3" t="s">
        <v>2060</v>
      </c>
      <c r="G280" s="3">
        <v>4</v>
      </c>
      <c r="H280" s="3">
        <v>550</v>
      </c>
      <c r="I280" s="3">
        <v>742.5</v>
      </c>
      <c r="J280" s="3">
        <v>0</v>
      </c>
      <c r="K280" s="3">
        <v>2970</v>
      </c>
      <c r="L280" s="3">
        <v>770</v>
      </c>
      <c r="M280" s="3">
        <f t="shared" si="21"/>
        <v>0</v>
      </c>
      <c r="N280" s="3">
        <f t="shared" si="22"/>
        <v>2200</v>
      </c>
      <c r="O280" s="3">
        <f t="shared" si="23"/>
        <v>25.925925925925924</v>
      </c>
      <c r="P280" s="3" t="str">
        <f t="shared" si="24"/>
        <v>Feb</v>
      </c>
      <c r="Q280" s="3" t="str">
        <f t="shared" si="20"/>
        <v>good profit</v>
      </c>
    </row>
    <row r="281" spans="1:17" x14ac:dyDescent="0.25">
      <c r="A281" s="3" t="s">
        <v>269</v>
      </c>
      <c r="B281" s="4">
        <v>45708</v>
      </c>
      <c r="C281" s="3" t="s">
        <v>2023</v>
      </c>
      <c r="D281" s="3" t="s">
        <v>2043</v>
      </c>
      <c r="E281" s="3" t="s">
        <v>2053</v>
      </c>
      <c r="F281" s="3" t="s">
        <v>2062</v>
      </c>
      <c r="G281" s="3">
        <v>9</v>
      </c>
      <c r="H281" s="3">
        <v>550</v>
      </c>
      <c r="I281" s="3">
        <v>742.5</v>
      </c>
      <c r="J281" s="3">
        <v>7.33</v>
      </c>
      <c r="K281" s="3">
        <v>6192.74</v>
      </c>
      <c r="L281" s="3">
        <v>1242.74</v>
      </c>
      <c r="M281" s="3">
        <f t="shared" si="21"/>
        <v>48982.724999999999</v>
      </c>
      <c r="N281" s="3">
        <f t="shared" si="22"/>
        <v>4950</v>
      </c>
      <c r="O281" s="3">
        <f t="shared" si="23"/>
        <v>20.067692168571586</v>
      </c>
      <c r="P281" s="3" t="str">
        <f t="shared" si="24"/>
        <v>Feb</v>
      </c>
      <c r="Q281" s="3" t="str">
        <f t="shared" si="20"/>
        <v>good profit</v>
      </c>
    </row>
    <row r="282" spans="1:17" x14ac:dyDescent="0.25">
      <c r="A282" s="3" t="s">
        <v>509</v>
      </c>
      <c r="B282" s="4">
        <v>45708</v>
      </c>
      <c r="C282" s="3" t="s">
        <v>2015</v>
      </c>
      <c r="D282" s="3" t="s">
        <v>2035</v>
      </c>
      <c r="E282" s="3" t="s">
        <v>2054</v>
      </c>
      <c r="F282" s="3" t="s">
        <v>2060</v>
      </c>
      <c r="G282" s="3">
        <v>7</v>
      </c>
      <c r="H282" s="3">
        <v>900</v>
      </c>
      <c r="I282" s="3">
        <v>1170</v>
      </c>
      <c r="J282" s="3">
        <v>10.5</v>
      </c>
      <c r="K282" s="3">
        <v>7329.8</v>
      </c>
      <c r="L282" s="3">
        <v>1029.8</v>
      </c>
      <c r="M282" s="3">
        <f t="shared" si="21"/>
        <v>85995</v>
      </c>
      <c r="N282" s="3">
        <f t="shared" si="22"/>
        <v>6300</v>
      </c>
      <c r="O282" s="3">
        <f t="shared" si="23"/>
        <v>14.049496575622801</v>
      </c>
      <c r="P282" s="3" t="str">
        <f t="shared" si="24"/>
        <v>Feb</v>
      </c>
      <c r="Q282" s="3" t="str">
        <f t="shared" si="20"/>
        <v>good profit</v>
      </c>
    </row>
    <row r="283" spans="1:17" x14ac:dyDescent="0.25">
      <c r="A283" s="3" t="s">
        <v>1030</v>
      </c>
      <c r="B283" s="4">
        <v>45708</v>
      </c>
      <c r="C283" s="3" t="s">
        <v>2028</v>
      </c>
      <c r="D283" s="3" t="s">
        <v>2048</v>
      </c>
      <c r="E283" s="3" t="s">
        <v>2057</v>
      </c>
      <c r="F283" s="3" t="s">
        <v>2062</v>
      </c>
      <c r="G283" s="3">
        <v>7</v>
      </c>
      <c r="H283" s="3">
        <v>80</v>
      </c>
      <c r="I283" s="3">
        <v>116</v>
      </c>
      <c r="J283" s="3">
        <v>10.86</v>
      </c>
      <c r="K283" s="3">
        <v>723.85</v>
      </c>
      <c r="L283" s="3">
        <v>163.85</v>
      </c>
      <c r="M283" s="3">
        <f t="shared" si="21"/>
        <v>8818.32</v>
      </c>
      <c r="N283" s="3">
        <f t="shared" si="22"/>
        <v>560</v>
      </c>
      <c r="O283" s="3">
        <f t="shared" si="23"/>
        <v>22.635905228983905</v>
      </c>
      <c r="P283" s="3" t="str">
        <f t="shared" si="24"/>
        <v>Feb</v>
      </c>
      <c r="Q283" s="3" t="str">
        <f t="shared" si="20"/>
        <v>good profit</v>
      </c>
    </row>
    <row r="284" spans="1:17" x14ac:dyDescent="0.25">
      <c r="A284" s="3" t="s">
        <v>1120</v>
      </c>
      <c r="B284" s="4">
        <v>45708</v>
      </c>
      <c r="C284" s="3" t="s">
        <v>2021</v>
      </c>
      <c r="D284" s="3" t="s">
        <v>2041</v>
      </c>
      <c r="E284" s="3" t="s">
        <v>2056</v>
      </c>
      <c r="F284" s="3" t="s">
        <v>2062</v>
      </c>
      <c r="G284" s="3">
        <v>1</v>
      </c>
      <c r="H284" s="3">
        <v>300</v>
      </c>
      <c r="I284" s="3">
        <v>405</v>
      </c>
      <c r="J284" s="3">
        <v>11.57</v>
      </c>
      <c r="K284" s="3">
        <v>358.14</v>
      </c>
      <c r="L284" s="3">
        <v>58.14</v>
      </c>
      <c r="M284" s="3">
        <f t="shared" si="21"/>
        <v>4685.8500000000004</v>
      </c>
      <c r="N284" s="3">
        <f t="shared" si="22"/>
        <v>300</v>
      </c>
      <c r="O284" s="3">
        <f t="shared" si="23"/>
        <v>16.233875020941532</v>
      </c>
      <c r="P284" s="3" t="str">
        <f t="shared" si="24"/>
        <v>Feb</v>
      </c>
      <c r="Q284" s="3" t="str">
        <f t="shared" si="20"/>
        <v>good profit</v>
      </c>
    </row>
    <row r="285" spans="1:17" x14ac:dyDescent="0.25">
      <c r="A285" s="3" t="s">
        <v>1158</v>
      </c>
      <c r="B285" s="4">
        <v>45708</v>
      </c>
      <c r="C285" s="3" t="s">
        <v>2031</v>
      </c>
      <c r="D285" s="3" t="s">
        <v>2051</v>
      </c>
      <c r="E285" s="3" t="s">
        <v>2058</v>
      </c>
      <c r="F285" s="3" t="s">
        <v>2061</v>
      </c>
      <c r="G285" s="3">
        <v>4</v>
      </c>
      <c r="H285" s="3">
        <v>3200</v>
      </c>
      <c r="I285" s="3">
        <v>3840</v>
      </c>
      <c r="J285" s="3">
        <v>20.85</v>
      </c>
      <c r="K285" s="3">
        <v>12158.05</v>
      </c>
      <c r="L285" s="3">
        <v>-641.95000000000005</v>
      </c>
      <c r="M285" s="3">
        <f t="shared" si="21"/>
        <v>320256</v>
      </c>
      <c r="N285" s="3">
        <f t="shared" si="22"/>
        <v>12800</v>
      </c>
      <c r="O285" s="3">
        <f t="shared" si="23"/>
        <v>-5.2800407960158093</v>
      </c>
      <c r="P285" s="3" t="str">
        <f t="shared" si="24"/>
        <v>Feb</v>
      </c>
      <c r="Q285" s="3" t="str">
        <f t="shared" si="20"/>
        <v>loss</v>
      </c>
    </row>
    <row r="286" spans="1:17" x14ac:dyDescent="0.25">
      <c r="A286" s="3" t="s">
        <v>1891</v>
      </c>
      <c r="B286" s="4">
        <v>45708</v>
      </c>
      <c r="C286" s="3" t="s">
        <v>2019</v>
      </c>
      <c r="D286" s="3" t="s">
        <v>2039</v>
      </c>
      <c r="E286" s="3" t="s">
        <v>2053</v>
      </c>
      <c r="F286" s="3" t="s">
        <v>2060</v>
      </c>
      <c r="G286" s="3">
        <v>10</v>
      </c>
      <c r="H286" s="3">
        <v>900</v>
      </c>
      <c r="I286" s="3">
        <v>1152</v>
      </c>
      <c r="J286" s="3">
        <v>9.81</v>
      </c>
      <c r="K286" s="3">
        <v>10389.91</v>
      </c>
      <c r="L286" s="3">
        <v>1389.91</v>
      </c>
      <c r="M286" s="3">
        <f t="shared" si="21"/>
        <v>113011.20000000001</v>
      </c>
      <c r="N286" s="3">
        <f t="shared" si="22"/>
        <v>9000</v>
      </c>
      <c r="O286" s="3">
        <f t="shared" si="23"/>
        <v>13.377497976402106</v>
      </c>
      <c r="P286" s="3" t="str">
        <f t="shared" si="24"/>
        <v>Feb</v>
      </c>
      <c r="Q286" s="3" t="str">
        <f t="shared" si="20"/>
        <v>good profit</v>
      </c>
    </row>
    <row r="287" spans="1:17" x14ac:dyDescent="0.25">
      <c r="A287" s="3" t="s">
        <v>211</v>
      </c>
      <c r="B287" s="4">
        <v>45709</v>
      </c>
      <c r="C287" s="3" t="s">
        <v>2017</v>
      </c>
      <c r="D287" s="3" t="s">
        <v>2037</v>
      </c>
      <c r="E287" s="3" t="s">
        <v>2055</v>
      </c>
      <c r="F287" s="3" t="s">
        <v>2059</v>
      </c>
      <c r="G287" s="3">
        <v>4</v>
      </c>
      <c r="H287" s="3">
        <v>2500</v>
      </c>
      <c r="I287" s="3">
        <v>2875</v>
      </c>
      <c r="J287" s="3">
        <v>0</v>
      </c>
      <c r="K287" s="3">
        <v>11500</v>
      </c>
      <c r="L287" s="3">
        <v>1500</v>
      </c>
      <c r="M287" s="3">
        <f t="shared" si="21"/>
        <v>0</v>
      </c>
      <c r="N287" s="3">
        <f t="shared" si="22"/>
        <v>10000</v>
      </c>
      <c r="O287" s="3">
        <f t="shared" si="23"/>
        <v>13.043478260869565</v>
      </c>
      <c r="P287" s="3" t="str">
        <f t="shared" si="24"/>
        <v>Feb</v>
      </c>
      <c r="Q287" s="3" t="str">
        <f t="shared" si="20"/>
        <v>good profit</v>
      </c>
    </row>
    <row r="288" spans="1:17" x14ac:dyDescent="0.25">
      <c r="A288" s="3" t="s">
        <v>1362</v>
      </c>
      <c r="B288" s="4">
        <v>45709</v>
      </c>
      <c r="C288" s="3" t="s">
        <v>2027</v>
      </c>
      <c r="D288" s="3" t="s">
        <v>2047</v>
      </c>
      <c r="E288" s="3" t="s">
        <v>2053</v>
      </c>
      <c r="F288" s="3" t="s">
        <v>2062</v>
      </c>
      <c r="G288" s="3">
        <v>5</v>
      </c>
      <c r="H288" s="3">
        <v>1100</v>
      </c>
      <c r="I288" s="3">
        <v>1298</v>
      </c>
      <c r="J288" s="3">
        <v>10.74</v>
      </c>
      <c r="K288" s="3">
        <v>5793.14</v>
      </c>
      <c r="L288" s="3">
        <v>293.14</v>
      </c>
      <c r="M288" s="3">
        <f t="shared" si="21"/>
        <v>69702.600000000006</v>
      </c>
      <c r="N288" s="3">
        <f t="shared" si="22"/>
        <v>5500</v>
      </c>
      <c r="O288" s="3">
        <f t="shared" si="23"/>
        <v>5.0601228349392553</v>
      </c>
      <c r="P288" s="3" t="str">
        <f t="shared" si="24"/>
        <v>Feb</v>
      </c>
      <c r="Q288" s="3" t="str">
        <f t="shared" si="20"/>
        <v>low profit</v>
      </c>
    </row>
    <row r="289" spans="1:17" x14ac:dyDescent="0.25">
      <c r="A289" s="3" t="s">
        <v>1605</v>
      </c>
      <c r="B289" s="4">
        <v>45709</v>
      </c>
      <c r="C289" s="3" t="s">
        <v>2014</v>
      </c>
      <c r="D289" s="3" t="s">
        <v>2034</v>
      </c>
      <c r="E289" s="3" t="s">
        <v>2052</v>
      </c>
      <c r="F289" s="3" t="s">
        <v>2059</v>
      </c>
      <c r="G289" s="3">
        <v>7</v>
      </c>
      <c r="H289" s="3">
        <v>4500</v>
      </c>
      <c r="I289" s="3">
        <v>5220</v>
      </c>
      <c r="J289" s="3">
        <v>24.19</v>
      </c>
      <c r="K289" s="3">
        <v>27702.13</v>
      </c>
      <c r="L289" s="3">
        <v>-3797.87</v>
      </c>
      <c r="M289" s="3">
        <f t="shared" si="21"/>
        <v>883902.60000000009</v>
      </c>
      <c r="N289" s="3">
        <f t="shared" si="22"/>
        <v>31500</v>
      </c>
      <c r="O289" s="3">
        <f t="shared" si="23"/>
        <v>-13.709667812547266</v>
      </c>
      <c r="P289" s="3" t="str">
        <f t="shared" si="24"/>
        <v>Feb</v>
      </c>
      <c r="Q289" s="3" t="str">
        <f t="shared" si="20"/>
        <v>loss</v>
      </c>
    </row>
    <row r="290" spans="1:17" x14ac:dyDescent="0.25">
      <c r="A290" s="3" t="s">
        <v>1342</v>
      </c>
      <c r="B290" s="4">
        <v>45710</v>
      </c>
      <c r="C290" s="3" t="s">
        <v>2027</v>
      </c>
      <c r="D290" s="3" t="s">
        <v>2047</v>
      </c>
      <c r="E290" s="3" t="s">
        <v>2053</v>
      </c>
      <c r="F290" s="3" t="s">
        <v>2059</v>
      </c>
      <c r="G290" s="3">
        <v>5</v>
      </c>
      <c r="H290" s="3">
        <v>1100</v>
      </c>
      <c r="I290" s="3">
        <v>1298</v>
      </c>
      <c r="J290" s="3">
        <v>12.17</v>
      </c>
      <c r="K290" s="3">
        <v>5700.18</v>
      </c>
      <c r="L290" s="3">
        <v>200.18</v>
      </c>
      <c r="M290" s="3">
        <f t="shared" si="21"/>
        <v>78983.3</v>
      </c>
      <c r="N290" s="3">
        <f t="shared" si="22"/>
        <v>5500</v>
      </c>
      <c r="O290" s="3">
        <f t="shared" si="23"/>
        <v>3.5118189250164029</v>
      </c>
      <c r="P290" s="3" t="str">
        <f t="shared" si="24"/>
        <v>Feb</v>
      </c>
      <c r="Q290" s="3" t="str">
        <f t="shared" si="20"/>
        <v>low profit</v>
      </c>
    </row>
    <row r="291" spans="1:17" x14ac:dyDescent="0.25">
      <c r="A291" s="3" t="s">
        <v>1349</v>
      </c>
      <c r="B291" s="4">
        <v>45710</v>
      </c>
      <c r="C291" s="3" t="s">
        <v>2025</v>
      </c>
      <c r="D291" s="3" t="s">
        <v>2045</v>
      </c>
      <c r="E291" s="3" t="s">
        <v>2057</v>
      </c>
      <c r="F291" s="3" t="s">
        <v>2059</v>
      </c>
      <c r="G291" s="3">
        <v>1</v>
      </c>
      <c r="H291" s="3">
        <v>45</v>
      </c>
      <c r="I291" s="3">
        <v>63</v>
      </c>
      <c r="J291" s="3">
        <v>3.5</v>
      </c>
      <c r="K291" s="3">
        <v>60.79</v>
      </c>
      <c r="L291" s="3">
        <v>15.79</v>
      </c>
      <c r="M291" s="3">
        <f t="shared" si="21"/>
        <v>220.5</v>
      </c>
      <c r="N291" s="3">
        <f t="shared" si="22"/>
        <v>45</v>
      </c>
      <c r="O291" s="3">
        <f t="shared" si="23"/>
        <v>25.974666886000985</v>
      </c>
      <c r="P291" s="3" t="str">
        <f t="shared" si="24"/>
        <v>Feb</v>
      </c>
      <c r="Q291" s="3" t="str">
        <f t="shared" si="20"/>
        <v>good profit</v>
      </c>
    </row>
    <row r="292" spans="1:17" x14ac:dyDescent="0.25">
      <c r="A292" s="3" t="s">
        <v>1367</v>
      </c>
      <c r="B292" s="4">
        <v>45710</v>
      </c>
      <c r="C292" s="3" t="s">
        <v>2028</v>
      </c>
      <c r="D292" s="3" t="s">
        <v>2048</v>
      </c>
      <c r="E292" s="3" t="s">
        <v>2057</v>
      </c>
      <c r="F292" s="3" t="s">
        <v>2059</v>
      </c>
      <c r="G292" s="3">
        <v>4</v>
      </c>
      <c r="H292" s="3">
        <v>80</v>
      </c>
      <c r="I292" s="3">
        <v>116</v>
      </c>
      <c r="J292" s="3">
        <v>4.97</v>
      </c>
      <c r="K292" s="3">
        <v>440.93</v>
      </c>
      <c r="L292" s="3">
        <v>120.93</v>
      </c>
      <c r="M292" s="3">
        <f t="shared" si="21"/>
        <v>2306.08</v>
      </c>
      <c r="N292" s="3">
        <f t="shared" si="22"/>
        <v>320</v>
      </c>
      <c r="O292" s="3">
        <f t="shared" si="23"/>
        <v>27.426122060190959</v>
      </c>
      <c r="P292" s="3" t="str">
        <f t="shared" si="24"/>
        <v>Feb</v>
      </c>
      <c r="Q292" s="3" t="str">
        <f t="shared" si="20"/>
        <v>good profit</v>
      </c>
    </row>
    <row r="293" spans="1:17" x14ac:dyDescent="0.25">
      <c r="A293" s="3" t="s">
        <v>1496</v>
      </c>
      <c r="B293" s="4">
        <v>45710</v>
      </c>
      <c r="C293" s="3" t="s">
        <v>2021</v>
      </c>
      <c r="D293" s="3" t="s">
        <v>2041</v>
      </c>
      <c r="E293" s="3" t="s">
        <v>2056</v>
      </c>
      <c r="F293" s="3" t="s">
        <v>2061</v>
      </c>
      <c r="G293" s="3">
        <v>10</v>
      </c>
      <c r="H293" s="3">
        <v>300</v>
      </c>
      <c r="I293" s="3">
        <v>405</v>
      </c>
      <c r="J293" s="3">
        <v>9.41</v>
      </c>
      <c r="K293" s="3">
        <v>3668.7</v>
      </c>
      <c r="L293" s="3">
        <v>668.7</v>
      </c>
      <c r="M293" s="3">
        <f t="shared" si="21"/>
        <v>38110.5</v>
      </c>
      <c r="N293" s="3">
        <f t="shared" si="22"/>
        <v>3000</v>
      </c>
      <c r="O293" s="3">
        <f t="shared" si="23"/>
        <v>18.227164935808325</v>
      </c>
      <c r="P293" s="3" t="str">
        <f t="shared" si="24"/>
        <v>Feb</v>
      </c>
      <c r="Q293" s="3" t="str">
        <f t="shared" si="20"/>
        <v>good profit</v>
      </c>
    </row>
    <row r="294" spans="1:17" x14ac:dyDescent="0.25">
      <c r="A294" s="3" t="s">
        <v>1499</v>
      </c>
      <c r="B294" s="4">
        <v>45710</v>
      </c>
      <c r="C294" s="3" t="s">
        <v>2027</v>
      </c>
      <c r="D294" s="3" t="s">
        <v>2047</v>
      </c>
      <c r="E294" s="3" t="s">
        <v>2053</v>
      </c>
      <c r="F294" s="3" t="s">
        <v>2062</v>
      </c>
      <c r="G294" s="3">
        <v>2</v>
      </c>
      <c r="H294" s="3">
        <v>1100</v>
      </c>
      <c r="I294" s="3">
        <v>1298</v>
      </c>
      <c r="J294" s="3">
        <v>18.82</v>
      </c>
      <c r="K294" s="3">
        <v>2107.35</v>
      </c>
      <c r="L294" s="3">
        <v>-92.65</v>
      </c>
      <c r="M294" s="3">
        <f t="shared" si="21"/>
        <v>48856.72</v>
      </c>
      <c r="N294" s="3">
        <f t="shared" si="22"/>
        <v>2200</v>
      </c>
      <c r="O294" s="3">
        <f t="shared" si="23"/>
        <v>-4.3965169525707646</v>
      </c>
      <c r="P294" s="3" t="str">
        <f t="shared" si="24"/>
        <v>Feb</v>
      </c>
      <c r="Q294" s="3" t="str">
        <f t="shared" si="20"/>
        <v>loss</v>
      </c>
    </row>
    <row r="295" spans="1:17" x14ac:dyDescent="0.25">
      <c r="A295" s="3" t="s">
        <v>1974</v>
      </c>
      <c r="B295" s="4">
        <v>45710</v>
      </c>
      <c r="C295" s="3" t="s">
        <v>2022</v>
      </c>
      <c r="D295" s="3" t="s">
        <v>2042</v>
      </c>
      <c r="E295" s="3" t="s">
        <v>2053</v>
      </c>
      <c r="F295" s="3" t="s">
        <v>2060</v>
      </c>
      <c r="G295" s="3">
        <v>10</v>
      </c>
      <c r="H295" s="3">
        <v>8500</v>
      </c>
      <c r="I295" s="3">
        <v>9520</v>
      </c>
      <c r="J295" s="3">
        <v>8.2899999999999991</v>
      </c>
      <c r="K295" s="3">
        <v>87312.51</v>
      </c>
      <c r="L295" s="3">
        <v>2312.5100000000002</v>
      </c>
      <c r="M295" s="3">
        <f t="shared" si="21"/>
        <v>789207.99999999988</v>
      </c>
      <c r="N295" s="3">
        <f t="shared" si="22"/>
        <v>85000</v>
      </c>
      <c r="O295" s="3">
        <f t="shared" si="23"/>
        <v>2.6485437195655015</v>
      </c>
      <c r="P295" s="3" t="str">
        <f t="shared" si="24"/>
        <v>Feb</v>
      </c>
      <c r="Q295" s="3" t="str">
        <f t="shared" si="20"/>
        <v>low profit</v>
      </c>
    </row>
    <row r="296" spans="1:17" x14ac:dyDescent="0.25">
      <c r="A296" s="3" t="s">
        <v>403</v>
      </c>
      <c r="B296" s="4">
        <v>45711</v>
      </c>
      <c r="C296" s="3" t="s">
        <v>2026</v>
      </c>
      <c r="D296" s="3" t="s">
        <v>2046</v>
      </c>
      <c r="E296" s="3" t="s">
        <v>2052</v>
      </c>
      <c r="F296" s="3" t="s">
        <v>2061</v>
      </c>
      <c r="G296" s="3">
        <v>7</v>
      </c>
      <c r="H296" s="3">
        <v>3000</v>
      </c>
      <c r="I296" s="3">
        <v>3600</v>
      </c>
      <c r="J296" s="3">
        <v>16.66</v>
      </c>
      <c r="K296" s="3">
        <v>21002.38</v>
      </c>
      <c r="L296" s="3">
        <v>2.38</v>
      </c>
      <c r="M296" s="3">
        <f t="shared" si="21"/>
        <v>419832</v>
      </c>
      <c r="N296" s="3">
        <f t="shared" si="22"/>
        <v>21000</v>
      </c>
      <c r="O296" s="3">
        <f t="shared" si="23"/>
        <v>1.1332049034442763E-2</v>
      </c>
      <c r="P296" s="3" t="str">
        <f t="shared" si="24"/>
        <v>Feb</v>
      </c>
      <c r="Q296" s="3" t="str">
        <f t="shared" si="20"/>
        <v>low profit</v>
      </c>
    </row>
    <row r="297" spans="1:17" x14ac:dyDescent="0.25">
      <c r="A297" s="3" t="s">
        <v>1261</v>
      </c>
      <c r="B297" s="4">
        <v>45711</v>
      </c>
      <c r="C297" s="3" t="s">
        <v>2031</v>
      </c>
      <c r="D297" s="3" t="s">
        <v>2051</v>
      </c>
      <c r="E297" s="3" t="s">
        <v>2058</v>
      </c>
      <c r="F297" s="3" t="s">
        <v>2062</v>
      </c>
      <c r="G297" s="3">
        <v>4</v>
      </c>
      <c r="H297" s="3">
        <v>3200</v>
      </c>
      <c r="I297" s="3">
        <v>3840</v>
      </c>
      <c r="J297" s="3">
        <v>14.1</v>
      </c>
      <c r="K297" s="3">
        <v>13193.67</v>
      </c>
      <c r="L297" s="3">
        <v>393.67</v>
      </c>
      <c r="M297" s="3">
        <f t="shared" si="21"/>
        <v>216576</v>
      </c>
      <c r="N297" s="3">
        <f t="shared" si="22"/>
        <v>12800</v>
      </c>
      <c r="O297" s="3">
        <f t="shared" si="23"/>
        <v>2.9837793426696289</v>
      </c>
      <c r="P297" s="3" t="str">
        <f t="shared" si="24"/>
        <v>Feb</v>
      </c>
      <c r="Q297" s="3" t="str">
        <f t="shared" si="20"/>
        <v>low profit</v>
      </c>
    </row>
    <row r="298" spans="1:17" x14ac:dyDescent="0.25">
      <c r="A298" s="3" t="s">
        <v>1361</v>
      </c>
      <c r="B298" s="4">
        <v>45711</v>
      </c>
      <c r="C298" s="3" t="s">
        <v>2030</v>
      </c>
      <c r="D298" s="3" t="s">
        <v>2050</v>
      </c>
      <c r="E298" s="3" t="s">
        <v>2058</v>
      </c>
      <c r="F298" s="3" t="s">
        <v>2059</v>
      </c>
      <c r="G298" s="3">
        <v>2</v>
      </c>
      <c r="H298" s="3">
        <v>1800</v>
      </c>
      <c r="I298" s="3">
        <v>2124</v>
      </c>
      <c r="J298" s="3">
        <v>23.39</v>
      </c>
      <c r="K298" s="3">
        <v>3254.3</v>
      </c>
      <c r="L298" s="3">
        <v>-345.7</v>
      </c>
      <c r="M298" s="3">
        <f t="shared" si="21"/>
        <v>99360.72</v>
      </c>
      <c r="N298" s="3">
        <f t="shared" si="22"/>
        <v>3600</v>
      </c>
      <c r="O298" s="3">
        <f t="shared" si="23"/>
        <v>-10.622868205143963</v>
      </c>
      <c r="P298" s="3" t="str">
        <f t="shared" si="24"/>
        <v>Feb</v>
      </c>
      <c r="Q298" s="3" t="str">
        <f t="shared" si="20"/>
        <v>loss</v>
      </c>
    </row>
    <row r="299" spans="1:17" x14ac:dyDescent="0.25">
      <c r="A299" s="3" t="s">
        <v>1494</v>
      </c>
      <c r="B299" s="4">
        <v>45711</v>
      </c>
      <c r="C299" s="3" t="s">
        <v>2019</v>
      </c>
      <c r="D299" s="3" t="s">
        <v>2039</v>
      </c>
      <c r="E299" s="3" t="s">
        <v>2053</v>
      </c>
      <c r="F299" s="3" t="s">
        <v>2060</v>
      </c>
      <c r="G299" s="3">
        <v>9</v>
      </c>
      <c r="H299" s="3">
        <v>900</v>
      </c>
      <c r="I299" s="3">
        <v>1152</v>
      </c>
      <c r="J299" s="3">
        <v>2.93</v>
      </c>
      <c r="K299" s="3">
        <v>10064.09</v>
      </c>
      <c r="L299" s="3">
        <v>1964.09</v>
      </c>
      <c r="M299" s="3">
        <f t="shared" si="21"/>
        <v>30378.240000000002</v>
      </c>
      <c r="N299" s="3">
        <f t="shared" si="22"/>
        <v>8100</v>
      </c>
      <c r="O299" s="3">
        <f t="shared" si="23"/>
        <v>19.51582308981736</v>
      </c>
      <c r="P299" s="3" t="str">
        <f t="shared" si="24"/>
        <v>Feb</v>
      </c>
      <c r="Q299" s="3" t="str">
        <f t="shared" si="20"/>
        <v>good profit</v>
      </c>
    </row>
    <row r="300" spans="1:17" x14ac:dyDescent="0.25">
      <c r="A300" s="3" t="s">
        <v>1621</v>
      </c>
      <c r="B300" s="4">
        <v>45711</v>
      </c>
      <c r="C300" s="3" t="s">
        <v>2031</v>
      </c>
      <c r="D300" s="3" t="s">
        <v>2051</v>
      </c>
      <c r="E300" s="3" t="s">
        <v>2058</v>
      </c>
      <c r="F300" s="3" t="s">
        <v>2062</v>
      </c>
      <c r="G300" s="3">
        <v>8</v>
      </c>
      <c r="H300" s="3">
        <v>3200</v>
      </c>
      <c r="I300" s="3">
        <v>3840</v>
      </c>
      <c r="J300" s="3">
        <v>15.54</v>
      </c>
      <c r="K300" s="3">
        <v>25945.93</v>
      </c>
      <c r="L300" s="3">
        <v>345.93</v>
      </c>
      <c r="M300" s="3">
        <f t="shared" si="21"/>
        <v>477388.79999999999</v>
      </c>
      <c r="N300" s="3">
        <f t="shared" si="22"/>
        <v>25600</v>
      </c>
      <c r="O300" s="3">
        <f t="shared" si="23"/>
        <v>1.3332726944071769</v>
      </c>
      <c r="P300" s="3" t="str">
        <f t="shared" si="24"/>
        <v>Feb</v>
      </c>
      <c r="Q300" s="3" t="str">
        <f t="shared" si="20"/>
        <v>low profit</v>
      </c>
    </row>
    <row r="301" spans="1:17" x14ac:dyDescent="0.25">
      <c r="A301" s="3" t="s">
        <v>1830</v>
      </c>
      <c r="B301" s="4">
        <v>45711</v>
      </c>
      <c r="C301" s="3" t="s">
        <v>2014</v>
      </c>
      <c r="D301" s="3" t="s">
        <v>2034</v>
      </c>
      <c r="E301" s="3" t="s">
        <v>2052</v>
      </c>
      <c r="F301" s="3" t="s">
        <v>2061</v>
      </c>
      <c r="G301" s="3">
        <v>2</v>
      </c>
      <c r="H301" s="3">
        <v>4500</v>
      </c>
      <c r="I301" s="3">
        <v>5220</v>
      </c>
      <c r="J301" s="3">
        <v>7.71</v>
      </c>
      <c r="K301" s="3">
        <v>9635.42</v>
      </c>
      <c r="L301" s="3">
        <v>635.41999999999996</v>
      </c>
      <c r="M301" s="3">
        <f t="shared" si="21"/>
        <v>80492.399999999994</v>
      </c>
      <c r="N301" s="3">
        <f t="shared" si="22"/>
        <v>9000</v>
      </c>
      <c r="O301" s="3">
        <f t="shared" si="23"/>
        <v>6.5946269078047441</v>
      </c>
      <c r="P301" s="3" t="str">
        <f t="shared" si="24"/>
        <v>Feb</v>
      </c>
      <c r="Q301" s="3" t="str">
        <f t="shared" si="20"/>
        <v>low profit</v>
      </c>
    </row>
    <row r="302" spans="1:17" x14ac:dyDescent="0.25">
      <c r="A302" s="3" t="s">
        <v>26</v>
      </c>
      <c r="B302" s="4">
        <v>45712</v>
      </c>
      <c r="C302" s="3" t="s">
        <v>2022</v>
      </c>
      <c r="D302" s="3" t="s">
        <v>2042</v>
      </c>
      <c r="E302" s="3" t="s">
        <v>2053</v>
      </c>
      <c r="F302" s="3" t="s">
        <v>2062</v>
      </c>
      <c r="G302" s="3">
        <v>7</v>
      </c>
      <c r="H302" s="3">
        <v>8500</v>
      </c>
      <c r="I302" s="3">
        <v>9520</v>
      </c>
      <c r="J302" s="3">
        <v>15.42</v>
      </c>
      <c r="K302" s="3">
        <v>56366.59</v>
      </c>
      <c r="L302" s="3">
        <v>-3133.41</v>
      </c>
      <c r="M302" s="3">
        <f t="shared" si="21"/>
        <v>1027588.8</v>
      </c>
      <c r="N302" s="3">
        <f t="shared" si="22"/>
        <v>59500</v>
      </c>
      <c r="O302" s="3">
        <f t="shared" si="23"/>
        <v>-5.558984497731724</v>
      </c>
      <c r="P302" s="3" t="str">
        <f t="shared" si="24"/>
        <v>Feb</v>
      </c>
      <c r="Q302" s="3" t="str">
        <f t="shared" si="20"/>
        <v>loss</v>
      </c>
    </row>
    <row r="303" spans="1:17" x14ac:dyDescent="0.25">
      <c r="A303" s="3" t="s">
        <v>445</v>
      </c>
      <c r="B303" s="4">
        <v>45712</v>
      </c>
      <c r="C303" s="3" t="s">
        <v>2029</v>
      </c>
      <c r="D303" s="3" t="s">
        <v>2049</v>
      </c>
      <c r="E303" s="3" t="s">
        <v>2055</v>
      </c>
      <c r="F303" s="3" t="s">
        <v>2061</v>
      </c>
      <c r="G303" s="3">
        <v>7</v>
      </c>
      <c r="H303" s="3">
        <v>1200</v>
      </c>
      <c r="I303" s="3">
        <v>1464</v>
      </c>
      <c r="J303" s="3">
        <v>16.12</v>
      </c>
      <c r="K303" s="3">
        <v>8596.39</v>
      </c>
      <c r="L303" s="3">
        <v>196.39</v>
      </c>
      <c r="M303" s="3">
        <f t="shared" si="21"/>
        <v>165197.76000000001</v>
      </c>
      <c r="N303" s="3">
        <f t="shared" si="22"/>
        <v>8400</v>
      </c>
      <c r="O303" s="3">
        <f t="shared" si="23"/>
        <v>2.284563636596292</v>
      </c>
      <c r="P303" s="3" t="str">
        <f t="shared" si="24"/>
        <v>Feb</v>
      </c>
      <c r="Q303" s="3" t="str">
        <f t="shared" si="20"/>
        <v>low profit</v>
      </c>
    </row>
    <row r="304" spans="1:17" x14ac:dyDescent="0.25">
      <c r="A304" s="3" t="s">
        <v>680</v>
      </c>
      <c r="B304" s="4">
        <v>45712</v>
      </c>
      <c r="C304" s="3" t="s">
        <v>2017</v>
      </c>
      <c r="D304" s="3" t="s">
        <v>2037</v>
      </c>
      <c r="E304" s="3" t="s">
        <v>2055</v>
      </c>
      <c r="F304" s="3" t="s">
        <v>2060</v>
      </c>
      <c r="G304" s="3">
        <v>7</v>
      </c>
      <c r="H304" s="3">
        <v>2500</v>
      </c>
      <c r="I304" s="3">
        <v>2875</v>
      </c>
      <c r="J304" s="3">
        <v>10</v>
      </c>
      <c r="K304" s="3">
        <v>18113.28</v>
      </c>
      <c r="L304" s="3">
        <v>613.28</v>
      </c>
      <c r="M304" s="3">
        <f t="shared" si="21"/>
        <v>201250</v>
      </c>
      <c r="N304" s="3">
        <f t="shared" si="22"/>
        <v>17500</v>
      </c>
      <c r="O304" s="3">
        <f t="shared" si="23"/>
        <v>3.3858031234541732</v>
      </c>
      <c r="P304" s="3" t="str">
        <f t="shared" si="24"/>
        <v>Feb</v>
      </c>
      <c r="Q304" s="3" t="str">
        <f t="shared" si="20"/>
        <v>low profit</v>
      </c>
    </row>
    <row r="305" spans="1:17" x14ac:dyDescent="0.25">
      <c r="A305" s="3" t="s">
        <v>1337</v>
      </c>
      <c r="B305" s="4">
        <v>45712</v>
      </c>
      <c r="C305" s="3" t="s">
        <v>2028</v>
      </c>
      <c r="D305" s="3" t="s">
        <v>2048</v>
      </c>
      <c r="E305" s="3" t="s">
        <v>2057</v>
      </c>
      <c r="F305" s="3" t="s">
        <v>2061</v>
      </c>
      <c r="G305" s="3">
        <v>7</v>
      </c>
      <c r="H305" s="3">
        <v>80</v>
      </c>
      <c r="I305" s="3">
        <v>116</v>
      </c>
      <c r="J305" s="3">
        <v>24.03</v>
      </c>
      <c r="K305" s="3">
        <v>616.88</v>
      </c>
      <c r="L305" s="3">
        <v>56.88</v>
      </c>
      <c r="M305" s="3">
        <f t="shared" si="21"/>
        <v>19512.36</v>
      </c>
      <c r="N305" s="3">
        <f t="shared" si="22"/>
        <v>560</v>
      </c>
      <c r="O305" s="3">
        <f t="shared" si="23"/>
        <v>9.2205939566852546</v>
      </c>
      <c r="P305" s="3" t="str">
        <f t="shared" si="24"/>
        <v>Feb</v>
      </c>
      <c r="Q305" s="3" t="str">
        <f t="shared" si="20"/>
        <v>low profit</v>
      </c>
    </row>
    <row r="306" spans="1:17" x14ac:dyDescent="0.25">
      <c r="A306" s="3" t="s">
        <v>1544</v>
      </c>
      <c r="B306" s="4">
        <v>45712</v>
      </c>
      <c r="C306" s="3" t="s">
        <v>2024</v>
      </c>
      <c r="D306" s="3" t="s">
        <v>2044</v>
      </c>
      <c r="E306" s="3" t="s">
        <v>2055</v>
      </c>
      <c r="F306" s="3" t="s">
        <v>2061</v>
      </c>
      <c r="G306" s="3">
        <v>7</v>
      </c>
      <c r="H306" s="3">
        <v>180</v>
      </c>
      <c r="I306" s="3">
        <v>243</v>
      </c>
      <c r="J306" s="3">
        <v>7.43</v>
      </c>
      <c r="K306" s="3">
        <v>1574.62</v>
      </c>
      <c r="L306" s="3">
        <v>314.62</v>
      </c>
      <c r="M306" s="3">
        <f t="shared" si="21"/>
        <v>12638.43</v>
      </c>
      <c r="N306" s="3">
        <f t="shared" si="22"/>
        <v>1260</v>
      </c>
      <c r="O306" s="3">
        <f t="shared" si="23"/>
        <v>19.980693754683671</v>
      </c>
      <c r="P306" s="3" t="str">
        <f t="shared" si="24"/>
        <v>Feb</v>
      </c>
      <c r="Q306" s="3" t="str">
        <f t="shared" si="20"/>
        <v>good profit</v>
      </c>
    </row>
    <row r="307" spans="1:17" x14ac:dyDescent="0.25">
      <c r="A307" s="3" t="s">
        <v>1715</v>
      </c>
      <c r="B307" s="4">
        <v>45712</v>
      </c>
      <c r="C307" s="3" t="s">
        <v>2027</v>
      </c>
      <c r="D307" s="3" t="s">
        <v>2047</v>
      </c>
      <c r="E307" s="3" t="s">
        <v>2053</v>
      </c>
      <c r="F307" s="3" t="s">
        <v>2060</v>
      </c>
      <c r="G307" s="3">
        <v>5</v>
      </c>
      <c r="H307" s="3">
        <v>1100</v>
      </c>
      <c r="I307" s="3">
        <v>1298</v>
      </c>
      <c r="J307" s="3">
        <v>16.87</v>
      </c>
      <c r="K307" s="3">
        <v>5394.86</v>
      </c>
      <c r="L307" s="3">
        <v>-105.14</v>
      </c>
      <c r="M307" s="3">
        <f t="shared" si="21"/>
        <v>109486.3</v>
      </c>
      <c r="N307" s="3">
        <f t="shared" si="22"/>
        <v>5500</v>
      </c>
      <c r="O307" s="3">
        <f t="shared" si="23"/>
        <v>-1.948892093585376</v>
      </c>
      <c r="P307" s="3" t="str">
        <f t="shared" si="24"/>
        <v>Feb</v>
      </c>
      <c r="Q307" s="3" t="str">
        <f t="shared" si="20"/>
        <v>loss</v>
      </c>
    </row>
    <row r="308" spans="1:17" x14ac:dyDescent="0.25">
      <c r="A308" s="3" t="s">
        <v>147</v>
      </c>
      <c r="B308" s="4">
        <v>45713</v>
      </c>
      <c r="C308" s="3" t="s">
        <v>2031</v>
      </c>
      <c r="D308" s="3" t="s">
        <v>2051</v>
      </c>
      <c r="E308" s="3" t="s">
        <v>2058</v>
      </c>
      <c r="F308" s="3" t="s">
        <v>2062</v>
      </c>
      <c r="G308" s="3">
        <v>7</v>
      </c>
      <c r="H308" s="3">
        <v>3200</v>
      </c>
      <c r="I308" s="3">
        <v>3840</v>
      </c>
      <c r="J308" s="3">
        <v>18.71</v>
      </c>
      <c r="K308" s="3">
        <v>21851.8</v>
      </c>
      <c r="L308" s="3">
        <v>-548.20000000000005</v>
      </c>
      <c r="M308" s="3">
        <f t="shared" si="21"/>
        <v>502924.80000000005</v>
      </c>
      <c r="N308" s="3">
        <f t="shared" si="22"/>
        <v>22400</v>
      </c>
      <c r="O308" s="3">
        <f t="shared" si="23"/>
        <v>-2.5087178172965157</v>
      </c>
      <c r="P308" s="3" t="str">
        <f t="shared" si="24"/>
        <v>Feb</v>
      </c>
      <c r="Q308" s="3" t="str">
        <f t="shared" si="20"/>
        <v>loss</v>
      </c>
    </row>
    <row r="309" spans="1:17" x14ac:dyDescent="0.25">
      <c r="A309" s="3" t="s">
        <v>1090</v>
      </c>
      <c r="B309" s="4">
        <v>45713</v>
      </c>
      <c r="C309" s="3" t="s">
        <v>2026</v>
      </c>
      <c r="D309" s="3" t="s">
        <v>2046</v>
      </c>
      <c r="E309" s="3" t="s">
        <v>2052</v>
      </c>
      <c r="F309" s="3" t="s">
        <v>2062</v>
      </c>
      <c r="G309" s="3">
        <v>1</v>
      </c>
      <c r="H309" s="3">
        <v>3000</v>
      </c>
      <c r="I309" s="3">
        <v>3600</v>
      </c>
      <c r="J309" s="3">
        <v>21.58</v>
      </c>
      <c r="K309" s="3">
        <v>2823.03</v>
      </c>
      <c r="L309" s="3">
        <v>-176.97</v>
      </c>
      <c r="M309" s="3">
        <f t="shared" si="21"/>
        <v>77688</v>
      </c>
      <c r="N309" s="3">
        <f t="shared" si="22"/>
        <v>3000</v>
      </c>
      <c r="O309" s="3">
        <f t="shared" si="23"/>
        <v>-6.2687962933443853</v>
      </c>
      <c r="P309" s="3" t="str">
        <f t="shared" si="24"/>
        <v>Feb</v>
      </c>
      <c r="Q309" s="3" t="str">
        <f t="shared" si="20"/>
        <v>loss</v>
      </c>
    </row>
    <row r="310" spans="1:17" x14ac:dyDescent="0.25">
      <c r="A310" s="3" t="s">
        <v>1419</v>
      </c>
      <c r="B310" s="4">
        <v>45713</v>
      </c>
      <c r="C310" s="3" t="s">
        <v>2017</v>
      </c>
      <c r="D310" s="3" t="s">
        <v>2037</v>
      </c>
      <c r="E310" s="3" t="s">
        <v>2055</v>
      </c>
      <c r="F310" s="3" t="s">
        <v>2059</v>
      </c>
      <c r="G310" s="3">
        <v>3</v>
      </c>
      <c r="H310" s="3">
        <v>2500</v>
      </c>
      <c r="I310" s="3">
        <v>2875</v>
      </c>
      <c r="J310" s="3">
        <v>8.31</v>
      </c>
      <c r="K310" s="3">
        <v>7908.21</v>
      </c>
      <c r="L310" s="3">
        <v>408.21</v>
      </c>
      <c r="M310" s="3">
        <f t="shared" si="21"/>
        <v>71673.75</v>
      </c>
      <c r="N310" s="3">
        <f t="shared" si="22"/>
        <v>7500</v>
      </c>
      <c r="O310" s="3">
        <f t="shared" si="23"/>
        <v>5.1618507854495519</v>
      </c>
      <c r="P310" s="3" t="str">
        <f t="shared" si="24"/>
        <v>Feb</v>
      </c>
      <c r="Q310" s="3" t="str">
        <f t="shared" si="20"/>
        <v>low profit</v>
      </c>
    </row>
    <row r="311" spans="1:17" x14ac:dyDescent="0.25">
      <c r="A311" s="3" t="s">
        <v>432</v>
      </c>
      <c r="B311" s="4">
        <v>45714</v>
      </c>
      <c r="C311" s="3" t="s">
        <v>2021</v>
      </c>
      <c r="D311" s="3" t="s">
        <v>2041</v>
      </c>
      <c r="E311" s="3" t="s">
        <v>2056</v>
      </c>
      <c r="F311" s="3" t="s">
        <v>2062</v>
      </c>
      <c r="G311" s="3">
        <v>5</v>
      </c>
      <c r="H311" s="3">
        <v>300</v>
      </c>
      <c r="I311" s="3">
        <v>405</v>
      </c>
      <c r="J311" s="3">
        <v>4.6500000000000004</v>
      </c>
      <c r="K311" s="3">
        <v>1930.8</v>
      </c>
      <c r="L311" s="3">
        <v>430.8</v>
      </c>
      <c r="M311" s="3">
        <f t="shared" si="21"/>
        <v>9416.25</v>
      </c>
      <c r="N311" s="3">
        <f t="shared" si="22"/>
        <v>1500</v>
      </c>
      <c r="O311" s="3">
        <f t="shared" si="23"/>
        <v>22.311995027967683</v>
      </c>
      <c r="P311" s="3" t="str">
        <f t="shared" si="24"/>
        <v>Feb</v>
      </c>
      <c r="Q311" s="3" t="str">
        <f t="shared" si="20"/>
        <v>good profit</v>
      </c>
    </row>
    <row r="312" spans="1:17" x14ac:dyDescent="0.25">
      <c r="A312" s="3" t="s">
        <v>538</v>
      </c>
      <c r="B312" s="4">
        <v>45714</v>
      </c>
      <c r="C312" s="3" t="s">
        <v>2031</v>
      </c>
      <c r="D312" s="3" t="s">
        <v>2051</v>
      </c>
      <c r="E312" s="3" t="s">
        <v>2058</v>
      </c>
      <c r="F312" s="3" t="s">
        <v>2062</v>
      </c>
      <c r="G312" s="3">
        <v>3</v>
      </c>
      <c r="H312" s="3">
        <v>3200</v>
      </c>
      <c r="I312" s="3">
        <v>3840</v>
      </c>
      <c r="J312" s="3">
        <v>26.76</v>
      </c>
      <c r="K312" s="3">
        <v>8436.74</v>
      </c>
      <c r="L312" s="3">
        <v>-1163.26</v>
      </c>
      <c r="M312" s="3">
        <f t="shared" si="21"/>
        <v>308275.20000000001</v>
      </c>
      <c r="N312" s="3">
        <f t="shared" si="22"/>
        <v>9600</v>
      </c>
      <c r="O312" s="3">
        <f t="shared" si="23"/>
        <v>-13.788027128962135</v>
      </c>
      <c r="P312" s="3" t="str">
        <f t="shared" si="24"/>
        <v>Feb</v>
      </c>
      <c r="Q312" s="3" t="str">
        <f t="shared" si="20"/>
        <v>loss</v>
      </c>
    </row>
    <row r="313" spans="1:17" x14ac:dyDescent="0.25">
      <c r="A313" s="3" t="s">
        <v>622</v>
      </c>
      <c r="B313" s="4">
        <v>45714</v>
      </c>
      <c r="C313" s="3" t="s">
        <v>2024</v>
      </c>
      <c r="D313" s="3" t="s">
        <v>2044</v>
      </c>
      <c r="E313" s="3" t="s">
        <v>2055</v>
      </c>
      <c r="F313" s="3" t="s">
        <v>2061</v>
      </c>
      <c r="G313" s="3">
        <v>6</v>
      </c>
      <c r="H313" s="3">
        <v>180</v>
      </c>
      <c r="I313" s="3">
        <v>243</v>
      </c>
      <c r="J313" s="3">
        <v>11.25</v>
      </c>
      <c r="K313" s="3">
        <v>1293.92</v>
      </c>
      <c r="L313" s="3">
        <v>213.92</v>
      </c>
      <c r="M313" s="3">
        <f t="shared" si="21"/>
        <v>16402.5</v>
      </c>
      <c r="N313" s="3">
        <f t="shared" si="22"/>
        <v>1080</v>
      </c>
      <c r="O313" s="3">
        <f t="shared" si="23"/>
        <v>16.532706813404229</v>
      </c>
      <c r="P313" s="3" t="str">
        <f t="shared" si="24"/>
        <v>Feb</v>
      </c>
      <c r="Q313" s="3" t="str">
        <f t="shared" si="20"/>
        <v>good profit</v>
      </c>
    </row>
    <row r="314" spans="1:17" x14ac:dyDescent="0.25">
      <c r="A314" s="3" t="s">
        <v>1273</v>
      </c>
      <c r="B314" s="4">
        <v>45714</v>
      </c>
      <c r="C314" s="3" t="s">
        <v>2029</v>
      </c>
      <c r="D314" s="3" t="s">
        <v>2049</v>
      </c>
      <c r="E314" s="3" t="s">
        <v>2055</v>
      </c>
      <c r="F314" s="3" t="s">
        <v>2059</v>
      </c>
      <c r="G314" s="3">
        <v>6</v>
      </c>
      <c r="H314" s="3">
        <v>1200</v>
      </c>
      <c r="I314" s="3">
        <v>1464</v>
      </c>
      <c r="J314" s="3">
        <v>8.7799999999999994</v>
      </c>
      <c r="K314" s="3">
        <v>8012.36</v>
      </c>
      <c r="L314" s="3">
        <v>812.36</v>
      </c>
      <c r="M314" s="3">
        <f t="shared" si="21"/>
        <v>77123.51999999999</v>
      </c>
      <c r="N314" s="3">
        <f t="shared" si="22"/>
        <v>7200</v>
      </c>
      <c r="O314" s="3">
        <f t="shared" si="23"/>
        <v>10.138835499153807</v>
      </c>
      <c r="P314" s="3" t="str">
        <f t="shared" si="24"/>
        <v>Feb</v>
      </c>
      <c r="Q314" s="3" t="str">
        <f t="shared" si="20"/>
        <v>good profit</v>
      </c>
    </row>
    <row r="315" spans="1:17" x14ac:dyDescent="0.25">
      <c r="A315" s="3" t="s">
        <v>1609</v>
      </c>
      <c r="B315" s="4">
        <v>45714</v>
      </c>
      <c r="C315" s="3" t="s">
        <v>2026</v>
      </c>
      <c r="D315" s="3" t="s">
        <v>2046</v>
      </c>
      <c r="E315" s="3" t="s">
        <v>2052</v>
      </c>
      <c r="F315" s="3" t="s">
        <v>2059</v>
      </c>
      <c r="G315" s="3">
        <v>10</v>
      </c>
      <c r="H315" s="3">
        <v>3000</v>
      </c>
      <c r="I315" s="3">
        <v>3600</v>
      </c>
      <c r="J315" s="3">
        <v>19.82</v>
      </c>
      <c r="K315" s="3">
        <v>28863.79</v>
      </c>
      <c r="L315" s="3">
        <v>-1136.21</v>
      </c>
      <c r="M315" s="3">
        <f t="shared" si="21"/>
        <v>713520</v>
      </c>
      <c r="N315" s="3">
        <f t="shared" si="22"/>
        <v>30000</v>
      </c>
      <c r="O315" s="3">
        <f t="shared" si="23"/>
        <v>-3.9364546374540557</v>
      </c>
      <c r="P315" s="3" t="str">
        <f t="shared" si="24"/>
        <v>Feb</v>
      </c>
      <c r="Q315" s="3" t="str">
        <f t="shared" si="20"/>
        <v>loss</v>
      </c>
    </row>
    <row r="316" spans="1:17" x14ac:dyDescent="0.25">
      <c r="A316" s="3" t="s">
        <v>1980</v>
      </c>
      <c r="B316" s="4">
        <v>45714</v>
      </c>
      <c r="C316" s="3" t="s">
        <v>2016</v>
      </c>
      <c r="D316" s="3" t="s">
        <v>2036</v>
      </c>
      <c r="E316" s="3" t="s">
        <v>2052</v>
      </c>
      <c r="F316" s="3" t="s">
        <v>2061</v>
      </c>
      <c r="G316" s="3">
        <v>9</v>
      </c>
      <c r="H316" s="3">
        <v>900</v>
      </c>
      <c r="I316" s="3">
        <v>1170</v>
      </c>
      <c r="J316" s="3">
        <v>10.73</v>
      </c>
      <c r="K316" s="3">
        <v>9400.33</v>
      </c>
      <c r="L316" s="3">
        <v>1300.33</v>
      </c>
      <c r="M316" s="3">
        <f t="shared" si="21"/>
        <v>112986.90000000001</v>
      </c>
      <c r="N316" s="3">
        <f t="shared" si="22"/>
        <v>8100</v>
      </c>
      <c r="O316" s="3">
        <f t="shared" si="23"/>
        <v>13.832812252335822</v>
      </c>
      <c r="P316" s="3" t="str">
        <f t="shared" si="24"/>
        <v>Feb</v>
      </c>
      <c r="Q316" s="3" t="str">
        <f t="shared" si="20"/>
        <v>good profit</v>
      </c>
    </row>
    <row r="317" spans="1:17" x14ac:dyDescent="0.25">
      <c r="A317" s="3" t="s">
        <v>2010</v>
      </c>
      <c r="B317" s="4">
        <v>45714</v>
      </c>
      <c r="C317" s="3" t="s">
        <v>2019</v>
      </c>
      <c r="D317" s="3" t="s">
        <v>2039</v>
      </c>
      <c r="E317" s="3" t="s">
        <v>2053</v>
      </c>
      <c r="F317" s="3" t="s">
        <v>2060</v>
      </c>
      <c r="G317" s="3">
        <v>9</v>
      </c>
      <c r="H317" s="3">
        <v>900</v>
      </c>
      <c r="I317" s="3">
        <v>1152</v>
      </c>
      <c r="J317" s="3">
        <v>13.1</v>
      </c>
      <c r="K317" s="3">
        <v>9010.18</v>
      </c>
      <c r="L317" s="3">
        <v>910.18</v>
      </c>
      <c r="M317" s="3">
        <f t="shared" si="21"/>
        <v>135820.79999999999</v>
      </c>
      <c r="N317" s="3">
        <f t="shared" si="22"/>
        <v>8100</v>
      </c>
      <c r="O317" s="3">
        <f t="shared" si="23"/>
        <v>10.10168498298591</v>
      </c>
      <c r="P317" s="3" t="str">
        <f t="shared" si="24"/>
        <v>Feb</v>
      </c>
      <c r="Q317" s="3" t="str">
        <f t="shared" si="20"/>
        <v>good profit</v>
      </c>
    </row>
    <row r="318" spans="1:17" x14ac:dyDescent="0.25">
      <c r="A318" s="3" t="s">
        <v>655</v>
      </c>
      <c r="B318" s="4">
        <v>45715</v>
      </c>
      <c r="C318" s="3" t="s">
        <v>2012</v>
      </c>
      <c r="D318" s="3" t="s">
        <v>2032</v>
      </c>
      <c r="E318" s="3" t="s">
        <v>2052</v>
      </c>
      <c r="F318" s="3" t="s">
        <v>2059</v>
      </c>
      <c r="G318" s="3">
        <v>4</v>
      </c>
      <c r="H318" s="3">
        <v>6500</v>
      </c>
      <c r="I318" s="3">
        <v>8125</v>
      </c>
      <c r="J318" s="3">
        <v>4</v>
      </c>
      <c r="K318" s="3">
        <v>31200</v>
      </c>
      <c r="L318" s="3">
        <v>5200</v>
      </c>
      <c r="M318" s="3">
        <f t="shared" si="21"/>
        <v>130000</v>
      </c>
      <c r="N318" s="3">
        <f t="shared" si="22"/>
        <v>26000</v>
      </c>
      <c r="O318" s="3">
        <f t="shared" si="23"/>
        <v>16.666666666666664</v>
      </c>
      <c r="P318" s="3" t="str">
        <f t="shared" si="24"/>
        <v>Feb</v>
      </c>
      <c r="Q318" s="3" t="str">
        <f t="shared" si="20"/>
        <v>good profit</v>
      </c>
    </row>
    <row r="319" spans="1:17" x14ac:dyDescent="0.25">
      <c r="A319" s="3" t="s">
        <v>1758</v>
      </c>
      <c r="B319" s="4">
        <v>45715</v>
      </c>
      <c r="C319" s="3" t="s">
        <v>2012</v>
      </c>
      <c r="D319" s="3" t="s">
        <v>2032</v>
      </c>
      <c r="E319" s="3" t="s">
        <v>2052</v>
      </c>
      <c r="F319" s="3" t="s">
        <v>2062</v>
      </c>
      <c r="G319" s="3">
        <v>6</v>
      </c>
      <c r="H319" s="3">
        <v>6500</v>
      </c>
      <c r="I319" s="3">
        <v>8125</v>
      </c>
      <c r="J319" s="3">
        <v>15</v>
      </c>
      <c r="K319" s="3">
        <v>41437.32</v>
      </c>
      <c r="L319" s="3">
        <v>2437.3200000000002</v>
      </c>
      <c r="M319" s="3">
        <f t="shared" si="21"/>
        <v>731250</v>
      </c>
      <c r="N319" s="3">
        <f t="shared" si="22"/>
        <v>39000</v>
      </c>
      <c r="O319" s="3">
        <f t="shared" si="23"/>
        <v>5.8819441025626178</v>
      </c>
      <c r="P319" s="3" t="str">
        <f t="shared" si="24"/>
        <v>Feb</v>
      </c>
      <c r="Q319" s="3" t="str">
        <f t="shared" si="20"/>
        <v>low profit</v>
      </c>
    </row>
    <row r="320" spans="1:17" x14ac:dyDescent="0.25">
      <c r="A320" s="3" t="s">
        <v>633</v>
      </c>
      <c r="B320" s="4">
        <v>45716</v>
      </c>
      <c r="C320" s="3" t="s">
        <v>2027</v>
      </c>
      <c r="D320" s="3" t="s">
        <v>2047</v>
      </c>
      <c r="E320" s="3" t="s">
        <v>2053</v>
      </c>
      <c r="F320" s="3" t="s">
        <v>2062</v>
      </c>
      <c r="G320" s="3">
        <v>1</v>
      </c>
      <c r="H320" s="3">
        <v>1100</v>
      </c>
      <c r="I320" s="3">
        <v>1298</v>
      </c>
      <c r="J320" s="3">
        <v>10.199999999999999</v>
      </c>
      <c r="K320" s="3">
        <v>1165.57</v>
      </c>
      <c r="L320" s="3">
        <v>65.569999999999993</v>
      </c>
      <c r="M320" s="3">
        <f t="shared" si="21"/>
        <v>13239.599999999999</v>
      </c>
      <c r="N320" s="3">
        <f t="shared" si="22"/>
        <v>1100</v>
      </c>
      <c r="O320" s="3">
        <f t="shared" si="23"/>
        <v>5.6255737536141108</v>
      </c>
      <c r="P320" s="3" t="str">
        <f t="shared" si="24"/>
        <v>Feb</v>
      </c>
      <c r="Q320" s="3" t="str">
        <f t="shared" si="20"/>
        <v>low profit</v>
      </c>
    </row>
    <row r="321" spans="1:17" x14ac:dyDescent="0.25">
      <c r="A321" s="3" t="s">
        <v>721</v>
      </c>
      <c r="B321" s="4">
        <v>45716</v>
      </c>
      <c r="C321" s="3" t="s">
        <v>2025</v>
      </c>
      <c r="D321" s="3" t="s">
        <v>2045</v>
      </c>
      <c r="E321" s="3" t="s">
        <v>2057</v>
      </c>
      <c r="F321" s="3" t="s">
        <v>2060</v>
      </c>
      <c r="G321" s="3">
        <v>1</v>
      </c>
      <c r="H321" s="3">
        <v>45</v>
      </c>
      <c r="I321" s="3">
        <v>63</v>
      </c>
      <c r="J321" s="3">
        <v>5.7</v>
      </c>
      <c r="K321" s="3">
        <v>59.41</v>
      </c>
      <c r="L321" s="3">
        <v>14.41</v>
      </c>
      <c r="M321" s="3">
        <f t="shared" si="21"/>
        <v>359.1</v>
      </c>
      <c r="N321" s="3">
        <f t="shared" si="22"/>
        <v>45</v>
      </c>
      <c r="O321" s="3">
        <f t="shared" si="23"/>
        <v>24.255175896313755</v>
      </c>
      <c r="P321" s="3" t="str">
        <f t="shared" si="24"/>
        <v>Feb</v>
      </c>
      <c r="Q321" s="3" t="str">
        <f t="shared" si="20"/>
        <v>good profit</v>
      </c>
    </row>
    <row r="322" spans="1:17" x14ac:dyDescent="0.25">
      <c r="A322" s="3" t="s">
        <v>973</v>
      </c>
      <c r="B322" s="4">
        <v>45716</v>
      </c>
      <c r="C322" s="3" t="s">
        <v>2014</v>
      </c>
      <c r="D322" s="3" t="s">
        <v>2034</v>
      </c>
      <c r="E322" s="3" t="s">
        <v>2052</v>
      </c>
      <c r="F322" s="3" t="s">
        <v>2062</v>
      </c>
      <c r="G322" s="3">
        <v>8</v>
      </c>
      <c r="H322" s="3">
        <v>4500</v>
      </c>
      <c r="I322" s="3">
        <v>5220</v>
      </c>
      <c r="J322" s="3">
        <v>20.54</v>
      </c>
      <c r="K322" s="3">
        <v>33184.07</v>
      </c>
      <c r="L322" s="3">
        <v>-2815.93</v>
      </c>
      <c r="M322" s="3">
        <f t="shared" si="21"/>
        <v>857750.39999999991</v>
      </c>
      <c r="N322" s="3">
        <f t="shared" si="22"/>
        <v>36000</v>
      </c>
      <c r="O322" s="3">
        <f t="shared" si="23"/>
        <v>-8.4857885123795835</v>
      </c>
      <c r="P322" s="3" t="str">
        <f t="shared" si="24"/>
        <v>Feb</v>
      </c>
      <c r="Q322" s="3" t="str">
        <f t="shared" ref="Q322:Q385" si="25">IF(L322&lt;0,"loss",IF(O322&lt;10,"low profit","good profit"))</f>
        <v>loss</v>
      </c>
    </row>
    <row r="323" spans="1:17" x14ac:dyDescent="0.25">
      <c r="A323" s="3" t="s">
        <v>1141</v>
      </c>
      <c r="B323" s="4">
        <v>45716</v>
      </c>
      <c r="C323" s="3" t="s">
        <v>2015</v>
      </c>
      <c r="D323" s="3" t="s">
        <v>2035</v>
      </c>
      <c r="E323" s="3" t="s">
        <v>2054</v>
      </c>
      <c r="F323" s="3" t="s">
        <v>2061</v>
      </c>
      <c r="G323" s="3">
        <v>7</v>
      </c>
      <c r="H323" s="3">
        <v>900</v>
      </c>
      <c r="I323" s="3">
        <v>1170</v>
      </c>
      <c r="J323" s="3">
        <v>9.7200000000000006</v>
      </c>
      <c r="K323" s="3">
        <v>7394.26</v>
      </c>
      <c r="L323" s="3">
        <v>1094.26</v>
      </c>
      <c r="M323" s="3">
        <f t="shared" ref="M323:M386" si="26">G323*I323*J323</f>
        <v>79606.8</v>
      </c>
      <c r="N323" s="3">
        <f t="shared" ref="N323:N386" si="27">G323*H323</f>
        <v>6300</v>
      </c>
      <c r="O323" s="3">
        <f t="shared" ref="O323:O386" si="28">IFERROR(L323/K323*100,0)</f>
        <v>14.798776348140313</v>
      </c>
      <c r="P323" s="3" t="str">
        <f t="shared" ref="P323:P386" si="29">TEXT(B323,"mmm")</f>
        <v>Feb</v>
      </c>
      <c r="Q323" s="3" t="str">
        <f t="shared" si="25"/>
        <v>good profit</v>
      </c>
    </row>
    <row r="324" spans="1:17" x14ac:dyDescent="0.25">
      <c r="A324" s="3" t="s">
        <v>1374</v>
      </c>
      <c r="B324" s="4">
        <v>45716</v>
      </c>
      <c r="C324" s="3" t="s">
        <v>2016</v>
      </c>
      <c r="D324" s="3" t="s">
        <v>2036</v>
      </c>
      <c r="E324" s="3" t="s">
        <v>2052</v>
      </c>
      <c r="F324" s="3" t="s">
        <v>2062</v>
      </c>
      <c r="G324" s="3">
        <v>3</v>
      </c>
      <c r="H324" s="3">
        <v>900</v>
      </c>
      <c r="I324" s="3">
        <v>1170</v>
      </c>
      <c r="J324" s="3">
        <v>11.88</v>
      </c>
      <c r="K324" s="3">
        <v>3092.9</v>
      </c>
      <c r="L324" s="3">
        <v>392.9</v>
      </c>
      <c r="M324" s="3">
        <f t="shared" si="26"/>
        <v>41698.800000000003</v>
      </c>
      <c r="N324" s="3">
        <f t="shared" si="27"/>
        <v>2700</v>
      </c>
      <c r="O324" s="3">
        <f t="shared" si="28"/>
        <v>12.703288176145364</v>
      </c>
      <c r="P324" s="3" t="str">
        <f t="shared" si="29"/>
        <v>Feb</v>
      </c>
      <c r="Q324" s="3" t="str">
        <f t="shared" si="25"/>
        <v>good profit</v>
      </c>
    </row>
    <row r="325" spans="1:17" x14ac:dyDescent="0.25">
      <c r="A325" s="3" t="s">
        <v>1564</v>
      </c>
      <c r="B325" s="4">
        <v>45716</v>
      </c>
      <c r="C325" s="3" t="s">
        <v>2026</v>
      </c>
      <c r="D325" s="3" t="s">
        <v>2046</v>
      </c>
      <c r="E325" s="3" t="s">
        <v>2052</v>
      </c>
      <c r="F325" s="3" t="s">
        <v>2060</v>
      </c>
      <c r="G325" s="3">
        <v>5</v>
      </c>
      <c r="H325" s="3">
        <v>3000</v>
      </c>
      <c r="I325" s="3">
        <v>3600</v>
      </c>
      <c r="J325" s="3">
        <v>4.5599999999999996</v>
      </c>
      <c r="K325" s="3">
        <v>17179.68</v>
      </c>
      <c r="L325" s="3">
        <v>2179.6799999999998</v>
      </c>
      <c r="M325" s="3">
        <f t="shared" si="26"/>
        <v>82080</v>
      </c>
      <c r="N325" s="3">
        <f t="shared" si="27"/>
        <v>15000</v>
      </c>
      <c r="O325" s="3">
        <f t="shared" si="28"/>
        <v>12.687547148724537</v>
      </c>
      <c r="P325" s="3" t="str">
        <f t="shared" si="29"/>
        <v>Feb</v>
      </c>
      <c r="Q325" s="3" t="str">
        <f t="shared" si="25"/>
        <v>good profit</v>
      </c>
    </row>
    <row r="326" spans="1:17" x14ac:dyDescent="0.25">
      <c r="A326" s="3" t="s">
        <v>1589</v>
      </c>
      <c r="B326" s="4">
        <v>45716</v>
      </c>
      <c r="C326" s="3" t="s">
        <v>2024</v>
      </c>
      <c r="D326" s="3" t="s">
        <v>2044</v>
      </c>
      <c r="E326" s="3" t="s">
        <v>2055</v>
      </c>
      <c r="F326" s="3" t="s">
        <v>2062</v>
      </c>
      <c r="G326" s="3">
        <v>2</v>
      </c>
      <c r="H326" s="3">
        <v>180</v>
      </c>
      <c r="I326" s="3">
        <v>243</v>
      </c>
      <c r="J326" s="3">
        <v>7.44</v>
      </c>
      <c r="K326" s="3">
        <v>449.83</v>
      </c>
      <c r="L326" s="3">
        <v>89.83</v>
      </c>
      <c r="M326" s="3">
        <f t="shared" si="26"/>
        <v>3615.84</v>
      </c>
      <c r="N326" s="3">
        <f t="shared" si="27"/>
        <v>360</v>
      </c>
      <c r="O326" s="3">
        <f t="shared" si="28"/>
        <v>19.969766356179001</v>
      </c>
      <c r="P326" s="3" t="str">
        <f t="shared" si="29"/>
        <v>Feb</v>
      </c>
      <c r="Q326" s="3" t="str">
        <f t="shared" si="25"/>
        <v>good profit</v>
      </c>
    </row>
    <row r="327" spans="1:17" x14ac:dyDescent="0.25">
      <c r="A327" s="3" t="s">
        <v>1677</v>
      </c>
      <c r="B327" s="4">
        <v>45716</v>
      </c>
      <c r="C327" s="3" t="s">
        <v>2025</v>
      </c>
      <c r="D327" s="3" t="s">
        <v>2045</v>
      </c>
      <c r="E327" s="3" t="s">
        <v>2057</v>
      </c>
      <c r="F327" s="3" t="s">
        <v>2062</v>
      </c>
      <c r="G327" s="3">
        <v>6</v>
      </c>
      <c r="H327" s="3">
        <v>45</v>
      </c>
      <c r="I327" s="3">
        <v>63</v>
      </c>
      <c r="J327" s="3">
        <v>17.649999999999999</v>
      </c>
      <c r="K327" s="3">
        <v>311.29000000000002</v>
      </c>
      <c r="L327" s="3">
        <v>41.29</v>
      </c>
      <c r="M327" s="3">
        <f t="shared" si="26"/>
        <v>6671.7</v>
      </c>
      <c r="N327" s="3">
        <f t="shared" si="27"/>
        <v>270</v>
      </c>
      <c r="O327" s="3">
        <f t="shared" si="28"/>
        <v>13.264158822962511</v>
      </c>
      <c r="P327" s="3" t="str">
        <f t="shared" si="29"/>
        <v>Feb</v>
      </c>
      <c r="Q327" s="3" t="str">
        <f t="shared" si="25"/>
        <v>good profit</v>
      </c>
    </row>
    <row r="328" spans="1:17" x14ac:dyDescent="0.25">
      <c r="A328" s="3" t="s">
        <v>1868</v>
      </c>
      <c r="B328" s="4">
        <v>45716</v>
      </c>
      <c r="C328" s="3" t="s">
        <v>2030</v>
      </c>
      <c r="D328" s="3" t="s">
        <v>2050</v>
      </c>
      <c r="E328" s="3" t="s">
        <v>2058</v>
      </c>
      <c r="F328" s="3" t="s">
        <v>2062</v>
      </c>
      <c r="G328" s="3">
        <v>7</v>
      </c>
      <c r="H328" s="3">
        <v>1800</v>
      </c>
      <c r="I328" s="3">
        <v>2124</v>
      </c>
      <c r="J328" s="3">
        <v>19.309999999999999</v>
      </c>
      <c r="K328" s="3">
        <v>11997.4</v>
      </c>
      <c r="L328" s="3">
        <v>-602.6</v>
      </c>
      <c r="M328" s="3">
        <f t="shared" si="26"/>
        <v>287101.07999999996</v>
      </c>
      <c r="N328" s="3">
        <f t="shared" si="27"/>
        <v>12600</v>
      </c>
      <c r="O328" s="3">
        <f t="shared" si="28"/>
        <v>-5.0227549302348846</v>
      </c>
      <c r="P328" s="3" t="str">
        <f t="shared" si="29"/>
        <v>Feb</v>
      </c>
      <c r="Q328" s="3" t="str">
        <f t="shared" si="25"/>
        <v>loss</v>
      </c>
    </row>
    <row r="329" spans="1:17" x14ac:dyDescent="0.25">
      <c r="A329" s="3" t="s">
        <v>1984</v>
      </c>
      <c r="B329" s="4">
        <v>45716</v>
      </c>
      <c r="C329" s="3" t="s">
        <v>2019</v>
      </c>
      <c r="D329" s="3" t="s">
        <v>2039</v>
      </c>
      <c r="E329" s="3" t="s">
        <v>2053</v>
      </c>
      <c r="F329" s="3" t="s">
        <v>2059</v>
      </c>
      <c r="G329" s="3">
        <v>3</v>
      </c>
      <c r="H329" s="3">
        <v>900</v>
      </c>
      <c r="I329" s="3">
        <v>1152</v>
      </c>
      <c r="J329" s="3">
        <v>7.17</v>
      </c>
      <c r="K329" s="3">
        <v>3208.16</v>
      </c>
      <c r="L329" s="3">
        <v>508.16</v>
      </c>
      <c r="M329" s="3">
        <f t="shared" si="26"/>
        <v>24779.52</v>
      </c>
      <c r="N329" s="3">
        <f t="shared" si="27"/>
        <v>2700</v>
      </c>
      <c r="O329" s="3">
        <f t="shared" si="28"/>
        <v>15.839608997057505</v>
      </c>
      <c r="P329" s="3" t="str">
        <f t="shared" si="29"/>
        <v>Feb</v>
      </c>
      <c r="Q329" s="3" t="str">
        <f t="shared" si="25"/>
        <v>good profit</v>
      </c>
    </row>
    <row r="330" spans="1:17" x14ac:dyDescent="0.25">
      <c r="A330" s="3" t="s">
        <v>137</v>
      </c>
      <c r="B330" s="4">
        <v>45717</v>
      </c>
      <c r="C330" s="3" t="s">
        <v>2012</v>
      </c>
      <c r="D330" s="3" t="s">
        <v>2032</v>
      </c>
      <c r="E330" s="3" t="s">
        <v>2052</v>
      </c>
      <c r="F330" s="3" t="s">
        <v>2060</v>
      </c>
      <c r="G330" s="3">
        <v>1</v>
      </c>
      <c r="H330" s="3">
        <v>6500</v>
      </c>
      <c r="I330" s="3">
        <v>8125</v>
      </c>
      <c r="J330" s="3">
        <v>23.1</v>
      </c>
      <c r="K330" s="3">
        <v>6247.84</v>
      </c>
      <c r="L330" s="3">
        <v>-252.16</v>
      </c>
      <c r="M330" s="3">
        <f t="shared" si="26"/>
        <v>187687.5</v>
      </c>
      <c r="N330" s="3">
        <f t="shared" si="27"/>
        <v>6500</v>
      </c>
      <c r="O330" s="3">
        <f t="shared" si="28"/>
        <v>-4.0359548259878615</v>
      </c>
      <c r="P330" s="3" t="str">
        <f t="shared" si="29"/>
        <v>Mar</v>
      </c>
      <c r="Q330" s="3" t="str">
        <f t="shared" si="25"/>
        <v>loss</v>
      </c>
    </row>
    <row r="331" spans="1:17" x14ac:dyDescent="0.25">
      <c r="A331" s="3" t="s">
        <v>229</v>
      </c>
      <c r="B331" s="4">
        <v>45717</v>
      </c>
      <c r="C331" s="3" t="s">
        <v>2026</v>
      </c>
      <c r="D331" s="3" t="s">
        <v>2046</v>
      </c>
      <c r="E331" s="3" t="s">
        <v>2052</v>
      </c>
      <c r="F331" s="3" t="s">
        <v>2062</v>
      </c>
      <c r="G331" s="3">
        <v>10</v>
      </c>
      <c r="H331" s="3">
        <v>3000</v>
      </c>
      <c r="I331" s="3">
        <v>3600</v>
      </c>
      <c r="J331" s="3">
        <v>12.27</v>
      </c>
      <c r="K331" s="3">
        <v>31583.27</v>
      </c>
      <c r="L331" s="3">
        <v>1583.27</v>
      </c>
      <c r="M331" s="3">
        <f t="shared" si="26"/>
        <v>441720</v>
      </c>
      <c r="N331" s="3">
        <f t="shared" si="27"/>
        <v>30000</v>
      </c>
      <c r="O331" s="3">
        <f t="shared" si="28"/>
        <v>5.0130021368908286</v>
      </c>
      <c r="P331" s="3" t="str">
        <f t="shared" si="29"/>
        <v>Mar</v>
      </c>
      <c r="Q331" s="3" t="str">
        <f t="shared" si="25"/>
        <v>low profit</v>
      </c>
    </row>
    <row r="332" spans="1:17" x14ac:dyDescent="0.25">
      <c r="A332" s="3" t="s">
        <v>453</v>
      </c>
      <c r="B332" s="4">
        <v>45717</v>
      </c>
      <c r="C332" s="3" t="s">
        <v>2012</v>
      </c>
      <c r="D332" s="3" t="s">
        <v>2032</v>
      </c>
      <c r="E332" s="3" t="s">
        <v>2052</v>
      </c>
      <c r="F332" s="3" t="s">
        <v>2059</v>
      </c>
      <c r="G332" s="3">
        <v>6</v>
      </c>
      <c r="H332" s="3">
        <v>6500</v>
      </c>
      <c r="I332" s="3">
        <v>8125</v>
      </c>
      <c r="J332" s="3">
        <v>7.21</v>
      </c>
      <c r="K332" s="3">
        <v>45236.07</v>
      </c>
      <c r="L332" s="3">
        <v>6236.07</v>
      </c>
      <c r="M332" s="3">
        <f t="shared" si="26"/>
        <v>351487.5</v>
      </c>
      <c r="N332" s="3">
        <f t="shared" si="27"/>
        <v>39000</v>
      </c>
      <c r="O332" s="3">
        <f t="shared" si="28"/>
        <v>13.785614002277386</v>
      </c>
      <c r="P332" s="3" t="str">
        <f t="shared" si="29"/>
        <v>Mar</v>
      </c>
      <c r="Q332" s="3" t="str">
        <f t="shared" si="25"/>
        <v>good profit</v>
      </c>
    </row>
    <row r="333" spans="1:17" x14ac:dyDescent="0.25">
      <c r="A333" s="3" t="s">
        <v>738</v>
      </c>
      <c r="B333" s="4">
        <v>45717</v>
      </c>
      <c r="C333" s="3" t="s">
        <v>2018</v>
      </c>
      <c r="D333" s="3" t="s">
        <v>2038</v>
      </c>
      <c r="E333" s="3" t="s">
        <v>2053</v>
      </c>
      <c r="F333" s="3" t="s">
        <v>2061</v>
      </c>
      <c r="G333" s="3">
        <v>2</v>
      </c>
      <c r="H333" s="3">
        <v>500</v>
      </c>
      <c r="I333" s="3">
        <v>610</v>
      </c>
      <c r="J333" s="3">
        <v>17.27</v>
      </c>
      <c r="K333" s="3">
        <v>1009.27</v>
      </c>
      <c r="L333" s="3">
        <v>9.27</v>
      </c>
      <c r="M333" s="3">
        <f t="shared" si="26"/>
        <v>21069.399999999998</v>
      </c>
      <c r="N333" s="3">
        <f t="shared" si="27"/>
        <v>1000</v>
      </c>
      <c r="O333" s="3">
        <f t="shared" si="28"/>
        <v>0.91848563813449324</v>
      </c>
      <c r="P333" s="3" t="str">
        <f t="shared" si="29"/>
        <v>Mar</v>
      </c>
      <c r="Q333" s="3" t="str">
        <f t="shared" si="25"/>
        <v>low profit</v>
      </c>
    </row>
    <row r="334" spans="1:17" x14ac:dyDescent="0.25">
      <c r="A334" s="3" t="s">
        <v>497</v>
      </c>
      <c r="B334" s="4">
        <v>45718</v>
      </c>
      <c r="C334" s="3" t="s">
        <v>2019</v>
      </c>
      <c r="D334" s="3" t="s">
        <v>2039</v>
      </c>
      <c r="E334" s="3" t="s">
        <v>2053</v>
      </c>
      <c r="F334" s="3" t="s">
        <v>2062</v>
      </c>
      <c r="G334" s="3">
        <v>4</v>
      </c>
      <c r="H334" s="3">
        <v>900</v>
      </c>
      <c r="I334" s="3">
        <v>1152</v>
      </c>
      <c r="J334" s="3">
        <v>8.57</v>
      </c>
      <c r="K334" s="3">
        <v>4213.2</v>
      </c>
      <c r="L334" s="3">
        <v>613.20000000000005</v>
      </c>
      <c r="M334" s="3">
        <f t="shared" si="26"/>
        <v>39490.559999999998</v>
      </c>
      <c r="N334" s="3">
        <f t="shared" si="27"/>
        <v>3600</v>
      </c>
      <c r="O334" s="3">
        <f t="shared" si="28"/>
        <v>14.554258046140703</v>
      </c>
      <c r="P334" s="3" t="str">
        <f t="shared" si="29"/>
        <v>Mar</v>
      </c>
      <c r="Q334" s="3" t="str">
        <f t="shared" si="25"/>
        <v>good profit</v>
      </c>
    </row>
    <row r="335" spans="1:17" x14ac:dyDescent="0.25">
      <c r="A335" s="3" t="s">
        <v>603</v>
      </c>
      <c r="B335" s="4">
        <v>45718</v>
      </c>
      <c r="C335" s="3" t="s">
        <v>2031</v>
      </c>
      <c r="D335" s="3" t="s">
        <v>2051</v>
      </c>
      <c r="E335" s="3" t="s">
        <v>2058</v>
      </c>
      <c r="F335" s="3" t="s">
        <v>2059</v>
      </c>
      <c r="G335" s="3">
        <v>8</v>
      </c>
      <c r="H335" s="3">
        <v>3200</v>
      </c>
      <c r="I335" s="3">
        <v>3840</v>
      </c>
      <c r="J335" s="3">
        <v>9.7799999999999994</v>
      </c>
      <c r="K335" s="3">
        <v>27714.6</v>
      </c>
      <c r="L335" s="3">
        <v>2114.6</v>
      </c>
      <c r="M335" s="3">
        <f t="shared" si="26"/>
        <v>300441.59999999998</v>
      </c>
      <c r="N335" s="3">
        <f t="shared" si="27"/>
        <v>25600</v>
      </c>
      <c r="O335" s="3">
        <f t="shared" si="28"/>
        <v>7.6299134752080127</v>
      </c>
      <c r="P335" s="3" t="str">
        <f t="shared" si="29"/>
        <v>Mar</v>
      </c>
      <c r="Q335" s="3" t="str">
        <f t="shared" si="25"/>
        <v>low profit</v>
      </c>
    </row>
    <row r="336" spans="1:17" x14ac:dyDescent="0.25">
      <c r="A336" s="3" t="s">
        <v>604</v>
      </c>
      <c r="B336" s="4">
        <v>45718</v>
      </c>
      <c r="C336" s="3" t="s">
        <v>2030</v>
      </c>
      <c r="D336" s="3" t="s">
        <v>2050</v>
      </c>
      <c r="E336" s="3" t="s">
        <v>2058</v>
      </c>
      <c r="F336" s="3" t="s">
        <v>2059</v>
      </c>
      <c r="G336" s="3">
        <v>7</v>
      </c>
      <c r="H336" s="3">
        <v>1800</v>
      </c>
      <c r="I336" s="3">
        <v>2124</v>
      </c>
      <c r="J336" s="3">
        <v>14.6</v>
      </c>
      <c r="K336" s="3">
        <v>12697.89</v>
      </c>
      <c r="L336" s="3">
        <v>97.89</v>
      </c>
      <c r="M336" s="3">
        <f t="shared" si="26"/>
        <v>217072.8</v>
      </c>
      <c r="N336" s="3">
        <f t="shared" si="27"/>
        <v>12600</v>
      </c>
      <c r="O336" s="3">
        <f t="shared" si="28"/>
        <v>0.77091548280856115</v>
      </c>
      <c r="P336" s="3" t="str">
        <f t="shared" si="29"/>
        <v>Mar</v>
      </c>
      <c r="Q336" s="3" t="str">
        <f t="shared" si="25"/>
        <v>low profit</v>
      </c>
    </row>
    <row r="337" spans="1:17" x14ac:dyDescent="0.25">
      <c r="A337" s="3" t="s">
        <v>929</v>
      </c>
      <c r="B337" s="4">
        <v>45718</v>
      </c>
      <c r="C337" s="3" t="s">
        <v>2023</v>
      </c>
      <c r="D337" s="3" t="s">
        <v>2043</v>
      </c>
      <c r="E337" s="3" t="s">
        <v>2053</v>
      </c>
      <c r="F337" s="3" t="s">
        <v>2059</v>
      </c>
      <c r="G337" s="3">
        <v>2</v>
      </c>
      <c r="H337" s="3">
        <v>550</v>
      </c>
      <c r="I337" s="3">
        <v>742.5</v>
      </c>
      <c r="J337" s="3">
        <v>5.41</v>
      </c>
      <c r="K337" s="3">
        <v>1404.63</v>
      </c>
      <c r="L337" s="3">
        <v>304.63</v>
      </c>
      <c r="M337" s="3">
        <f t="shared" si="26"/>
        <v>8033.85</v>
      </c>
      <c r="N337" s="3">
        <f t="shared" si="27"/>
        <v>1100</v>
      </c>
      <c r="O337" s="3">
        <f t="shared" si="28"/>
        <v>21.687561849027855</v>
      </c>
      <c r="P337" s="3" t="str">
        <f t="shared" si="29"/>
        <v>Mar</v>
      </c>
      <c r="Q337" s="3" t="str">
        <f t="shared" si="25"/>
        <v>good profit</v>
      </c>
    </row>
    <row r="338" spans="1:17" x14ac:dyDescent="0.25">
      <c r="A338" s="3" t="s">
        <v>1317</v>
      </c>
      <c r="B338" s="4">
        <v>45718</v>
      </c>
      <c r="C338" s="3" t="s">
        <v>2027</v>
      </c>
      <c r="D338" s="3" t="s">
        <v>2047</v>
      </c>
      <c r="E338" s="3" t="s">
        <v>2053</v>
      </c>
      <c r="F338" s="3" t="s">
        <v>2060</v>
      </c>
      <c r="G338" s="3">
        <v>6</v>
      </c>
      <c r="H338" s="3">
        <v>1100</v>
      </c>
      <c r="I338" s="3">
        <v>1298</v>
      </c>
      <c r="J338" s="3">
        <v>20.440000000000001</v>
      </c>
      <c r="K338" s="3">
        <v>6196.4</v>
      </c>
      <c r="L338" s="3">
        <v>-403.6</v>
      </c>
      <c r="M338" s="3">
        <f t="shared" si="26"/>
        <v>159186.72</v>
      </c>
      <c r="N338" s="3">
        <f t="shared" si="27"/>
        <v>6600</v>
      </c>
      <c r="O338" s="3">
        <f t="shared" si="28"/>
        <v>-6.5134594280550004</v>
      </c>
      <c r="P338" s="3" t="str">
        <f t="shared" si="29"/>
        <v>Mar</v>
      </c>
      <c r="Q338" s="3" t="str">
        <f t="shared" si="25"/>
        <v>loss</v>
      </c>
    </row>
    <row r="339" spans="1:17" x14ac:dyDescent="0.25">
      <c r="A339" s="3" t="s">
        <v>1626</v>
      </c>
      <c r="B339" s="4">
        <v>45718</v>
      </c>
      <c r="C339" s="3" t="s">
        <v>2031</v>
      </c>
      <c r="D339" s="3" t="s">
        <v>2051</v>
      </c>
      <c r="E339" s="3" t="s">
        <v>2058</v>
      </c>
      <c r="F339" s="3" t="s">
        <v>2059</v>
      </c>
      <c r="G339" s="3">
        <v>4</v>
      </c>
      <c r="H339" s="3">
        <v>3200</v>
      </c>
      <c r="I339" s="3">
        <v>3840</v>
      </c>
      <c r="J339" s="3">
        <v>21.91</v>
      </c>
      <c r="K339" s="3">
        <v>11995</v>
      </c>
      <c r="L339" s="3">
        <v>-805</v>
      </c>
      <c r="M339" s="3">
        <f t="shared" si="26"/>
        <v>336537.59999999998</v>
      </c>
      <c r="N339" s="3">
        <f t="shared" si="27"/>
        <v>12800</v>
      </c>
      <c r="O339" s="3">
        <f t="shared" si="28"/>
        <v>-6.7111296373488951</v>
      </c>
      <c r="P339" s="3" t="str">
        <f t="shared" si="29"/>
        <v>Mar</v>
      </c>
      <c r="Q339" s="3" t="str">
        <f t="shared" si="25"/>
        <v>loss</v>
      </c>
    </row>
    <row r="340" spans="1:17" x14ac:dyDescent="0.25">
      <c r="A340" s="3" t="s">
        <v>174</v>
      </c>
      <c r="B340" s="4">
        <v>45719</v>
      </c>
      <c r="C340" s="3" t="s">
        <v>2013</v>
      </c>
      <c r="D340" s="3" t="s">
        <v>2033</v>
      </c>
      <c r="E340" s="3" t="s">
        <v>2053</v>
      </c>
      <c r="F340" s="3" t="s">
        <v>2060</v>
      </c>
      <c r="G340" s="3">
        <v>4</v>
      </c>
      <c r="H340" s="3">
        <v>6500</v>
      </c>
      <c r="I340" s="3">
        <v>7150</v>
      </c>
      <c r="J340" s="3">
        <v>4</v>
      </c>
      <c r="K340" s="3">
        <v>27456</v>
      </c>
      <c r="L340" s="3">
        <v>1456</v>
      </c>
      <c r="M340" s="3">
        <f t="shared" si="26"/>
        <v>114400</v>
      </c>
      <c r="N340" s="3">
        <f t="shared" si="27"/>
        <v>26000</v>
      </c>
      <c r="O340" s="3">
        <f t="shared" si="28"/>
        <v>5.3030303030303028</v>
      </c>
      <c r="P340" s="3" t="str">
        <f t="shared" si="29"/>
        <v>Mar</v>
      </c>
      <c r="Q340" s="3" t="str">
        <f t="shared" si="25"/>
        <v>low profit</v>
      </c>
    </row>
    <row r="341" spans="1:17" x14ac:dyDescent="0.25">
      <c r="A341" s="3" t="s">
        <v>184</v>
      </c>
      <c r="B341" s="4">
        <v>45719</v>
      </c>
      <c r="C341" s="3" t="s">
        <v>2020</v>
      </c>
      <c r="D341" s="3" t="s">
        <v>2040</v>
      </c>
      <c r="E341" s="3" t="s">
        <v>2053</v>
      </c>
      <c r="F341" s="3" t="s">
        <v>2060</v>
      </c>
      <c r="G341" s="3">
        <v>5</v>
      </c>
      <c r="H341" s="3">
        <v>350</v>
      </c>
      <c r="I341" s="3">
        <v>455</v>
      </c>
      <c r="J341" s="3">
        <v>23.13</v>
      </c>
      <c r="K341" s="3">
        <v>1748.82</v>
      </c>
      <c r="L341" s="3">
        <v>-1.18</v>
      </c>
      <c r="M341" s="3">
        <f t="shared" si="26"/>
        <v>52620.75</v>
      </c>
      <c r="N341" s="3">
        <f t="shared" si="27"/>
        <v>1750</v>
      </c>
      <c r="O341" s="3">
        <f t="shared" si="28"/>
        <v>-6.7474068228862885E-2</v>
      </c>
      <c r="P341" s="3" t="str">
        <f t="shared" si="29"/>
        <v>Mar</v>
      </c>
      <c r="Q341" s="3" t="str">
        <f t="shared" si="25"/>
        <v>loss</v>
      </c>
    </row>
    <row r="342" spans="1:17" x14ac:dyDescent="0.25">
      <c r="A342" s="3" t="s">
        <v>871</v>
      </c>
      <c r="B342" s="4">
        <v>45719</v>
      </c>
      <c r="C342" s="3" t="s">
        <v>2030</v>
      </c>
      <c r="D342" s="3" t="s">
        <v>2050</v>
      </c>
      <c r="E342" s="3" t="s">
        <v>2058</v>
      </c>
      <c r="F342" s="3" t="s">
        <v>2059</v>
      </c>
      <c r="G342" s="3">
        <v>4</v>
      </c>
      <c r="H342" s="3">
        <v>1800</v>
      </c>
      <c r="I342" s="3">
        <v>2124</v>
      </c>
      <c r="J342" s="3">
        <v>13.44</v>
      </c>
      <c r="K342" s="3">
        <v>7353.72</v>
      </c>
      <c r="L342" s="3">
        <v>153.72</v>
      </c>
      <c r="M342" s="3">
        <f t="shared" si="26"/>
        <v>114186.23999999999</v>
      </c>
      <c r="N342" s="3">
        <f t="shared" si="27"/>
        <v>7200</v>
      </c>
      <c r="O342" s="3">
        <f t="shared" si="28"/>
        <v>2.0903705879473247</v>
      </c>
      <c r="P342" s="3" t="str">
        <f t="shared" si="29"/>
        <v>Mar</v>
      </c>
      <c r="Q342" s="3" t="str">
        <f t="shared" si="25"/>
        <v>low profit</v>
      </c>
    </row>
    <row r="343" spans="1:17" x14ac:dyDescent="0.25">
      <c r="A343" s="3" t="s">
        <v>1053</v>
      </c>
      <c r="B343" s="4">
        <v>45719</v>
      </c>
      <c r="C343" s="3" t="s">
        <v>2029</v>
      </c>
      <c r="D343" s="3" t="s">
        <v>2049</v>
      </c>
      <c r="E343" s="3" t="s">
        <v>2055</v>
      </c>
      <c r="F343" s="3" t="s">
        <v>2061</v>
      </c>
      <c r="G343" s="3">
        <v>4</v>
      </c>
      <c r="H343" s="3">
        <v>1200</v>
      </c>
      <c r="I343" s="3">
        <v>1464</v>
      </c>
      <c r="J343" s="3">
        <v>11.21</v>
      </c>
      <c r="K343" s="3">
        <v>5199.28</v>
      </c>
      <c r="L343" s="3">
        <v>399.28</v>
      </c>
      <c r="M343" s="3">
        <f t="shared" si="26"/>
        <v>65645.760000000009</v>
      </c>
      <c r="N343" s="3">
        <f t="shared" si="27"/>
        <v>4800</v>
      </c>
      <c r="O343" s="3">
        <f t="shared" si="28"/>
        <v>7.679524857287932</v>
      </c>
      <c r="P343" s="3" t="str">
        <f t="shared" si="29"/>
        <v>Mar</v>
      </c>
      <c r="Q343" s="3" t="str">
        <f t="shared" si="25"/>
        <v>low profit</v>
      </c>
    </row>
    <row r="344" spans="1:17" x14ac:dyDescent="0.25">
      <c r="A344" s="3" t="s">
        <v>1631</v>
      </c>
      <c r="B344" s="4">
        <v>45719</v>
      </c>
      <c r="C344" s="3" t="s">
        <v>2022</v>
      </c>
      <c r="D344" s="3" t="s">
        <v>2042</v>
      </c>
      <c r="E344" s="3" t="s">
        <v>2053</v>
      </c>
      <c r="F344" s="3" t="s">
        <v>2059</v>
      </c>
      <c r="G344" s="3">
        <v>7</v>
      </c>
      <c r="H344" s="3">
        <v>8500</v>
      </c>
      <c r="I344" s="3">
        <v>9520</v>
      </c>
      <c r="J344" s="3">
        <v>12.77</v>
      </c>
      <c r="K344" s="3">
        <v>58130.31</v>
      </c>
      <c r="L344" s="3">
        <v>-1369.69</v>
      </c>
      <c r="M344" s="3">
        <f t="shared" si="26"/>
        <v>850992.79999999993</v>
      </c>
      <c r="N344" s="3">
        <f t="shared" si="27"/>
        <v>59500</v>
      </c>
      <c r="O344" s="3">
        <f t="shared" si="28"/>
        <v>-2.3562406599930399</v>
      </c>
      <c r="P344" s="3" t="str">
        <f t="shared" si="29"/>
        <v>Mar</v>
      </c>
      <c r="Q344" s="3" t="str">
        <f t="shared" si="25"/>
        <v>loss</v>
      </c>
    </row>
    <row r="345" spans="1:17" x14ac:dyDescent="0.25">
      <c r="A345" s="3" t="s">
        <v>171</v>
      </c>
      <c r="B345" s="4">
        <v>45720</v>
      </c>
      <c r="C345" s="3" t="s">
        <v>2013</v>
      </c>
      <c r="D345" s="3" t="s">
        <v>2033</v>
      </c>
      <c r="E345" s="3" t="s">
        <v>2053</v>
      </c>
      <c r="F345" s="3" t="s">
        <v>2060</v>
      </c>
      <c r="G345" s="3">
        <v>7</v>
      </c>
      <c r="H345" s="3">
        <v>6500</v>
      </c>
      <c r="I345" s="3">
        <v>7150</v>
      </c>
      <c r="J345" s="3">
        <v>15.67</v>
      </c>
      <c r="K345" s="3">
        <v>42207.48</v>
      </c>
      <c r="L345" s="3">
        <v>-3292.52</v>
      </c>
      <c r="M345" s="3">
        <f t="shared" si="26"/>
        <v>784283.5</v>
      </c>
      <c r="N345" s="3">
        <f t="shared" si="27"/>
        <v>45500</v>
      </c>
      <c r="O345" s="3">
        <f t="shared" si="28"/>
        <v>-7.8007973942059552</v>
      </c>
      <c r="P345" s="3" t="str">
        <f t="shared" si="29"/>
        <v>Mar</v>
      </c>
      <c r="Q345" s="3" t="str">
        <f t="shared" si="25"/>
        <v>loss</v>
      </c>
    </row>
    <row r="346" spans="1:17" x14ac:dyDescent="0.25">
      <c r="A346" s="3" t="s">
        <v>712</v>
      </c>
      <c r="B346" s="4">
        <v>45720</v>
      </c>
      <c r="C346" s="3" t="s">
        <v>2016</v>
      </c>
      <c r="D346" s="3" t="s">
        <v>2036</v>
      </c>
      <c r="E346" s="3" t="s">
        <v>2052</v>
      </c>
      <c r="F346" s="3" t="s">
        <v>2061</v>
      </c>
      <c r="G346" s="3">
        <v>10</v>
      </c>
      <c r="H346" s="3">
        <v>900</v>
      </c>
      <c r="I346" s="3">
        <v>1170</v>
      </c>
      <c r="J346" s="3">
        <v>8.33</v>
      </c>
      <c r="K346" s="3">
        <v>10725.14</v>
      </c>
      <c r="L346" s="3">
        <v>1725.14</v>
      </c>
      <c r="M346" s="3">
        <f t="shared" si="26"/>
        <v>97461</v>
      </c>
      <c r="N346" s="3">
        <f t="shared" si="27"/>
        <v>9000</v>
      </c>
      <c r="O346" s="3">
        <f t="shared" si="28"/>
        <v>16.085011477705656</v>
      </c>
      <c r="P346" s="3" t="str">
        <f t="shared" si="29"/>
        <v>Mar</v>
      </c>
      <c r="Q346" s="3" t="str">
        <f t="shared" si="25"/>
        <v>good profit</v>
      </c>
    </row>
    <row r="347" spans="1:17" x14ac:dyDescent="0.25">
      <c r="A347" s="3" t="s">
        <v>836</v>
      </c>
      <c r="B347" s="4">
        <v>45720</v>
      </c>
      <c r="C347" s="3" t="s">
        <v>2014</v>
      </c>
      <c r="D347" s="3" t="s">
        <v>2034</v>
      </c>
      <c r="E347" s="3" t="s">
        <v>2052</v>
      </c>
      <c r="F347" s="3" t="s">
        <v>2061</v>
      </c>
      <c r="G347" s="3">
        <v>8</v>
      </c>
      <c r="H347" s="3">
        <v>4500</v>
      </c>
      <c r="I347" s="3">
        <v>5220</v>
      </c>
      <c r="J347" s="3">
        <v>17.739999999999998</v>
      </c>
      <c r="K347" s="3">
        <v>34353.480000000003</v>
      </c>
      <c r="L347" s="3">
        <v>-1646.52</v>
      </c>
      <c r="M347" s="3">
        <f t="shared" si="26"/>
        <v>740822.39999999991</v>
      </c>
      <c r="N347" s="3">
        <f t="shared" si="27"/>
        <v>36000</v>
      </c>
      <c r="O347" s="3">
        <f t="shared" si="28"/>
        <v>-4.7928768788489551</v>
      </c>
      <c r="P347" s="3" t="str">
        <f t="shared" si="29"/>
        <v>Mar</v>
      </c>
      <c r="Q347" s="3" t="str">
        <f t="shared" si="25"/>
        <v>loss</v>
      </c>
    </row>
    <row r="348" spans="1:17" x14ac:dyDescent="0.25">
      <c r="A348" s="3" t="s">
        <v>1076</v>
      </c>
      <c r="B348" s="4">
        <v>45720</v>
      </c>
      <c r="C348" s="3" t="s">
        <v>2017</v>
      </c>
      <c r="D348" s="3" t="s">
        <v>2037</v>
      </c>
      <c r="E348" s="3" t="s">
        <v>2055</v>
      </c>
      <c r="F348" s="3" t="s">
        <v>2062</v>
      </c>
      <c r="G348" s="3">
        <v>8</v>
      </c>
      <c r="H348" s="3">
        <v>2500</v>
      </c>
      <c r="I348" s="3">
        <v>2875</v>
      </c>
      <c r="J348" s="3">
        <v>6.17</v>
      </c>
      <c r="K348" s="3">
        <v>21580.71</v>
      </c>
      <c r="L348" s="3">
        <v>1580.71</v>
      </c>
      <c r="M348" s="3">
        <f t="shared" si="26"/>
        <v>141910</v>
      </c>
      <c r="N348" s="3">
        <f t="shared" si="27"/>
        <v>20000</v>
      </c>
      <c r="O348" s="3">
        <f t="shared" si="28"/>
        <v>7.3246431651229278</v>
      </c>
      <c r="P348" s="3" t="str">
        <f t="shared" si="29"/>
        <v>Mar</v>
      </c>
      <c r="Q348" s="3" t="str">
        <f t="shared" si="25"/>
        <v>low profit</v>
      </c>
    </row>
    <row r="349" spans="1:17" x14ac:dyDescent="0.25">
      <c r="A349" s="3" t="s">
        <v>1247</v>
      </c>
      <c r="B349" s="4">
        <v>45720</v>
      </c>
      <c r="C349" s="3" t="s">
        <v>2026</v>
      </c>
      <c r="D349" s="3" t="s">
        <v>2046</v>
      </c>
      <c r="E349" s="3" t="s">
        <v>2052</v>
      </c>
      <c r="F349" s="3" t="s">
        <v>2062</v>
      </c>
      <c r="G349" s="3">
        <v>4</v>
      </c>
      <c r="H349" s="3">
        <v>3000</v>
      </c>
      <c r="I349" s="3">
        <v>3600</v>
      </c>
      <c r="J349" s="3">
        <v>13.4</v>
      </c>
      <c r="K349" s="3">
        <v>12470.88</v>
      </c>
      <c r="L349" s="3">
        <v>470.88</v>
      </c>
      <c r="M349" s="3">
        <f t="shared" si="26"/>
        <v>192960</v>
      </c>
      <c r="N349" s="3">
        <f t="shared" si="27"/>
        <v>12000</v>
      </c>
      <c r="O349" s="3">
        <f t="shared" si="28"/>
        <v>3.7758361879835265</v>
      </c>
      <c r="P349" s="3" t="str">
        <f t="shared" si="29"/>
        <v>Mar</v>
      </c>
      <c r="Q349" s="3" t="str">
        <f t="shared" si="25"/>
        <v>low profit</v>
      </c>
    </row>
    <row r="350" spans="1:17" x14ac:dyDescent="0.25">
      <c r="A350" s="3" t="s">
        <v>1916</v>
      </c>
      <c r="B350" s="4">
        <v>45720</v>
      </c>
      <c r="C350" s="3" t="s">
        <v>2021</v>
      </c>
      <c r="D350" s="3" t="s">
        <v>2041</v>
      </c>
      <c r="E350" s="3" t="s">
        <v>2056</v>
      </c>
      <c r="F350" s="3" t="s">
        <v>2060</v>
      </c>
      <c r="G350" s="3">
        <v>3</v>
      </c>
      <c r="H350" s="3">
        <v>300</v>
      </c>
      <c r="I350" s="3">
        <v>405</v>
      </c>
      <c r="J350" s="3">
        <v>16.38</v>
      </c>
      <c r="K350" s="3">
        <v>1016.03</v>
      </c>
      <c r="L350" s="3">
        <v>116.03</v>
      </c>
      <c r="M350" s="3">
        <f t="shared" si="26"/>
        <v>19901.699999999997</v>
      </c>
      <c r="N350" s="3">
        <f t="shared" si="27"/>
        <v>900</v>
      </c>
      <c r="O350" s="3">
        <f t="shared" si="28"/>
        <v>11.419938387646035</v>
      </c>
      <c r="P350" s="3" t="str">
        <f t="shared" si="29"/>
        <v>Mar</v>
      </c>
      <c r="Q350" s="3" t="str">
        <f t="shared" si="25"/>
        <v>good profit</v>
      </c>
    </row>
    <row r="351" spans="1:17" x14ac:dyDescent="0.25">
      <c r="A351" s="3" t="s">
        <v>876</v>
      </c>
      <c r="B351" s="4">
        <v>45721</v>
      </c>
      <c r="C351" s="3" t="s">
        <v>2019</v>
      </c>
      <c r="D351" s="3" t="s">
        <v>2039</v>
      </c>
      <c r="E351" s="3" t="s">
        <v>2053</v>
      </c>
      <c r="F351" s="3" t="s">
        <v>2060</v>
      </c>
      <c r="G351" s="3">
        <v>1</v>
      </c>
      <c r="H351" s="3">
        <v>900</v>
      </c>
      <c r="I351" s="3">
        <v>1152</v>
      </c>
      <c r="J351" s="3">
        <v>0.65</v>
      </c>
      <c r="K351" s="3">
        <v>1144.46</v>
      </c>
      <c r="L351" s="3">
        <v>244.46</v>
      </c>
      <c r="M351" s="3">
        <f t="shared" si="26"/>
        <v>748.80000000000007</v>
      </c>
      <c r="N351" s="3">
        <f t="shared" si="27"/>
        <v>900</v>
      </c>
      <c r="O351" s="3">
        <f t="shared" si="28"/>
        <v>21.360292190203239</v>
      </c>
      <c r="P351" s="3" t="str">
        <f t="shared" si="29"/>
        <v>Mar</v>
      </c>
      <c r="Q351" s="3" t="str">
        <f t="shared" si="25"/>
        <v>good profit</v>
      </c>
    </row>
    <row r="352" spans="1:17" x14ac:dyDescent="0.25">
      <c r="A352" s="3" t="s">
        <v>1101</v>
      </c>
      <c r="B352" s="4">
        <v>45721</v>
      </c>
      <c r="C352" s="3" t="s">
        <v>2020</v>
      </c>
      <c r="D352" s="3" t="s">
        <v>2040</v>
      </c>
      <c r="E352" s="3" t="s">
        <v>2053</v>
      </c>
      <c r="F352" s="3" t="s">
        <v>2061</v>
      </c>
      <c r="G352" s="3">
        <v>8</v>
      </c>
      <c r="H352" s="3">
        <v>350</v>
      </c>
      <c r="I352" s="3">
        <v>455</v>
      </c>
      <c r="J352" s="3">
        <v>10.32</v>
      </c>
      <c r="K352" s="3">
        <v>3264.29</v>
      </c>
      <c r="L352" s="3">
        <v>464.29</v>
      </c>
      <c r="M352" s="3">
        <f t="shared" si="26"/>
        <v>37564.800000000003</v>
      </c>
      <c r="N352" s="3">
        <f t="shared" si="27"/>
        <v>2800</v>
      </c>
      <c r="O352" s="3">
        <f t="shared" si="28"/>
        <v>14.223307365460791</v>
      </c>
      <c r="P352" s="3" t="str">
        <f t="shared" si="29"/>
        <v>Mar</v>
      </c>
      <c r="Q352" s="3" t="str">
        <f t="shared" si="25"/>
        <v>good profit</v>
      </c>
    </row>
    <row r="353" spans="1:17" x14ac:dyDescent="0.25">
      <c r="A353" s="3" t="s">
        <v>1191</v>
      </c>
      <c r="B353" s="4">
        <v>45721</v>
      </c>
      <c r="C353" s="3" t="s">
        <v>2015</v>
      </c>
      <c r="D353" s="3" t="s">
        <v>2035</v>
      </c>
      <c r="E353" s="3" t="s">
        <v>2054</v>
      </c>
      <c r="F353" s="3" t="s">
        <v>2059</v>
      </c>
      <c r="G353" s="3">
        <v>3</v>
      </c>
      <c r="H353" s="3">
        <v>900</v>
      </c>
      <c r="I353" s="3">
        <v>1170</v>
      </c>
      <c r="J353" s="3">
        <v>5.84</v>
      </c>
      <c r="K353" s="3">
        <v>3305.16</v>
      </c>
      <c r="L353" s="3">
        <v>605.16</v>
      </c>
      <c r="M353" s="3">
        <f t="shared" si="26"/>
        <v>20498.399999999998</v>
      </c>
      <c r="N353" s="3">
        <f t="shared" si="27"/>
        <v>2700</v>
      </c>
      <c r="O353" s="3">
        <f t="shared" si="28"/>
        <v>18.309552336346805</v>
      </c>
      <c r="P353" s="3" t="str">
        <f t="shared" si="29"/>
        <v>Mar</v>
      </c>
      <c r="Q353" s="3" t="str">
        <f t="shared" si="25"/>
        <v>good profit</v>
      </c>
    </row>
    <row r="354" spans="1:17" x14ac:dyDescent="0.25">
      <c r="A354" s="3" t="s">
        <v>192</v>
      </c>
      <c r="B354" s="4">
        <v>45722</v>
      </c>
      <c r="C354" s="3" t="s">
        <v>2022</v>
      </c>
      <c r="D354" s="3" t="s">
        <v>2042</v>
      </c>
      <c r="E354" s="3" t="s">
        <v>2053</v>
      </c>
      <c r="F354" s="3" t="s">
        <v>2062</v>
      </c>
      <c r="G354" s="3">
        <v>4</v>
      </c>
      <c r="H354" s="3">
        <v>8500</v>
      </c>
      <c r="I354" s="3">
        <v>9520</v>
      </c>
      <c r="J354" s="3">
        <v>4.96</v>
      </c>
      <c r="K354" s="3">
        <v>36189.339999999997</v>
      </c>
      <c r="L354" s="3">
        <v>2189.34</v>
      </c>
      <c r="M354" s="3">
        <f t="shared" si="26"/>
        <v>188876.79999999999</v>
      </c>
      <c r="N354" s="3">
        <f t="shared" si="27"/>
        <v>34000</v>
      </c>
      <c r="O354" s="3">
        <f t="shared" si="28"/>
        <v>6.049682033438577</v>
      </c>
      <c r="P354" s="3" t="str">
        <f t="shared" si="29"/>
        <v>Mar</v>
      </c>
      <c r="Q354" s="3" t="str">
        <f t="shared" si="25"/>
        <v>low profit</v>
      </c>
    </row>
    <row r="355" spans="1:17" x14ac:dyDescent="0.25">
      <c r="A355" s="3" t="s">
        <v>615</v>
      </c>
      <c r="B355" s="4">
        <v>45722</v>
      </c>
      <c r="C355" s="3" t="s">
        <v>2027</v>
      </c>
      <c r="D355" s="3" t="s">
        <v>2047</v>
      </c>
      <c r="E355" s="3" t="s">
        <v>2053</v>
      </c>
      <c r="F355" s="3" t="s">
        <v>2061</v>
      </c>
      <c r="G355" s="3">
        <v>6</v>
      </c>
      <c r="H355" s="3">
        <v>1100</v>
      </c>
      <c r="I355" s="3">
        <v>1298</v>
      </c>
      <c r="J355" s="3">
        <v>9.9600000000000009</v>
      </c>
      <c r="K355" s="3">
        <v>7012.13</v>
      </c>
      <c r="L355" s="3">
        <v>412.13</v>
      </c>
      <c r="M355" s="3">
        <f t="shared" si="26"/>
        <v>77568.48000000001</v>
      </c>
      <c r="N355" s="3">
        <f t="shared" si="27"/>
        <v>6600</v>
      </c>
      <c r="O355" s="3">
        <f t="shared" si="28"/>
        <v>5.877386756948316</v>
      </c>
      <c r="P355" s="3" t="str">
        <f t="shared" si="29"/>
        <v>Mar</v>
      </c>
      <c r="Q355" s="3" t="str">
        <f t="shared" si="25"/>
        <v>low profit</v>
      </c>
    </row>
    <row r="356" spans="1:17" x14ac:dyDescent="0.25">
      <c r="A356" s="3" t="s">
        <v>889</v>
      </c>
      <c r="B356" s="4">
        <v>45722</v>
      </c>
      <c r="C356" s="3" t="s">
        <v>2030</v>
      </c>
      <c r="D356" s="3" t="s">
        <v>2050</v>
      </c>
      <c r="E356" s="3" t="s">
        <v>2058</v>
      </c>
      <c r="F356" s="3" t="s">
        <v>2062</v>
      </c>
      <c r="G356" s="3">
        <v>1</v>
      </c>
      <c r="H356" s="3">
        <v>1800</v>
      </c>
      <c r="I356" s="3">
        <v>2124</v>
      </c>
      <c r="J356" s="3">
        <v>19.29</v>
      </c>
      <c r="K356" s="3">
        <v>1714.29</v>
      </c>
      <c r="L356" s="3">
        <v>-85.71</v>
      </c>
      <c r="M356" s="3">
        <f t="shared" si="26"/>
        <v>40971.96</v>
      </c>
      <c r="N356" s="3">
        <f t="shared" si="27"/>
        <v>1800</v>
      </c>
      <c r="O356" s="3">
        <f t="shared" si="28"/>
        <v>-4.9997375006562486</v>
      </c>
      <c r="P356" s="3" t="str">
        <f t="shared" si="29"/>
        <v>Mar</v>
      </c>
      <c r="Q356" s="3" t="str">
        <f t="shared" si="25"/>
        <v>loss</v>
      </c>
    </row>
    <row r="357" spans="1:17" x14ac:dyDescent="0.25">
      <c r="A357" s="3" t="s">
        <v>1285</v>
      </c>
      <c r="B357" s="4">
        <v>45722</v>
      </c>
      <c r="C357" s="3" t="s">
        <v>2029</v>
      </c>
      <c r="D357" s="3" t="s">
        <v>2049</v>
      </c>
      <c r="E357" s="3" t="s">
        <v>2055</v>
      </c>
      <c r="F357" s="3" t="s">
        <v>2059</v>
      </c>
      <c r="G357" s="3">
        <v>10</v>
      </c>
      <c r="H357" s="3">
        <v>1200</v>
      </c>
      <c r="I357" s="3">
        <v>1464</v>
      </c>
      <c r="J357" s="3">
        <v>0.56999999999999995</v>
      </c>
      <c r="K357" s="3">
        <v>14556.62</v>
      </c>
      <c r="L357" s="3">
        <v>2556.62</v>
      </c>
      <c r="M357" s="3">
        <f t="shared" si="26"/>
        <v>8344.7999999999993</v>
      </c>
      <c r="N357" s="3">
        <f t="shared" si="27"/>
        <v>12000</v>
      </c>
      <c r="O357" s="3">
        <f t="shared" si="28"/>
        <v>17.563280486816307</v>
      </c>
      <c r="P357" s="3" t="str">
        <f t="shared" si="29"/>
        <v>Mar</v>
      </c>
      <c r="Q357" s="3" t="str">
        <f t="shared" si="25"/>
        <v>good profit</v>
      </c>
    </row>
    <row r="358" spans="1:17" x14ac:dyDescent="0.25">
      <c r="A358" s="3" t="s">
        <v>1406</v>
      </c>
      <c r="B358" s="4">
        <v>45722</v>
      </c>
      <c r="C358" s="3" t="s">
        <v>2023</v>
      </c>
      <c r="D358" s="3" t="s">
        <v>2043</v>
      </c>
      <c r="E358" s="3" t="s">
        <v>2053</v>
      </c>
      <c r="F358" s="3" t="s">
        <v>2061</v>
      </c>
      <c r="G358" s="3">
        <v>8</v>
      </c>
      <c r="H358" s="3">
        <v>550</v>
      </c>
      <c r="I358" s="3">
        <v>742.5</v>
      </c>
      <c r="J358" s="3">
        <v>27.73</v>
      </c>
      <c r="K358" s="3">
        <v>4293.03</v>
      </c>
      <c r="L358" s="3">
        <v>-106.97</v>
      </c>
      <c r="M358" s="3">
        <f t="shared" si="26"/>
        <v>164716.20000000001</v>
      </c>
      <c r="N358" s="3">
        <f t="shared" si="27"/>
        <v>4400</v>
      </c>
      <c r="O358" s="3">
        <f t="shared" si="28"/>
        <v>-2.4917133120430095</v>
      </c>
      <c r="P358" s="3" t="str">
        <f t="shared" si="29"/>
        <v>Mar</v>
      </c>
      <c r="Q358" s="3" t="str">
        <f t="shared" si="25"/>
        <v>loss</v>
      </c>
    </row>
    <row r="359" spans="1:17" x14ac:dyDescent="0.25">
      <c r="A359" s="3" t="s">
        <v>1484</v>
      </c>
      <c r="B359" s="4">
        <v>45722</v>
      </c>
      <c r="C359" s="3" t="s">
        <v>2028</v>
      </c>
      <c r="D359" s="3" t="s">
        <v>2048</v>
      </c>
      <c r="E359" s="3" t="s">
        <v>2057</v>
      </c>
      <c r="F359" s="3" t="s">
        <v>2059</v>
      </c>
      <c r="G359" s="3">
        <v>10</v>
      </c>
      <c r="H359" s="3">
        <v>80</v>
      </c>
      <c r="I359" s="3">
        <v>116</v>
      </c>
      <c r="J359" s="3">
        <v>4.29</v>
      </c>
      <c r="K359" s="3">
        <v>1110.24</v>
      </c>
      <c r="L359" s="3">
        <v>310.24</v>
      </c>
      <c r="M359" s="3">
        <f t="shared" si="26"/>
        <v>4976.3999999999996</v>
      </c>
      <c r="N359" s="3">
        <f t="shared" si="27"/>
        <v>800</v>
      </c>
      <c r="O359" s="3">
        <f t="shared" si="28"/>
        <v>27.943507710044674</v>
      </c>
      <c r="P359" s="3" t="str">
        <f t="shared" si="29"/>
        <v>Mar</v>
      </c>
      <c r="Q359" s="3" t="str">
        <f t="shared" si="25"/>
        <v>good profit</v>
      </c>
    </row>
    <row r="360" spans="1:17" x14ac:dyDescent="0.25">
      <c r="A360" s="3" t="s">
        <v>1923</v>
      </c>
      <c r="B360" s="4">
        <v>45722</v>
      </c>
      <c r="C360" s="3" t="s">
        <v>2014</v>
      </c>
      <c r="D360" s="3" t="s">
        <v>2034</v>
      </c>
      <c r="E360" s="3" t="s">
        <v>2052</v>
      </c>
      <c r="F360" s="3" t="s">
        <v>2060</v>
      </c>
      <c r="G360" s="3">
        <v>2</v>
      </c>
      <c r="H360" s="3">
        <v>4500</v>
      </c>
      <c r="I360" s="3">
        <v>5220</v>
      </c>
      <c r="J360" s="3">
        <v>12.75</v>
      </c>
      <c r="K360" s="3">
        <v>9108.92</v>
      </c>
      <c r="L360" s="3">
        <v>108.92</v>
      </c>
      <c r="M360" s="3">
        <f t="shared" si="26"/>
        <v>133110</v>
      </c>
      <c r="N360" s="3">
        <f t="shared" si="27"/>
        <v>9000</v>
      </c>
      <c r="O360" s="3">
        <f t="shared" si="28"/>
        <v>1.1957509781620654</v>
      </c>
      <c r="P360" s="3" t="str">
        <f t="shared" si="29"/>
        <v>Mar</v>
      </c>
      <c r="Q360" s="3" t="str">
        <f t="shared" si="25"/>
        <v>low profit</v>
      </c>
    </row>
    <row r="361" spans="1:17" x14ac:dyDescent="0.25">
      <c r="A361" s="3" t="s">
        <v>59</v>
      </c>
      <c r="B361" s="4">
        <v>45723</v>
      </c>
      <c r="C361" s="3" t="s">
        <v>2024</v>
      </c>
      <c r="D361" s="3" t="s">
        <v>2044</v>
      </c>
      <c r="E361" s="3" t="s">
        <v>2055</v>
      </c>
      <c r="F361" s="3" t="s">
        <v>2059</v>
      </c>
      <c r="G361" s="3">
        <v>4</v>
      </c>
      <c r="H361" s="3">
        <v>180</v>
      </c>
      <c r="I361" s="3">
        <v>243</v>
      </c>
      <c r="J361" s="3">
        <v>7.67</v>
      </c>
      <c r="K361" s="3">
        <v>897.41</v>
      </c>
      <c r="L361" s="3">
        <v>177.41</v>
      </c>
      <c r="M361" s="3">
        <f t="shared" si="26"/>
        <v>7455.24</v>
      </c>
      <c r="N361" s="3">
        <f t="shared" si="27"/>
        <v>720</v>
      </c>
      <c r="O361" s="3">
        <f t="shared" si="28"/>
        <v>19.769113337270593</v>
      </c>
      <c r="P361" s="3" t="str">
        <f t="shared" si="29"/>
        <v>Mar</v>
      </c>
      <c r="Q361" s="3" t="str">
        <f t="shared" si="25"/>
        <v>good profit</v>
      </c>
    </row>
    <row r="362" spans="1:17" x14ac:dyDescent="0.25">
      <c r="A362" s="3" t="s">
        <v>94</v>
      </c>
      <c r="B362" s="4">
        <v>45723</v>
      </c>
      <c r="C362" s="3" t="s">
        <v>2017</v>
      </c>
      <c r="D362" s="3" t="s">
        <v>2037</v>
      </c>
      <c r="E362" s="3" t="s">
        <v>2055</v>
      </c>
      <c r="F362" s="3" t="s">
        <v>2060</v>
      </c>
      <c r="G362" s="3">
        <v>6</v>
      </c>
      <c r="H362" s="3">
        <v>2500</v>
      </c>
      <c r="I362" s="3">
        <v>2875</v>
      </c>
      <c r="J362" s="3">
        <v>16.36</v>
      </c>
      <c r="K362" s="3">
        <v>14427.43</v>
      </c>
      <c r="L362" s="3">
        <v>-572.57000000000005</v>
      </c>
      <c r="M362" s="3">
        <f t="shared" si="26"/>
        <v>282210</v>
      </c>
      <c r="N362" s="3">
        <f t="shared" si="27"/>
        <v>15000</v>
      </c>
      <c r="O362" s="3">
        <f t="shared" si="28"/>
        <v>-3.9686208839689403</v>
      </c>
      <c r="P362" s="3" t="str">
        <f t="shared" si="29"/>
        <v>Mar</v>
      </c>
      <c r="Q362" s="3" t="str">
        <f t="shared" si="25"/>
        <v>loss</v>
      </c>
    </row>
    <row r="363" spans="1:17" x14ac:dyDescent="0.25">
      <c r="A363" s="3" t="s">
        <v>396</v>
      </c>
      <c r="B363" s="4">
        <v>45723</v>
      </c>
      <c r="C363" s="3" t="s">
        <v>2014</v>
      </c>
      <c r="D363" s="3" t="s">
        <v>2034</v>
      </c>
      <c r="E363" s="3" t="s">
        <v>2052</v>
      </c>
      <c r="F363" s="3" t="s">
        <v>2061</v>
      </c>
      <c r="G363" s="3">
        <v>10</v>
      </c>
      <c r="H363" s="3">
        <v>4500</v>
      </c>
      <c r="I363" s="3">
        <v>5220</v>
      </c>
      <c r="J363" s="3">
        <v>20.13</v>
      </c>
      <c r="K363" s="3">
        <v>41691.550000000003</v>
      </c>
      <c r="L363" s="3">
        <v>-3308.45</v>
      </c>
      <c r="M363" s="3">
        <f t="shared" si="26"/>
        <v>1050786</v>
      </c>
      <c r="N363" s="3">
        <f t="shared" si="27"/>
        <v>45000</v>
      </c>
      <c r="O363" s="3">
        <f t="shared" si="28"/>
        <v>-7.9355408949775175</v>
      </c>
      <c r="P363" s="3" t="str">
        <f t="shared" si="29"/>
        <v>Mar</v>
      </c>
      <c r="Q363" s="3" t="str">
        <f t="shared" si="25"/>
        <v>loss</v>
      </c>
    </row>
    <row r="364" spans="1:17" x14ac:dyDescent="0.25">
      <c r="A364" s="3" t="s">
        <v>623</v>
      </c>
      <c r="B364" s="4">
        <v>45723</v>
      </c>
      <c r="C364" s="3" t="s">
        <v>2031</v>
      </c>
      <c r="D364" s="3" t="s">
        <v>2051</v>
      </c>
      <c r="E364" s="3" t="s">
        <v>2058</v>
      </c>
      <c r="F364" s="3" t="s">
        <v>2062</v>
      </c>
      <c r="G364" s="3">
        <v>2</v>
      </c>
      <c r="H364" s="3">
        <v>3200</v>
      </c>
      <c r="I364" s="3">
        <v>3840</v>
      </c>
      <c r="J364" s="3">
        <v>17.100000000000001</v>
      </c>
      <c r="K364" s="3">
        <v>6366.87</v>
      </c>
      <c r="L364" s="3">
        <v>-33.130000000000003</v>
      </c>
      <c r="M364" s="3">
        <f t="shared" si="26"/>
        <v>131328</v>
      </c>
      <c r="N364" s="3">
        <f t="shared" si="27"/>
        <v>6400</v>
      </c>
      <c r="O364" s="3">
        <f t="shared" si="28"/>
        <v>-0.52034987364277907</v>
      </c>
      <c r="P364" s="3" t="str">
        <f t="shared" si="29"/>
        <v>Mar</v>
      </c>
      <c r="Q364" s="3" t="str">
        <f t="shared" si="25"/>
        <v>loss</v>
      </c>
    </row>
    <row r="365" spans="1:17" x14ac:dyDescent="0.25">
      <c r="A365" s="3" t="s">
        <v>658</v>
      </c>
      <c r="B365" s="4">
        <v>45723</v>
      </c>
      <c r="C365" s="3" t="s">
        <v>2029</v>
      </c>
      <c r="D365" s="3" t="s">
        <v>2049</v>
      </c>
      <c r="E365" s="3" t="s">
        <v>2055</v>
      </c>
      <c r="F365" s="3" t="s">
        <v>2061</v>
      </c>
      <c r="G365" s="3">
        <v>2</v>
      </c>
      <c r="H365" s="3">
        <v>1200</v>
      </c>
      <c r="I365" s="3">
        <v>1464</v>
      </c>
      <c r="J365" s="3">
        <v>11.29</v>
      </c>
      <c r="K365" s="3">
        <v>2597.46</v>
      </c>
      <c r="L365" s="3">
        <v>197.46</v>
      </c>
      <c r="M365" s="3">
        <f t="shared" si="26"/>
        <v>33057.119999999995</v>
      </c>
      <c r="N365" s="3">
        <f t="shared" si="27"/>
        <v>2400</v>
      </c>
      <c r="O365" s="3">
        <f t="shared" si="28"/>
        <v>7.6020419948719136</v>
      </c>
      <c r="P365" s="3" t="str">
        <f t="shared" si="29"/>
        <v>Mar</v>
      </c>
      <c r="Q365" s="3" t="str">
        <f t="shared" si="25"/>
        <v>low profit</v>
      </c>
    </row>
    <row r="366" spans="1:17" x14ac:dyDescent="0.25">
      <c r="A366" s="3" t="s">
        <v>773</v>
      </c>
      <c r="B366" s="4">
        <v>45723</v>
      </c>
      <c r="C366" s="3" t="s">
        <v>2018</v>
      </c>
      <c r="D366" s="3" t="s">
        <v>2038</v>
      </c>
      <c r="E366" s="3" t="s">
        <v>2053</v>
      </c>
      <c r="F366" s="3" t="s">
        <v>2059</v>
      </c>
      <c r="G366" s="3">
        <v>3</v>
      </c>
      <c r="H366" s="3">
        <v>500</v>
      </c>
      <c r="I366" s="3">
        <v>610</v>
      </c>
      <c r="J366" s="3">
        <v>1.27</v>
      </c>
      <c r="K366" s="3">
        <v>1806.71</v>
      </c>
      <c r="L366" s="3">
        <v>306.70999999999998</v>
      </c>
      <c r="M366" s="3">
        <f t="shared" si="26"/>
        <v>2324.1</v>
      </c>
      <c r="N366" s="3">
        <f t="shared" si="27"/>
        <v>1500</v>
      </c>
      <c r="O366" s="3">
        <f t="shared" si="28"/>
        <v>16.976161088387176</v>
      </c>
      <c r="P366" s="3" t="str">
        <f t="shared" si="29"/>
        <v>Mar</v>
      </c>
      <c r="Q366" s="3" t="str">
        <f t="shared" si="25"/>
        <v>good profit</v>
      </c>
    </row>
    <row r="367" spans="1:17" x14ac:dyDescent="0.25">
      <c r="A367" s="3" t="s">
        <v>1322</v>
      </c>
      <c r="B367" s="4">
        <v>45723</v>
      </c>
      <c r="C367" s="3" t="s">
        <v>2030</v>
      </c>
      <c r="D367" s="3" t="s">
        <v>2050</v>
      </c>
      <c r="E367" s="3" t="s">
        <v>2058</v>
      </c>
      <c r="F367" s="3" t="s">
        <v>2059</v>
      </c>
      <c r="G367" s="3">
        <v>4</v>
      </c>
      <c r="H367" s="3">
        <v>1800</v>
      </c>
      <c r="I367" s="3">
        <v>2124</v>
      </c>
      <c r="J367" s="3">
        <v>17.34</v>
      </c>
      <c r="K367" s="3">
        <v>7022.8</v>
      </c>
      <c r="L367" s="3">
        <v>-177.2</v>
      </c>
      <c r="M367" s="3">
        <f t="shared" si="26"/>
        <v>147320.63999999998</v>
      </c>
      <c r="N367" s="3">
        <f t="shared" si="27"/>
        <v>7200</v>
      </c>
      <c r="O367" s="3">
        <f t="shared" si="28"/>
        <v>-2.5232101156233977</v>
      </c>
      <c r="P367" s="3" t="str">
        <f t="shared" si="29"/>
        <v>Mar</v>
      </c>
      <c r="Q367" s="3" t="str">
        <f t="shared" si="25"/>
        <v>loss</v>
      </c>
    </row>
    <row r="368" spans="1:17" x14ac:dyDescent="0.25">
      <c r="A368" s="3" t="s">
        <v>88</v>
      </c>
      <c r="B368" s="4">
        <v>45724</v>
      </c>
      <c r="C368" s="3" t="s">
        <v>2012</v>
      </c>
      <c r="D368" s="3" t="s">
        <v>2032</v>
      </c>
      <c r="E368" s="3" t="s">
        <v>2052</v>
      </c>
      <c r="F368" s="3" t="s">
        <v>2059</v>
      </c>
      <c r="G368" s="3">
        <v>10</v>
      </c>
      <c r="H368" s="3">
        <v>6500</v>
      </c>
      <c r="I368" s="3">
        <v>8125</v>
      </c>
      <c r="J368" s="3">
        <v>18.29</v>
      </c>
      <c r="K368" s="3">
        <v>66390.67</v>
      </c>
      <c r="L368" s="3">
        <v>1390.67</v>
      </c>
      <c r="M368" s="3">
        <f t="shared" si="26"/>
        <v>1486062.5</v>
      </c>
      <c r="N368" s="3">
        <f t="shared" si="27"/>
        <v>65000</v>
      </c>
      <c r="O368" s="3">
        <f t="shared" si="28"/>
        <v>2.0946768574560251</v>
      </c>
      <c r="P368" s="3" t="str">
        <f t="shared" si="29"/>
        <v>Mar</v>
      </c>
      <c r="Q368" s="3" t="str">
        <f t="shared" si="25"/>
        <v>low profit</v>
      </c>
    </row>
    <row r="369" spans="1:17" x14ac:dyDescent="0.25">
      <c r="A369" s="3" t="s">
        <v>785</v>
      </c>
      <c r="B369" s="4">
        <v>45724</v>
      </c>
      <c r="C369" s="3" t="s">
        <v>2016</v>
      </c>
      <c r="D369" s="3" t="s">
        <v>2036</v>
      </c>
      <c r="E369" s="3" t="s">
        <v>2052</v>
      </c>
      <c r="F369" s="3" t="s">
        <v>2061</v>
      </c>
      <c r="G369" s="3">
        <v>2</v>
      </c>
      <c r="H369" s="3">
        <v>900</v>
      </c>
      <c r="I369" s="3">
        <v>1170</v>
      </c>
      <c r="J369" s="3">
        <v>17.920000000000002</v>
      </c>
      <c r="K369" s="3">
        <v>1920.64</v>
      </c>
      <c r="L369" s="3">
        <v>120.64</v>
      </c>
      <c r="M369" s="3">
        <f t="shared" si="26"/>
        <v>41932.800000000003</v>
      </c>
      <c r="N369" s="3">
        <f t="shared" si="27"/>
        <v>1800</v>
      </c>
      <c r="O369" s="3">
        <f t="shared" si="28"/>
        <v>6.2812395868043973</v>
      </c>
      <c r="P369" s="3" t="str">
        <f t="shared" si="29"/>
        <v>Mar</v>
      </c>
      <c r="Q369" s="3" t="str">
        <f t="shared" si="25"/>
        <v>low profit</v>
      </c>
    </row>
    <row r="370" spans="1:17" x14ac:dyDescent="0.25">
      <c r="A370" s="3" t="s">
        <v>916</v>
      </c>
      <c r="B370" s="4">
        <v>45724</v>
      </c>
      <c r="C370" s="3" t="s">
        <v>2019</v>
      </c>
      <c r="D370" s="3" t="s">
        <v>2039</v>
      </c>
      <c r="E370" s="3" t="s">
        <v>2053</v>
      </c>
      <c r="F370" s="3" t="s">
        <v>2062</v>
      </c>
      <c r="G370" s="3">
        <v>4</v>
      </c>
      <c r="H370" s="3">
        <v>900</v>
      </c>
      <c r="I370" s="3">
        <v>1152</v>
      </c>
      <c r="J370" s="3">
        <v>11.57</v>
      </c>
      <c r="K370" s="3">
        <v>4074.69</v>
      </c>
      <c r="L370" s="3">
        <v>474.69</v>
      </c>
      <c r="M370" s="3">
        <f t="shared" si="26"/>
        <v>53314.559999999998</v>
      </c>
      <c r="N370" s="3">
        <f t="shared" si="27"/>
        <v>3600</v>
      </c>
      <c r="O370" s="3">
        <f t="shared" si="28"/>
        <v>11.649720592241373</v>
      </c>
      <c r="P370" s="3" t="str">
        <f t="shared" si="29"/>
        <v>Mar</v>
      </c>
      <c r="Q370" s="3" t="str">
        <f t="shared" si="25"/>
        <v>good profit</v>
      </c>
    </row>
    <row r="371" spans="1:17" x14ac:dyDescent="0.25">
      <c r="A371" s="3" t="s">
        <v>1112</v>
      </c>
      <c r="B371" s="4">
        <v>45724</v>
      </c>
      <c r="C371" s="3" t="s">
        <v>2027</v>
      </c>
      <c r="D371" s="3" t="s">
        <v>2047</v>
      </c>
      <c r="E371" s="3" t="s">
        <v>2053</v>
      </c>
      <c r="F371" s="3" t="s">
        <v>2059</v>
      </c>
      <c r="G371" s="3">
        <v>2</v>
      </c>
      <c r="H371" s="3">
        <v>1100</v>
      </c>
      <c r="I371" s="3">
        <v>1298</v>
      </c>
      <c r="J371" s="3">
        <v>17.25</v>
      </c>
      <c r="K371" s="3">
        <v>2148.2600000000002</v>
      </c>
      <c r="L371" s="3">
        <v>-51.74</v>
      </c>
      <c r="M371" s="3">
        <f t="shared" si="26"/>
        <v>44781</v>
      </c>
      <c r="N371" s="3">
        <f t="shared" si="27"/>
        <v>2200</v>
      </c>
      <c r="O371" s="3">
        <f t="shared" si="28"/>
        <v>-2.4084608008341633</v>
      </c>
      <c r="P371" s="3" t="str">
        <f t="shared" si="29"/>
        <v>Mar</v>
      </c>
      <c r="Q371" s="3" t="str">
        <f t="shared" si="25"/>
        <v>loss</v>
      </c>
    </row>
    <row r="372" spans="1:17" x14ac:dyDescent="0.25">
      <c r="A372" s="3" t="s">
        <v>1284</v>
      </c>
      <c r="B372" s="4">
        <v>45724</v>
      </c>
      <c r="C372" s="3" t="s">
        <v>2031</v>
      </c>
      <c r="D372" s="3" t="s">
        <v>2051</v>
      </c>
      <c r="E372" s="3" t="s">
        <v>2058</v>
      </c>
      <c r="F372" s="3" t="s">
        <v>2061</v>
      </c>
      <c r="G372" s="3">
        <v>9</v>
      </c>
      <c r="H372" s="3">
        <v>3200</v>
      </c>
      <c r="I372" s="3">
        <v>3840</v>
      </c>
      <c r="J372" s="3">
        <v>15.91</v>
      </c>
      <c r="K372" s="3">
        <v>29060.799999999999</v>
      </c>
      <c r="L372" s="3">
        <v>260.8</v>
      </c>
      <c r="M372" s="3">
        <f t="shared" si="26"/>
        <v>549849.59999999998</v>
      </c>
      <c r="N372" s="3">
        <f t="shared" si="27"/>
        <v>28800</v>
      </c>
      <c r="O372" s="3">
        <f t="shared" si="28"/>
        <v>0.89742883884820801</v>
      </c>
      <c r="P372" s="3" t="str">
        <f t="shared" si="29"/>
        <v>Mar</v>
      </c>
      <c r="Q372" s="3" t="str">
        <f t="shared" si="25"/>
        <v>low profit</v>
      </c>
    </row>
    <row r="373" spans="1:17" x14ac:dyDescent="0.25">
      <c r="A373" s="3" t="s">
        <v>119</v>
      </c>
      <c r="B373" s="4">
        <v>45725</v>
      </c>
      <c r="C373" s="3" t="s">
        <v>2014</v>
      </c>
      <c r="D373" s="3" t="s">
        <v>2034</v>
      </c>
      <c r="E373" s="3" t="s">
        <v>2052</v>
      </c>
      <c r="F373" s="3" t="s">
        <v>2062</v>
      </c>
      <c r="G373" s="3">
        <v>5</v>
      </c>
      <c r="H373" s="3">
        <v>4500</v>
      </c>
      <c r="I373" s="3">
        <v>5220</v>
      </c>
      <c r="J373" s="3">
        <v>7.35</v>
      </c>
      <c r="K373" s="3">
        <v>24181.57</v>
      </c>
      <c r="L373" s="3">
        <v>1681.57</v>
      </c>
      <c r="M373" s="3">
        <f t="shared" si="26"/>
        <v>191835</v>
      </c>
      <c r="N373" s="3">
        <f t="shared" si="27"/>
        <v>22500</v>
      </c>
      <c r="O373" s="3">
        <f t="shared" si="28"/>
        <v>6.9539322715605314</v>
      </c>
      <c r="P373" s="3" t="str">
        <f t="shared" si="29"/>
        <v>Mar</v>
      </c>
      <c r="Q373" s="3" t="str">
        <f t="shared" si="25"/>
        <v>low profit</v>
      </c>
    </row>
    <row r="374" spans="1:17" x14ac:dyDescent="0.25">
      <c r="A374" s="3" t="s">
        <v>644</v>
      </c>
      <c r="B374" s="4">
        <v>45725</v>
      </c>
      <c r="C374" s="3" t="s">
        <v>2030</v>
      </c>
      <c r="D374" s="3" t="s">
        <v>2050</v>
      </c>
      <c r="E374" s="3" t="s">
        <v>2058</v>
      </c>
      <c r="F374" s="3" t="s">
        <v>2060</v>
      </c>
      <c r="G374" s="3">
        <v>9</v>
      </c>
      <c r="H374" s="3">
        <v>1800</v>
      </c>
      <c r="I374" s="3">
        <v>2124</v>
      </c>
      <c r="J374" s="3">
        <v>18.52</v>
      </c>
      <c r="K374" s="3">
        <v>15575.02</v>
      </c>
      <c r="L374" s="3">
        <v>-624.98</v>
      </c>
      <c r="M374" s="3">
        <f t="shared" si="26"/>
        <v>354028.32</v>
      </c>
      <c r="N374" s="3">
        <f t="shared" si="27"/>
        <v>16200</v>
      </c>
      <c r="O374" s="3">
        <f t="shared" si="28"/>
        <v>-4.012707527823399</v>
      </c>
      <c r="P374" s="3" t="str">
        <f t="shared" si="29"/>
        <v>Mar</v>
      </c>
      <c r="Q374" s="3" t="str">
        <f t="shared" si="25"/>
        <v>loss</v>
      </c>
    </row>
    <row r="375" spans="1:17" x14ac:dyDescent="0.25">
      <c r="A375" s="3" t="s">
        <v>859</v>
      </c>
      <c r="B375" s="4">
        <v>45725</v>
      </c>
      <c r="C375" s="3" t="s">
        <v>2027</v>
      </c>
      <c r="D375" s="3" t="s">
        <v>2047</v>
      </c>
      <c r="E375" s="3" t="s">
        <v>2053</v>
      </c>
      <c r="F375" s="3" t="s">
        <v>2062</v>
      </c>
      <c r="G375" s="3">
        <v>8</v>
      </c>
      <c r="H375" s="3">
        <v>1100</v>
      </c>
      <c r="I375" s="3">
        <v>1298</v>
      </c>
      <c r="J375" s="3">
        <v>8.5</v>
      </c>
      <c r="K375" s="3">
        <v>9501.4500000000007</v>
      </c>
      <c r="L375" s="3">
        <v>701.45</v>
      </c>
      <c r="M375" s="3">
        <f t="shared" si="26"/>
        <v>88264</v>
      </c>
      <c r="N375" s="3">
        <f t="shared" si="27"/>
        <v>8800</v>
      </c>
      <c r="O375" s="3">
        <f t="shared" si="28"/>
        <v>7.3825573991338169</v>
      </c>
      <c r="P375" s="3" t="str">
        <f t="shared" si="29"/>
        <v>Mar</v>
      </c>
      <c r="Q375" s="3" t="str">
        <f t="shared" si="25"/>
        <v>low profit</v>
      </c>
    </row>
    <row r="376" spans="1:17" x14ac:dyDescent="0.25">
      <c r="A376" s="3" t="s">
        <v>1146</v>
      </c>
      <c r="B376" s="4">
        <v>45725</v>
      </c>
      <c r="C376" s="3" t="s">
        <v>2028</v>
      </c>
      <c r="D376" s="3" t="s">
        <v>2048</v>
      </c>
      <c r="E376" s="3" t="s">
        <v>2057</v>
      </c>
      <c r="F376" s="3" t="s">
        <v>2059</v>
      </c>
      <c r="G376" s="3">
        <v>8</v>
      </c>
      <c r="H376" s="3">
        <v>80</v>
      </c>
      <c r="I376" s="3">
        <v>116</v>
      </c>
      <c r="J376" s="3">
        <v>8.18</v>
      </c>
      <c r="K376" s="3">
        <v>852.09</v>
      </c>
      <c r="L376" s="3">
        <v>212.09</v>
      </c>
      <c r="M376" s="3">
        <f t="shared" si="26"/>
        <v>7591.04</v>
      </c>
      <c r="N376" s="3">
        <f t="shared" si="27"/>
        <v>640</v>
      </c>
      <c r="O376" s="3">
        <f t="shared" si="28"/>
        <v>24.890563203417479</v>
      </c>
      <c r="P376" s="3" t="str">
        <f t="shared" si="29"/>
        <v>Mar</v>
      </c>
      <c r="Q376" s="3" t="str">
        <f t="shared" si="25"/>
        <v>good profit</v>
      </c>
    </row>
    <row r="377" spans="1:17" x14ac:dyDescent="0.25">
      <c r="A377" s="3" t="s">
        <v>1600</v>
      </c>
      <c r="B377" s="4">
        <v>45725</v>
      </c>
      <c r="C377" s="3" t="s">
        <v>2021</v>
      </c>
      <c r="D377" s="3" t="s">
        <v>2041</v>
      </c>
      <c r="E377" s="3" t="s">
        <v>2056</v>
      </c>
      <c r="F377" s="3" t="s">
        <v>2060</v>
      </c>
      <c r="G377" s="3">
        <v>1</v>
      </c>
      <c r="H377" s="3">
        <v>300</v>
      </c>
      <c r="I377" s="3">
        <v>405</v>
      </c>
      <c r="J377" s="3">
        <v>8.9600000000000009</v>
      </c>
      <c r="K377" s="3">
        <v>368.73</v>
      </c>
      <c r="L377" s="3">
        <v>68.73</v>
      </c>
      <c r="M377" s="3">
        <f t="shared" si="26"/>
        <v>3628.8</v>
      </c>
      <c r="N377" s="3">
        <f t="shared" si="27"/>
        <v>300</v>
      </c>
      <c r="O377" s="3">
        <f t="shared" si="28"/>
        <v>18.639655032137338</v>
      </c>
      <c r="P377" s="3" t="str">
        <f t="shared" si="29"/>
        <v>Mar</v>
      </c>
      <c r="Q377" s="3" t="str">
        <f t="shared" si="25"/>
        <v>good profit</v>
      </c>
    </row>
    <row r="378" spans="1:17" x14ac:dyDescent="0.25">
      <c r="A378" s="3" t="s">
        <v>1657</v>
      </c>
      <c r="B378" s="4">
        <v>45725</v>
      </c>
      <c r="C378" s="3" t="s">
        <v>2020</v>
      </c>
      <c r="D378" s="3" t="s">
        <v>2040</v>
      </c>
      <c r="E378" s="3" t="s">
        <v>2053</v>
      </c>
      <c r="F378" s="3" t="s">
        <v>2062</v>
      </c>
      <c r="G378" s="3">
        <v>9</v>
      </c>
      <c r="H378" s="3">
        <v>350</v>
      </c>
      <c r="I378" s="3">
        <v>455</v>
      </c>
      <c r="J378" s="3">
        <v>11.06</v>
      </c>
      <c r="K378" s="3">
        <v>3641.92</v>
      </c>
      <c r="L378" s="3">
        <v>491.92</v>
      </c>
      <c r="M378" s="3">
        <f t="shared" si="26"/>
        <v>45290.700000000004</v>
      </c>
      <c r="N378" s="3">
        <f t="shared" si="27"/>
        <v>3150</v>
      </c>
      <c r="O378" s="3">
        <f t="shared" si="28"/>
        <v>13.507161057903524</v>
      </c>
      <c r="P378" s="3" t="str">
        <f t="shared" si="29"/>
        <v>Mar</v>
      </c>
      <c r="Q378" s="3" t="str">
        <f t="shared" si="25"/>
        <v>good profit</v>
      </c>
    </row>
    <row r="379" spans="1:17" x14ac:dyDescent="0.25">
      <c r="A379" s="3" t="s">
        <v>1773</v>
      </c>
      <c r="B379" s="4">
        <v>45725</v>
      </c>
      <c r="C379" s="3" t="s">
        <v>2016</v>
      </c>
      <c r="D379" s="3" t="s">
        <v>2036</v>
      </c>
      <c r="E379" s="3" t="s">
        <v>2052</v>
      </c>
      <c r="F379" s="3" t="s">
        <v>2059</v>
      </c>
      <c r="G379" s="3">
        <v>2</v>
      </c>
      <c r="H379" s="3">
        <v>900</v>
      </c>
      <c r="I379" s="3">
        <v>1170</v>
      </c>
      <c r="J379" s="3">
        <v>4.0599999999999996</v>
      </c>
      <c r="K379" s="3">
        <v>2244.9699999999998</v>
      </c>
      <c r="L379" s="3">
        <v>444.97</v>
      </c>
      <c r="M379" s="3">
        <f t="shared" si="26"/>
        <v>9500.4</v>
      </c>
      <c r="N379" s="3">
        <f t="shared" si="27"/>
        <v>1800</v>
      </c>
      <c r="O379" s="3">
        <f t="shared" si="28"/>
        <v>19.82075484304913</v>
      </c>
      <c r="P379" s="3" t="str">
        <f t="shared" si="29"/>
        <v>Mar</v>
      </c>
      <c r="Q379" s="3" t="str">
        <f t="shared" si="25"/>
        <v>good profit</v>
      </c>
    </row>
    <row r="380" spans="1:17" x14ac:dyDescent="0.25">
      <c r="A380" s="3" t="s">
        <v>249</v>
      </c>
      <c r="B380" s="4">
        <v>45726</v>
      </c>
      <c r="C380" s="3" t="s">
        <v>2015</v>
      </c>
      <c r="D380" s="3" t="s">
        <v>2035</v>
      </c>
      <c r="E380" s="3" t="s">
        <v>2054</v>
      </c>
      <c r="F380" s="3" t="s">
        <v>2059</v>
      </c>
      <c r="G380" s="3">
        <v>6</v>
      </c>
      <c r="H380" s="3">
        <v>900</v>
      </c>
      <c r="I380" s="3">
        <v>1170</v>
      </c>
      <c r="J380" s="3">
        <v>9.2799999999999994</v>
      </c>
      <c r="K380" s="3">
        <v>6368.33</v>
      </c>
      <c r="L380" s="3">
        <v>968.33</v>
      </c>
      <c r="M380" s="3">
        <f t="shared" si="26"/>
        <v>65145.599999999999</v>
      </c>
      <c r="N380" s="3">
        <f t="shared" si="27"/>
        <v>5400</v>
      </c>
      <c r="O380" s="3">
        <f t="shared" si="28"/>
        <v>15.205399217691296</v>
      </c>
      <c r="P380" s="3" t="str">
        <f t="shared" si="29"/>
        <v>Mar</v>
      </c>
      <c r="Q380" s="3" t="str">
        <f t="shared" si="25"/>
        <v>good profit</v>
      </c>
    </row>
    <row r="381" spans="1:17" x14ac:dyDescent="0.25">
      <c r="A381" s="3" t="s">
        <v>513</v>
      </c>
      <c r="B381" s="4">
        <v>45726</v>
      </c>
      <c r="C381" s="3" t="s">
        <v>2021</v>
      </c>
      <c r="D381" s="3" t="s">
        <v>2041</v>
      </c>
      <c r="E381" s="3" t="s">
        <v>2056</v>
      </c>
      <c r="F381" s="3" t="s">
        <v>2062</v>
      </c>
      <c r="G381" s="3">
        <v>9</v>
      </c>
      <c r="H381" s="3">
        <v>300</v>
      </c>
      <c r="I381" s="3">
        <v>405</v>
      </c>
      <c r="J381" s="3">
        <v>15.07</v>
      </c>
      <c r="K381" s="3">
        <v>3095.62</v>
      </c>
      <c r="L381" s="3">
        <v>395.62</v>
      </c>
      <c r="M381" s="3">
        <f t="shared" si="26"/>
        <v>54930.15</v>
      </c>
      <c r="N381" s="3">
        <f t="shared" si="27"/>
        <v>2700</v>
      </c>
      <c r="O381" s="3">
        <f t="shared" si="28"/>
        <v>12.779992376325261</v>
      </c>
      <c r="P381" s="3" t="str">
        <f t="shared" si="29"/>
        <v>Mar</v>
      </c>
      <c r="Q381" s="3" t="str">
        <f t="shared" si="25"/>
        <v>good profit</v>
      </c>
    </row>
    <row r="382" spans="1:17" x14ac:dyDescent="0.25">
      <c r="A382" s="3" t="s">
        <v>587</v>
      </c>
      <c r="B382" s="4">
        <v>45726</v>
      </c>
      <c r="C382" s="3" t="s">
        <v>2016</v>
      </c>
      <c r="D382" s="3" t="s">
        <v>2036</v>
      </c>
      <c r="E382" s="3" t="s">
        <v>2052</v>
      </c>
      <c r="F382" s="3" t="s">
        <v>2061</v>
      </c>
      <c r="G382" s="3">
        <v>10</v>
      </c>
      <c r="H382" s="3">
        <v>900</v>
      </c>
      <c r="I382" s="3">
        <v>1170</v>
      </c>
      <c r="J382" s="3">
        <v>7.93</v>
      </c>
      <c r="K382" s="3">
        <v>10771.93</v>
      </c>
      <c r="L382" s="3">
        <v>1771.93</v>
      </c>
      <c r="M382" s="3">
        <f t="shared" si="26"/>
        <v>92781</v>
      </c>
      <c r="N382" s="3">
        <f t="shared" si="27"/>
        <v>9000</v>
      </c>
      <c r="O382" s="3">
        <f t="shared" si="28"/>
        <v>16.449512761408588</v>
      </c>
      <c r="P382" s="3" t="str">
        <f t="shared" si="29"/>
        <v>Mar</v>
      </c>
      <c r="Q382" s="3" t="str">
        <f t="shared" si="25"/>
        <v>good profit</v>
      </c>
    </row>
    <row r="383" spans="1:17" x14ac:dyDescent="0.25">
      <c r="A383" s="3" t="s">
        <v>1147</v>
      </c>
      <c r="B383" s="4">
        <v>45726</v>
      </c>
      <c r="C383" s="3" t="s">
        <v>2022</v>
      </c>
      <c r="D383" s="3" t="s">
        <v>2042</v>
      </c>
      <c r="E383" s="3" t="s">
        <v>2053</v>
      </c>
      <c r="F383" s="3" t="s">
        <v>2061</v>
      </c>
      <c r="G383" s="3">
        <v>4</v>
      </c>
      <c r="H383" s="3">
        <v>8500</v>
      </c>
      <c r="I383" s="3">
        <v>9520</v>
      </c>
      <c r="J383" s="3">
        <v>7.91</v>
      </c>
      <c r="K383" s="3">
        <v>35066.019999999997</v>
      </c>
      <c r="L383" s="3">
        <v>1066.02</v>
      </c>
      <c r="M383" s="3">
        <f t="shared" si="26"/>
        <v>301212.79999999999</v>
      </c>
      <c r="N383" s="3">
        <f t="shared" si="27"/>
        <v>34000</v>
      </c>
      <c r="O383" s="3">
        <f t="shared" si="28"/>
        <v>3.0400370501129017</v>
      </c>
      <c r="P383" s="3" t="str">
        <f t="shared" si="29"/>
        <v>Mar</v>
      </c>
      <c r="Q383" s="3" t="str">
        <f t="shared" si="25"/>
        <v>low profit</v>
      </c>
    </row>
    <row r="384" spans="1:17" x14ac:dyDescent="0.25">
      <c r="A384" s="3" t="s">
        <v>1821</v>
      </c>
      <c r="B384" s="4">
        <v>45726</v>
      </c>
      <c r="C384" s="3" t="s">
        <v>2020</v>
      </c>
      <c r="D384" s="3" t="s">
        <v>2040</v>
      </c>
      <c r="E384" s="3" t="s">
        <v>2053</v>
      </c>
      <c r="F384" s="3" t="s">
        <v>2059</v>
      </c>
      <c r="G384" s="3">
        <v>5</v>
      </c>
      <c r="H384" s="3">
        <v>350</v>
      </c>
      <c r="I384" s="3">
        <v>455</v>
      </c>
      <c r="J384" s="3">
        <v>12.03</v>
      </c>
      <c r="K384" s="3">
        <v>2001.29</v>
      </c>
      <c r="L384" s="3">
        <v>251.29</v>
      </c>
      <c r="M384" s="3">
        <f t="shared" si="26"/>
        <v>27368.25</v>
      </c>
      <c r="N384" s="3">
        <f t="shared" si="27"/>
        <v>1750</v>
      </c>
      <c r="O384" s="3">
        <f t="shared" si="28"/>
        <v>12.556401121276775</v>
      </c>
      <c r="P384" s="3" t="str">
        <f t="shared" si="29"/>
        <v>Mar</v>
      </c>
      <c r="Q384" s="3" t="str">
        <f t="shared" si="25"/>
        <v>good profit</v>
      </c>
    </row>
    <row r="385" spans="1:17" x14ac:dyDescent="0.25">
      <c r="A385" s="3" t="s">
        <v>1982</v>
      </c>
      <c r="B385" s="4">
        <v>45726</v>
      </c>
      <c r="C385" s="3" t="s">
        <v>2023</v>
      </c>
      <c r="D385" s="3" t="s">
        <v>2043</v>
      </c>
      <c r="E385" s="3" t="s">
        <v>2053</v>
      </c>
      <c r="F385" s="3" t="s">
        <v>2060</v>
      </c>
      <c r="G385" s="3">
        <v>3</v>
      </c>
      <c r="H385" s="3">
        <v>550</v>
      </c>
      <c r="I385" s="3">
        <v>742.5</v>
      </c>
      <c r="J385" s="3">
        <v>0</v>
      </c>
      <c r="K385" s="3">
        <v>2227.5</v>
      </c>
      <c r="L385" s="3">
        <v>577.5</v>
      </c>
      <c r="M385" s="3">
        <f t="shared" si="26"/>
        <v>0</v>
      </c>
      <c r="N385" s="3">
        <f t="shared" si="27"/>
        <v>1650</v>
      </c>
      <c r="O385" s="3">
        <f t="shared" si="28"/>
        <v>25.925925925925924</v>
      </c>
      <c r="P385" s="3" t="str">
        <f t="shared" si="29"/>
        <v>Mar</v>
      </c>
      <c r="Q385" s="3" t="str">
        <f t="shared" si="25"/>
        <v>good profit</v>
      </c>
    </row>
    <row r="386" spans="1:17" x14ac:dyDescent="0.25">
      <c r="A386" s="3" t="s">
        <v>412</v>
      </c>
      <c r="B386" s="4">
        <v>45727</v>
      </c>
      <c r="C386" s="3" t="s">
        <v>2013</v>
      </c>
      <c r="D386" s="3" t="s">
        <v>2033</v>
      </c>
      <c r="E386" s="3" t="s">
        <v>2053</v>
      </c>
      <c r="F386" s="3" t="s">
        <v>2062</v>
      </c>
      <c r="G386" s="3">
        <v>5</v>
      </c>
      <c r="H386" s="3">
        <v>6500</v>
      </c>
      <c r="I386" s="3">
        <v>7150</v>
      </c>
      <c r="J386" s="3">
        <v>11.22</v>
      </c>
      <c r="K386" s="3">
        <v>31738.09</v>
      </c>
      <c r="L386" s="3">
        <v>-761.91</v>
      </c>
      <c r="M386" s="3">
        <f t="shared" si="26"/>
        <v>401115</v>
      </c>
      <c r="N386" s="3">
        <f t="shared" si="27"/>
        <v>32500</v>
      </c>
      <c r="O386" s="3">
        <f t="shared" si="28"/>
        <v>-2.4006170503644042</v>
      </c>
      <c r="P386" s="3" t="str">
        <f t="shared" si="29"/>
        <v>Mar</v>
      </c>
      <c r="Q386" s="3" t="str">
        <f t="shared" ref="Q386:Q449" si="30">IF(L386&lt;0,"loss",IF(O386&lt;10,"low profit","good profit"))</f>
        <v>loss</v>
      </c>
    </row>
    <row r="387" spans="1:17" x14ac:dyDescent="0.25">
      <c r="A387" s="3" t="s">
        <v>521</v>
      </c>
      <c r="B387" s="4">
        <v>45727</v>
      </c>
      <c r="C387" s="3" t="s">
        <v>2031</v>
      </c>
      <c r="D387" s="3" t="s">
        <v>2051</v>
      </c>
      <c r="E387" s="3" t="s">
        <v>2058</v>
      </c>
      <c r="F387" s="3" t="s">
        <v>2062</v>
      </c>
      <c r="G387" s="3">
        <v>7</v>
      </c>
      <c r="H387" s="3">
        <v>3200</v>
      </c>
      <c r="I387" s="3">
        <v>3840</v>
      </c>
      <c r="J387" s="3">
        <v>14.15</v>
      </c>
      <c r="K387" s="3">
        <v>23076.97</v>
      </c>
      <c r="L387" s="3">
        <v>676.97</v>
      </c>
      <c r="M387" s="3">
        <f t="shared" ref="M387:M450" si="31">G387*I387*J387</f>
        <v>380352</v>
      </c>
      <c r="N387" s="3">
        <f t="shared" ref="N387:N450" si="32">G387*H387</f>
        <v>22400</v>
      </c>
      <c r="O387" s="3">
        <f t="shared" ref="O387:O450" si="33">IFERROR(L387/K387*100,0)</f>
        <v>2.9335307018209065</v>
      </c>
      <c r="P387" s="3" t="str">
        <f t="shared" ref="P387:P450" si="34">TEXT(B387,"mmm")</f>
        <v>Mar</v>
      </c>
      <c r="Q387" s="3" t="str">
        <f t="shared" si="30"/>
        <v>low profit</v>
      </c>
    </row>
    <row r="388" spans="1:17" x14ac:dyDescent="0.25">
      <c r="A388" s="3" t="s">
        <v>557</v>
      </c>
      <c r="B388" s="4">
        <v>45727</v>
      </c>
      <c r="C388" s="3" t="s">
        <v>2019</v>
      </c>
      <c r="D388" s="3" t="s">
        <v>2039</v>
      </c>
      <c r="E388" s="3" t="s">
        <v>2053</v>
      </c>
      <c r="F388" s="3" t="s">
        <v>2061</v>
      </c>
      <c r="G388" s="3">
        <v>4</v>
      </c>
      <c r="H388" s="3">
        <v>900</v>
      </c>
      <c r="I388" s="3">
        <v>1152</v>
      </c>
      <c r="J388" s="3">
        <v>7.91</v>
      </c>
      <c r="K388" s="3">
        <v>4243.41</v>
      </c>
      <c r="L388" s="3">
        <v>643.41</v>
      </c>
      <c r="M388" s="3">
        <f t="shared" si="31"/>
        <v>36449.279999999999</v>
      </c>
      <c r="N388" s="3">
        <f t="shared" si="32"/>
        <v>3600</v>
      </c>
      <c r="O388" s="3">
        <f t="shared" si="33"/>
        <v>15.162569725763007</v>
      </c>
      <c r="P388" s="3" t="str">
        <f t="shared" si="34"/>
        <v>Mar</v>
      </c>
      <c r="Q388" s="3" t="str">
        <f t="shared" si="30"/>
        <v>good profit</v>
      </c>
    </row>
    <row r="389" spans="1:17" x14ac:dyDescent="0.25">
      <c r="A389" s="3" t="s">
        <v>572</v>
      </c>
      <c r="B389" s="4">
        <v>45727</v>
      </c>
      <c r="C389" s="3" t="s">
        <v>2017</v>
      </c>
      <c r="D389" s="3" t="s">
        <v>2037</v>
      </c>
      <c r="E389" s="3" t="s">
        <v>2055</v>
      </c>
      <c r="F389" s="3" t="s">
        <v>2059</v>
      </c>
      <c r="G389" s="3">
        <v>7</v>
      </c>
      <c r="H389" s="3">
        <v>2500</v>
      </c>
      <c r="I389" s="3">
        <v>2875</v>
      </c>
      <c r="J389" s="3">
        <v>6.11</v>
      </c>
      <c r="K389" s="3">
        <v>18895.98</v>
      </c>
      <c r="L389" s="3">
        <v>1395.98</v>
      </c>
      <c r="M389" s="3">
        <f t="shared" si="31"/>
        <v>122963.75</v>
      </c>
      <c r="N389" s="3">
        <f t="shared" si="32"/>
        <v>17500</v>
      </c>
      <c r="O389" s="3">
        <f t="shared" si="33"/>
        <v>7.3877089200983486</v>
      </c>
      <c r="P389" s="3" t="str">
        <f t="shared" si="34"/>
        <v>Mar</v>
      </c>
      <c r="Q389" s="3" t="str">
        <f t="shared" si="30"/>
        <v>low profit</v>
      </c>
    </row>
    <row r="390" spans="1:17" x14ac:dyDescent="0.25">
      <c r="A390" s="3" t="s">
        <v>1208</v>
      </c>
      <c r="B390" s="4">
        <v>45727</v>
      </c>
      <c r="C390" s="3" t="s">
        <v>2021</v>
      </c>
      <c r="D390" s="3" t="s">
        <v>2041</v>
      </c>
      <c r="E390" s="3" t="s">
        <v>2056</v>
      </c>
      <c r="F390" s="3" t="s">
        <v>2062</v>
      </c>
      <c r="G390" s="3">
        <v>2</v>
      </c>
      <c r="H390" s="3">
        <v>300</v>
      </c>
      <c r="I390" s="3">
        <v>405</v>
      </c>
      <c r="J390" s="3">
        <v>7.94</v>
      </c>
      <c r="K390" s="3">
        <v>745.66</v>
      </c>
      <c r="L390" s="3">
        <v>145.66</v>
      </c>
      <c r="M390" s="3">
        <f t="shared" si="31"/>
        <v>6431.4000000000005</v>
      </c>
      <c r="N390" s="3">
        <f t="shared" si="32"/>
        <v>600</v>
      </c>
      <c r="O390" s="3">
        <f t="shared" si="33"/>
        <v>19.534372233994045</v>
      </c>
      <c r="P390" s="3" t="str">
        <f t="shared" si="34"/>
        <v>Mar</v>
      </c>
      <c r="Q390" s="3" t="str">
        <f t="shared" si="30"/>
        <v>good profit</v>
      </c>
    </row>
    <row r="391" spans="1:17" x14ac:dyDescent="0.25">
      <c r="A391" s="3" t="s">
        <v>1217</v>
      </c>
      <c r="B391" s="4">
        <v>45727</v>
      </c>
      <c r="C391" s="3" t="s">
        <v>2024</v>
      </c>
      <c r="D391" s="3" t="s">
        <v>2044</v>
      </c>
      <c r="E391" s="3" t="s">
        <v>2055</v>
      </c>
      <c r="F391" s="3" t="s">
        <v>2060</v>
      </c>
      <c r="G391" s="3">
        <v>9</v>
      </c>
      <c r="H391" s="3">
        <v>180</v>
      </c>
      <c r="I391" s="3">
        <v>243</v>
      </c>
      <c r="J391" s="3">
        <v>5.85</v>
      </c>
      <c r="K391" s="3">
        <v>2059.0100000000002</v>
      </c>
      <c r="L391" s="3">
        <v>439.01</v>
      </c>
      <c r="M391" s="3">
        <f t="shared" si="31"/>
        <v>12793.949999999999</v>
      </c>
      <c r="N391" s="3">
        <f t="shared" si="32"/>
        <v>1620</v>
      </c>
      <c r="O391" s="3">
        <f t="shared" si="33"/>
        <v>21.32141174642182</v>
      </c>
      <c r="P391" s="3" t="str">
        <f t="shared" si="34"/>
        <v>Mar</v>
      </c>
      <c r="Q391" s="3" t="str">
        <f t="shared" si="30"/>
        <v>good profit</v>
      </c>
    </row>
    <row r="392" spans="1:17" x14ac:dyDescent="0.25">
      <c r="A392" s="3" t="s">
        <v>1654</v>
      </c>
      <c r="B392" s="4">
        <v>45727</v>
      </c>
      <c r="C392" s="3" t="s">
        <v>2018</v>
      </c>
      <c r="D392" s="3" t="s">
        <v>2038</v>
      </c>
      <c r="E392" s="3" t="s">
        <v>2053</v>
      </c>
      <c r="F392" s="3" t="s">
        <v>2061</v>
      </c>
      <c r="G392" s="3">
        <v>10</v>
      </c>
      <c r="H392" s="3">
        <v>500</v>
      </c>
      <c r="I392" s="3">
        <v>610</v>
      </c>
      <c r="J392" s="3">
        <v>11.02</v>
      </c>
      <c r="K392" s="3">
        <v>5427.75</v>
      </c>
      <c r="L392" s="3">
        <v>427.75</v>
      </c>
      <c r="M392" s="3">
        <f t="shared" si="31"/>
        <v>67222</v>
      </c>
      <c r="N392" s="3">
        <f t="shared" si="32"/>
        <v>5000</v>
      </c>
      <c r="O392" s="3">
        <f t="shared" si="33"/>
        <v>7.8807977522914658</v>
      </c>
      <c r="P392" s="3" t="str">
        <f t="shared" si="34"/>
        <v>Mar</v>
      </c>
      <c r="Q392" s="3" t="str">
        <f t="shared" si="30"/>
        <v>low profit</v>
      </c>
    </row>
    <row r="393" spans="1:17" x14ac:dyDescent="0.25">
      <c r="A393" s="3" t="s">
        <v>1909</v>
      </c>
      <c r="B393" s="4">
        <v>45727</v>
      </c>
      <c r="C393" s="3" t="s">
        <v>2025</v>
      </c>
      <c r="D393" s="3" t="s">
        <v>2045</v>
      </c>
      <c r="E393" s="3" t="s">
        <v>2057</v>
      </c>
      <c r="F393" s="3" t="s">
        <v>2060</v>
      </c>
      <c r="G393" s="3">
        <v>3</v>
      </c>
      <c r="H393" s="3">
        <v>45</v>
      </c>
      <c r="I393" s="3">
        <v>63</v>
      </c>
      <c r="J393" s="3">
        <v>27.52</v>
      </c>
      <c r="K393" s="3">
        <v>136.99</v>
      </c>
      <c r="L393" s="3">
        <v>1.99</v>
      </c>
      <c r="M393" s="3">
        <f t="shared" si="31"/>
        <v>5201.28</v>
      </c>
      <c r="N393" s="3">
        <f t="shared" si="32"/>
        <v>135</v>
      </c>
      <c r="O393" s="3">
        <f t="shared" si="33"/>
        <v>1.4526607781589895</v>
      </c>
      <c r="P393" s="3" t="str">
        <f t="shared" si="34"/>
        <v>Mar</v>
      </c>
      <c r="Q393" s="3" t="str">
        <f t="shared" si="30"/>
        <v>low profit</v>
      </c>
    </row>
    <row r="394" spans="1:17" x14ac:dyDescent="0.25">
      <c r="A394" s="3" t="s">
        <v>436</v>
      </c>
      <c r="B394" s="4">
        <v>45728</v>
      </c>
      <c r="C394" s="3" t="s">
        <v>2016</v>
      </c>
      <c r="D394" s="3" t="s">
        <v>2036</v>
      </c>
      <c r="E394" s="3" t="s">
        <v>2052</v>
      </c>
      <c r="F394" s="3" t="s">
        <v>2060</v>
      </c>
      <c r="G394" s="3">
        <v>3</v>
      </c>
      <c r="H394" s="3">
        <v>900</v>
      </c>
      <c r="I394" s="3">
        <v>1170</v>
      </c>
      <c r="J394" s="3">
        <v>2.96</v>
      </c>
      <c r="K394" s="3">
        <v>3406.14</v>
      </c>
      <c r="L394" s="3">
        <v>706.14</v>
      </c>
      <c r="M394" s="3">
        <f t="shared" si="31"/>
        <v>10389.6</v>
      </c>
      <c r="N394" s="3">
        <f t="shared" si="32"/>
        <v>2700</v>
      </c>
      <c r="O394" s="3">
        <f t="shared" si="33"/>
        <v>20.731385086931247</v>
      </c>
      <c r="P394" s="3" t="str">
        <f t="shared" si="34"/>
        <v>Mar</v>
      </c>
      <c r="Q394" s="3" t="str">
        <f t="shared" si="30"/>
        <v>good profit</v>
      </c>
    </row>
    <row r="395" spans="1:17" x14ac:dyDescent="0.25">
      <c r="A395" s="3" t="s">
        <v>382</v>
      </c>
      <c r="B395" s="4">
        <v>45729</v>
      </c>
      <c r="C395" s="3" t="s">
        <v>2026</v>
      </c>
      <c r="D395" s="3" t="s">
        <v>2046</v>
      </c>
      <c r="E395" s="3" t="s">
        <v>2052</v>
      </c>
      <c r="F395" s="3" t="s">
        <v>2062</v>
      </c>
      <c r="G395" s="3">
        <v>10</v>
      </c>
      <c r="H395" s="3">
        <v>3000</v>
      </c>
      <c r="I395" s="3">
        <v>3600</v>
      </c>
      <c r="J395" s="3">
        <v>16.53</v>
      </c>
      <c r="K395" s="3">
        <v>30049.72</v>
      </c>
      <c r="L395" s="3">
        <v>49.72</v>
      </c>
      <c r="M395" s="3">
        <f t="shared" si="31"/>
        <v>595080</v>
      </c>
      <c r="N395" s="3">
        <f t="shared" si="32"/>
        <v>30000</v>
      </c>
      <c r="O395" s="3">
        <f t="shared" si="33"/>
        <v>0.16545911243099767</v>
      </c>
      <c r="P395" s="3" t="str">
        <f t="shared" si="34"/>
        <v>Mar</v>
      </c>
      <c r="Q395" s="3" t="str">
        <f t="shared" si="30"/>
        <v>low profit</v>
      </c>
    </row>
    <row r="396" spans="1:17" x14ac:dyDescent="0.25">
      <c r="A396" s="3" t="s">
        <v>679</v>
      </c>
      <c r="B396" s="4">
        <v>45729</v>
      </c>
      <c r="C396" s="3" t="s">
        <v>2014</v>
      </c>
      <c r="D396" s="3" t="s">
        <v>2034</v>
      </c>
      <c r="E396" s="3" t="s">
        <v>2052</v>
      </c>
      <c r="F396" s="3" t="s">
        <v>2059</v>
      </c>
      <c r="G396" s="3">
        <v>4</v>
      </c>
      <c r="H396" s="3">
        <v>4500</v>
      </c>
      <c r="I396" s="3">
        <v>5220</v>
      </c>
      <c r="J396" s="3">
        <v>28.16</v>
      </c>
      <c r="K396" s="3">
        <v>15000.1</v>
      </c>
      <c r="L396" s="3">
        <v>-2999.9</v>
      </c>
      <c r="M396" s="3">
        <f t="shared" si="31"/>
        <v>587980.80000000005</v>
      </c>
      <c r="N396" s="3">
        <f t="shared" si="32"/>
        <v>18000</v>
      </c>
      <c r="O396" s="3">
        <f t="shared" si="33"/>
        <v>-19.999200005333297</v>
      </c>
      <c r="P396" s="3" t="str">
        <f t="shared" si="34"/>
        <v>Mar</v>
      </c>
      <c r="Q396" s="3" t="str">
        <f t="shared" si="30"/>
        <v>loss</v>
      </c>
    </row>
    <row r="397" spans="1:17" x14ac:dyDescent="0.25">
      <c r="A397" s="3" t="s">
        <v>923</v>
      </c>
      <c r="B397" s="4">
        <v>45729</v>
      </c>
      <c r="C397" s="3" t="s">
        <v>2014</v>
      </c>
      <c r="D397" s="3" t="s">
        <v>2034</v>
      </c>
      <c r="E397" s="3" t="s">
        <v>2052</v>
      </c>
      <c r="F397" s="3" t="s">
        <v>2059</v>
      </c>
      <c r="G397" s="3">
        <v>7</v>
      </c>
      <c r="H397" s="3">
        <v>4500</v>
      </c>
      <c r="I397" s="3">
        <v>5220</v>
      </c>
      <c r="J397" s="3">
        <v>19.850000000000001</v>
      </c>
      <c r="K397" s="3">
        <v>29285.31</v>
      </c>
      <c r="L397" s="3">
        <v>-2214.69</v>
      </c>
      <c r="M397" s="3">
        <f t="shared" si="31"/>
        <v>725319</v>
      </c>
      <c r="N397" s="3">
        <f t="shared" si="32"/>
        <v>31500</v>
      </c>
      <c r="O397" s="3">
        <f t="shared" si="33"/>
        <v>-7.5624604964058779</v>
      </c>
      <c r="P397" s="3" t="str">
        <f t="shared" si="34"/>
        <v>Mar</v>
      </c>
      <c r="Q397" s="3" t="str">
        <f t="shared" si="30"/>
        <v>loss</v>
      </c>
    </row>
    <row r="398" spans="1:17" x14ac:dyDescent="0.25">
      <c r="A398" s="3" t="s">
        <v>989</v>
      </c>
      <c r="B398" s="4">
        <v>45729</v>
      </c>
      <c r="C398" s="3" t="s">
        <v>2016</v>
      </c>
      <c r="D398" s="3" t="s">
        <v>2036</v>
      </c>
      <c r="E398" s="3" t="s">
        <v>2052</v>
      </c>
      <c r="F398" s="3" t="s">
        <v>2060</v>
      </c>
      <c r="G398" s="3">
        <v>10</v>
      </c>
      <c r="H398" s="3">
        <v>900</v>
      </c>
      <c r="I398" s="3">
        <v>1170</v>
      </c>
      <c r="J398" s="3">
        <v>3.38</v>
      </c>
      <c r="K398" s="3">
        <v>11305.08</v>
      </c>
      <c r="L398" s="3">
        <v>2305.08</v>
      </c>
      <c r="M398" s="3">
        <f t="shared" si="31"/>
        <v>39546</v>
      </c>
      <c r="N398" s="3">
        <f t="shared" si="32"/>
        <v>9000</v>
      </c>
      <c r="O398" s="3">
        <f t="shared" si="33"/>
        <v>20.38977167786517</v>
      </c>
      <c r="P398" s="3" t="str">
        <f t="shared" si="34"/>
        <v>Mar</v>
      </c>
      <c r="Q398" s="3" t="str">
        <f t="shared" si="30"/>
        <v>good profit</v>
      </c>
    </row>
    <row r="399" spans="1:17" x14ac:dyDescent="0.25">
      <c r="A399" s="3" t="s">
        <v>1311</v>
      </c>
      <c r="B399" s="4">
        <v>45729</v>
      </c>
      <c r="C399" s="3" t="s">
        <v>2014</v>
      </c>
      <c r="D399" s="3" t="s">
        <v>2034</v>
      </c>
      <c r="E399" s="3" t="s">
        <v>2052</v>
      </c>
      <c r="F399" s="3" t="s">
        <v>2059</v>
      </c>
      <c r="G399" s="3">
        <v>10</v>
      </c>
      <c r="H399" s="3">
        <v>4500</v>
      </c>
      <c r="I399" s="3">
        <v>5220</v>
      </c>
      <c r="J399" s="3">
        <v>17.23</v>
      </c>
      <c r="K399" s="3">
        <v>43206.53</v>
      </c>
      <c r="L399" s="3">
        <v>-1793.47</v>
      </c>
      <c r="M399" s="3">
        <f t="shared" si="31"/>
        <v>899406</v>
      </c>
      <c r="N399" s="3">
        <f t="shared" si="32"/>
        <v>45000</v>
      </c>
      <c r="O399" s="3">
        <f t="shared" si="33"/>
        <v>-4.1509234830938757</v>
      </c>
      <c r="P399" s="3" t="str">
        <f t="shared" si="34"/>
        <v>Mar</v>
      </c>
      <c r="Q399" s="3" t="str">
        <f t="shared" si="30"/>
        <v>loss</v>
      </c>
    </row>
    <row r="400" spans="1:17" x14ac:dyDescent="0.25">
      <c r="A400" s="3" t="s">
        <v>92</v>
      </c>
      <c r="B400" s="4">
        <v>45730</v>
      </c>
      <c r="C400" s="3" t="s">
        <v>2016</v>
      </c>
      <c r="D400" s="3" t="s">
        <v>2036</v>
      </c>
      <c r="E400" s="3" t="s">
        <v>2052</v>
      </c>
      <c r="F400" s="3" t="s">
        <v>2059</v>
      </c>
      <c r="G400" s="3">
        <v>10</v>
      </c>
      <c r="H400" s="3">
        <v>900</v>
      </c>
      <c r="I400" s="3">
        <v>1170</v>
      </c>
      <c r="J400" s="3">
        <v>18.88</v>
      </c>
      <c r="K400" s="3">
        <v>9491</v>
      </c>
      <c r="L400" s="3">
        <v>491</v>
      </c>
      <c r="M400" s="3">
        <f t="shared" si="31"/>
        <v>220896</v>
      </c>
      <c r="N400" s="3">
        <f t="shared" si="32"/>
        <v>9000</v>
      </c>
      <c r="O400" s="3">
        <f t="shared" si="33"/>
        <v>5.1733220946159522</v>
      </c>
      <c r="P400" s="3" t="str">
        <f t="shared" si="34"/>
        <v>Mar</v>
      </c>
      <c r="Q400" s="3" t="str">
        <f t="shared" si="30"/>
        <v>low profit</v>
      </c>
    </row>
    <row r="401" spans="1:17" x14ac:dyDescent="0.25">
      <c r="A401" s="3" t="s">
        <v>837</v>
      </c>
      <c r="B401" s="4">
        <v>45730</v>
      </c>
      <c r="C401" s="3" t="s">
        <v>2023</v>
      </c>
      <c r="D401" s="3" t="s">
        <v>2043</v>
      </c>
      <c r="E401" s="3" t="s">
        <v>2053</v>
      </c>
      <c r="F401" s="3" t="s">
        <v>2059</v>
      </c>
      <c r="G401" s="3">
        <v>8</v>
      </c>
      <c r="H401" s="3">
        <v>550</v>
      </c>
      <c r="I401" s="3">
        <v>742.5</v>
      </c>
      <c r="J401" s="3">
        <v>28.85</v>
      </c>
      <c r="K401" s="3">
        <v>4226.51</v>
      </c>
      <c r="L401" s="3">
        <v>-173.49</v>
      </c>
      <c r="M401" s="3">
        <f t="shared" si="31"/>
        <v>171369</v>
      </c>
      <c r="N401" s="3">
        <f t="shared" si="32"/>
        <v>4400</v>
      </c>
      <c r="O401" s="3">
        <f t="shared" si="33"/>
        <v>-4.1048051465630033</v>
      </c>
      <c r="P401" s="3" t="str">
        <f t="shared" si="34"/>
        <v>Mar</v>
      </c>
      <c r="Q401" s="3" t="str">
        <f t="shared" si="30"/>
        <v>loss</v>
      </c>
    </row>
    <row r="402" spans="1:17" x14ac:dyDescent="0.25">
      <c r="A402" s="3" t="s">
        <v>1064</v>
      </c>
      <c r="B402" s="4">
        <v>45730</v>
      </c>
      <c r="C402" s="3" t="s">
        <v>2030</v>
      </c>
      <c r="D402" s="3" t="s">
        <v>2050</v>
      </c>
      <c r="E402" s="3" t="s">
        <v>2058</v>
      </c>
      <c r="F402" s="3" t="s">
        <v>2061</v>
      </c>
      <c r="G402" s="3">
        <v>6</v>
      </c>
      <c r="H402" s="3">
        <v>1800</v>
      </c>
      <c r="I402" s="3">
        <v>2124</v>
      </c>
      <c r="J402" s="3">
        <v>13.3</v>
      </c>
      <c r="K402" s="3">
        <v>11049.38</v>
      </c>
      <c r="L402" s="3">
        <v>249.38</v>
      </c>
      <c r="M402" s="3">
        <f t="shared" si="31"/>
        <v>169495.2</v>
      </c>
      <c r="N402" s="3">
        <f t="shared" si="32"/>
        <v>10800</v>
      </c>
      <c r="O402" s="3">
        <f t="shared" si="33"/>
        <v>2.2569592140011476</v>
      </c>
      <c r="P402" s="3" t="str">
        <f t="shared" si="34"/>
        <v>Mar</v>
      </c>
      <c r="Q402" s="3" t="str">
        <f t="shared" si="30"/>
        <v>low profit</v>
      </c>
    </row>
    <row r="403" spans="1:17" x14ac:dyDescent="0.25">
      <c r="A403" s="3" t="s">
        <v>1907</v>
      </c>
      <c r="B403" s="4">
        <v>45730</v>
      </c>
      <c r="C403" s="3" t="s">
        <v>2012</v>
      </c>
      <c r="D403" s="3" t="s">
        <v>2032</v>
      </c>
      <c r="E403" s="3" t="s">
        <v>2052</v>
      </c>
      <c r="F403" s="3" t="s">
        <v>2059</v>
      </c>
      <c r="G403" s="3">
        <v>9</v>
      </c>
      <c r="H403" s="3">
        <v>6500</v>
      </c>
      <c r="I403" s="3">
        <v>8125</v>
      </c>
      <c r="J403" s="3">
        <v>4</v>
      </c>
      <c r="K403" s="3">
        <v>70200</v>
      </c>
      <c r="L403" s="3">
        <v>11700</v>
      </c>
      <c r="M403" s="3">
        <f t="shared" si="31"/>
        <v>292500</v>
      </c>
      <c r="N403" s="3">
        <f t="shared" si="32"/>
        <v>58500</v>
      </c>
      <c r="O403" s="3">
        <f t="shared" si="33"/>
        <v>16.666666666666664</v>
      </c>
      <c r="P403" s="3" t="str">
        <f t="shared" si="34"/>
        <v>Mar</v>
      </c>
      <c r="Q403" s="3" t="str">
        <f t="shared" si="30"/>
        <v>good profit</v>
      </c>
    </row>
    <row r="404" spans="1:17" x14ac:dyDescent="0.25">
      <c r="A404" s="3" t="s">
        <v>517</v>
      </c>
      <c r="B404" s="4">
        <v>45731</v>
      </c>
      <c r="C404" s="3" t="s">
        <v>2024</v>
      </c>
      <c r="D404" s="3" t="s">
        <v>2044</v>
      </c>
      <c r="E404" s="3" t="s">
        <v>2055</v>
      </c>
      <c r="F404" s="3" t="s">
        <v>2059</v>
      </c>
      <c r="G404" s="3">
        <v>10</v>
      </c>
      <c r="H404" s="3">
        <v>180</v>
      </c>
      <c r="I404" s="3">
        <v>243</v>
      </c>
      <c r="J404" s="3">
        <v>3.75</v>
      </c>
      <c r="K404" s="3">
        <v>2338.86</v>
      </c>
      <c r="L404" s="3">
        <v>538.86</v>
      </c>
      <c r="M404" s="3">
        <f t="shared" si="31"/>
        <v>9112.5</v>
      </c>
      <c r="N404" s="3">
        <f t="shared" si="32"/>
        <v>1800</v>
      </c>
      <c r="O404" s="3">
        <f t="shared" si="33"/>
        <v>23.039429465637102</v>
      </c>
      <c r="P404" s="3" t="str">
        <f t="shared" si="34"/>
        <v>Mar</v>
      </c>
      <c r="Q404" s="3" t="str">
        <f t="shared" si="30"/>
        <v>good profit</v>
      </c>
    </row>
    <row r="405" spans="1:17" x14ac:dyDescent="0.25">
      <c r="A405" s="3" t="s">
        <v>674</v>
      </c>
      <c r="B405" s="4">
        <v>45731</v>
      </c>
      <c r="C405" s="3" t="s">
        <v>2020</v>
      </c>
      <c r="D405" s="3" t="s">
        <v>2040</v>
      </c>
      <c r="E405" s="3" t="s">
        <v>2053</v>
      </c>
      <c r="F405" s="3" t="s">
        <v>2060</v>
      </c>
      <c r="G405" s="3">
        <v>6</v>
      </c>
      <c r="H405" s="3">
        <v>350</v>
      </c>
      <c r="I405" s="3">
        <v>455</v>
      </c>
      <c r="J405" s="3">
        <v>16.48</v>
      </c>
      <c r="K405" s="3">
        <v>2280.0300000000002</v>
      </c>
      <c r="L405" s="3">
        <v>180.03</v>
      </c>
      <c r="M405" s="3">
        <f t="shared" si="31"/>
        <v>44990.400000000001</v>
      </c>
      <c r="N405" s="3">
        <f t="shared" si="32"/>
        <v>2100</v>
      </c>
      <c r="O405" s="3">
        <f t="shared" si="33"/>
        <v>7.895948737516612</v>
      </c>
      <c r="P405" s="3" t="str">
        <f t="shared" si="34"/>
        <v>Mar</v>
      </c>
      <c r="Q405" s="3" t="str">
        <f t="shared" si="30"/>
        <v>low profit</v>
      </c>
    </row>
    <row r="406" spans="1:17" x14ac:dyDescent="0.25">
      <c r="A406" s="3" t="s">
        <v>1359</v>
      </c>
      <c r="B406" s="4">
        <v>45731</v>
      </c>
      <c r="C406" s="3" t="s">
        <v>2028</v>
      </c>
      <c r="D406" s="3" t="s">
        <v>2048</v>
      </c>
      <c r="E406" s="3" t="s">
        <v>2057</v>
      </c>
      <c r="F406" s="3" t="s">
        <v>2062</v>
      </c>
      <c r="G406" s="3">
        <v>9</v>
      </c>
      <c r="H406" s="3">
        <v>80</v>
      </c>
      <c r="I406" s="3">
        <v>116</v>
      </c>
      <c r="J406" s="3">
        <v>0</v>
      </c>
      <c r="K406" s="3">
        <v>1044</v>
      </c>
      <c r="L406" s="3">
        <v>324</v>
      </c>
      <c r="M406" s="3">
        <f t="shared" si="31"/>
        <v>0</v>
      </c>
      <c r="N406" s="3">
        <f t="shared" si="32"/>
        <v>720</v>
      </c>
      <c r="O406" s="3">
        <f t="shared" si="33"/>
        <v>31.03448275862069</v>
      </c>
      <c r="P406" s="3" t="str">
        <f t="shared" si="34"/>
        <v>Mar</v>
      </c>
      <c r="Q406" s="3" t="str">
        <f t="shared" si="30"/>
        <v>good profit</v>
      </c>
    </row>
    <row r="407" spans="1:17" x14ac:dyDescent="0.25">
      <c r="A407" s="3" t="s">
        <v>1500</v>
      </c>
      <c r="B407" s="4">
        <v>45731</v>
      </c>
      <c r="C407" s="3" t="s">
        <v>2013</v>
      </c>
      <c r="D407" s="3" t="s">
        <v>2033</v>
      </c>
      <c r="E407" s="3" t="s">
        <v>2053</v>
      </c>
      <c r="F407" s="3" t="s">
        <v>2060</v>
      </c>
      <c r="G407" s="3">
        <v>6</v>
      </c>
      <c r="H407" s="3">
        <v>6500</v>
      </c>
      <c r="I407" s="3">
        <v>7150</v>
      </c>
      <c r="J407" s="3">
        <v>16.28</v>
      </c>
      <c r="K407" s="3">
        <v>35915.370000000003</v>
      </c>
      <c r="L407" s="3">
        <v>-3084.63</v>
      </c>
      <c r="M407" s="3">
        <f t="shared" si="31"/>
        <v>698412</v>
      </c>
      <c r="N407" s="3">
        <f t="shared" si="32"/>
        <v>39000</v>
      </c>
      <c r="O407" s="3">
        <f t="shared" si="33"/>
        <v>-8.588607050407667</v>
      </c>
      <c r="P407" s="3" t="str">
        <f t="shared" si="34"/>
        <v>Mar</v>
      </c>
      <c r="Q407" s="3" t="str">
        <f t="shared" si="30"/>
        <v>loss</v>
      </c>
    </row>
    <row r="408" spans="1:17" x14ac:dyDescent="0.25">
      <c r="A408" s="3" t="s">
        <v>1704</v>
      </c>
      <c r="B408" s="4">
        <v>45731</v>
      </c>
      <c r="C408" s="3" t="s">
        <v>2014</v>
      </c>
      <c r="D408" s="3" t="s">
        <v>2034</v>
      </c>
      <c r="E408" s="3" t="s">
        <v>2052</v>
      </c>
      <c r="F408" s="3" t="s">
        <v>2062</v>
      </c>
      <c r="G408" s="3">
        <v>6</v>
      </c>
      <c r="H408" s="3">
        <v>4500</v>
      </c>
      <c r="I408" s="3">
        <v>5220</v>
      </c>
      <c r="J408" s="3">
        <v>14.2</v>
      </c>
      <c r="K408" s="3">
        <v>26872.79</v>
      </c>
      <c r="L408" s="3">
        <v>-127.21</v>
      </c>
      <c r="M408" s="3">
        <f t="shared" si="31"/>
        <v>444744</v>
      </c>
      <c r="N408" s="3">
        <f t="shared" si="32"/>
        <v>27000</v>
      </c>
      <c r="O408" s="3">
        <f t="shared" si="33"/>
        <v>-0.47337846200561978</v>
      </c>
      <c r="P408" s="3" t="str">
        <f t="shared" si="34"/>
        <v>Mar</v>
      </c>
      <c r="Q408" s="3" t="str">
        <f t="shared" si="30"/>
        <v>loss</v>
      </c>
    </row>
    <row r="409" spans="1:17" x14ac:dyDescent="0.25">
      <c r="A409" s="3" t="s">
        <v>409</v>
      </c>
      <c r="B409" s="4">
        <v>45732</v>
      </c>
      <c r="C409" s="3" t="s">
        <v>2027</v>
      </c>
      <c r="D409" s="3" t="s">
        <v>2047</v>
      </c>
      <c r="E409" s="3" t="s">
        <v>2053</v>
      </c>
      <c r="F409" s="3" t="s">
        <v>2061</v>
      </c>
      <c r="G409" s="3">
        <v>6</v>
      </c>
      <c r="H409" s="3">
        <v>1100</v>
      </c>
      <c r="I409" s="3">
        <v>1298</v>
      </c>
      <c r="J409" s="3">
        <v>10.88</v>
      </c>
      <c r="K409" s="3">
        <v>6940.51</v>
      </c>
      <c r="L409" s="3">
        <v>340.51</v>
      </c>
      <c r="M409" s="3">
        <f t="shared" si="31"/>
        <v>84733.440000000002</v>
      </c>
      <c r="N409" s="3">
        <f t="shared" si="32"/>
        <v>6600</v>
      </c>
      <c r="O409" s="3">
        <f t="shared" si="33"/>
        <v>4.9061236133944046</v>
      </c>
      <c r="P409" s="3" t="str">
        <f t="shared" si="34"/>
        <v>Mar</v>
      </c>
      <c r="Q409" s="3" t="str">
        <f t="shared" si="30"/>
        <v>low profit</v>
      </c>
    </row>
    <row r="410" spans="1:17" x14ac:dyDescent="0.25">
      <c r="A410" s="3" t="s">
        <v>492</v>
      </c>
      <c r="B410" s="4">
        <v>45732</v>
      </c>
      <c r="C410" s="3" t="s">
        <v>2013</v>
      </c>
      <c r="D410" s="3" t="s">
        <v>2033</v>
      </c>
      <c r="E410" s="3" t="s">
        <v>2053</v>
      </c>
      <c r="F410" s="3" t="s">
        <v>2062</v>
      </c>
      <c r="G410" s="3">
        <v>5</v>
      </c>
      <c r="H410" s="3">
        <v>6500</v>
      </c>
      <c r="I410" s="3">
        <v>7150</v>
      </c>
      <c r="J410" s="3">
        <v>26.81</v>
      </c>
      <c r="K410" s="3">
        <v>26165.53</v>
      </c>
      <c r="L410" s="3">
        <v>-6334.47</v>
      </c>
      <c r="M410" s="3">
        <f t="shared" si="31"/>
        <v>958457.5</v>
      </c>
      <c r="N410" s="3">
        <f t="shared" si="32"/>
        <v>32500</v>
      </c>
      <c r="O410" s="3">
        <f t="shared" si="33"/>
        <v>-24.20921724115659</v>
      </c>
      <c r="P410" s="3" t="str">
        <f t="shared" si="34"/>
        <v>Mar</v>
      </c>
      <c r="Q410" s="3" t="str">
        <f t="shared" si="30"/>
        <v>loss</v>
      </c>
    </row>
    <row r="411" spans="1:17" x14ac:dyDescent="0.25">
      <c r="A411" s="3" t="s">
        <v>759</v>
      </c>
      <c r="B411" s="4">
        <v>45732</v>
      </c>
      <c r="C411" s="3" t="s">
        <v>2029</v>
      </c>
      <c r="D411" s="3" t="s">
        <v>2049</v>
      </c>
      <c r="E411" s="3" t="s">
        <v>2055</v>
      </c>
      <c r="F411" s="3" t="s">
        <v>2061</v>
      </c>
      <c r="G411" s="3">
        <v>9</v>
      </c>
      <c r="H411" s="3">
        <v>1200</v>
      </c>
      <c r="I411" s="3">
        <v>1464</v>
      </c>
      <c r="J411" s="3">
        <v>4.33</v>
      </c>
      <c r="K411" s="3">
        <v>12604.86</v>
      </c>
      <c r="L411" s="3">
        <v>1804.86</v>
      </c>
      <c r="M411" s="3">
        <f t="shared" si="31"/>
        <v>57052.08</v>
      </c>
      <c r="N411" s="3">
        <f t="shared" si="32"/>
        <v>10800</v>
      </c>
      <c r="O411" s="3">
        <f t="shared" si="33"/>
        <v>14.318762762934295</v>
      </c>
      <c r="P411" s="3" t="str">
        <f t="shared" si="34"/>
        <v>Mar</v>
      </c>
      <c r="Q411" s="3" t="str">
        <f t="shared" si="30"/>
        <v>good profit</v>
      </c>
    </row>
    <row r="412" spans="1:17" x14ac:dyDescent="0.25">
      <c r="A412" s="3" t="s">
        <v>1079</v>
      </c>
      <c r="B412" s="4">
        <v>45732</v>
      </c>
      <c r="C412" s="3" t="s">
        <v>2016</v>
      </c>
      <c r="D412" s="3" t="s">
        <v>2036</v>
      </c>
      <c r="E412" s="3" t="s">
        <v>2052</v>
      </c>
      <c r="F412" s="3" t="s">
        <v>2061</v>
      </c>
      <c r="G412" s="3">
        <v>6</v>
      </c>
      <c r="H412" s="3">
        <v>900</v>
      </c>
      <c r="I412" s="3">
        <v>1170</v>
      </c>
      <c r="J412" s="3">
        <v>0</v>
      </c>
      <c r="K412" s="3">
        <v>7020</v>
      </c>
      <c r="L412" s="3">
        <v>1620</v>
      </c>
      <c r="M412" s="3">
        <f t="shared" si="31"/>
        <v>0</v>
      </c>
      <c r="N412" s="3">
        <f t="shared" si="32"/>
        <v>5400</v>
      </c>
      <c r="O412" s="3">
        <f t="shared" si="33"/>
        <v>23.076923076923077</v>
      </c>
      <c r="P412" s="3" t="str">
        <f t="shared" si="34"/>
        <v>Mar</v>
      </c>
      <c r="Q412" s="3" t="str">
        <f t="shared" si="30"/>
        <v>good profit</v>
      </c>
    </row>
    <row r="413" spans="1:17" x14ac:dyDescent="0.25">
      <c r="A413" s="3" t="s">
        <v>1113</v>
      </c>
      <c r="B413" s="4">
        <v>45732</v>
      </c>
      <c r="C413" s="3" t="s">
        <v>2027</v>
      </c>
      <c r="D413" s="3" t="s">
        <v>2047</v>
      </c>
      <c r="E413" s="3" t="s">
        <v>2053</v>
      </c>
      <c r="F413" s="3" t="s">
        <v>2060</v>
      </c>
      <c r="G413" s="3">
        <v>10</v>
      </c>
      <c r="H413" s="3">
        <v>1100</v>
      </c>
      <c r="I413" s="3">
        <v>1298</v>
      </c>
      <c r="J413" s="3">
        <v>1.53</v>
      </c>
      <c r="K413" s="3">
        <v>12781.77</v>
      </c>
      <c r="L413" s="3">
        <v>1781.77</v>
      </c>
      <c r="M413" s="3">
        <f t="shared" si="31"/>
        <v>19859.400000000001</v>
      </c>
      <c r="N413" s="3">
        <f t="shared" si="32"/>
        <v>11000</v>
      </c>
      <c r="O413" s="3">
        <f t="shared" si="33"/>
        <v>13.939931637011149</v>
      </c>
      <c r="P413" s="3" t="str">
        <f t="shared" si="34"/>
        <v>Mar</v>
      </c>
      <c r="Q413" s="3" t="str">
        <f t="shared" si="30"/>
        <v>good profit</v>
      </c>
    </row>
    <row r="414" spans="1:17" x14ac:dyDescent="0.25">
      <c r="A414" s="3" t="s">
        <v>1222</v>
      </c>
      <c r="B414" s="4">
        <v>45732</v>
      </c>
      <c r="C414" s="3" t="s">
        <v>2021</v>
      </c>
      <c r="D414" s="3" t="s">
        <v>2041</v>
      </c>
      <c r="E414" s="3" t="s">
        <v>2056</v>
      </c>
      <c r="F414" s="3" t="s">
        <v>2062</v>
      </c>
      <c r="G414" s="3">
        <v>4</v>
      </c>
      <c r="H414" s="3">
        <v>300</v>
      </c>
      <c r="I414" s="3">
        <v>405</v>
      </c>
      <c r="J414" s="3">
        <v>12.28</v>
      </c>
      <c r="K414" s="3">
        <v>1421.13</v>
      </c>
      <c r="L414" s="3">
        <v>221.13</v>
      </c>
      <c r="M414" s="3">
        <f t="shared" si="31"/>
        <v>19893.599999999999</v>
      </c>
      <c r="N414" s="3">
        <f t="shared" si="32"/>
        <v>1200</v>
      </c>
      <c r="O414" s="3">
        <f t="shared" si="33"/>
        <v>15.560152836123365</v>
      </c>
      <c r="P414" s="3" t="str">
        <f t="shared" si="34"/>
        <v>Mar</v>
      </c>
      <c r="Q414" s="3" t="str">
        <f t="shared" si="30"/>
        <v>good profit</v>
      </c>
    </row>
    <row r="415" spans="1:17" x14ac:dyDescent="0.25">
      <c r="A415" s="3" t="s">
        <v>1309</v>
      </c>
      <c r="B415" s="4">
        <v>45732</v>
      </c>
      <c r="C415" s="3" t="s">
        <v>2023</v>
      </c>
      <c r="D415" s="3" t="s">
        <v>2043</v>
      </c>
      <c r="E415" s="3" t="s">
        <v>2053</v>
      </c>
      <c r="F415" s="3" t="s">
        <v>2059</v>
      </c>
      <c r="G415" s="3">
        <v>8</v>
      </c>
      <c r="H415" s="3">
        <v>550</v>
      </c>
      <c r="I415" s="3">
        <v>742.5</v>
      </c>
      <c r="J415" s="3">
        <v>20</v>
      </c>
      <c r="K415" s="3">
        <v>4752.21</v>
      </c>
      <c r="L415" s="3">
        <v>352.21</v>
      </c>
      <c r="M415" s="3">
        <f t="shared" si="31"/>
        <v>118800</v>
      </c>
      <c r="N415" s="3">
        <f t="shared" si="32"/>
        <v>4400</v>
      </c>
      <c r="O415" s="3">
        <f t="shared" si="33"/>
        <v>7.4114990709585644</v>
      </c>
      <c r="P415" s="3" t="str">
        <f t="shared" si="34"/>
        <v>Mar</v>
      </c>
      <c r="Q415" s="3" t="str">
        <f t="shared" si="30"/>
        <v>low profit</v>
      </c>
    </row>
    <row r="416" spans="1:17" x14ac:dyDescent="0.25">
      <c r="A416" s="3" t="s">
        <v>1383</v>
      </c>
      <c r="B416" s="4">
        <v>45732</v>
      </c>
      <c r="C416" s="3" t="s">
        <v>2029</v>
      </c>
      <c r="D416" s="3" t="s">
        <v>2049</v>
      </c>
      <c r="E416" s="3" t="s">
        <v>2055</v>
      </c>
      <c r="F416" s="3" t="s">
        <v>2060</v>
      </c>
      <c r="G416" s="3">
        <v>4</v>
      </c>
      <c r="H416" s="3">
        <v>1200</v>
      </c>
      <c r="I416" s="3">
        <v>1464</v>
      </c>
      <c r="J416" s="3">
        <v>11.36</v>
      </c>
      <c r="K416" s="3">
        <v>5190.7700000000004</v>
      </c>
      <c r="L416" s="3">
        <v>390.77</v>
      </c>
      <c r="M416" s="3">
        <f t="shared" si="31"/>
        <v>66524.160000000003</v>
      </c>
      <c r="N416" s="3">
        <f t="shared" si="32"/>
        <v>4800</v>
      </c>
      <c r="O416" s="3">
        <f t="shared" si="33"/>
        <v>7.5281701944027555</v>
      </c>
      <c r="P416" s="3" t="str">
        <f t="shared" si="34"/>
        <v>Mar</v>
      </c>
      <c r="Q416" s="3" t="str">
        <f t="shared" si="30"/>
        <v>low profit</v>
      </c>
    </row>
    <row r="417" spans="1:17" x14ac:dyDescent="0.25">
      <c r="A417" s="3" t="s">
        <v>459</v>
      </c>
      <c r="B417" s="4">
        <v>45733</v>
      </c>
      <c r="C417" s="3" t="s">
        <v>2018</v>
      </c>
      <c r="D417" s="3" t="s">
        <v>2038</v>
      </c>
      <c r="E417" s="3" t="s">
        <v>2053</v>
      </c>
      <c r="F417" s="3" t="s">
        <v>2059</v>
      </c>
      <c r="G417" s="3">
        <v>3</v>
      </c>
      <c r="H417" s="3">
        <v>500</v>
      </c>
      <c r="I417" s="3">
        <v>610</v>
      </c>
      <c r="J417" s="3">
        <v>5.79</v>
      </c>
      <c r="K417" s="3">
        <v>1724.07</v>
      </c>
      <c r="L417" s="3">
        <v>224.07</v>
      </c>
      <c r="M417" s="3">
        <f t="shared" si="31"/>
        <v>10595.7</v>
      </c>
      <c r="N417" s="3">
        <f t="shared" si="32"/>
        <v>1500</v>
      </c>
      <c r="O417" s="3">
        <f t="shared" si="33"/>
        <v>12.996572064939357</v>
      </c>
      <c r="P417" s="3" t="str">
        <f t="shared" si="34"/>
        <v>Mar</v>
      </c>
      <c r="Q417" s="3" t="str">
        <f t="shared" si="30"/>
        <v>good profit</v>
      </c>
    </row>
    <row r="418" spans="1:17" x14ac:dyDescent="0.25">
      <c r="A418" s="3" t="s">
        <v>630</v>
      </c>
      <c r="B418" s="4">
        <v>45733</v>
      </c>
      <c r="C418" s="3" t="s">
        <v>2022</v>
      </c>
      <c r="D418" s="3" t="s">
        <v>2042</v>
      </c>
      <c r="E418" s="3" t="s">
        <v>2053</v>
      </c>
      <c r="F418" s="3" t="s">
        <v>2059</v>
      </c>
      <c r="G418" s="3">
        <v>3</v>
      </c>
      <c r="H418" s="3">
        <v>8500</v>
      </c>
      <c r="I418" s="3">
        <v>9520</v>
      </c>
      <c r="J418" s="3">
        <v>20.36</v>
      </c>
      <c r="K418" s="3">
        <v>22743.93</v>
      </c>
      <c r="L418" s="3">
        <v>-2756.07</v>
      </c>
      <c r="M418" s="3">
        <f t="shared" si="31"/>
        <v>581481.6</v>
      </c>
      <c r="N418" s="3">
        <f t="shared" si="32"/>
        <v>25500</v>
      </c>
      <c r="O418" s="3">
        <f t="shared" si="33"/>
        <v>-12.117826602526478</v>
      </c>
      <c r="P418" s="3" t="str">
        <f t="shared" si="34"/>
        <v>Mar</v>
      </c>
      <c r="Q418" s="3" t="str">
        <f t="shared" si="30"/>
        <v>loss</v>
      </c>
    </row>
    <row r="419" spans="1:17" x14ac:dyDescent="0.25">
      <c r="A419" s="3" t="s">
        <v>745</v>
      </c>
      <c r="B419" s="4">
        <v>45733</v>
      </c>
      <c r="C419" s="3" t="s">
        <v>2014</v>
      </c>
      <c r="D419" s="3" t="s">
        <v>2034</v>
      </c>
      <c r="E419" s="3" t="s">
        <v>2052</v>
      </c>
      <c r="F419" s="3" t="s">
        <v>2061</v>
      </c>
      <c r="G419" s="3">
        <v>7</v>
      </c>
      <c r="H419" s="3">
        <v>4500</v>
      </c>
      <c r="I419" s="3">
        <v>5220</v>
      </c>
      <c r="J419" s="3">
        <v>5.53</v>
      </c>
      <c r="K419" s="3">
        <v>34519.74</v>
      </c>
      <c r="L419" s="3">
        <v>3019.74</v>
      </c>
      <c r="M419" s="3">
        <f t="shared" si="31"/>
        <v>202066.2</v>
      </c>
      <c r="N419" s="3">
        <f t="shared" si="32"/>
        <v>31500</v>
      </c>
      <c r="O419" s="3">
        <f t="shared" si="33"/>
        <v>8.7478642654898326</v>
      </c>
      <c r="P419" s="3" t="str">
        <f t="shared" si="34"/>
        <v>Mar</v>
      </c>
      <c r="Q419" s="3" t="str">
        <f t="shared" si="30"/>
        <v>low profit</v>
      </c>
    </row>
    <row r="420" spans="1:17" x14ac:dyDescent="0.25">
      <c r="A420" s="3" t="s">
        <v>894</v>
      </c>
      <c r="B420" s="4">
        <v>45733</v>
      </c>
      <c r="C420" s="3" t="s">
        <v>2016</v>
      </c>
      <c r="D420" s="3" t="s">
        <v>2036</v>
      </c>
      <c r="E420" s="3" t="s">
        <v>2052</v>
      </c>
      <c r="F420" s="3" t="s">
        <v>2061</v>
      </c>
      <c r="G420" s="3">
        <v>4</v>
      </c>
      <c r="H420" s="3">
        <v>900</v>
      </c>
      <c r="I420" s="3">
        <v>1170</v>
      </c>
      <c r="J420" s="3">
        <v>11.12</v>
      </c>
      <c r="K420" s="3">
        <v>4159.4799999999996</v>
      </c>
      <c r="L420" s="3">
        <v>559.48</v>
      </c>
      <c r="M420" s="3">
        <f t="shared" si="31"/>
        <v>52041.599999999999</v>
      </c>
      <c r="N420" s="3">
        <f t="shared" si="32"/>
        <v>3600</v>
      </c>
      <c r="O420" s="3">
        <f t="shared" si="33"/>
        <v>13.450719801513653</v>
      </c>
      <c r="P420" s="3" t="str">
        <f t="shared" si="34"/>
        <v>Mar</v>
      </c>
      <c r="Q420" s="3" t="str">
        <f t="shared" si="30"/>
        <v>good profit</v>
      </c>
    </row>
    <row r="421" spans="1:17" x14ac:dyDescent="0.25">
      <c r="A421" s="3" t="s">
        <v>915</v>
      </c>
      <c r="B421" s="4">
        <v>45733</v>
      </c>
      <c r="C421" s="3" t="s">
        <v>2022</v>
      </c>
      <c r="D421" s="3" t="s">
        <v>2042</v>
      </c>
      <c r="E421" s="3" t="s">
        <v>2053</v>
      </c>
      <c r="F421" s="3" t="s">
        <v>2059</v>
      </c>
      <c r="G421" s="3">
        <v>9</v>
      </c>
      <c r="H421" s="3">
        <v>8500</v>
      </c>
      <c r="I421" s="3">
        <v>9520</v>
      </c>
      <c r="J421" s="3">
        <v>25.56</v>
      </c>
      <c r="K421" s="3">
        <v>63780.06</v>
      </c>
      <c r="L421" s="3">
        <v>-12719.94</v>
      </c>
      <c r="M421" s="3">
        <f t="shared" si="31"/>
        <v>2189980.7999999998</v>
      </c>
      <c r="N421" s="3">
        <f t="shared" si="32"/>
        <v>76500</v>
      </c>
      <c r="O421" s="3">
        <f t="shared" si="33"/>
        <v>-19.943443138811723</v>
      </c>
      <c r="P421" s="3" t="str">
        <f t="shared" si="34"/>
        <v>Mar</v>
      </c>
      <c r="Q421" s="3" t="str">
        <f t="shared" si="30"/>
        <v>loss</v>
      </c>
    </row>
    <row r="422" spans="1:17" x14ac:dyDescent="0.25">
      <c r="A422" s="3" t="s">
        <v>1780</v>
      </c>
      <c r="B422" s="4">
        <v>45733</v>
      </c>
      <c r="C422" s="3" t="s">
        <v>2015</v>
      </c>
      <c r="D422" s="3" t="s">
        <v>2035</v>
      </c>
      <c r="E422" s="3" t="s">
        <v>2054</v>
      </c>
      <c r="F422" s="3" t="s">
        <v>2059</v>
      </c>
      <c r="G422" s="3">
        <v>6</v>
      </c>
      <c r="H422" s="3">
        <v>900</v>
      </c>
      <c r="I422" s="3">
        <v>1170</v>
      </c>
      <c r="J422" s="3">
        <v>3.49</v>
      </c>
      <c r="K422" s="3">
        <v>6774.77</v>
      </c>
      <c r="L422" s="3">
        <v>1374.77</v>
      </c>
      <c r="M422" s="3">
        <f t="shared" si="31"/>
        <v>24499.800000000003</v>
      </c>
      <c r="N422" s="3">
        <f t="shared" si="32"/>
        <v>5400</v>
      </c>
      <c r="O422" s="3">
        <f t="shared" si="33"/>
        <v>20.292497014658796</v>
      </c>
      <c r="P422" s="3" t="str">
        <f t="shared" si="34"/>
        <v>Mar</v>
      </c>
      <c r="Q422" s="3" t="str">
        <f t="shared" si="30"/>
        <v>good profit</v>
      </c>
    </row>
    <row r="423" spans="1:17" x14ac:dyDescent="0.25">
      <c r="A423" s="3" t="s">
        <v>1918</v>
      </c>
      <c r="B423" s="4">
        <v>45733</v>
      </c>
      <c r="C423" s="3" t="s">
        <v>2025</v>
      </c>
      <c r="D423" s="3" t="s">
        <v>2045</v>
      </c>
      <c r="E423" s="3" t="s">
        <v>2057</v>
      </c>
      <c r="F423" s="3" t="s">
        <v>2060</v>
      </c>
      <c r="G423" s="3">
        <v>9</v>
      </c>
      <c r="H423" s="3">
        <v>45</v>
      </c>
      <c r="I423" s="3">
        <v>63</v>
      </c>
      <c r="J423" s="3">
        <v>1.01</v>
      </c>
      <c r="K423" s="3">
        <v>561.29</v>
      </c>
      <c r="L423" s="3">
        <v>156.29</v>
      </c>
      <c r="M423" s="3">
        <f t="shared" si="31"/>
        <v>572.66999999999996</v>
      </c>
      <c r="N423" s="3">
        <f t="shared" si="32"/>
        <v>405</v>
      </c>
      <c r="O423" s="3">
        <f t="shared" si="33"/>
        <v>27.844786117693172</v>
      </c>
      <c r="P423" s="3" t="str">
        <f t="shared" si="34"/>
        <v>Mar</v>
      </c>
      <c r="Q423" s="3" t="str">
        <f t="shared" si="30"/>
        <v>good profit</v>
      </c>
    </row>
    <row r="424" spans="1:17" x14ac:dyDescent="0.25">
      <c r="A424" s="3" t="s">
        <v>1140</v>
      </c>
      <c r="B424" s="4">
        <v>45734</v>
      </c>
      <c r="C424" s="3" t="s">
        <v>2027</v>
      </c>
      <c r="D424" s="3" t="s">
        <v>2047</v>
      </c>
      <c r="E424" s="3" t="s">
        <v>2053</v>
      </c>
      <c r="F424" s="3" t="s">
        <v>2059</v>
      </c>
      <c r="G424" s="3">
        <v>8</v>
      </c>
      <c r="H424" s="3">
        <v>1100</v>
      </c>
      <c r="I424" s="3">
        <v>1298</v>
      </c>
      <c r="J424" s="3">
        <v>9.26</v>
      </c>
      <c r="K424" s="3">
        <v>9422.5</v>
      </c>
      <c r="L424" s="3">
        <v>622.5</v>
      </c>
      <c r="M424" s="3">
        <f t="shared" si="31"/>
        <v>96155.839999999997</v>
      </c>
      <c r="N424" s="3">
        <f t="shared" si="32"/>
        <v>8800</v>
      </c>
      <c r="O424" s="3">
        <f t="shared" si="33"/>
        <v>6.6065269302202179</v>
      </c>
      <c r="P424" s="3" t="str">
        <f t="shared" si="34"/>
        <v>Mar</v>
      </c>
      <c r="Q424" s="3" t="str">
        <f t="shared" si="30"/>
        <v>low profit</v>
      </c>
    </row>
    <row r="425" spans="1:17" x14ac:dyDescent="0.25">
      <c r="A425" s="3" t="s">
        <v>289</v>
      </c>
      <c r="B425" s="4">
        <v>45735</v>
      </c>
      <c r="C425" s="3" t="s">
        <v>2014</v>
      </c>
      <c r="D425" s="3" t="s">
        <v>2034</v>
      </c>
      <c r="E425" s="3" t="s">
        <v>2052</v>
      </c>
      <c r="F425" s="3" t="s">
        <v>2061</v>
      </c>
      <c r="G425" s="3">
        <v>1</v>
      </c>
      <c r="H425" s="3">
        <v>4500</v>
      </c>
      <c r="I425" s="3">
        <v>5220</v>
      </c>
      <c r="J425" s="3">
        <v>18.239999999999998</v>
      </c>
      <c r="K425" s="3">
        <v>4267.97</v>
      </c>
      <c r="L425" s="3">
        <v>-232.03</v>
      </c>
      <c r="M425" s="3">
        <f t="shared" si="31"/>
        <v>95212.799999999988</v>
      </c>
      <c r="N425" s="3">
        <f t="shared" si="32"/>
        <v>4500</v>
      </c>
      <c r="O425" s="3">
        <f t="shared" si="33"/>
        <v>-5.436542431179225</v>
      </c>
      <c r="P425" s="3" t="str">
        <f t="shared" si="34"/>
        <v>Mar</v>
      </c>
      <c r="Q425" s="3" t="str">
        <f t="shared" si="30"/>
        <v>loss</v>
      </c>
    </row>
    <row r="426" spans="1:17" x14ac:dyDescent="0.25">
      <c r="A426" s="3" t="s">
        <v>490</v>
      </c>
      <c r="B426" s="4">
        <v>45735</v>
      </c>
      <c r="C426" s="3" t="s">
        <v>2012</v>
      </c>
      <c r="D426" s="3" t="s">
        <v>2032</v>
      </c>
      <c r="E426" s="3" t="s">
        <v>2052</v>
      </c>
      <c r="F426" s="3" t="s">
        <v>2060</v>
      </c>
      <c r="G426" s="3">
        <v>2</v>
      </c>
      <c r="H426" s="3">
        <v>6500</v>
      </c>
      <c r="I426" s="3">
        <v>8125</v>
      </c>
      <c r="J426" s="3">
        <v>5.94</v>
      </c>
      <c r="K426" s="3">
        <v>15285.47</v>
      </c>
      <c r="L426" s="3">
        <v>2285.4699999999998</v>
      </c>
      <c r="M426" s="3">
        <f t="shared" si="31"/>
        <v>96525</v>
      </c>
      <c r="N426" s="3">
        <f t="shared" si="32"/>
        <v>13000</v>
      </c>
      <c r="O426" s="3">
        <f t="shared" si="33"/>
        <v>14.951911848310845</v>
      </c>
      <c r="P426" s="3" t="str">
        <f t="shared" si="34"/>
        <v>Mar</v>
      </c>
      <c r="Q426" s="3" t="str">
        <f t="shared" si="30"/>
        <v>good profit</v>
      </c>
    </row>
    <row r="427" spans="1:17" x14ac:dyDescent="0.25">
      <c r="A427" s="3" t="s">
        <v>1634</v>
      </c>
      <c r="B427" s="4">
        <v>45735</v>
      </c>
      <c r="C427" s="3" t="s">
        <v>2027</v>
      </c>
      <c r="D427" s="3" t="s">
        <v>2047</v>
      </c>
      <c r="E427" s="3" t="s">
        <v>2053</v>
      </c>
      <c r="F427" s="3" t="s">
        <v>2062</v>
      </c>
      <c r="G427" s="3">
        <v>5</v>
      </c>
      <c r="H427" s="3">
        <v>1100</v>
      </c>
      <c r="I427" s="3">
        <v>1298</v>
      </c>
      <c r="J427" s="3">
        <v>3.96</v>
      </c>
      <c r="K427" s="3">
        <v>6232.97</v>
      </c>
      <c r="L427" s="3">
        <v>732.97</v>
      </c>
      <c r="M427" s="3">
        <f t="shared" si="31"/>
        <v>25700.400000000001</v>
      </c>
      <c r="N427" s="3">
        <f t="shared" si="32"/>
        <v>5500</v>
      </c>
      <c r="O427" s="3">
        <f t="shared" si="33"/>
        <v>11.759562455779509</v>
      </c>
      <c r="P427" s="3" t="str">
        <f t="shared" si="34"/>
        <v>Mar</v>
      </c>
      <c r="Q427" s="3" t="str">
        <f t="shared" si="30"/>
        <v>good profit</v>
      </c>
    </row>
    <row r="428" spans="1:17" x14ac:dyDescent="0.25">
      <c r="A428" s="3" t="s">
        <v>1932</v>
      </c>
      <c r="B428" s="4">
        <v>45735</v>
      </c>
      <c r="C428" s="3" t="s">
        <v>2017</v>
      </c>
      <c r="D428" s="3" t="s">
        <v>2037</v>
      </c>
      <c r="E428" s="3" t="s">
        <v>2055</v>
      </c>
      <c r="F428" s="3" t="s">
        <v>2060</v>
      </c>
      <c r="G428" s="3">
        <v>9</v>
      </c>
      <c r="H428" s="3">
        <v>2500</v>
      </c>
      <c r="I428" s="3">
        <v>2875</v>
      </c>
      <c r="J428" s="3">
        <v>2.27</v>
      </c>
      <c r="K428" s="3">
        <v>25288.02</v>
      </c>
      <c r="L428" s="3">
        <v>2788.02</v>
      </c>
      <c r="M428" s="3">
        <f t="shared" si="31"/>
        <v>58736.25</v>
      </c>
      <c r="N428" s="3">
        <f t="shared" si="32"/>
        <v>22500</v>
      </c>
      <c r="O428" s="3">
        <f t="shared" si="33"/>
        <v>11.025062460406152</v>
      </c>
      <c r="P428" s="3" t="str">
        <f t="shared" si="34"/>
        <v>Mar</v>
      </c>
      <c r="Q428" s="3" t="str">
        <f t="shared" si="30"/>
        <v>good profit</v>
      </c>
    </row>
    <row r="429" spans="1:17" x14ac:dyDescent="0.25">
      <c r="A429" s="3" t="s">
        <v>118</v>
      </c>
      <c r="B429" s="4">
        <v>45736</v>
      </c>
      <c r="C429" s="3" t="s">
        <v>2027</v>
      </c>
      <c r="D429" s="3" t="s">
        <v>2047</v>
      </c>
      <c r="E429" s="3" t="s">
        <v>2053</v>
      </c>
      <c r="F429" s="3" t="s">
        <v>2062</v>
      </c>
      <c r="G429" s="3">
        <v>9</v>
      </c>
      <c r="H429" s="3">
        <v>1100</v>
      </c>
      <c r="I429" s="3">
        <v>1298</v>
      </c>
      <c r="J429" s="3">
        <v>22.23</v>
      </c>
      <c r="K429" s="3">
        <v>9084.65</v>
      </c>
      <c r="L429" s="3">
        <v>-815.35</v>
      </c>
      <c r="M429" s="3">
        <f t="shared" si="31"/>
        <v>259690.86000000002</v>
      </c>
      <c r="N429" s="3">
        <f t="shared" si="32"/>
        <v>9900</v>
      </c>
      <c r="O429" s="3">
        <f t="shared" si="33"/>
        <v>-8.9750293076783372</v>
      </c>
      <c r="P429" s="3" t="str">
        <f t="shared" si="34"/>
        <v>Mar</v>
      </c>
      <c r="Q429" s="3" t="str">
        <f t="shared" si="30"/>
        <v>loss</v>
      </c>
    </row>
    <row r="430" spans="1:17" x14ac:dyDescent="0.25">
      <c r="A430" s="3" t="s">
        <v>188</v>
      </c>
      <c r="B430" s="4">
        <v>45736</v>
      </c>
      <c r="C430" s="3" t="s">
        <v>2023</v>
      </c>
      <c r="D430" s="3" t="s">
        <v>2043</v>
      </c>
      <c r="E430" s="3" t="s">
        <v>2053</v>
      </c>
      <c r="F430" s="3" t="s">
        <v>2062</v>
      </c>
      <c r="G430" s="3">
        <v>5</v>
      </c>
      <c r="H430" s="3">
        <v>550</v>
      </c>
      <c r="I430" s="3">
        <v>742.5</v>
      </c>
      <c r="J430" s="3">
        <v>0</v>
      </c>
      <c r="K430" s="3">
        <v>3712.5</v>
      </c>
      <c r="L430" s="3">
        <v>962.5</v>
      </c>
      <c r="M430" s="3">
        <f t="shared" si="31"/>
        <v>0</v>
      </c>
      <c r="N430" s="3">
        <f t="shared" si="32"/>
        <v>2750</v>
      </c>
      <c r="O430" s="3">
        <f t="shared" si="33"/>
        <v>25.925925925925924</v>
      </c>
      <c r="P430" s="3" t="str">
        <f t="shared" si="34"/>
        <v>Mar</v>
      </c>
      <c r="Q430" s="3" t="str">
        <f t="shared" si="30"/>
        <v>good profit</v>
      </c>
    </row>
    <row r="431" spans="1:17" x14ac:dyDescent="0.25">
      <c r="A431" s="3" t="s">
        <v>245</v>
      </c>
      <c r="B431" s="4">
        <v>45736</v>
      </c>
      <c r="C431" s="3" t="s">
        <v>2019</v>
      </c>
      <c r="D431" s="3" t="s">
        <v>2039</v>
      </c>
      <c r="E431" s="3" t="s">
        <v>2053</v>
      </c>
      <c r="F431" s="3" t="s">
        <v>2062</v>
      </c>
      <c r="G431" s="3">
        <v>2</v>
      </c>
      <c r="H431" s="3">
        <v>900</v>
      </c>
      <c r="I431" s="3">
        <v>1152</v>
      </c>
      <c r="J431" s="3">
        <v>24.63</v>
      </c>
      <c r="K431" s="3">
        <v>1736.63</v>
      </c>
      <c r="L431" s="3">
        <v>-63.37</v>
      </c>
      <c r="M431" s="3">
        <f t="shared" si="31"/>
        <v>56747.519999999997</v>
      </c>
      <c r="N431" s="3">
        <f t="shared" si="32"/>
        <v>1800</v>
      </c>
      <c r="O431" s="3">
        <f t="shared" si="33"/>
        <v>-3.6490213804897991</v>
      </c>
      <c r="P431" s="3" t="str">
        <f t="shared" si="34"/>
        <v>Mar</v>
      </c>
      <c r="Q431" s="3" t="str">
        <f t="shared" si="30"/>
        <v>loss</v>
      </c>
    </row>
    <row r="432" spans="1:17" x14ac:dyDescent="0.25">
      <c r="A432" s="3" t="s">
        <v>649</v>
      </c>
      <c r="B432" s="4">
        <v>45736</v>
      </c>
      <c r="C432" s="3" t="s">
        <v>2018</v>
      </c>
      <c r="D432" s="3" t="s">
        <v>2038</v>
      </c>
      <c r="E432" s="3" t="s">
        <v>2053</v>
      </c>
      <c r="F432" s="3" t="s">
        <v>2061</v>
      </c>
      <c r="G432" s="3">
        <v>10</v>
      </c>
      <c r="H432" s="3">
        <v>500</v>
      </c>
      <c r="I432" s="3">
        <v>610</v>
      </c>
      <c r="J432" s="3">
        <v>17.579999999999998</v>
      </c>
      <c r="K432" s="3">
        <v>5027.6899999999996</v>
      </c>
      <c r="L432" s="3">
        <v>27.69</v>
      </c>
      <c r="M432" s="3">
        <f t="shared" si="31"/>
        <v>107237.99999999999</v>
      </c>
      <c r="N432" s="3">
        <f t="shared" si="32"/>
        <v>5000</v>
      </c>
      <c r="O432" s="3">
        <f t="shared" si="33"/>
        <v>0.55074994679465128</v>
      </c>
      <c r="P432" s="3" t="str">
        <f t="shared" si="34"/>
        <v>Mar</v>
      </c>
      <c r="Q432" s="3" t="str">
        <f t="shared" si="30"/>
        <v>low profit</v>
      </c>
    </row>
    <row r="433" spans="1:17" x14ac:dyDescent="0.25">
      <c r="A433" s="3" t="s">
        <v>1387</v>
      </c>
      <c r="B433" s="4">
        <v>45736</v>
      </c>
      <c r="C433" s="3" t="s">
        <v>2031</v>
      </c>
      <c r="D433" s="3" t="s">
        <v>2051</v>
      </c>
      <c r="E433" s="3" t="s">
        <v>2058</v>
      </c>
      <c r="F433" s="3" t="s">
        <v>2062</v>
      </c>
      <c r="G433" s="3">
        <v>1</v>
      </c>
      <c r="H433" s="3">
        <v>3200</v>
      </c>
      <c r="I433" s="3">
        <v>3840</v>
      </c>
      <c r="J433" s="3">
        <v>24.51</v>
      </c>
      <c r="K433" s="3">
        <v>2898.83</v>
      </c>
      <c r="L433" s="3">
        <v>-301.17</v>
      </c>
      <c r="M433" s="3">
        <f t="shared" si="31"/>
        <v>94118.400000000009</v>
      </c>
      <c r="N433" s="3">
        <f t="shared" si="32"/>
        <v>3200</v>
      </c>
      <c r="O433" s="3">
        <f t="shared" si="33"/>
        <v>-10.389363984780067</v>
      </c>
      <c r="P433" s="3" t="str">
        <f t="shared" si="34"/>
        <v>Mar</v>
      </c>
      <c r="Q433" s="3" t="str">
        <f t="shared" si="30"/>
        <v>loss</v>
      </c>
    </row>
    <row r="434" spans="1:17" x14ac:dyDescent="0.25">
      <c r="A434" s="3" t="s">
        <v>1572</v>
      </c>
      <c r="B434" s="4">
        <v>45736</v>
      </c>
      <c r="C434" s="3" t="s">
        <v>2023</v>
      </c>
      <c r="D434" s="3" t="s">
        <v>2043</v>
      </c>
      <c r="E434" s="3" t="s">
        <v>2053</v>
      </c>
      <c r="F434" s="3" t="s">
        <v>2059</v>
      </c>
      <c r="G434" s="3">
        <v>6</v>
      </c>
      <c r="H434" s="3">
        <v>550</v>
      </c>
      <c r="I434" s="3">
        <v>742.5</v>
      </c>
      <c r="J434" s="3">
        <v>10.87</v>
      </c>
      <c r="K434" s="3">
        <v>3970.86</v>
      </c>
      <c r="L434" s="3">
        <v>670.86</v>
      </c>
      <c r="M434" s="3">
        <f t="shared" si="31"/>
        <v>48425.85</v>
      </c>
      <c r="N434" s="3">
        <f t="shared" si="32"/>
        <v>3300</v>
      </c>
      <c r="O434" s="3">
        <f t="shared" si="33"/>
        <v>16.894576993396896</v>
      </c>
      <c r="P434" s="3" t="str">
        <f t="shared" si="34"/>
        <v>Mar</v>
      </c>
      <c r="Q434" s="3" t="str">
        <f t="shared" si="30"/>
        <v>good profit</v>
      </c>
    </row>
    <row r="435" spans="1:17" x14ac:dyDescent="0.25">
      <c r="A435" s="3" t="s">
        <v>1997</v>
      </c>
      <c r="B435" s="4">
        <v>45736</v>
      </c>
      <c r="C435" s="3" t="s">
        <v>2016</v>
      </c>
      <c r="D435" s="3" t="s">
        <v>2036</v>
      </c>
      <c r="E435" s="3" t="s">
        <v>2052</v>
      </c>
      <c r="F435" s="3" t="s">
        <v>2060</v>
      </c>
      <c r="G435" s="3">
        <v>2</v>
      </c>
      <c r="H435" s="3">
        <v>900</v>
      </c>
      <c r="I435" s="3">
        <v>1170</v>
      </c>
      <c r="J435" s="3">
        <v>4.84</v>
      </c>
      <c r="K435" s="3">
        <v>2226.7199999999998</v>
      </c>
      <c r="L435" s="3">
        <v>426.72</v>
      </c>
      <c r="M435" s="3">
        <f t="shared" si="31"/>
        <v>11325.6</v>
      </c>
      <c r="N435" s="3">
        <f t="shared" si="32"/>
        <v>1800</v>
      </c>
      <c r="O435" s="3">
        <f t="shared" si="33"/>
        <v>19.163612847596468</v>
      </c>
      <c r="P435" s="3" t="str">
        <f t="shared" si="34"/>
        <v>Mar</v>
      </c>
      <c r="Q435" s="3" t="str">
        <f t="shared" si="30"/>
        <v>good profit</v>
      </c>
    </row>
    <row r="436" spans="1:17" x14ac:dyDescent="0.25">
      <c r="A436" s="3" t="s">
        <v>155</v>
      </c>
      <c r="B436" s="4">
        <v>45737</v>
      </c>
      <c r="C436" s="3" t="s">
        <v>2023</v>
      </c>
      <c r="D436" s="3" t="s">
        <v>2043</v>
      </c>
      <c r="E436" s="3" t="s">
        <v>2053</v>
      </c>
      <c r="F436" s="3" t="s">
        <v>2060</v>
      </c>
      <c r="G436" s="3">
        <v>5</v>
      </c>
      <c r="H436" s="3">
        <v>550</v>
      </c>
      <c r="I436" s="3">
        <v>742.5</v>
      </c>
      <c r="J436" s="3">
        <v>23.45</v>
      </c>
      <c r="K436" s="3">
        <v>2841.99</v>
      </c>
      <c r="L436" s="3">
        <v>91.99</v>
      </c>
      <c r="M436" s="3">
        <f t="shared" si="31"/>
        <v>87058.125</v>
      </c>
      <c r="N436" s="3">
        <f t="shared" si="32"/>
        <v>2750</v>
      </c>
      <c r="O436" s="3">
        <f t="shared" si="33"/>
        <v>3.2368164560747923</v>
      </c>
      <c r="P436" s="3" t="str">
        <f t="shared" si="34"/>
        <v>Mar</v>
      </c>
      <c r="Q436" s="3" t="str">
        <f t="shared" si="30"/>
        <v>low profit</v>
      </c>
    </row>
    <row r="437" spans="1:17" x14ac:dyDescent="0.25">
      <c r="A437" s="3" t="s">
        <v>1952</v>
      </c>
      <c r="B437" s="4">
        <v>45737</v>
      </c>
      <c r="C437" s="3" t="s">
        <v>2014</v>
      </c>
      <c r="D437" s="3" t="s">
        <v>2034</v>
      </c>
      <c r="E437" s="3" t="s">
        <v>2052</v>
      </c>
      <c r="F437" s="3" t="s">
        <v>2061</v>
      </c>
      <c r="G437" s="3">
        <v>7</v>
      </c>
      <c r="H437" s="3">
        <v>4500</v>
      </c>
      <c r="I437" s="3">
        <v>5220</v>
      </c>
      <c r="J437" s="3">
        <v>19.899999999999999</v>
      </c>
      <c r="K437" s="3">
        <v>29269.05</v>
      </c>
      <c r="L437" s="3">
        <v>-2230.9499999999998</v>
      </c>
      <c r="M437" s="3">
        <f t="shared" si="31"/>
        <v>727146</v>
      </c>
      <c r="N437" s="3">
        <f t="shared" si="32"/>
        <v>31500</v>
      </c>
      <c r="O437" s="3">
        <f t="shared" si="33"/>
        <v>-7.6222152751797543</v>
      </c>
      <c r="P437" s="3" t="str">
        <f t="shared" si="34"/>
        <v>Mar</v>
      </c>
      <c r="Q437" s="3" t="str">
        <f t="shared" si="30"/>
        <v>loss</v>
      </c>
    </row>
    <row r="438" spans="1:17" x14ac:dyDescent="0.25">
      <c r="A438" s="3" t="s">
        <v>601</v>
      </c>
      <c r="B438" s="4">
        <v>45738</v>
      </c>
      <c r="C438" s="3" t="s">
        <v>2031</v>
      </c>
      <c r="D438" s="3" t="s">
        <v>2051</v>
      </c>
      <c r="E438" s="3" t="s">
        <v>2058</v>
      </c>
      <c r="F438" s="3" t="s">
        <v>2059</v>
      </c>
      <c r="G438" s="3">
        <v>8</v>
      </c>
      <c r="H438" s="3">
        <v>3200</v>
      </c>
      <c r="I438" s="3">
        <v>3840</v>
      </c>
      <c r="J438" s="3">
        <v>10.99</v>
      </c>
      <c r="K438" s="3">
        <v>27345.32</v>
      </c>
      <c r="L438" s="3">
        <v>1745.32</v>
      </c>
      <c r="M438" s="3">
        <f t="shared" si="31"/>
        <v>337612.79999999999</v>
      </c>
      <c r="N438" s="3">
        <f t="shared" si="32"/>
        <v>25600</v>
      </c>
      <c r="O438" s="3">
        <f t="shared" si="33"/>
        <v>6.3825181054747215</v>
      </c>
      <c r="P438" s="3" t="str">
        <f t="shared" si="34"/>
        <v>Mar</v>
      </c>
      <c r="Q438" s="3" t="str">
        <f t="shared" si="30"/>
        <v>low profit</v>
      </c>
    </row>
    <row r="439" spans="1:17" x14ac:dyDescent="0.25">
      <c r="A439" s="3" t="s">
        <v>1045</v>
      </c>
      <c r="B439" s="4">
        <v>45738</v>
      </c>
      <c r="C439" s="3" t="s">
        <v>2029</v>
      </c>
      <c r="D439" s="3" t="s">
        <v>2049</v>
      </c>
      <c r="E439" s="3" t="s">
        <v>2055</v>
      </c>
      <c r="F439" s="3" t="s">
        <v>2061</v>
      </c>
      <c r="G439" s="3">
        <v>5</v>
      </c>
      <c r="H439" s="3">
        <v>1200</v>
      </c>
      <c r="I439" s="3">
        <v>1464</v>
      </c>
      <c r="J439" s="3">
        <v>13.15</v>
      </c>
      <c r="K439" s="3">
        <v>6357.62</v>
      </c>
      <c r="L439" s="3">
        <v>357.62</v>
      </c>
      <c r="M439" s="3">
        <f t="shared" si="31"/>
        <v>96258</v>
      </c>
      <c r="N439" s="3">
        <f t="shared" si="32"/>
        <v>6000</v>
      </c>
      <c r="O439" s="3">
        <f t="shared" si="33"/>
        <v>5.6250609504814699</v>
      </c>
      <c r="P439" s="3" t="str">
        <f t="shared" si="34"/>
        <v>Mar</v>
      </c>
      <c r="Q439" s="3" t="str">
        <f t="shared" si="30"/>
        <v>low profit</v>
      </c>
    </row>
    <row r="440" spans="1:17" x14ac:dyDescent="0.25">
      <c r="A440" s="3" t="s">
        <v>1694</v>
      </c>
      <c r="B440" s="4">
        <v>45738</v>
      </c>
      <c r="C440" s="3" t="s">
        <v>2024</v>
      </c>
      <c r="D440" s="3" t="s">
        <v>2044</v>
      </c>
      <c r="E440" s="3" t="s">
        <v>2055</v>
      </c>
      <c r="F440" s="3" t="s">
        <v>2059</v>
      </c>
      <c r="G440" s="3">
        <v>3</v>
      </c>
      <c r="H440" s="3">
        <v>180</v>
      </c>
      <c r="I440" s="3">
        <v>243</v>
      </c>
      <c r="J440" s="3">
        <v>10.28</v>
      </c>
      <c r="K440" s="3">
        <v>654.09</v>
      </c>
      <c r="L440" s="3">
        <v>114.09</v>
      </c>
      <c r="M440" s="3">
        <f t="shared" si="31"/>
        <v>7494.12</v>
      </c>
      <c r="N440" s="3">
        <f t="shared" si="32"/>
        <v>540</v>
      </c>
      <c r="O440" s="3">
        <f t="shared" si="33"/>
        <v>17.442553777003162</v>
      </c>
      <c r="P440" s="3" t="str">
        <f t="shared" si="34"/>
        <v>Mar</v>
      </c>
      <c r="Q440" s="3" t="str">
        <f t="shared" si="30"/>
        <v>good profit</v>
      </c>
    </row>
    <row r="441" spans="1:17" x14ac:dyDescent="0.25">
      <c r="A441" s="3" t="s">
        <v>1893</v>
      </c>
      <c r="B441" s="4">
        <v>45738</v>
      </c>
      <c r="C441" s="3" t="s">
        <v>2026</v>
      </c>
      <c r="D441" s="3" t="s">
        <v>2046</v>
      </c>
      <c r="E441" s="3" t="s">
        <v>2052</v>
      </c>
      <c r="F441" s="3" t="s">
        <v>2062</v>
      </c>
      <c r="G441" s="3">
        <v>6</v>
      </c>
      <c r="H441" s="3">
        <v>3000</v>
      </c>
      <c r="I441" s="3">
        <v>3600</v>
      </c>
      <c r="J441" s="3">
        <v>4</v>
      </c>
      <c r="K441" s="3">
        <v>20736</v>
      </c>
      <c r="L441" s="3">
        <v>2736</v>
      </c>
      <c r="M441" s="3">
        <f t="shared" si="31"/>
        <v>86400</v>
      </c>
      <c r="N441" s="3">
        <f t="shared" si="32"/>
        <v>18000</v>
      </c>
      <c r="O441" s="3">
        <f t="shared" si="33"/>
        <v>13.194444444444445</v>
      </c>
      <c r="P441" s="3" t="str">
        <f t="shared" si="34"/>
        <v>Mar</v>
      </c>
      <c r="Q441" s="3" t="str">
        <f t="shared" si="30"/>
        <v>good profit</v>
      </c>
    </row>
    <row r="442" spans="1:17" x14ac:dyDescent="0.25">
      <c r="A442" s="3" t="s">
        <v>1904</v>
      </c>
      <c r="B442" s="4">
        <v>45738</v>
      </c>
      <c r="C442" s="3" t="s">
        <v>2025</v>
      </c>
      <c r="D442" s="3" t="s">
        <v>2045</v>
      </c>
      <c r="E442" s="3" t="s">
        <v>2057</v>
      </c>
      <c r="F442" s="3" t="s">
        <v>2062</v>
      </c>
      <c r="G442" s="3">
        <v>8</v>
      </c>
      <c r="H442" s="3">
        <v>45</v>
      </c>
      <c r="I442" s="3">
        <v>63</v>
      </c>
      <c r="J442" s="3">
        <v>11.36</v>
      </c>
      <c r="K442" s="3">
        <v>446.74</v>
      </c>
      <c r="L442" s="3">
        <v>86.74</v>
      </c>
      <c r="M442" s="3">
        <f t="shared" si="31"/>
        <v>5725.44</v>
      </c>
      <c r="N442" s="3">
        <f t="shared" si="32"/>
        <v>360</v>
      </c>
      <c r="O442" s="3">
        <f t="shared" si="33"/>
        <v>19.416215248242825</v>
      </c>
      <c r="P442" s="3" t="str">
        <f t="shared" si="34"/>
        <v>Mar</v>
      </c>
      <c r="Q442" s="3" t="str">
        <f t="shared" si="30"/>
        <v>good profit</v>
      </c>
    </row>
    <row r="443" spans="1:17" x14ac:dyDescent="0.25">
      <c r="A443" s="3" t="s">
        <v>82</v>
      </c>
      <c r="B443" s="4">
        <v>45739</v>
      </c>
      <c r="C443" s="3" t="s">
        <v>2014</v>
      </c>
      <c r="D443" s="3" t="s">
        <v>2034</v>
      </c>
      <c r="E443" s="3" t="s">
        <v>2052</v>
      </c>
      <c r="F443" s="3" t="s">
        <v>2060</v>
      </c>
      <c r="G443" s="3">
        <v>4</v>
      </c>
      <c r="H443" s="3">
        <v>4500</v>
      </c>
      <c r="I443" s="3">
        <v>5220</v>
      </c>
      <c r="J443" s="3">
        <v>9.26</v>
      </c>
      <c r="K443" s="3">
        <v>18947.060000000001</v>
      </c>
      <c r="L443" s="3">
        <v>947.06</v>
      </c>
      <c r="M443" s="3">
        <f t="shared" si="31"/>
        <v>193348.8</v>
      </c>
      <c r="N443" s="3">
        <f t="shared" si="32"/>
        <v>18000</v>
      </c>
      <c r="O443" s="3">
        <f t="shared" si="33"/>
        <v>4.9984535859389254</v>
      </c>
      <c r="P443" s="3" t="str">
        <f t="shared" si="34"/>
        <v>Mar</v>
      </c>
      <c r="Q443" s="3" t="str">
        <f t="shared" si="30"/>
        <v>low profit</v>
      </c>
    </row>
    <row r="444" spans="1:17" x14ac:dyDescent="0.25">
      <c r="A444" s="3" t="s">
        <v>214</v>
      </c>
      <c r="B444" s="4">
        <v>45739</v>
      </c>
      <c r="C444" s="3" t="s">
        <v>2013</v>
      </c>
      <c r="D444" s="3" t="s">
        <v>2033</v>
      </c>
      <c r="E444" s="3" t="s">
        <v>2053</v>
      </c>
      <c r="F444" s="3" t="s">
        <v>2062</v>
      </c>
      <c r="G444" s="3">
        <v>10</v>
      </c>
      <c r="H444" s="3">
        <v>6500</v>
      </c>
      <c r="I444" s="3">
        <v>7150</v>
      </c>
      <c r="J444" s="3">
        <v>17.55</v>
      </c>
      <c r="K444" s="3">
        <v>58954.45</v>
      </c>
      <c r="L444" s="3">
        <v>-6045.55</v>
      </c>
      <c r="M444" s="3">
        <f t="shared" si="31"/>
        <v>1254825</v>
      </c>
      <c r="N444" s="3">
        <f t="shared" si="32"/>
        <v>65000</v>
      </c>
      <c r="O444" s="3">
        <f t="shared" si="33"/>
        <v>-10.254611823195706</v>
      </c>
      <c r="P444" s="3" t="str">
        <f t="shared" si="34"/>
        <v>Mar</v>
      </c>
      <c r="Q444" s="3" t="str">
        <f t="shared" si="30"/>
        <v>loss</v>
      </c>
    </row>
    <row r="445" spans="1:17" x14ac:dyDescent="0.25">
      <c r="A445" s="3" t="s">
        <v>450</v>
      </c>
      <c r="B445" s="4">
        <v>45739</v>
      </c>
      <c r="C445" s="3" t="s">
        <v>2020</v>
      </c>
      <c r="D445" s="3" t="s">
        <v>2040</v>
      </c>
      <c r="E445" s="3" t="s">
        <v>2053</v>
      </c>
      <c r="F445" s="3" t="s">
        <v>2061</v>
      </c>
      <c r="G445" s="3">
        <v>8</v>
      </c>
      <c r="H445" s="3">
        <v>350</v>
      </c>
      <c r="I445" s="3">
        <v>455</v>
      </c>
      <c r="J445" s="3">
        <v>12.98</v>
      </c>
      <c r="K445" s="3">
        <v>3167.57</v>
      </c>
      <c r="L445" s="3">
        <v>367.57</v>
      </c>
      <c r="M445" s="3">
        <f t="shared" si="31"/>
        <v>47247.200000000004</v>
      </c>
      <c r="N445" s="3">
        <f t="shared" si="32"/>
        <v>2800</v>
      </c>
      <c r="O445" s="3">
        <f t="shared" si="33"/>
        <v>11.604163443901792</v>
      </c>
      <c r="P445" s="3" t="str">
        <f t="shared" si="34"/>
        <v>Mar</v>
      </c>
      <c r="Q445" s="3" t="str">
        <f t="shared" si="30"/>
        <v>good profit</v>
      </c>
    </row>
    <row r="446" spans="1:17" x14ac:dyDescent="0.25">
      <c r="A446" s="3" t="s">
        <v>586</v>
      </c>
      <c r="B446" s="4">
        <v>45739</v>
      </c>
      <c r="C446" s="3" t="s">
        <v>2026</v>
      </c>
      <c r="D446" s="3" t="s">
        <v>2046</v>
      </c>
      <c r="E446" s="3" t="s">
        <v>2052</v>
      </c>
      <c r="F446" s="3" t="s">
        <v>2062</v>
      </c>
      <c r="G446" s="3">
        <v>7</v>
      </c>
      <c r="H446" s="3">
        <v>3000</v>
      </c>
      <c r="I446" s="3">
        <v>3600</v>
      </c>
      <c r="J446" s="3">
        <v>7.15</v>
      </c>
      <c r="K446" s="3">
        <v>23398.69</v>
      </c>
      <c r="L446" s="3">
        <v>2398.69</v>
      </c>
      <c r="M446" s="3">
        <f t="shared" si="31"/>
        <v>180180</v>
      </c>
      <c r="N446" s="3">
        <f t="shared" si="32"/>
        <v>21000</v>
      </c>
      <c r="O446" s="3">
        <f t="shared" si="33"/>
        <v>10.25138586818322</v>
      </c>
      <c r="P446" s="3" t="str">
        <f t="shared" si="34"/>
        <v>Mar</v>
      </c>
      <c r="Q446" s="3" t="str">
        <f t="shared" si="30"/>
        <v>good profit</v>
      </c>
    </row>
    <row r="447" spans="1:17" x14ac:dyDescent="0.25">
      <c r="A447" s="3" t="s">
        <v>1012</v>
      </c>
      <c r="B447" s="4">
        <v>45739</v>
      </c>
      <c r="C447" s="3" t="s">
        <v>2012</v>
      </c>
      <c r="D447" s="3" t="s">
        <v>2032</v>
      </c>
      <c r="E447" s="3" t="s">
        <v>2052</v>
      </c>
      <c r="F447" s="3" t="s">
        <v>2062</v>
      </c>
      <c r="G447" s="3">
        <v>7</v>
      </c>
      <c r="H447" s="3">
        <v>6500</v>
      </c>
      <c r="I447" s="3">
        <v>8125</v>
      </c>
      <c r="J447" s="3">
        <v>22.47</v>
      </c>
      <c r="K447" s="3">
        <v>44095.39</v>
      </c>
      <c r="L447" s="3">
        <v>-1404.61</v>
      </c>
      <c r="M447" s="3">
        <f t="shared" si="31"/>
        <v>1277981.25</v>
      </c>
      <c r="N447" s="3">
        <f t="shared" si="32"/>
        <v>45500</v>
      </c>
      <c r="O447" s="3">
        <f t="shared" si="33"/>
        <v>-3.1853896745215313</v>
      </c>
      <c r="P447" s="3" t="str">
        <f t="shared" si="34"/>
        <v>Mar</v>
      </c>
      <c r="Q447" s="3" t="str">
        <f t="shared" si="30"/>
        <v>loss</v>
      </c>
    </row>
    <row r="448" spans="1:17" x14ac:dyDescent="0.25">
      <c r="A448" s="3" t="s">
        <v>1230</v>
      </c>
      <c r="B448" s="4">
        <v>45739</v>
      </c>
      <c r="C448" s="3" t="s">
        <v>2016</v>
      </c>
      <c r="D448" s="3" t="s">
        <v>2036</v>
      </c>
      <c r="E448" s="3" t="s">
        <v>2052</v>
      </c>
      <c r="F448" s="3" t="s">
        <v>2062</v>
      </c>
      <c r="G448" s="3">
        <v>8</v>
      </c>
      <c r="H448" s="3">
        <v>900</v>
      </c>
      <c r="I448" s="3">
        <v>1170</v>
      </c>
      <c r="J448" s="3">
        <v>15.07</v>
      </c>
      <c r="K448" s="3">
        <v>7949.23</v>
      </c>
      <c r="L448" s="3">
        <v>749.23</v>
      </c>
      <c r="M448" s="3">
        <f t="shared" si="31"/>
        <v>141055.20000000001</v>
      </c>
      <c r="N448" s="3">
        <f t="shared" si="32"/>
        <v>7200</v>
      </c>
      <c r="O448" s="3">
        <f t="shared" si="33"/>
        <v>9.4251896095596681</v>
      </c>
      <c r="P448" s="3" t="str">
        <f t="shared" si="34"/>
        <v>Mar</v>
      </c>
      <c r="Q448" s="3" t="str">
        <f t="shared" si="30"/>
        <v>low profit</v>
      </c>
    </row>
    <row r="449" spans="1:17" x14ac:dyDescent="0.25">
      <c r="A449" s="3" t="s">
        <v>1754</v>
      </c>
      <c r="B449" s="4">
        <v>45739</v>
      </c>
      <c r="C449" s="3" t="s">
        <v>2029</v>
      </c>
      <c r="D449" s="3" t="s">
        <v>2049</v>
      </c>
      <c r="E449" s="3" t="s">
        <v>2055</v>
      </c>
      <c r="F449" s="3" t="s">
        <v>2061</v>
      </c>
      <c r="G449" s="3">
        <v>10</v>
      </c>
      <c r="H449" s="3">
        <v>1200</v>
      </c>
      <c r="I449" s="3">
        <v>1464</v>
      </c>
      <c r="J449" s="3">
        <v>10.47</v>
      </c>
      <c r="K449" s="3">
        <v>13107.58</v>
      </c>
      <c r="L449" s="3">
        <v>1107.58</v>
      </c>
      <c r="M449" s="3">
        <f t="shared" si="31"/>
        <v>153280.80000000002</v>
      </c>
      <c r="N449" s="3">
        <f t="shared" si="32"/>
        <v>12000</v>
      </c>
      <c r="O449" s="3">
        <f t="shared" si="33"/>
        <v>8.4499198173881052</v>
      </c>
      <c r="P449" s="3" t="str">
        <f t="shared" si="34"/>
        <v>Mar</v>
      </c>
      <c r="Q449" s="3" t="str">
        <f t="shared" si="30"/>
        <v>low profit</v>
      </c>
    </row>
    <row r="450" spans="1:17" x14ac:dyDescent="0.25">
      <c r="A450" s="3" t="s">
        <v>148</v>
      </c>
      <c r="B450" s="4">
        <v>45740</v>
      </c>
      <c r="C450" s="3" t="s">
        <v>2022</v>
      </c>
      <c r="D450" s="3" t="s">
        <v>2042</v>
      </c>
      <c r="E450" s="3" t="s">
        <v>2053</v>
      </c>
      <c r="F450" s="3" t="s">
        <v>2060</v>
      </c>
      <c r="G450" s="3">
        <v>1</v>
      </c>
      <c r="H450" s="3">
        <v>8500</v>
      </c>
      <c r="I450" s="3">
        <v>9520</v>
      </c>
      <c r="J450" s="3">
        <v>17.760000000000002</v>
      </c>
      <c r="K450" s="3">
        <v>7829.1</v>
      </c>
      <c r="L450" s="3">
        <v>-670.9</v>
      </c>
      <c r="M450" s="3">
        <f t="shared" si="31"/>
        <v>169075.20000000001</v>
      </c>
      <c r="N450" s="3">
        <f t="shared" si="32"/>
        <v>8500</v>
      </c>
      <c r="O450" s="3">
        <f t="shared" si="33"/>
        <v>-8.5693119260195925</v>
      </c>
      <c r="P450" s="3" t="str">
        <f t="shared" si="34"/>
        <v>Mar</v>
      </c>
      <c r="Q450" s="3" t="str">
        <f t="shared" ref="Q450:Q513" si="35">IF(L450&lt;0,"loss",IF(O450&lt;10,"low profit","good profit"))</f>
        <v>loss</v>
      </c>
    </row>
    <row r="451" spans="1:17" x14ac:dyDescent="0.25">
      <c r="A451" s="3" t="s">
        <v>828</v>
      </c>
      <c r="B451" s="4">
        <v>45740</v>
      </c>
      <c r="C451" s="3" t="s">
        <v>2022</v>
      </c>
      <c r="D451" s="3" t="s">
        <v>2042</v>
      </c>
      <c r="E451" s="3" t="s">
        <v>2053</v>
      </c>
      <c r="F451" s="3" t="s">
        <v>2061</v>
      </c>
      <c r="G451" s="3">
        <v>3</v>
      </c>
      <c r="H451" s="3">
        <v>8500</v>
      </c>
      <c r="I451" s="3">
        <v>9520</v>
      </c>
      <c r="J451" s="3">
        <v>27.38</v>
      </c>
      <c r="K451" s="3">
        <v>20739.8</v>
      </c>
      <c r="L451" s="3">
        <v>-4760.2</v>
      </c>
      <c r="M451" s="3">
        <f t="shared" ref="M451:M514" si="36">G451*I451*J451</f>
        <v>781972.79999999993</v>
      </c>
      <c r="N451" s="3">
        <f t="shared" ref="N451:N514" si="37">G451*H451</f>
        <v>25500</v>
      </c>
      <c r="O451" s="3">
        <f t="shared" ref="O451:O514" si="38">IFERROR(L451/K451*100,0)</f>
        <v>-22.952005323098586</v>
      </c>
      <c r="P451" s="3" t="str">
        <f t="shared" ref="P451:P514" si="39">TEXT(B451,"mmm")</f>
        <v>Mar</v>
      </c>
      <c r="Q451" s="3" t="str">
        <f t="shared" si="35"/>
        <v>loss</v>
      </c>
    </row>
    <row r="452" spans="1:17" x14ac:dyDescent="0.25">
      <c r="A452" s="3" t="s">
        <v>1318</v>
      </c>
      <c r="B452" s="4">
        <v>45740</v>
      </c>
      <c r="C452" s="3" t="s">
        <v>2027</v>
      </c>
      <c r="D452" s="3" t="s">
        <v>2047</v>
      </c>
      <c r="E452" s="3" t="s">
        <v>2053</v>
      </c>
      <c r="F452" s="3" t="s">
        <v>2059</v>
      </c>
      <c r="G452" s="3">
        <v>4</v>
      </c>
      <c r="H452" s="3">
        <v>1100</v>
      </c>
      <c r="I452" s="3">
        <v>1298</v>
      </c>
      <c r="J452" s="3">
        <v>14.12</v>
      </c>
      <c r="K452" s="3">
        <v>4459.0200000000004</v>
      </c>
      <c r="L452" s="3">
        <v>59.02</v>
      </c>
      <c r="M452" s="3">
        <f t="shared" si="36"/>
        <v>73311.039999999994</v>
      </c>
      <c r="N452" s="3">
        <f t="shared" si="37"/>
        <v>4400</v>
      </c>
      <c r="O452" s="3">
        <f t="shared" si="38"/>
        <v>1.3236092235513632</v>
      </c>
      <c r="P452" s="3" t="str">
        <f t="shared" si="39"/>
        <v>Mar</v>
      </c>
      <c r="Q452" s="3" t="str">
        <f t="shared" si="35"/>
        <v>low profit</v>
      </c>
    </row>
    <row r="453" spans="1:17" x14ac:dyDescent="0.25">
      <c r="A453" s="3" t="s">
        <v>1415</v>
      </c>
      <c r="B453" s="4">
        <v>45740</v>
      </c>
      <c r="C453" s="3" t="s">
        <v>2012</v>
      </c>
      <c r="D453" s="3" t="s">
        <v>2032</v>
      </c>
      <c r="E453" s="3" t="s">
        <v>2052</v>
      </c>
      <c r="F453" s="3" t="s">
        <v>2061</v>
      </c>
      <c r="G453" s="3">
        <v>4</v>
      </c>
      <c r="H453" s="3">
        <v>6500</v>
      </c>
      <c r="I453" s="3">
        <v>8125</v>
      </c>
      <c r="J453" s="3">
        <v>20.79</v>
      </c>
      <c r="K453" s="3">
        <v>25743.17</v>
      </c>
      <c r="L453" s="3">
        <v>-256.83</v>
      </c>
      <c r="M453" s="3">
        <f t="shared" si="36"/>
        <v>675675</v>
      </c>
      <c r="N453" s="3">
        <f t="shared" si="37"/>
        <v>26000</v>
      </c>
      <c r="O453" s="3">
        <f t="shared" si="38"/>
        <v>-0.99766268101403199</v>
      </c>
      <c r="P453" s="3" t="str">
        <f t="shared" si="39"/>
        <v>Mar</v>
      </c>
      <c r="Q453" s="3" t="str">
        <f t="shared" si="35"/>
        <v>loss</v>
      </c>
    </row>
    <row r="454" spans="1:17" x14ac:dyDescent="0.25">
      <c r="A454" s="3" t="s">
        <v>1966</v>
      </c>
      <c r="B454" s="4">
        <v>45740</v>
      </c>
      <c r="C454" s="3" t="s">
        <v>2012</v>
      </c>
      <c r="D454" s="3" t="s">
        <v>2032</v>
      </c>
      <c r="E454" s="3" t="s">
        <v>2052</v>
      </c>
      <c r="F454" s="3" t="s">
        <v>2060</v>
      </c>
      <c r="G454" s="3">
        <v>6</v>
      </c>
      <c r="H454" s="3">
        <v>6500</v>
      </c>
      <c r="I454" s="3">
        <v>8125</v>
      </c>
      <c r="J454" s="3">
        <v>12.34</v>
      </c>
      <c r="K454" s="3">
        <v>42733.65</v>
      </c>
      <c r="L454" s="3">
        <v>3733.65</v>
      </c>
      <c r="M454" s="3">
        <f t="shared" si="36"/>
        <v>601575</v>
      </c>
      <c r="N454" s="3">
        <f t="shared" si="37"/>
        <v>39000</v>
      </c>
      <c r="O454" s="3">
        <f t="shared" si="38"/>
        <v>8.7370257396688569</v>
      </c>
      <c r="P454" s="3" t="str">
        <f t="shared" si="39"/>
        <v>Mar</v>
      </c>
      <c r="Q454" s="3" t="str">
        <f t="shared" si="35"/>
        <v>low profit</v>
      </c>
    </row>
    <row r="455" spans="1:17" x14ac:dyDescent="0.25">
      <c r="A455" s="3" t="s">
        <v>47</v>
      </c>
      <c r="B455" s="4">
        <v>45741</v>
      </c>
      <c r="C455" s="3" t="s">
        <v>2030</v>
      </c>
      <c r="D455" s="3" t="s">
        <v>2050</v>
      </c>
      <c r="E455" s="3" t="s">
        <v>2058</v>
      </c>
      <c r="F455" s="3" t="s">
        <v>2061</v>
      </c>
      <c r="G455" s="3">
        <v>3</v>
      </c>
      <c r="H455" s="3">
        <v>1800</v>
      </c>
      <c r="I455" s="3">
        <v>2124</v>
      </c>
      <c r="J455" s="3">
        <v>12.44</v>
      </c>
      <c r="K455" s="3">
        <v>5579.46</v>
      </c>
      <c r="L455" s="3">
        <v>179.46</v>
      </c>
      <c r="M455" s="3">
        <f t="shared" si="36"/>
        <v>79267.679999999993</v>
      </c>
      <c r="N455" s="3">
        <f t="shared" si="37"/>
        <v>5400</v>
      </c>
      <c r="O455" s="3">
        <f t="shared" si="38"/>
        <v>3.2164403006742588</v>
      </c>
      <c r="P455" s="3" t="str">
        <f t="shared" si="39"/>
        <v>Mar</v>
      </c>
      <c r="Q455" s="3" t="str">
        <f t="shared" si="35"/>
        <v>low profit</v>
      </c>
    </row>
    <row r="456" spans="1:17" x14ac:dyDescent="0.25">
      <c r="A456" s="3" t="s">
        <v>540</v>
      </c>
      <c r="B456" s="4">
        <v>45741</v>
      </c>
      <c r="C456" s="3" t="s">
        <v>2018</v>
      </c>
      <c r="D456" s="3" t="s">
        <v>2038</v>
      </c>
      <c r="E456" s="3" t="s">
        <v>2053</v>
      </c>
      <c r="F456" s="3" t="s">
        <v>2062</v>
      </c>
      <c r="G456" s="3">
        <v>10</v>
      </c>
      <c r="H456" s="3">
        <v>500</v>
      </c>
      <c r="I456" s="3">
        <v>610</v>
      </c>
      <c r="J456" s="3">
        <v>0</v>
      </c>
      <c r="K456" s="3">
        <v>6100</v>
      </c>
      <c r="L456" s="3">
        <v>1100</v>
      </c>
      <c r="M456" s="3">
        <f t="shared" si="36"/>
        <v>0</v>
      </c>
      <c r="N456" s="3">
        <f t="shared" si="37"/>
        <v>5000</v>
      </c>
      <c r="O456" s="3">
        <f t="shared" si="38"/>
        <v>18.032786885245901</v>
      </c>
      <c r="P456" s="3" t="str">
        <f t="shared" si="39"/>
        <v>Mar</v>
      </c>
      <c r="Q456" s="3" t="str">
        <f t="shared" si="35"/>
        <v>good profit</v>
      </c>
    </row>
    <row r="457" spans="1:17" x14ac:dyDescent="0.25">
      <c r="A457" s="3" t="s">
        <v>564</v>
      </c>
      <c r="B457" s="4">
        <v>45741</v>
      </c>
      <c r="C457" s="3" t="s">
        <v>2031</v>
      </c>
      <c r="D457" s="3" t="s">
        <v>2051</v>
      </c>
      <c r="E457" s="3" t="s">
        <v>2058</v>
      </c>
      <c r="F457" s="3" t="s">
        <v>2061</v>
      </c>
      <c r="G457" s="3">
        <v>8</v>
      </c>
      <c r="H457" s="3">
        <v>3200</v>
      </c>
      <c r="I457" s="3">
        <v>3840</v>
      </c>
      <c r="J457" s="3">
        <v>13.56</v>
      </c>
      <c r="K457" s="3">
        <v>26553.32</v>
      </c>
      <c r="L457" s="3">
        <v>953.32</v>
      </c>
      <c r="M457" s="3">
        <f t="shared" si="36"/>
        <v>416563.20000000001</v>
      </c>
      <c r="N457" s="3">
        <f t="shared" si="37"/>
        <v>25600</v>
      </c>
      <c r="O457" s="3">
        <f t="shared" si="38"/>
        <v>3.5902101884058193</v>
      </c>
      <c r="P457" s="3" t="str">
        <f t="shared" si="39"/>
        <v>Mar</v>
      </c>
      <c r="Q457" s="3" t="str">
        <f t="shared" si="35"/>
        <v>low profit</v>
      </c>
    </row>
    <row r="458" spans="1:17" x14ac:dyDescent="0.25">
      <c r="A458" s="3" t="s">
        <v>820</v>
      </c>
      <c r="B458" s="4">
        <v>45741</v>
      </c>
      <c r="C458" s="3" t="s">
        <v>2020</v>
      </c>
      <c r="D458" s="3" t="s">
        <v>2040</v>
      </c>
      <c r="E458" s="3" t="s">
        <v>2053</v>
      </c>
      <c r="F458" s="3" t="s">
        <v>2062</v>
      </c>
      <c r="G458" s="3">
        <v>4</v>
      </c>
      <c r="H458" s="3">
        <v>350</v>
      </c>
      <c r="I458" s="3">
        <v>455</v>
      </c>
      <c r="J458" s="3">
        <v>9.82</v>
      </c>
      <c r="K458" s="3">
        <v>1641.22</v>
      </c>
      <c r="L458" s="3">
        <v>241.22</v>
      </c>
      <c r="M458" s="3">
        <f t="shared" si="36"/>
        <v>17872.400000000001</v>
      </c>
      <c r="N458" s="3">
        <f t="shared" si="37"/>
        <v>1400</v>
      </c>
      <c r="O458" s="3">
        <f t="shared" si="38"/>
        <v>14.697603002644374</v>
      </c>
      <c r="P458" s="3" t="str">
        <f t="shared" si="39"/>
        <v>Mar</v>
      </c>
      <c r="Q458" s="3" t="str">
        <f t="shared" si="35"/>
        <v>good profit</v>
      </c>
    </row>
    <row r="459" spans="1:17" x14ac:dyDescent="0.25">
      <c r="A459" s="3" t="s">
        <v>1015</v>
      </c>
      <c r="B459" s="4">
        <v>45741</v>
      </c>
      <c r="C459" s="3" t="s">
        <v>2024</v>
      </c>
      <c r="D459" s="3" t="s">
        <v>2044</v>
      </c>
      <c r="E459" s="3" t="s">
        <v>2055</v>
      </c>
      <c r="F459" s="3" t="s">
        <v>2062</v>
      </c>
      <c r="G459" s="3">
        <v>3</v>
      </c>
      <c r="H459" s="3">
        <v>180</v>
      </c>
      <c r="I459" s="3">
        <v>243</v>
      </c>
      <c r="J459" s="3">
        <v>5.54</v>
      </c>
      <c r="K459" s="3">
        <v>688.65</v>
      </c>
      <c r="L459" s="3">
        <v>148.65</v>
      </c>
      <c r="M459" s="3">
        <f t="shared" si="36"/>
        <v>4038.66</v>
      </c>
      <c r="N459" s="3">
        <f t="shared" si="37"/>
        <v>540</v>
      </c>
      <c r="O459" s="3">
        <f t="shared" si="38"/>
        <v>21.58571117403616</v>
      </c>
      <c r="P459" s="3" t="str">
        <f t="shared" si="39"/>
        <v>Mar</v>
      </c>
      <c r="Q459" s="3" t="str">
        <f t="shared" si="35"/>
        <v>good profit</v>
      </c>
    </row>
    <row r="460" spans="1:17" x14ac:dyDescent="0.25">
      <c r="A460" s="3" t="s">
        <v>1036</v>
      </c>
      <c r="B460" s="4">
        <v>45741</v>
      </c>
      <c r="C460" s="3" t="s">
        <v>2023</v>
      </c>
      <c r="D460" s="3" t="s">
        <v>2043</v>
      </c>
      <c r="E460" s="3" t="s">
        <v>2053</v>
      </c>
      <c r="F460" s="3" t="s">
        <v>2059</v>
      </c>
      <c r="G460" s="3">
        <v>7</v>
      </c>
      <c r="H460" s="3">
        <v>550</v>
      </c>
      <c r="I460" s="3">
        <v>742.5</v>
      </c>
      <c r="J460" s="3">
        <v>13.74</v>
      </c>
      <c r="K460" s="3">
        <v>4483.17</v>
      </c>
      <c r="L460" s="3">
        <v>633.16999999999996</v>
      </c>
      <c r="M460" s="3">
        <f t="shared" si="36"/>
        <v>71413.649999999994</v>
      </c>
      <c r="N460" s="3">
        <f t="shared" si="37"/>
        <v>3850</v>
      </c>
      <c r="O460" s="3">
        <f t="shared" si="38"/>
        <v>14.123265457254575</v>
      </c>
      <c r="P460" s="3" t="str">
        <f t="shared" si="39"/>
        <v>Mar</v>
      </c>
      <c r="Q460" s="3" t="str">
        <f t="shared" si="35"/>
        <v>good profit</v>
      </c>
    </row>
    <row r="461" spans="1:17" x14ac:dyDescent="0.25">
      <c r="A461" s="3" t="s">
        <v>1617</v>
      </c>
      <c r="B461" s="4">
        <v>45741</v>
      </c>
      <c r="C461" s="3" t="s">
        <v>2029</v>
      </c>
      <c r="D461" s="3" t="s">
        <v>2049</v>
      </c>
      <c r="E461" s="3" t="s">
        <v>2055</v>
      </c>
      <c r="F461" s="3" t="s">
        <v>2059</v>
      </c>
      <c r="G461" s="3">
        <v>6</v>
      </c>
      <c r="H461" s="3">
        <v>1200</v>
      </c>
      <c r="I461" s="3">
        <v>1464</v>
      </c>
      <c r="J461" s="3">
        <v>4.3899999999999997</v>
      </c>
      <c r="K461" s="3">
        <v>8398.4699999999993</v>
      </c>
      <c r="L461" s="3">
        <v>1198.47</v>
      </c>
      <c r="M461" s="3">
        <f t="shared" si="36"/>
        <v>38561.759999999995</v>
      </c>
      <c r="N461" s="3">
        <f t="shared" si="37"/>
        <v>7200</v>
      </c>
      <c r="O461" s="3">
        <f t="shared" si="38"/>
        <v>14.270099196639388</v>
      </c>
      <c r="P461" s="3" t="str">
        <f t="shared" si="39"/>
        <v>Mar</v>
      </c>
      <c r="Q461" s="3" t="str">
        <f t="shared" si="35"/>
        <v>good profit</v>
      </c>
    </row>
    <row r="462" spans="1:17" x14ac:dyDescent="0.25">
      <c r="A462" s="3" t="s">
        <v>1696</v>
      </c>
      <c r="B462" s="4">
        <v>45741</v>
      </c>
      <c r="C462" s="3" t="s">
        <v>2019</v>
      </c>
      <c r="D462" s="3" t="s">
        <v>2039</v>
      </c>
      <c r="E462" s="3" t="s">
        <v>2053</v>
      </c>
      <c r="F462" s="3" t="s">
        <v>2061</v>
      </c>
      <c r="G462" s="3">
        <v>5</v>
      </c>
      <c r="H462" s="3">
        <v>900</v>
      </c>
      <c r="I462" s="3">
        <v>1152</v>
      </c>
      <c r="J462" s="3">
        <v>10.37</v>
      </c>
      <c r="K462" s="3">
        <v>5162.5</v>
      </c>
      <c r="L462" s="3">
        <v>662.5</v>
      </c>
      <c r="M462" s="3">
        <f t="shared" si="36"/>
        <v>59731.199999999997</v>
      </c>
      <c r="N462" s="3">
        <f t="shared" si="37"/>
        <v>4500</v>
      </c>
      <c r="O462" s="3">
        <f t="shared" si="38"/>
        <v>12.832929782082324</v>
      </c>
      <c r="P462" s="3" t="str">
        <f t="shared" si="39"/>
        <v>Mar</v>
      </c>
      <c r="Q462" s="3" t="str">
        <f t="shared" si="35"/>
        <v>good profit</v>
      </c>
    </row>
    <row r="463" spans="1:17" x14ac:dyDescent="0.25">
      <c r="A463" s="3" t="s">
        <v>1793</v>
      </c>
      <c r="B463" s="4">
        <v>45741</v>
      </c>
      <c r="C463" s="3" t="s">
        <v>2023</v>
      </c>
      <c r="D463" s="3" t="s">
        <v>2043</v>
      </c>
      <c r="E463" s="3" t="s">
        <v>2053</v>
      </c>
      <c r="F463" s="3" t="s">
        <v>2060</v>
      </c>
      <c r="G463" s="3">
        <v>4</v>
      </c>
      <c r="H463" s="3">
        <v>550</v>
      </c>
      <c r="I463" s="3">
        <v>742.5</v>
      </c>
      <c r="J463" s="3">
        <v>16.309999999999999</v>
      </c>
      <c r="K463" s="3">
        <v>2485.58</v>
      </c>
      <c r="L463" s="3">
        <v>285.58</v>
      </c>
      <c r="M463" s="3">
        <f t="shared" si="36"/>
        <v>48440.7</v>
      </c>
      <c r="N463" s="3">
        <f t="shared" si="37"/>
        <v>2200</v>
      </c>
      <c r="O463" s="3">
        <f t="shared" si="38"/>
        <v>11.489471270287014</v>
      </c>
      <c r="P463" s="3" t="str">
        <f t="shared" si="39"/>
        <v>Mar</v>
      </c>
      <c r="Q463" s="3" t="str">
        <f t="shared" si="35"/>
        <v>good profit</v>
      </c>
    </row>
    <row r="464" spans="1:17" x14ac:dyDescent="0.25">
      <c r="A464" s="3" t="s">
        <v>1995</v>
      </c>
      <c r="B464" s="4">
        <v>45741</v>
      </c>
      <c r="C464" s="3" t="s">
        <v>2027</v>
      </c>
      <c r="D464" s="3" t="s">
        <v>2047</v>
      </c>
      <c r="E464" s="3" t="s">
        <v>2053</v>
      </c>
      <c r="F464" s="3" t="s">
        <v>2059</v>
      </c>
      <c r="G464" s="3">
        <v>2</v>
      </c>
      <c r="H464" s="3">
        <v>1100</v>
      </c>
      <c r="I464" s="3">
        <v>1298</v>
      </c>
      <c r="J464" s="3">
        <v>10.84</v>
      </c>
      <c r="K464" s="3">
        <v>2314.5700000000002</v>
      </c>
      <c r="L464" s="3">
        <v>114.57</v>
      </c>
      <c r="M464" s="3">
        <f t="shared" si="36"/>
        <v>28140.639999999999</v>
      </c>
      <c r="N464" s="3">
        <f t="shared" si="37"/>
        <v>2200</v>
      </c>
      <c r="O464" s="3">
        <f t="shared" si="38"/>
        <v>4.9499475064482814</v>
      </c>
      <c r="P464" s="3" t="str">
        <f t="shared" si="39"/>
        <v>Mar</v>
      </c>
      <c r="Q464" s="3" t="str">
        <f t="shared" si="35"/>
        <v>low profit</v>
      </c>
    </row>
    <row r="465" spans="1:17" x14ac:dyDescent="0.25">
      <c r="A465" s="3" t="s">
        <v>678</v>
      </c>
      <c r="B465" s="4">
        <v>45742</v>
      </c>
      <c r="C465" s="3" t="s">
        <v>2029</v>
      </c>
      <c r="D465" s="3" t="s">
        <v>2049</v>
      </c>
      <c r="E465" s="3" t="s">
        <v>2055</v>
      </c>
      <c r="F465" s="3" t="s">
        <v>2061</v>
      </c>
      <c r="G465" s="3">
        <v>6</v>
      </c>
      <c r="H465" s="3">
        <v>1200</v>
      </c>
      <c r="I465" s="3">
        <v>1464</v>
      </c>
      <c r="J465" s="3">
        <v>3.23</v>
      </c>
      <c r="K465" s="3">
        <v>8499.9</v>
      </c>
      <c r="L465" s="3">
        <v>1299.9000000000001</v>
      </c>
      <c r="M465" s="3">
        <f t="shared" si="36"/>
        <v>28372.32</v>
      </c>
      <c r="N465" s="3">
        <f t="shared" si="37"/>
        <v>7200</v>
      </c>
      <c r="O465" s="3">
        <f t="shared" si="38"/>
        <v>15.293121095542302</v>
      </c>
      <c r="P465" s="3" t="str">
        <f t="shared" si="39"/>
        <v>Mar</v>
      </c>
      <c r="Q465" s="3" t="str">
        <f t="shared" si="35"/>
        <v>good profit</v>
      </c>
    </row>
    <row r="466" spans="1:17" x14ac:dyDescent="0.25">
      <c r="A466" s="3" t="s">
        <v>1837</v>
      </c>
      <c r="B466" s="4">
        <v>45742</v>
      </c>
      <c r="C466" s="3" t="s">
        <v>2024</v>
      </c>
      <c r="D466" s="3" t="s">
        <v>2044</v>
      </c>
      <c r="E466" s="3" t="s">
        <v>2055</v>
      </c>
      <c r="F466" s="3" t="s">
        <v>2060</v>
      </c>
      <c r="G466" s="3">
        <v>9</v>
      </c>
      <c r="H466" s="3">
        <v>180</v>
      </c>
      <c r="I466" s="3">
        <v>243</v>
      </c>
      <c r="J466" s="3">
        <v>0</v>
      </c>
      <c r="K466" s="3">
        <v>2187</v>
      </c>
      <c r="L466" s="3">
        <v>567</v>
      </c>
      <c r="M466" s="3">
        <f t="shared" si="36"/>
        <v>0</v>
      </c>
      <c r="N466" s="3">
        <f t="shared" si="37"/>
        <v>1620</v>
      </c>
      <c r="O466" s="3">
        <f t="shared" si="38"/>
        <v>25.925925925925924</v>
      </c>
      <c r="P466" s="3" t="str">
        <f t="shared" si="39"/>
        <v>Mar</v>
      </c>
      <c r="Q466" s="3" t="str">
        <f t="shared" si="35"/>
        <v>good profit</v>
      </c>
    </row>
    <row r="467" spans="1:17" x14ac:dyDescent="0.25">
      <c r="A467" s="3" t="s">
        <v>181</v>
      </c>
      <c r="B467" s="4">
        <v>45743</v>
      </c>
      <c r="C467" s="3" t="s">
        <v>2024</v>
      </c>
      <c r="D467" s="3" t="s">
        <v>2044</v>
      </c>
      <c r="E467" s="3" t="s">
        <v>2055</v>
      </c>
      <c r="F467" s="3" t="s">
        <v>2062</v>
      </c>
      <c r="G467" s="3">
        <v>1</v>
      </c>
      <c r="H467" s="3">
        <v>180</v>
      </c>
      <c r="I467" s="3">
        <v>243</v>
      </c>
      <c r="J467" s="3">
        <v>5.89</v>
      </c>
      <c r="K467" s="3">
        <v>228.69</v>
      </c>
      <c r="L467" s="3">
        <v>48.69</v>
      </c>
      <c r="M467" s="3">
        <f t="shared" si="36"/>
        <v>1431.27</v>
      </c>
      <c r="N467" s="3">
        <f t="shared" si="37"/>
        <v>180</v>
      </c>
      <c r="O467" s="3">
        <f t="shared" si="38"/>
        <v>21.290830381739472</v>
      </c>
      <c r="P467" s="3" t="str">
        <f t="shared" si="39"/>
        <v>Mar</v>
      </c>
      <c r="Q467" s="3" t="str">
        <f t="shared" si="35"/>
        <v>good profit</v>
      </c>
    </row>
    <row r="468" spans="1:17" x14ac:dyDescent="0.25">
      <c r="A468" s="3" t="s">
        <v>345</v>
      </c>
      <c r="B468" s="4">
        <v>45743</v>
      </c>
      <c r="C468" s="3" t="s">
        <v>2020</v>
      </c>
      <c r="D468" s="3" t="s">
        <v>2040</v>
      </c>
      <c r="E468" s="3" t="s">
        <v>2053</v>
      </c>
      <c r="F468" s="3" t="s">
        <v>2059</v>
      </c>
      <c r="G468" s="3">
        <v>10</v>
      </c>
      <c r="H468" s="3">
        <v>350</v>
      </c>
      <c r="I468" s="3">
        <v>455</v>
      </c>
      <c r="J468" s="3">
        <v>17.84</v>
      </c>
      <c r="K468" s="3">
        <v>3738.35</v>
      </c>
      <c r="L468" s="3">
        <v>238.35</v>
      </c>
      <c r="M468" s="3">
        <f t="shared" si="36"/>
        <v>81172</v>
      </c>
      <c r="N468" s="3">
        <f t="shared" si="37"/>
        <v>3500</v>
      </c>
      <c r="O468" s="3">
        <f t="shared" si="38"/>
        <v>6.3758075086602375</v>
      </c>
      <c r="P468" s="3" t="str">
        <f t="shared" si="39"/>
        <v>Mar</v>
      </c>
      <c r="Q468" s="3" t="str">
        <f t="shared" si="35"/>
        <v>low profit</v>
      </c>
    </row>
    <row r="469" spans="1:17" x14ac:dyDescent="0.25">
      <c r="A469" s="3" t="s">
        <v>399</v>
      </c>
      <c r="B469" s="4">
        <v>45743</v>
      </c>
      <c r="C469" s="3" t="s">
        <v>2013</v>
      </c>
      <c r="D469" s="3" t="s">
        <v>2033</v>
      </c>
      <c r="E469" s="3" t="s">
        <v>2053</v>
      </c>
      <c r="F469" s="3" t="s">
        <v>2061</v>
      </c>
      <c r="G469" s="3">
        <v>2</v>
      </c>
      <c r="H469" s="3">
        <v>6500</v>
      </c>
      <c r="I469" s="3">
        <v>7150</v>
      </c>
      <c r="J469" s="3">
        <v>12</v>
      </c>
      <c r="K469" s="3">
        <v>12584.16</v>
      </c>
      <c r="L469" s="3">
        <v>-415.84</v>
      </c>
      <c r="M469" s="3">
        <f t="shared" si="36"/>
        <v>171600</v>
      </c>
      <c r="N469" s="3">
        <f t="shared" si="37"/>
        <v>13000</v>
      </c>
      <c r="O469" s="3">
        <f t="shared" si="38"/>
        <v>-3.3044716532529779</v>
      </c>
      <c r="P469" s="3" t="str">
        <f t="shared" si="39"/>
        <v>Mar</v>
      </c>
      <c r="Q469" s="3" t="str">
        <f t="shared" si="35"/>
        <v>loss</v>
      </c>
    </row>
    <row r="470" spans="1:17" x14ac:dyDescent="0.25">
      <c r="A470" s="3" t="s">
        <v>599</v>
      </c>
      <c r="B470" s="4">
        <v>45743</v>
      </c>
      <c r="C470" s="3" t="s">
        <v>2023</v>
      </c>
      <c r="D470" s="3" t="s">
        <v>2043</v>
      </c>
      <c r="E470" s="3" t="s">
        <v>2053</v>
      </c>
      <c r="F470" s="3" t="s">
        <v>2061</v>
      </c>
      <c r="G470" s="3">
        <v>9</v>
      </c>
      <c r="H470" s="3">
        <v>550</v>
      </c>
      <c r="I470" s="3">
        <v>742.5</v>
      </c>
      <c r="J470" s="3">
        <v>4.67</v>
      </c>
      <c r="K470" s="3">
        <v>6370.74</v>
      </c>
      <c r="L470" s="3">
        <v>1420.74</v>
      </c>
      <c r="M470" s="3">
        <f t="shared" si="36"/>
        <v>31207.274999999998</v>
      </c>
      <c r="N470" s="3">
        <f t="shared" si="37"/>
        <v>4950</v>
      </c>
      <c r="O470" s="3">
        <f t="shared" si="38"/>
        <v>22.301019975701411</v>
      </c>
      <c r="P470" s="3" t="str">
        <f t="shared" si="39"/>
        <v>Mar</v>
      </c>
      <c r="Q470" s="3" t="str">
        <f t="shared" si="35"/>
        <v>good profit</v>
      </c>
    </row>
    <row r="471" spans="1:17" x14ac:dyDescent="0.25">
      <c r="A471" s="3" t="s">
        <v>609</v>
      </c>
      <c r="B471" s="4">
        <v>45743</v>
      </c>
      <c r="C471" s="3" t="s">
        <v>2027</v>
      </c>
      <c r="D471" s="3" t="s">
        <v>2047</v>
      </c>
      <c r="E471" s="3" t="s">
        <v>2053</v>
      </c>
      <c r="F471" s="3" t="s">
        <v>2062</v>
      </c>
      <c r="G471" s="3">
        <v>7</v>
      </c>
      <c r="H471" s="3">
        <v>1100</v>
      </c>
      <c r="I471" s="3">
        <v>1298</v>
      </c>
      <c r="J471" s="3">
        <v>14.14</v>
      </c>
      <c r="K471" s="3">
        <v>7800.85</v>
      </c>
      <c r="L471" s="3">
        <v>100.85</v>
      </c>
      <c r="M471" s="3">
        <f t="shared" si="36"/>
        <v>128476.04000000001</v>
      </c>
      <c r="N471" s="3">
        <f t="shared" si="37"/>
        <v>7700</v>
      </c>
      <c r="O471" s="3">
        <f t="shared" si="38"/>
        <v>1.292807835043617</v>
      </c>
      <c r="P471" s="3" t="str">
        <f t="shared" si="39"/>
        <v>Mar</v>
      </c>
      <c r="Q471" s="3" t="str">
        <f t="shared" si="35"/>
        <v>low profit</v>
      </c>
    </row>
    <row r="472" spans="1:17" x14ac:dyDescent="0.25">
      <c r="A472" s="3" t="s">
        <v>629</v>
      </c>
      <c r="B472" s="4">
        <v>45743</v>
      </c>
      <c r="C472" s="3" t="s">
        <v>2026</v>
      </c>
      <c r="D472" s="3" t="s">
        <v>2046</v>
      </c>
      <c r="E472" s="3" t="s">
        <v>2052</v>
      </c>
      <c r="F472" s="3" t="s">
        <v>2059</v>
      </c>
      <c r="G472" s="3">
        <v>8</v>
      </c>
      <c r="H472" s="3">
        <v>3000</v>
      </c>
      <c r="I472" s="3">
        <v>3600</v>
      </c>
      <c r="J472" s="3">
        <v>10.59</v>
      </c>
      <c r="K472" s="3">
        <v>25750.9</v>
      </c>
      <c r="L472" s="3">
        <v>1750.9</v>
      </c>
      <c r="M472" s="3">
        <f t="shared" si="36"/>
        <v>304992</v>
      </c>
      <c r="N472" s="3">
        <f t="shared" si="37"/>
        <v>24000</v>
      </c>
      <c r="O472" s="3">
        <f t="shared" si="38"/>
        <v>6.7993740024620495</v>
      </c>
      <c r="P472" s="3" t="str">
        <f t="shared" si="39"/>
        <v>Mar</v>
      </c>
      <c r="Q472" s="3" t="str">
        <f t="shared" si="35"/>
        <v>low profit</v>
      </c>
    </row>
    <row r="473" spans="1:17" x14ac:dyDescent="0.25">
      <c r="A473" s="3" t="s">
        <v>865</v>
      </c>
      <c r="B473" s="4">
        <v>45743</v>
      </c>
      <c r="C473" s="3" t="s">
        <v>2022</v>
      </c>
      <c r="D473" s="3" t="s">
        <v>2042</v>
      </c>
      <c r="E473" s="3" t="s">
        <v>2053</v>
      </c>
      <c r="F473" s="3" t="s">
        <v>2059</v>
      </c>
      <c r="G473" s="3">
        <v>9</v>
      </c>
      <c r="H473" s="3">
        <v>8500</v>
      </c>
      <c r="I473" s="3">
        <v>9520</v>
      </c>
      <c r="J473" s="3">
        <v>16.239999999999998</v>
      </c>
      <c r="K473" s="3">
        <v>71763.360000000001</v>
      </c>
      <c r="L473" s="3">
        <v>-4736.6400000000003</v>
      </c>
      <c r="M473" s="3">
        <f t="shared" si="36"/>
        <v>1391443.2</v>
      </c>
      <c r="N473" s="3">
        <f t="shared" si="37"/>
        <v>76500</v>
      </c>
      <c r="O473" s="3">
        <f t="shared" si="38"/>
        <v>-6.6003598493716025</v>
      </c>
      <c r="P473" s="3" t="str">
        <f t="shared" si="39"/>
        <v>Mar</v>
      </c>
      <c r="Q473" s="3" t="str">
        <f t="shared" si="35"/>
        <v>loss</v>
      </c>
    </row>
    <row r="474" spans="1:17" x14ac:dyDescent="0.25">
      <c r="A474" s="3" t="s">
        <v>1632</v>
      </c>
      <c r="B474" s="4">
        <v>45743</v>
      </c>
      <c r="C474" s="3" t="s">
        <v>2029</v>
      </c>
      <c r="D474" s="3" t="s">
        <v>2049</v>
      </c>
      <c r="E474" s="3" t="s">
        <v>2055</v>
      </c>
      <c r="F474" s="3" t="s">
        <v>2060</v>
      </c>
      <c r="G474" s="3">
        <v>3</v>
      </c>
      <c r="H474" s="3">
        <v>1200</v>
      </c>
      <c r="I474" s="3">
        <v>1464</v>
      </c>
      <c r="J474" s="3">
        <v>13.12</v>
      </c>
      <c r="K474" s="3">
        <v>3815.65</v>
      </c>
      <c r="L474" s="3">
        <v>215.65</v>
      </c>
      <c r="M474" s="3">
        <f t="shared" si="36"/>
        <v>57623.039999999994</v>
      </c>
      <c r="N474" s="3">
        <f t="shared" si="37"/>
        <v>3600</v>
      </c>
      <c r="O474" s="3">
        <f t="shared" si="38"/>
        <v>5.6517238216293428</v>
      </c>
      <c r="P474" s="3" t="str">
        <f t="shared" si="39"/>
        <v>Mar</v>
      </c>
      <c r="Q474" s="3" t="str">
        <f t="shared" si="35"/>
        <v>low profit</v>
      </c>
    </row>
    <row r="475" spans="1:17" x14ac:dyDescent="0.25">
      <c r="A475" s="3" t="s">
        <v>1701</v>
      </c>
      <c r="B475" s="4">
        <v>45743</v>
      </c>
      <c r="C475" s="3" t="s">
        <v>2021</v>
      </c>
      <c r="D475" s="3" t="s">
        <v>2041</v>
      </c>
      <c r="E475" s="3" t="s">
        <v>2056</v>
      </c>
      <c r="F475" s="3" t="s">
        <v>2062</v>
      </c>
      <c r="G475" s="3">
        <v>1</v>
      </c>
      <c r="H475" s="3">
        <v>300</v>
      </c>
      <c r="I475" s="3">
        <v>405</v>
      </c>
      <c r="J475" s="3">
        <v>13.87</v>
      </c>
      <c r="K475" s="3">
        <v>348.83</v>
      </c>
      <c r="L475" s="3">
        <v>48.83</v>
      </c>
      <c r="M475" s="3">
        <f t="shared" si="36"/>
        <v>5617.3499999999995</v>
      </c>
      <c r="N475" s="3">
        <f t="shared" si="37"/>
        <v>300</v>
      </c>
      <c r="O475" s="3">
        <f t="shared" si="38"/>
        <v>13.99822262993435</v>
      </c>
      <c r="P475" s="3" t="str">
        <f t="shared" si="39"/>
        <v>Mar</v>
      </c>
      <c r="Q475" s="3" t="str">
        <f t="shared" si="35"/>
        <v>good profit</v>
      </c>
    </row>
    <row r="476" spans="1:17" x14ac:dyDescent="0.25">
      <c r="A476" s="3" t="s">
        <v>250</v>
      </c>
      <c r="B476" s="4">
        <v>45744</v>
      </c>
      <c r="C476" s="3" t="s">
        <v>2024</v>
      </c>
      <c r="D476" s="3" t="s">
        <v>2044</v>
      </c>
      <c r="E476" s="3" t="s">
        <v>2055</v>
      </c>
      <c r="F476" s="3" t="s">
        <v>2061</v>
      </c>
      <c r="G476" s="3">
        <v>6</v>
      </c>
      <c r="H476" s="3">
        <v>180</v>
      </c>
      <c r="I476" s="3">
        <v>243</v>
      </c>
      <c r="J476" s="3">
        <v>2.52</v>
      </c>
      <c r="K476" s="3">
        <v>1421.32</v>
      </c>
      <c r="L476" s="3">
        <v>341.32</v>
      </c>
      <c r="M476" s="3">
        <f t="shared" si="36"/>
        <v>3674.16</v>
      </c>
      <c r="N476" s="3">
        <f t="shared" si="37"/>
        <v>1080</v>
      </c>
      <c r="O476" s="3">
        <f t="shared" si="38"/>
        <v>24.014296569386204</v>
      </c>
      <c r="P476" s="3" t="str">
        <f t="shared" si="39"/>
        <v>Mar</v>
      </c>
      <c r="Q476" s="3" t="str">
        <f t="shared" si="35"/>
        <v>good profit</v>
      </c>
    </row>
    <row r="477" spans="1:17" x14ac:dyDescent="0.25">
      <c r="A477" s="3" t="s">
        <v>255</v>
      </c>
      <c r="B477" s="4">
        <v>45744</v>
      </c>
      <c r="C477" s="3" t="s">
        <v>2013</v>
      </c>
      <c r="D477" s="3" t="s">
        <v>2033</v>
      </c>
      <c r="E477" s="3" t="s">
        <v>2053</v>
      </c>
      <c r="F477" s="3" t="s">
        <v>2060</v>
      </c>
      <c r="G477" s="3">
        <v>10</v>
      </c>
      <c r="H477" s="3">
        <v>6500</v>
      </c>
      <c r="I477" s="3">
        <v>7150</v>
      </c>
      <c r="J477" s="3">
        <v>13.49</v>
      </c>
      <c r="K477" s="3">
        <v>61853.07</v>
      </c>
      <c r="L477" s="3">
        <v>-3146.93</v>
      </c>
      <c r="M477" s="3">
        <f t="shared" si="36"/>
        <v>964535</v>
      </c>
      <c r="N477" s="3">
        <f t="shared" si="37"/>
        <v>65000</v>
      </c>
      <c r="O477" s="3">
        <f t="shared" si="38"/>
        <v>-5.0877506969338784</v>
      </c>
      <c r="P477" s="3" t="str">
        <f t="shared" si="39"/>
        <v>Mar</v>
      </c>
      <c r="Q477" s="3" t="str">
        <f t="shared" si="35"/>
        <v>loss</v>
      </c>
    </row>
    <row r="478" spans="1:17" x14ac:dyDescent="0.25">
      <c r="A478" s="3" t="s">
        <v>589</v>
      </c>
      <c r="B478" s="4">
        <v>45744</v>
      </c>
      <c r="C478" s="3" t="s">
        <v>2021</v>
      </c>
      <c r="D478" s="3" t="s">
        <v>2041</v>
      </c>
      <c r="E478" s="3" t="s">
        <v>2056</v>
      </c>
      <c r="F478" s="3" t="s">
        <v>2062</v>
      </c>
      <c r="G478" s="3">
        <v>4</v>
      </c>
      <c r="H478" s="3">
        <v>300</v>
      </c>
      <c r="I478" s="3">
        <v>405</v>
      </c>
      <c r="J478" s="3">
        <v>0</v>
      </c>
      <c r="K478" s="3">
        <v>1620</v>
      </c>
      <c r="L478" s="3">
        <v>420</v>
      </c>
      <c r="M478" s="3">
        <f t="shared" si="36"/>
        <v>0</v>
      </c>
      <c r="N478" s="3">
        <f t="shared" si="37"/>
        <v>1200</v>
      </c>
      <c r="O478" s="3">
        <f t="shared" si="38"/>
        <v>25.925925925925924</v>
      </c>
      <c r="P478" s="3" t="str">
        <f t="shared" si="39"/>
        <v>Mar</v>
      </c>
      <c r="Q478" s="3" t="str">
        <f t="shared" si="35"/>
        <v>good profit</v>
      </c>
    </row>
    <row r="479" spans="1:17" x14ac:dyDescent="0.25">
      <c r="A479" s="3" t="s">
        <v>924</v>
      </c>
      <c r="B479" s="4">
        <v>45744</v>
      </c>
      <c r="C479" s="3" t="s">
        <v>2023</v>
      </c>
      <c r="D479" s="3" t="s">
        <v>2043</v>
      </c>
      <c r="E479" s="3" t="s">
        <v>2053</v>
      </c>
      <c r="F479" s="3" t="s">
        <v>2061</v>
      </c>
      <c r="G479" s="3">
        <v>5</v>
      </c>
      <c r="H479" s="3">
        <v>550</v>
      </c>
      <c r="I479" s="3">
        <v>742.5</v>
      </c>
      <c r="J479" s="3">
        <v>7.89</v>
      </c>
      <c r="K479" s="3">
        <v>3419.63</v>
      </c>
      <c r="L479" s="3">
        <v>669.63</v>
      </c>
      <c r="M479" s="3">
        <f t="shared" si="36"/>
        <v>29291.625</v>
      </c>
      <c r="N479" s="3">
        <f t="shared" si="37"/>
        <v>2750</v>
      </c>
      <c r="O479" s="3">
        <f t="shared" si="38"/>
        <v>19.581943075712868</v>
      </c>
      <c r="P479" s="3" t="str">
        <f t="shared" si="39"/>
        <v>Mar</v>
      </c>
      <c r="Q479" s="3" t="str">
        <f t="shared" si="35"/>
        <v>good profit</v>
      </c>
    </row>
    <row r="480" spans="1:17" x14ac:dyDescent="0.25">
      <c r="A480" s="3" t="s">
        <v>1134</v>
      </c>
      <c r="B480" s="4">
        <v>45744</v>
      </c>
      <c r="C480" s="3" t="s">
        <v>2028</v>
      </c>
      <c r="D480" s="3" t="s">
        <v>2048</v>
      </c>
      <c r="E480" s="3" t="s">
        <v>2057</v>
      </c>
      <c r="F480" s="3" t="s">
        <v>2062</v>
      </c>
      <c r="G480" s="3">
        <v>10</v>
      </c>
      <c r="H480" s="3">
        <v>80</v>
      </c>
      <c r="I480" s="3">
        <v>116</v>
      </c>
      <c r="J480" s="3">
        <v>3.15</v>
      </c>
      <c r="K480" s="3">
        <v>1123.43</v>
      </c>
      <c r="L480" s="3">
        <v>323.43</v>
      </c>
      <c r="M480" s="3">
        <f t="shared" si="36"/>
        <v>3654</v>
      </c>
      <c r="N480" s="3">
        <f t="shared" si="37"/>
        <v>800</v>
      </c>
      <c r="O480" s="3">
        <f t="shared" si="38"/>
        <v>28.789510694925362</v>
      </c>
      <c r="P480" s="3" t="str">
        <f t="shared" si="39"/>
        <v>Mar</v>
      </c>
      <c r="Q480" s="3" t="str">
        <f t="shared" si="35"/>
        <v>good profit</v>
      </c>
    </row>
    <row r="481" spans="1:17" x14ac:dyDescent="0.25">
      <c r="A481" s="3" t="s">
        <v>359</v>
      </c>
      <c r="B481" s="4">
        <v>45745</v>
      </c>
      <c r="C481" s="3" t="s">
        <v>2012</v>
      </c>
      <c r="D481" s="3" t="s">
        <v>2032</v>
      </c>
      <c r="E481" s="3" t="s">
        <v>2052</v>
      </c>
      <c r="F481" s="3" t="s">
        <v>2060</v>
      </c>
      <c r="G481" s="3">
        <v>8</v>
      </c>
      <c r="H481" s="3">
        <v>6500</v>
      </c>
      <c r="I481" s="3">
        <v>8125</v>
      </c>
      <c r="J481" s="3">
        <v>4.97</v>
      </c>
      <c r="K481" s="3">
        <v>61771.1</v>
      </c>
      <c r="L481" s="3">
        <v>9771.1</v>
      </c>
      <c r="M481" s="3">
        <f t="shared" si="36"/>
        <v>323050</v>
      </c>
      <c r="N481" s="3">
        <f t="shared" si="37"/>
        <v>52000</v>
      </c>
      <c r="O481" s="3">
        <f t="shared" si="38"/>
        <v>15.818238626153654</v>
      </c>
      <c r="P481" s="3" t="str">
        <f t="shared" si="39"/>
        <v>Mar</v>
      </c>
      <c r="Q481" s="3" t="str">
        <f t="shared" si="35"/>
        <v>good profit</v>
      </c>
    </row>
    <row r="482" spans="1:17" x14ac:dyDescent="0.25">
      <c r="A482" s="3" t="s">
        <v>1397</v>
      </c>
      <c r="B482" s="4">
        <v>45745</v>
      </c>
      <c r="C482" s="3" t="s">
        <v>2020</v>
      </c>
      <c r="D482" s="3" t="s">
        <v>2040</v>
      </c>
      <c r="E482" s="3" t="s">
        <v>2053</v>
      </c>
      <c r="F482" s="3" t="s">
        <v>2062</v>
      </c>
      <c r="G482" s="3">
        <v>6</v>
      </c>
      <c r="H482" s="3">
        <v>350</v>
      </c>
      <c r="I482" s="3">
        <v>455</v>
      </c>
      <c r="J482" s="3">
        <v>17.02</v>
      </c>
      <c r="K482" s="3">
        <v>2265.3200000000002</v>
      </c>
      <c r="L482" s="3">
        <v>165.32</v>
      </c>
      <c r="M482" s="3">
        <f t="shared" si="36"/>
        <v>46464.6</v>
      </c>
      <c r="N482" s="3">
        <f t="shared" si="37"/>
        <v>2100</v>
      </c>
      <c r="O482" s="3">
        <f t="shared" si="38"/>
        <v>7.2978652022672286</v>
      </c>
      <c r="P482" s="3" t="str">
        <f t="shared" si="39"/>
        <v>Mar</v>
      </c>
      <c r="Q482" s="3" t="str">
        <f t="shared" si="35"/>
        <v>low profit</v>
      </c>
    </row>
    <row r="483" spans="1:17" x14ac:dyDescent="0.25">
      <c r="A483" s="3" t="s">
        <v>1697</v>
      </c>
      <c r="B483" s="4">
        <v>45745</v>
      </c>
      <c r="C483" s="3" t="s">
        <v>2027</v>
      </c>
      <c r="D483" s="3" t="s">
        <v>2047</v>
      </c>
      <c r="E483" s="3" t="s">
        <v>2053</v>
      </c>
      <c r="F483" s="3" t="s">
        <v>2060</v>
      </c>
      <c r="G483" s="3">
        <v>10</v>
      </c>
      <c r="H483" s="3">
        <v>1100</v>
      </c>
      <c r="I483" s="3">
        <v>1298</v>
      </c>
      <c r="J483" s="3">
        <v>5.31</v>
      </c>
      <c r="K483" s="3">
        <v>12290.2</v>
      </c>
      <c r="L483" s="3">
        <v>1290.2</v>
      </c>
      <c r="M483" s="3">
        <f t="shared" si="36"/>
        <v>68923.799999999988</v>
      </c>
      <c r="N483" s="3">
        <f t="shared" si="37"/>
        <v>11000</v>
      </c>
      <c r="O483" s="3">
        <f t="shared" si="38"/>
        <v>10.497794991131144</v>
      </c>
      <c r="P483" s="3" t="str">
        <f t="shared" si="39"/>
        <v>Mar</v>
      </c>
      <c r="Q483" s="3" t="str">
        <f t="shared" si="35"/>
        <v>good profit</v>
      </c>
    </row>
    <row r="484" spans="1:17" x14ac:dyDescent="0.25">
      <c r="A484" s="3" t="s">
        <v>1894</v>
      </c>
      <c r="B484" s="4">
        <v>45745</v>
      </c>
      <c r="C484" s="3" t="s">
        <v>2025</v>
      </c>
      <c r="D484" s="3" t="s">
        <v>2045</v>
      </c>
      <c r="E484" s="3" t="s">
        <v>2057</v>
      </c>
      <c r="F484" s="3" t="s">
        <v>2062</v>
      </c>
      <c r="G484" s="3">
        <v>3</v>
      </c>
      <c r="H484" s="3">
        <v>45</v>
      </c>
      <c r="I484" s="3">
        <v>63</v>
      </c>
      <c r="J484" s="3">
        <v>4.5199999999999996</v>
      </c>
      <c r="K484" s="3">
        <v>180.46</v>
      </c>
      <c r="L484" s="3">
        <v>45.46</v>
      </c>
      <c r="M484" s="3">
        <f t="shared" si="36"/>
        <v>854.28</v>
      </c>
      <c r="N484" s="3">
        <f t="shared" si="37"/>
        <v>135</v>
      </c>
      <c r="O484" s="3">
        <f t="shared" si="38"/>
        <v>25.19117810041006</v>
      </c>
      <c r="P484" s="3" t="str">
        <f t="shared" si="39"/>
        <v>Mar</v>
      </c>
      <c r="Q484" s="3" t="str">
        <f t="shared" si="35"/>
        <v>good profit</v>
      </c>
    </row>
    <row r="485" spans="1:17" x14ac:dyDescent="0.25">
      <c r="A485" s="3" t="s">
        <v>668</v>
      </c>
      <c r="B485" s="4">
        <v>45746</v>
      </c>
      <c r="C485" s="3" t="s">
        <v>2030</v>
      </c>
      <c r="D485" s="3" t="s">
        <v>2050</v>
      </c>
      <c r="E485" s="3" t="s">
        <v>2058</v>
      </c>
      <c r="F485" s="3" t="s">
        <v>2062</v>
      </c>
      <c r="G485" s="3">
        <v>4</v>
      </c>
      <c r="H485" s="3">
        <v>1800</v>
      </c>
      <c r="I485" s="3">
        <v>2124</v>
      </c>
      <c r="J485" s="3">
        <v>13.46</v>
      </c>
      <c r="K485" s="3">
        <v>7352.44</v>
      </c>
      <c r="L485" s="3">
        <v>152.44</v>
      </c>
      <c r="M485" s="3">
        <f t="shared" si="36"/>
        <v>114356.16</v>
      </c>
      <c r="N485" s="3">
        <f t="shared" si="37"/>
        <v>7200</v>
      </c>
      <c r="O485" s="3">
        <f t="shared" si="38"/>
        <v>2.0733253178536653</v>
      </c>
      <c r="P485" s="3" t="str">
        <f t="shared" si="39"/>
        <v>Mar</v>
      </c>
      <c r="Q485" s="3" t="str">
        <f t="shared" si="35"/>
        <v>low profit</v>
      </c>
    </row>
    <row r="486" spans="1:17" x14ac:dyDescent="0.25">
      <c r="A486" s="3" t="s">
        <v>850</v>
      </c>
      <c r="B486" s="4">
        <v>45746</v>
      </c>
      <c r="C486" s="3" t="s">
        <v>2027</v>
      </c>
      <c r="D486" s="3" t="s">
        <v>2047</v>
      </c>
      <c r="E486" s="3" t="s">
        <v>2053</v>
      </c>
      <c r="F486" s="3" t="s">
        <v>2061</v>
      </c>
      <c r="G486" s="3">
        <v>6</v>
      </c>
      <c r="H486" s="3">
        <v>1100</v>
      </c>
      <c r="I486" s="3">
        <v>1298</v>
      </c>
      <c r="J486" s="3">
        <v>4.9800000000000004</v>
      </c>
      <c r="K486" s="3">
        <v>7399.89</v>
      </c>
      <c r="L486" s="3">
        <v>799.89</v>
      </c>
      <c r="M486" s="3">
        <f t="shared" si="36"/>
        <v>38784.240000000005</v>
      </c>
      <c r="N486" s="3">
        <f t="shared" si="37"/>
        <v>6600</v>
      </c>
      <c r="O486" s="3">
        <f t="shared" si="38"/>
        <v>10.809485005858194</v>
      </c>
      <c r="P486" s="3" t="str">
        <f t="shared" si="39"/>
        <v>Mar</v>
      </c>
      <c r="Q486" s="3" t="str">
        <f t="shared" si="35"/>
        <v>good profit</v>
      </c>
    </row>
    <row r="487" spans="1:17" x14ac:dyDescent="0.25">
      <c r="A487" s="3" t="s">
        <v>1668</v>
      </c>
      <c r="B487" s="4">
        <v>45746</v>
      </c>
      <c r="C487" s="3" t="s">
        <v>2031</v>
      </c>
      <c r="D487" s="3" t="s">
        <v>2051</v>
      </c>
      <c r="E487" s="3" t="s">
        <v>2058</v>
      </c>
      <c r="F487" s="3" t="s">
        <v>2061</v>
      </c>
      <c r="G487" s="3">
        <v>8</v>
      </c>
      <c r="H487" s="3">
        <v>3200</v>
      </c>
      <c r="I487" s="3">
        <v>3840</v>
      </c>
      <c r="J487" s="3">
        <v>19.600000000000001</v>
      </c>
      <c r="K487" s="3">
        <v>24699.3</v>
      </c>
      <c r="L487" s="3">
        <v>-900.7</v>
      </c>
      <c r="M487" s="3">
        <f t="shared" si="36"/>
        <v>602112</v>
      </c>
      <c r="N487" s="3">
        <f t="shared" si="37"/>
        <v>25600</v>
      </c>
      <c r="O487" s="3">
        <f t="shared" si="38"/>
        <v>-3.6466620511512478</v>
      </c>
      <c r="P487" s="3" t="str">
        <f t="shared" si="39"/>
        <v>Mar</v>
      </c>
      <c r="Q487" s="3" t="str">
        <f t="shared" si="35"/>
        <v>loss</v>
      </c>
    </row>
    <row r="488" spans="1:17" x14ac:dyDescent="0.25">
      <c r="A488" s="3" t="s">
        <v>1733</v>
      </c>
      <c r="B488" s="4">
        <v>45746</v>
      </c>
      <c r="C488" s="3" t="s">
        <v>2022</v>
      </c>
      <c r="D488" s="3" t="s">
        <v>2042</v>
      </c>
      <c r="E488" s="3" t="s">
        <v>2053</v>
      </c>
      <c r="F488" s="3" t="s">
        <v>2059</v>
      </c>
      <c r="G488" s="3">
        <v>5</v>
      </c>
      <c r="H488" s="3">
        <v>8500</v>
      </c>
      <c r="I488" s="3">
        <v>9520</v>
      </c>
      <c r="J488" s="3">
        <v>14.42</v>
      </c>
      <c r="K488" s="3">
        <v>40735.599999999999</v>
      </c>
      <c r="L488" s="3">
        <v>-1764.4</v>
      </c>
      <c r="M488" s="3">
        <f t="shared" si="36"/>
        <v>686392</v>
      </c>
      <c r="N488" s="3">
        <f t="shared" si="37"/>
        <v>42500</v>
      </c>
      <c r="O488" s="3">
        <f t="shared" si="38"/>
        <v>-4.3313465371812372</v>
      </c>
      <c r="P488" s="3" t="str">
        <f t="shared" si="39"/>
        <v>Mar</v>
      </c>
      <c r="Q488" s="3" t="str">
        <f t="shared" si="35"/>
        <v>loss</v>
      </c>
    </row>
    <row r="489" spans="1:17" x14ac:dyDescent="0.25">
      <c r="A489" s="3" t="s">
        <v>1954</v>
      </c>
      <c r="B489" s="4">
        <v>45746</v>
      </c>
      <c r="C489" s="3" t="s">
        <v>2012</v>
      </c>
      <c r="D489" s="3" t="s">
        <v>2032</v>
      </c>
      <c r="E489" s="3" t="s">
        <v>2052</v>
      </c>
      <c r="F489" s="3" t="s">
        <v>2062</v>
      </c>
      <c r="G489" s="3">
        <v>3</v>
      </c>
      <c r="H489" s="3">
        <v>6500</v>
      </c>
      <c r="I489" s="3">
        <v>8125</v>
      </c>
      <c r="J489" s="3">
        <v>8.27</v>
      </c>
      <c r="K489" s="3">
        <v>22358.95</v>
      </c>
      <c r="L489" s="3">
        <v>2858.95</v>
      </c>
      <c r="M489" s="3">
        <f t="shared" si="36"/>
        <v>201581.25</v>
      </c>
      <c r="N489" s="3">
        <f t="shared" si="37"/>
        <v>19500</v>
      </c>
      <c r="O489" s="3">
        <f t="shared" si="38"/>
        <v>12.78660223311023</v>
      </c>
      <c r="P489" s="3" t="str">
        <f t="shared" si="39"/>
        <v>Mar</v>
      </c>
      <c r="Q489" s="3" t="str">
        <f t="shared" si="35"/>
        <v>good profit</v>
      </c>
    </row>
    <row r="490" spans="1:17" x14ac:dyDescent="0.25">
      <c r="A490" s="3" t="s">
        <v>401</v>
      </c>
      <c r="B490" s="4">
        <v>45747</v>
      </c>
      <c r="C490" s="3" t="s">
        <v>2021</v>
      </c>
      <c r="D490" s="3" t="s">
        <v>2041</v>
      </c>
      <c r="E490" s="3" t="s">
        <v>2056</v>
      </c>
      <c r="F490" s="3" t="s">
        <v>2059</v>
      </c>
      <c r="G490" s="3">
        <v>3</v>
      </c>
      <c r="H490" s="3">
        <v>300</v>
      </c>
      <c r="I490" s="3">
        <v>405</v>
      </c>
      <c r="J490" s="3">
        <v>4.55</v>
      </c>
      <c r="K490" s="3">
        <v>1159.76</v>
      </c>
      <c r="L490" s="3">
        <v>259.76</v>
      </c>
      <c r="M490" s="3">
        <f t="shared" si="36"/>
        <v>5528.25</v>
      </c>
      <c r="N490" s="3">
        <f t="shared" si="37"/>
        <v>900</v>
      </c>
      <c r="O490" s="3">
        <f t="shared" si="38"/>
        <v>22.397737462923363</v>
      </c>
      <c r="P490" s="3" t="str">
        <f t="shared" si="39"/>
        <v>Mar</v>
      </c>
      <c r="Q490" s="3" t="str">
        <f t="shared" si="35"/>
        <v>good profit</v>
      </c>
    </row>
    <row r="491" spans="1:17" x14ac:dyDescent="0.25">
      <c r="A491" s="3" t="s">
        <v>495</v>
      </c>
      <c r="B491" s="4">
        <v>45747</v>
      </c>
      <c r="C491" s="3" t="s">
        <v>2026</v>
      </c>
      <c r="D491" s="3" t="s">
        <v>2046</v>
      </c>
      <c r="E491" s="3" t="s">
        <v>2052</v>
      </c>
      <c r="F491" s="3" t="s">
        <v>2061</v>
      </c>
      <c r="G491" s="3">
        <v>5</v>
      </c>
      <c r="H491" s="3">
        <v>3000</v>
      </c>
      <c r="I491" s="3">
        <v>3600</v>
      </c>
      <c r="J491" s="3">
        <v>10.9</v>
      </c>
      <c r="K491" s="3">
        <v>16037.12</v>
      </c>
      <c r="L491" s="3">
        <v>1037.1199999999999</v>
      </c>
      <c r="M491" s="3">
        <f t="shared" si="36"/>
        <v>196200</v>
      </c>
      <c r="N491" s="3">
        <f t="shared" si="37"/>
        <v>15000</v>
      </c>
      <c r="O491" s="3">
        <f t="shared" si="38"/>
        <v>6.4669965679623269</v>
      </c>
      <c r="P491" s="3" t="str">
        <f t="shared" si="39"/>
        <v>Mar</v>
      </c>
      <c r="Q491" s="3" t="str">
        <f t="shared" si="35"/>
        <v>low profit</v>
      </c>
    </row>
    <row r="492" spans="1:17" x14ac:dyDescent="0.25">
      <c r="A492" s="3" t="s">
        <v>522</v>
      </c>
      <c r="B492" s="4">
        <v>45747</v>
      </c>
      <c r="C492" s="3" t="s">
        <v>2016</v>
      </c>
      <c r="D492" s="3" t="s">
        <v>2036</v>
      </c>
      <c r="E492" s="3" t="s">
        <v>2052</v>
      </c>
      <c r="F492" s="3" t="s">
        <v>2061</v>
      </c>
      <c r="G492" s="3">
        <v>4</v>
      </c>
      <c r="H492" s="3">
        <v>900</v>
      </c>
      <c r="I492" s="3">
        <v>1170</v>
      </c>
      <c r="J492" s="3">
        <v>9.5399999999999991</v>
      </c>
      <c r="K492" s="3">
        <v>4233.6400000000003</v>
      </c>
      <c r="L492" s="3">
        <v>633.64</v>
      </c>
      <c r="M492" s="3">
        <f t="shared" si="36"/>
        <v>44647.199999999997</v>
      </c>
      <c r="N492" s="3">
        <f t="shared" si="37"/>
        <v>3600</v>
      </c>
      <c r="O492" s="3">
        <f t="shared" si="38"/>
        <v>14.966789807352537</v>
      </c>
      <c r="P492" s="3" t="str">
        <f t="shared" si="39"/>
        <v>Mar</v>
      </c>
      <c r="Q492" s="3" t="str">
        <f t="shared" si="35"/>
        <v>good profit</v>
      </c>
    </row>
    <row r="493" spans="1:17" x14ac:dyDescent="0.25">
      <c r="A493" s="3" t="s">
        <v>954</v>
      </c>
      <c r="B493" s="4">
        <v>45747</v>
      </c>
      <c r="C493" s="3" t="s">
        <v>2018</v>
      </c>
      <c r="D493" s="3" t="s">
        <v>2038</v>
      </c>
      <c r="E493" s="3" t="s">
        <v>2053</v>
      </c>
      <c r="F493" s="3" t="s">
        <v>2061</v>
      </c>
      <c r="G493" s="3">
        <v>9</v>
      </c>
      <c r="H493" s="3">
        <v>500</v>
      </c>
      <c r="I493" s="3">
        <v>610</v>
      </c>
      <c r="J493" s="3">
        <v>5.43</v>
      </c>
      <c r="K493" s="3">
        <v>5192.0600000000004</v>
      </c>
      <c r="L493" s="3">
        <v>692.06</v>
      </c>
      <c r="M493" s="3">
        <f t="shared" si="36"/>
        <v>29810.699999999997</v>
      </c>
      <c r="N493" s="3">
        <f t="shared" si="37"/>
        <v>4500</v>
      </c>
      <c r="O493" s="3">
        <f t="shared" si="38"/>
        <v>13.329198815113843</v>
      </c>
      <c r="P493" s="3" t="str">
        <f t="shared" si="39"/>
        <v>Mar</v>
      </c>
      <c r="Q493" s="3" t="str">
        <f t="shared" si="35"/>
        <v>good profit</v>
      </c>
    </row>
    <row r="494" spans="1:17" x14ac:dyDescent="0.25">
      <c r="A494" s="3" t="s">
        <v>994</v>
      </c>
      <c r="B494" s="4">
        <v>45747</v>
      </c>
      <c r="C494" s="3" t="s">
        <v>2027</v>
      </c>
      <c r="D494" s="3" t="s">
        <v>2047</v>
      </c>
      <c r="E494" s="3" t="s">
        <v>2053</v>
      </c>
      <c r="F494" s="3" t="s">
        <v>2059</v>
      </c>
      <c r="G494" s="3">
        <v>2</v>
      </c>
      <c r="H494" s="3">
        <v>1100</v>
      </c>
      <c r="I494" s="3">
        <v>1298</v>
      </c>
      <c r="J494" s="3">
        <v>12.78</v>
      </c>
      <c r="K494" s="3">
        <v>2264.1</v>
      </c>
      <c r="L494" s="3">
        <v>64.099999999999994</v>
      </c>
      <c r="M494" s="3">
        <f t="shared" si="36"/>
        <v>33176.879999999997</v>
      </c>
      <c r="N494" s="3">
        <f t="shared" si="37"/>
        <v>2200</v>
      </c>
      <c r="O494" s="3">
        <f t="shared" si="38"/>
        <v>2.8311470341416016</v>
      </c>
      <c r="P494" s="3" t="str">
        <f t="shared" si="39"/>
        <v>Mar</v>
      </c>
      <c r="Q494" s="3" t="str">
        <f t="shared" si="35"/>
        <v>low profit</v>
      </c>
    </row>
    <row r="495" spans="1:17" x14ac:dyDescent="0.25">
      <c r="A495" s="3" t="s">
        <v>1576</v>
      </c>
      <c r="B495" s="4">
        <v>45747</v>
      </c>
      <c r="C495" s="3" t="s">
        <v>2023</v>
      </c>
      <c r="D495" s="3" t="s">
        <v>2043</v>
      </c>
      <c r="E495" s="3" t="s">
        <v>2053</v>
      </c>
      <c r="F495" s="3" t="s">
        <v>2062</v>
      </c>
      <c r="G495" s="3">
        <v>2</v>
      </c>
      <c r="H495" s="3">
        <v>550</v>
      </c>
      <c r="I495" s="3">
        <v>742.5</v>
      </c>
      <c r="J495" s="3">
        <v>6.9</v>
      </c>
      <c r="K495" s="3">
        <v>1382.56</v>
      </c>
      <c r="L495" s="3">
        <v>282.56</v>
      </c>
      <c r="M495" s="3">
        <f t="shared" si="36"/>
        <v>10246.5</v>
      </c>
      <c r="N495" s="3">
        <f t="shared" si="37"/>
        <v>1100</v>
      </c>
      <c r="O495" s="3">
        <f t="shared" si="38"/>
        <v>20.437449369285961</v>
      </c>
      <c r="P495" s="3" t="str">
        <f t="shared" si="39"/>
        <v>Mar</v>
      </c>
      <c r="Q495" s="3" t="str">
        <f t="shared" si="35"/>
        <v>good profit</v>
      </c>
    </row>
    <row r="496" spans="1:17" x14ac:dyDescent="0.25">
      <c r="A496" s="3" t="s">
        <v>1590</v>
      </c>
      <c r="B496" s="4">
        <v>45747</v>
      </c>
      <c r="C496" s="3" t="s">
        <v>2016</v>
      </c>
      <c r="D496" s="3" t="s">
        <v>2036</v>
      </c>
      <c r="E496" s="3" t="s">
        <v>2052</v>
      </c>
      <c r="F496" s="3" t="s">
        <v>2061</v>
      </c>
      <c r="G496" s="3">
        <v>6</v>
      </c>
      <c r="H496" s="3">
        <v>900</v>
      </c>
      <c r="I496" s="3">
        <v>1170</v>
      </c>
      <c r="J496" s="3">
        <v>29.89</v>
      </c>
      <c r="K496" s="3">
        <v>4921.99</v>
      </c>
      <c r="L496" s="3">
        <v>-478.01</v>
      </c>
      <c r="M496" s="3">
        <f t="shared" si="36"/>
        <v>209827.80000000002</v>
      </c>
      <c r="N496" s="3">
        <f t="shared" si="37"/>
        <v>5400</v>
      </c>
      <c r="O496" s="3">
        <f t="shared" si="38"/>
        <v>-9.7117222911871011</v>
      </c>
      <c r="P496" s="3" t="str">
        <f t="shared" si="39"/>
        <v>Mar</v>
      </c>
      <c r="Q496" s="3" t="str">
        <f t="shared" si="35"/>
        <v>loss</v>
      </c>
    </row>
    <row r="497" spans="1:17" x14ac:dyDescent="0.25">
      <c r="A497" s="3" t="s">
        <v>1664</v>
      </c>
      <c r="B497" s="4">
        <v>45747</v>
      </c>
      <c r="C497" s="3" t="s">
        <v>2017</v>
      </c>
      <c r="D497" s="3" t="s">
        <v>2037</v>
      </c>
      <c r="E497" s="3" t="s">
        <v>2055</v>
      </c>
      <c r="F497" s="3" t="s">
        <v>2061</v>
      </c>
      <c r="G497" s="3">
        <v>9</v>
      </c>
      <c r="H497" s="3">
        <v>2500</v>
      </c>
      <c r="I497" s="3">
        <v>2875</v>
      </c>
      <c r="J497" s="3">
        <v>10.69</v>
      </c>
      <c r="K497" s="3">
        <v>23109.439999999999</v>
      </c>
      <c r="L497" s="3">
        <v>609.44000000000005</v>
      </c>
      <c r="M497" s="3">
        <f t="shared" si="36"/>
        <v>276603.75</v>
      </c>
      <c r="N497" s="3">
        <f t="shared" si="37"/>
        <v>22500</v>
      </c>
      <c r="O497" s="3">
        <f t="shared" si="38"/>
        <v>2.6371906891729098</v>
      </c>
      <c r="P497" s="3" t="str">
        <f t="shared" si="39"/>
        <v>Mar</v>
      </c>
      <c r="Q497" s="3" t="str">
        <f t="shared" si="35"/>
        <v>low profit</v>
      </c>
    </row>
    <row r="498" spans="1:17" x14ac:dyDescent="0.25">
      <c r="A498" s="3" t="s">
        <v>808</v>
      </c>
      <c r="B498" s="4">
        <v>45748</v>
      </c>
      <c r="C498" s="3" t="s">
        <v>2027</v>
      </c>
      <c r="D498" s="3" t="s">
        <v>2047</v>
      </c>
      <c r="E498" s="3" t="s">
        <v>2053</v>
      </c>
      <c r="F498" s="3" t="s">
        <v>2059</v>
      </c>
      <c r="G498" s="3">
        <v>2</v>
      </c>
      <c r="H498" s="3">
        <v>1100</v>
      </c>
      <c r="I498" s="3">
        <v>1298</v>
      </c>
      <c r="J498" s="3">
        <v>14.59</v>
      </c>
      <c r="K498" s="3">
        <v>2217.1999999999998</v>
      </c>
      <c r="L498" s="3">
        <v>17.2</v>
      </c>
      <c r="M498" s="3">
        <f t="shared" si="36"/>
        <v>37875.64</v>
      </c>
      <c r="N498" s="3">
        <f t="shared" si="37"/>
        <v>2200</v>
      </c>
      <c r="O498" s="3">
        <f t="shared" si="38"/>
        <v>0.77575320223705579</v>
      </c>
      <c r="P498" s="3" t="str">
        <f t="shared" si="39"/>
        <v>Apr</v>
      </c>
      <c r="Q498" s="3" t="str">
        <f t="shared" si="35"/>
        <v>low profit</v>
      </c>
    </row>
    <row r="499" spans="1:17" x14ac:dyDescent="0.25">
      <c r="A499" s="3" t="s">
        <v>1192</v>
      </c>
      <c r="B499" s="4">
        <v>45748</v>
      </c>
      <c r="C499" s="3" t="s">
        <v>2020</v>
      </c>
      <c r="D499" s="3" t="s">
        <v>2040</v>
      </c>
      <c r="E499" s="3" t="s">
        <v>2053</v>
      </c>
      <c r="F499" s="3" t="s">
        <v>2061</v>
      </c>
      <c r="G499" s="3">
        <v>6</v>
      </c>
      <c r="H499" s="3">
        <v>350</v>
      </c>
      <c r="I499" s="3">
        <v>455</v>
      </c>
      <c r="J499" s="3">
        <v>8.4499999999999993</v>
      </c>
      <c r="K499" s="3">
        <v>2499.4499999999998</v>
      </c>
      <c r="L499" s="3">
        <v>399.45</v>
      </c>
      <c r="M499" s="3">
        <f t="shared" si="36"/>
        <v>23068.499999999996</v>
      </c>
      <c r="N499" s="3">
        <f t="shared" si="37"/>
        <v>2100</v>
      </c>
      <c r="O499" s="3">
        <f t="shared" si="38"/>
        <v>15.981515933505372</v>
      </c>
      <c r="P499" s="3" t="str">
        <f t="shared" si="39"/>
        <v>Apr</v>
      </c>
      <c r="Q499" s="3" t="str">
        <f t="shared" si="35"/>
        <v>good profit</v>
      </c>
    </row>
    <row r="500" spans="1:17" x14ac:dyDescent="0.25">
      <c r="A500" s="3" t="s">
        <v>1716</v>
      </c>
      <c r="B500" s="4">
        <v>45748</v>
      </c>
      <c r="C500" s="3" t="s">
        <v>2013</v>
      </c>
      <c r="D500" s="3" t="s">
        <v>2033</v>
      </c>
      <c r="E500" s="3" t="s">
        <v>2053</v>
      </c>
      <c r="F500" s="3" t="s">
        <v>2062</v>
      </c>
      <c r="G500" s="3">
        <v>10</v>
      </c>
      <c r="H500" s="3">
        <v>6500</v>
      </c>
      <c r="I500" s="3">
        <v>7150</v>
      </c>
      <c r="J500" s="3">
        <v>26.02</v>
      </c>
      <c r="K500" s="3">
        <v>52894.76</v>
      </c>
      <c r="L500" s="3">
        <v>-12105.24</v>
      </c>
      <c r="M500" s="3">
        <f t="shared" si="36"/>
        <v>1860430</v>
      </c>
      <c r="N500" s="3">
        <f t="shared" si="37"/>
        <v>65000</v>
      </c>
      <c r="O500" s="3">
        <f t="shared" si="38"/>
        <v>-22.885518338678537</v>
      </c>
      <c r="P500" s="3" t="str">
        <f t="shared" si="39"/>
        <v>Apr</v>
      </c>
      <c r="Q500" s="3" t="str">
        <f t="shared" si="35"/>
        <v>loss</v>
      </c>
    </row>
    <row r="501" spans="1:17" x14ac:dyDescent="0.25">
      <c r="A501" s="3" t="s">
        <v>1744</v>
      </c>
      <c r="B501" s="4">
        <v>45748</v>
      </c>
      <c r="C501" s="3" t="s">
        <v>2022</v>
      </c>
      <c r="D501" s="3" t="s">
        <v>2042</v>
      </c>
      <c r="E501" s="3" t="s">
        <v>2053</v>
      </c>
      <c r="F501" s="3" t="s">
        <v>2061</v>
      </c>
      <c r="G501" s="3">
        <v>1</v>
      </c>
      <c r="H501" s="3">
        <v>8500</v>
      </c>
      <c r="I501" s="3">
        <v>9520</v>
      </c>
      <c r="J501" s="3">
        <v>10.55</v>
      </c>
      <c r="K501" s="3">
        <v>8515.9</v>
      </c>
      <c r="L501" s="3">
        <v>15.9</v>
      </c>
      <c r="M501" s="3">
        <f t="shared" si="36"/>
        <v>100436</v>
      </c>
      <c r="N501" s="3">
        <f t="shared" si="37"/>
        <v>8500</v>
      </c>
      <c r="O501" s="3">
        <f t="shared" si="38"/>
        <v>0.18670956681031955</v>
      </c>
      <c r="P501" s="3" t="str">
        <f t="shared" si="39"/>
        <v>Apr</v>
      </c>
      <c r="Q501" s="3" t="str">
        <f t="shared" si="35"/>
        <v>low profit</v>
      </c>
    </row>
    <row r="502" spans="1:17" x14ac:dyDescent="0.25">
      <c r="A502" s="3" t="s">
        <v>1753</v>
      </c>
      <c r="B502" s="4">
        <v>45748</v>
      </c>
      <c r="C502" s="3" t="s">
        <v>2013</v>
      </c>
      <c r="D502" s="3" t="s">
        <v>2033</v>
      </c>
      <c r="E502" s="3" t="s">
        <v>2053</v>
      </c>
      <c r="F502" s="3" t="s">
        <v>2060</v>
      </c>
      <c r="G502" s="3">
        <v>3</v>
      </c>
      <c r="H502" s="3">
        <v>6500</v>
      </c>
      <c r="I502" s="3">
        <v>7150</v>
      </c>
      <c r="J502" s="3">
        <v>13.07</v>
      </c>
      <c r="K502" s="3">
        <v>18646.240000000002</v>
      </c>
      <c r="L502" s="3">
        <v>-853.76</v>
      </c>
      <c r="M502" s="3">
        <f t="shared" si="36"/>
        <v>280351.5</v>
      </c>
      <c r="N502" s="3">
        <f t="shared" si="37"/>
        <v>19500</v>
      </c>
      <c r="O502" s="3">
        <f t="shared" si="38"/>
        <v>-4.5787247187636746</v>
      </c>
      <c r="P502" s="3" t="str">
        <f t="shared" si="39"/>
        <v>Apr</v>
      </c>
      <c r="Q502" s="3" t="str">
        <f t="shared" si="35"/>
        <v>loss</v>
      </c>
    </row>
    <row r="503" spans="1:17" x14ac:dyDescent="0.25">
      <c r="A503" s="3" t="s">
        <v>125</v>
      </c>
      <c r="B503" s="4">
        <v>45749</v>
      </c>
      <c r="C503" s="3" t="s">
        <v>2012</v>
      </c>
      <c r="D503" s="3" t="s">
        <v>2032</v>
      </c>
      <c r="E503" s="3" t="s">
        <v>2052</v>
      </c>
      <c r="F503" s="3" t="s">
        <v>2061</v>
      </c>
      <c r="G503" s="3">
        <v>1</v>
      </c>
      <c r="H503" s="3">
        <v>6500</v>
      </c>
      <c r="I503" s="3">
        <v>8125</v>
      </c>
      <c r="J503" s="3">
        <v>8.23</v>
      </c>
      <c r="K503" s="3">
        <v>7456.3</v>
      </c>
      <c r="L503" s="3">
        <v>956.3</v>
      </c>
      <c r="M503" s="3">
        <f t="shared" si="36"/>
        <v>66868.75</v>
      </c>
      <c r="N503" s="3">
        <f t="shared" si="37"/>
        <v>6500</v>
      </c>
      <c r="O503" s="3">
        <f t="shared" si="38"/>
        <v>12.825395973874439</v>
      </c>
      <c r="P503" s="3" t="str">
        <f t="shared" si="39"/>
        <v>Apr</v>
      </c>
      <c r="Q503" s="3" t="str">
        <f t="shared" si="35"/>
        <v>good profit</v>
      </c>
    </row>
    <row r="504" spans="1:17" x14ac:dyDescent="0.25">
      <c r="A504" s="3" t="s">
        <v>178</v>
      </c>
      <c r="B504" s="4">
        <v>45749</v>
      </c>
      <c r="C504" s="3" t="s">
        <v>2019</v>
      </c>
      <c r="D504" s="3" t="s">
        <v>2039</v>
      </c>
      <c r="E504" s="3" t="s">
        <v>2053</v>
      </c>
      <c r="F504" s="3" t="s">
        <v>2062</v>
      </c>
      <c r="G504" s="3">
        <v>6</v>
      </c>
      <c r="H504" s="3">
        <v>900</v>
      </c>
      <c r="I504" s="3">
        <v>1152</v>
      </c>
      <c r="J504" s="3">
        <v>7.77</v>
      </c>
      <c r="K504" s="3">
        <v>6374.96</v>
      </c>
      <c r="L504" s="3">
        <v>974.96</v>
      </c>
      <c r="M504" s="3">
        <f t="shared" si="36"/>
        <v>53706.239999999998</v>
      </c>
      <c r="N504" s="3">
        <f t="shared" si="37"/>
        <v>5400</v>
      </c>
      <c r="O504" s="3">
        <f t="shared" si="38"/>
        <v>15.293586155834705</v>
      </c>
      <c r="P504" s="3" t="str">
        <f t="shared" si="39"/>
        <v>Apr</v>
      </c>
      <c r="Q504" s="3" t="str">
        <f t="shared" si="35"/>
        <v>good profit</v>
      </c>
    </row>
    <row r="505" spans="1:17" x14ac:dyDescent="0.25">
      <c r="A505" s="3" t="s">
        <v>652</v>
      </c>
      <c r="B505" s="4">
        <v>45749</v>
      </c>
      <c r="C505" s="3" t="s">
        <v>2016</v>
      </c>
      <c r="D505" s="3" t="s">
        <v>2036</v>
      </c>
      <c r="E505" s="3" t="s">
        <v>2052</v>
      </c>
      <c r="F505" s="3" t="s">
        <v>2062</v>
      </c>
      <c r="G505" s="3">
        <v>1</v>
      </c>
      <c r="H505" s="3">
        <v>900</v>
      </c>
      <c r="I505" s="3">
        <v>1170</v>
      </c>
      <c r="J505" s="3">
        <v>0</v>
      </c>
      <c r="K505" s="3">
        <v>1170</v>
      </c>
      <c r="L505" s="3">
        <v>270</v>
      </c>
      <c r="M505" s="3">
        <f t="shared" si="36"/>
        <v>0</v>
      </c>
      <c r="N505" s="3">
        <f t="shared" si="37"/>
        <v>900</v>
      </c>
      <c r="O505" s="3">
        <f t="shared" si="38"/>
        <v>23.076923076923077</v>
      </c>
      <c r="P505" s="3" t="str">
        <f t="shared" si="39"/>
        <v>Apr</v>
      </c>
      <c r="Q505" s="3" t="str">
        <f t="shared" si="35"/>
        <v>good profit</v>
      </c>
    </row>
    <row r="506" spans="1:17" x14ac:dyDescent="0.25">
      <c r="A506" s="3" t="s">
        <v>1166</v>
      </c>
      <c r="B506" s="4">
        <v>45749</v>
      </c>
      <c r="C506" s="3" t="s">
        <v>2023</v>
      </c>
      <c r="D506" s="3" t="s">
        <v>2043</v>
      </c>
      <c r="E506" s="3" t="s">
        <v>2053</v>
      </c>
      <c r="F506" s="3" t="s">
        <v>2059</v>
      </c>
      <c r="G506" s="3">
        <v>5</v>
      </c>
      <c r="H506" s="3">
        <v>550</v>
      </c>
      <c r="I506" s="3">
        <v>742.5</v>
      </c>
      <c r="J506" s="3">
        <v>13.63</v>
      </c>
      <c r="K506" s="3">
        <v>3206.36</v>
      </c>
      <c r="L506" s="3">
        <v>456.36</v>
      </c>
      <c r="M506" s="3">
        <f t="shared" si="36"/>
        <v>50601.375</v>
      </c>
      <c r="N506" s="3">
        <f t="shared" si="37"/>
        <v>2750</v>
      </c>
      <c r="O506" s="3">
        <f t="shared" si="38"/>
        <v>14.232961988048753</v>
      </c>
      <c r="P506" s="3" t="str">
        <f t="shared" si="39"/>
        <v>Apr</v>
      </c>
      <c r="Q506" s="3" t="str">
        <f t="shared" si="35"/>
        <v>good profit</v>
      </c>
    </row>
    <row r="507" spans="1:17" x14ac:dyDescent="0.25">
      <c r="A507" s="3" t="s">
        <v>1231</v>
      </c>
      <c r="B507" s="4">
        <v>45749</v>
      </c>
      <c r="C507" s="3" t="s">
        <v>2029</v>
      </c>
      <c r="D507" s="3" t="s">
        <v>2049</v>
      </c>
      <c r="E507" s="3" t="s">
        <v>2055</v>
      </c>
      <c r="F507" s="3" t="s">
        <v>2060</v>
      </c>
      <c r="G507" s="3">
        <v>1</v>
      </c>
      <c r="H507" s="3">
        <v>1200</v>
      </c>
      <c r="I507" s="3">
        <v>1464</v>
      </c>
      <c r="J507" s="3">
        <v>3.83</v>
      </c>
      <c r="K507" s="3">
        <v>1407.97</v>
      </c>
      <c r="L507" s="3">
        <v>207.97</v>
      </c>
      <c r="M507" s="3">
        <f t="shared" si="36"/>
        <v>5607.12</v>
      </c>
      <c r="N507" s="3">
        <f t="shared" si="37"/>
        <v>1200</v>
      </c>
      <c r="O507" s="3">
        <f t="shared" si="38"/>
        <v>14.770911312030796</v>
      </c>
      <c r="P507" s="3" t="str">
        <f t="shared" si="39"/>
        <v>Apr</v>
      </c>
      <c r="Q507" s="3" t="str">
        <f t="shared" si="35"/>
        <v>good profit</v>
      </c>
    </row>
    <row r="508" spans="1:17" x14ac:dyDescent="0.25">
      <c r="A508" s="3" t="s">
        <v>1530</v>
      </c>
      <c r="B508" s="4">
        <v>45749</v>
      </c>
      <c r="C508" s="3" t="s">
        <v>2014</v>
      </c>
      <c r="D508" s="3" t="s">
        <v>2034</v>
      </c>
      <c r="E508" s="3" t="s">
        <v>2052</v>
      </c>
      <c r="F508" s="3" t="s">
        <v>2059</v>
      </c>
      <c r="G508" s="3">
        <v>10</v>
      </c>
      <c r="H508" s="3">
        <v>4500</v>
      </c>
      <c r="I508" s="3">
        <v>5220</v>
      </c>
      <c r="J508" s="3">
        <v>15.2</v>
      </c>
      <c r="K508" s="3">
        <v>44264.98</v>
      </c>
      <c r="L508" s="3">
        <v>-735.02</v>
      </c>
      <c r="M508" s="3">
        <f t="shared" si="36"/>
        <v>793440</v>
      </c>
      <c r="N508" s="3">
        <f t="shared" si="37"/>
        <v>45000</v>
      </c>
      <c r="O508" s="3">
        <f t="shared" si="38"/>
        <v>-1.6605000160397676</v>
      </c>
      <c r="P508" s="3" t="str">
        <f t="shared" si="39"/>
        <v>Apr</v>
      </c>
      <c r="Q508" s="3" t="str">
        <f t="shared" si="35"/>
        <v>loss</v>
      </c>
    </row>
    <row r="509" spans="1:17" x14ac:dyDescent="0.25">
      <c r="A509" s="3" t="s">
        <v>902</v>
      </c>
      <c r="B509" s="4">
        <v>45750</v>
      </c>
      <c r="C509" s="3" t="s">
        <v>2014</v>
      </c>
      <c r="D509" s="3" t="s">
        <v>2034</v>
      </c>
      <c r="E509" s="3" t="s">
        <v>2052</v>
      </c>
      <c r="F509" s="3" t="s">
        <v>2061</v>
      </c>
      <c r="G509" s="3">
        <v>1</v>
      </c>
      <c r="H509" s="3">
        <v>4500</v>
      </c>
      <c r="I509" s="3">
        <v>5220</v>
      </c>
      <c r="J509" s="3">
        <v>17.32</v>
      </c>
      <c r="K509" s="3">
        <v>4315.7</v>
      </c>
      <c r="L509" s="3">
        <v>-184.3</v>
      </c>
      <c r="M509" s="3">
        <f t="shared" si="36"/>
        <v>90410.400000000009</v>
      </c>
      <c r="N509" s="3">
        <f t="shared" si="37"/>
        <v>4500</v>
      </c>
      <c r="O509" s="3">
        <f t="shared" si="38"/>
        <v>-4.2704543874690089</v>
      </c>
      <c r="P509" s="3" t="str">
        <f t="shared" si="39"/>
        <v>Apr</v>
      </c>
      <c r="Q509" s="3" t="str">
        <f t="shared" si="35"/>
        <v>loss</v>
      </c>
    </row>
    <row r="510" spans="1:17" x14ac:dyDescent="0.25">
      <c r="A510" s="3" t="s">
        <v>936</v>
      </c>
      <c r="B510" s="4">
        <v>45750</v>
      </c>
      <c r="C510" s="3" t="s">
        <v>2025</v>
      </c>
      <c r="D510" s="3" t="s">
        <v>2045</v>
      </c>
      <c r="E510" s="3" t="s">
        <v>2057</v>
      </c>
      <c r="F510" s="3" t="s">
        <v>2062</v>
      </c>
      <c r="G510" s="3">
        <v>6</v>
      </c>
      <c r="H510" s="3">
        <v>45</v>
      </c>
      <c r="I510" s="3">
        <v>63</v>
      </c>
      <c r="J510" s="3">
        <v>11.08</v>
      </c>
      <c r="K510" s="3">
        <v>336.13</v>
      </c>
      <c r="L510" s="3">
        <v>66.13</v>
      </c>
      <c r="M510" s="3">
        <f t="shared" si="36"/>
        <v>4188.24</v>
      </c>
      <c r="N510" s="3">
        <f t="shared" si="37"/>
        <v>270</v>
      </c>
      <c r="O510" s="3">
        <f t="shared" si="38"/>
        <v>19.673935679647755</v>
      </c>
      <c r="P510" s="3" t="str">
        <f t="shared" si="39"/>
        <v>Apr</v>
      </c>
      <c r="Q510" s="3" t="str">
        <f t="shared" si="35"/>
        <v>good profit</v>
      </c>
    </row>
    <row r="511" spans="1:17" x14ac:dyDescent="0.25">
      <c r="A511" s="3" t="s">
        <v>1040</v>
      </c>
      <c r="B511" s="4">
        <v>45750</v>
      </c>
      <c r="C511" s="3" t="s">
        <v>2024</v>
      </c>
      <c r="D511" s="3" t="s">
        <v>2044</v>
      </c>
      <c r="E511" s="3" t="s">
        <v>2055</v>
      </c>
      <c r="F511" s="3" t="s">
        <v>2061</v>
      </c>
      <c r="G511" s="3">
        <v>10</v>
      </c>
      <c r="H511" s="3">
        <v>180</v>
      </c>
      <c r="I511" s="3">
        <v>243</v>
      </c>
      <c r="J511" s="3">
        <v>5.47</v>
      </c>
      <c r="K511" s="3">
        <v>2297.19</v>
      </c>
      <c r="L511" s="3">
        <v>497.19</v>
      </c>
      <c r="M511" s="3">
        <f t="shared" si="36"/>
        <v>13292.099999999999</v>
      </c>
      <c r="N511" s="3">
        <f t="shared" si="37"/>
        <v>1800</v>
      </c>
      <c r="O511" s="3">
        <f t="shared" si="38"/>
        <v>21.643399109346635</v>
      </c>
      <c r="P511" s="3" t="str">
        <f t="shared" si="39"/>
        <v>Apr</v>
      </c>
      <c r="Q511" s="3" t="str">
        <f t="shared" si="35"/>
        <v>good profit</v>
      </c>
    </row>
    <row r="512" spans="1:17" x14ac:dyDescent="0.25">
      <c r="A512" s="3" t="s">
        <v>1641</v>
      </c>
      <c r="B512" s="4">
        <v>45750</v>
      </c>
      <c r="C512" s="3" t="s">
        <v>2023</v>
      </c>
      <c r="D512" s="3" t="s">
        <v>2043</v>
      </c>
      <c r="E512" s="3" t="s">
        <v>2053</v>
      </c>
      <c r="F512" s="3" t="s">
        <v>2060</v>
      </c>
      <c r="G512" s="3">
        <v>6</v>
      </c>
      <c r="H512" s="3">
        <v>550</v>
      </c>
      <c r="I512" s="3">
        <v>742.5</v>
      </c>
      <c r="J512" s="3">
        <v>18.38</v>
      </c>
      <c r="K512" s="3">
        <v>3636.16</v>
      </c>
      <c r="L512" s="3">
        <v>336.16</v>
      </c>
      <c r="M512" s="3">
        <f t="shared" si="36"/>
        <v>81882.899999999994</v>
      </c>
      <c r="N512" s="3">
        <f t="shared" si="37"/>
        <v>3300</v>
      </c>
      <c r="O512" s="3">
        <f t="shared" si="38"/>
        <v>9.244917715392063</v>
      </c>
      <c r="P512" s="3" t="str">
        <f t="shared" si="39"/>
        <v>Apr</v>
      </c>
      <c r="Q512" s="3" t="str">
        <f t="shared" si="35"/>
        <v>low profit</v>
      </c>
    </row>
    <row r="513" spans="1:17" x14ac:dyDescent="0.25">
      <c r="A513" s="3" t="s">
        <v>1700</v>
      </c>
      <c r="B513" s="4">
        <v>45750</v>
      </c>
      <c r="C513" s="3" t="s">
        <v>2016</v>
      </c>
      <c r="D513" s="3" t="s">
        <v>2036</v>
      </c>
      <c r="E513" s="3" t="s">
        <v>2052</v>
      </c>
      <c r="F513" s="3" t="s">
        <v>2059</v>
      </c>
      <c r="G513" s="3">
        <v>9</v>
      </c>
      <c r="H513" s="3">
        <v>900</v>
      </c>
      <c r="I513" s="3">
        <v>1170</v>
      </c>
      <c r="J513" s="3">
        <v>13.75</v>
      </c>
      <c r="K513" s="3">
        <v>9081.73</v>
      </c>
      <c r="L513" s="3">
        <v>981.73</v>
      </c>
      <c r="M513" s="3">
        <f t="shared" si="36"/>
        <v>144787.5</v>
      </c>
      <c r="N513" s="3">
        <f t="shared" si="37"/>
        <v>8100</v>
      </c>
      <c r="O513" s="3">
        <f t="shared" si="38"/>
        <v>10.809944801265839</v>
      </c>
      <c r="P513" s="3" t="str">
        <f t="shared" si="39"/>
        <v>Apr</v>
      </c>
      <c r="Q513" s="3" t="str">
        <f t="shared" si="35"/>
        <v>good profit</v>
      </c>
    </row>
    <row r="514" spans="1:17" x14ac:dyDescent="0.25">
      <c r="A514" s="3" t="s">
        <v>1734</v>
      </c>
      <c r="B514" s="4">
        <v>45750</v>
      </c>
      <c r="C514" s="3" t="s">
        <v>2021</v>
      </c>
      <c r="D514" s="3" t="s">
        <v>2041</v>
      </c>
      <c r="E514" s="3" t="s">
        <v>2056</v>
      </c>
      <c r="F514" s="3" t="s">
        <v>2061</v>
      </c>
      <c r="G514" s="3">
        <v>9</v>
      </c>
      <c r="H514" s="3">
        <v>300</v>
      </c>
      <c r="I514" s="3">
        <v>405</v>
      </c>
      <c r="J514" s="3">
        <v>1.05</v>
      </c>
      <c r="K514" s="3">
        <v>3606.88</v>
      </c>
      <c r="L514" s="3">
        <v>906.88</v>
      </c>
      <c r="M514" s="3">
        <f t="shared" si="36"/>
        <v>3827.25</v>
      </c>
      <c r="N514" s="3">
        <f t="shared" si="37"/>
        <v>2700</v>
      </c>
      <c r="O514" s="3">
        <f t="shared" si="38"/>
        <v>25.143059929911722</v>
      </c>
      <c r="P514" s="3" t="str">
        <f t="shared" si="39"/>
        <v>Apr</v>
      </c>
      <c r="Q514" s="3" t="str">
        <f t="shared" ref="Q514:Q577" si="40">IF(L514&lt;0,"loss",IF(O514&lt;10,"low profit","good profit"))</f>
        <v>good profit</v>
      </c>
    </row>
    <row r="515" spans="1:17" x14ac:dyDescent="0.25">
      <c r="A515" s="3" t="s">
        <v>1437</v>
      </c>
      <c r="B515" s="4">
        <v>45751</v>
      </c>
      <c r="C515" s="3" t="s">
        <v>2016</v>
      </c>
      <c r="D515" s="3" t="s">
        <v>2036</v>
      </c>
      <c r="E515" s="3" t="s">
        <v>2052</v>
      </c>
      <c r="F515" s="3" t="s">
        <v>2061</v>
      </c>
      <c r="G515" s="3">
        <v>8</v>
      </c>
      <c r="H515" s="3">
        <v>900</v>
      </c>
      <c r="I515" s="3">
        <v>1170</v>
      </c>
      <c r="J515" s="3">
        <v>15.52</v>
      </c>
      <c r="K515" s="3">
        <v>7907.61</v>
      </c>
      <c r="L515" s="3">
        <v>707.61</v>
      </c>
      <c r="M515" s="3">
        <f t="shared" ref="M515:M578" si="41">G515*I515*J515</f>
        <v>145267.19999999998</v>
      </c>
      <c r="N515" s="3">
        <f t="shared" ref="N515:N578" si="42">G515*H515</f>
        <v>7200</v>
      </c>
      <c r="O515" s="3">
        <f t="shared" ref="O515:O578" si="43">IFERROR(L515/K515*100,0)</f>
        <v>8.9484686270567213</v>
      </c>
      <c r="P515" s="3" t="str">
        <f t="shared" ref="P515:P578" si="44">TEXT(B515,"mmm")</f>
        <v>Apr</v>
      </c>
      <c r="Q515" s="3" t="str">
        <f t="shared" si="40"/>
        <v>low profit</v>
      </c>
    </row>
    <row r="516" spans="1:17" x14ac:dyDescent="0.25">
      <c r="A516" s="3" t="s">
        <v>1691</v>
      </c>
      <c r="B516" s="4">
        <v>45751</v>
      </c>
      <c r="C516" s="3" t="s">
        <v>2020</v>
      </c>
      <c r="D516" s="3" t="s">
        <v>2040</v>
      </c>
      <c r="E516" s="3" t="s">
        <v>2053</v>
      </c>
      <c r="F516" s="3" t="s">
        <v>2062</v>
      </c>
      <c r="G516" s="3">
        <v>9</v>
      </c>
      <c r="H516" s="3">
        <v>350</v>
      </c>
      <c r="I516" s="3">
        <v>455</v>
      </c>
      <c r="J516" s="3">
        <v>18.829999999999998</v>
      </c>
      <c r="K516" s="3">
        <v>3324.03</v>
      </c>
      <c r="L516" s="3">
        <v>174.03</v>
      </c>
      <c r="M516" s="3">
        <f t="shared" si="41"/>
        <v>77108.849999999991</v>
      </c>
      <c r="N516" s="3">
        <f t="shared" si="42"/>
        <v>3150</v>
      </c>
      <c r="O516" s="3">
        <f t="shared" si="43"/>
        <v>5.235512314870804</v>
      </c>
      <c r="P516" s="3" t="str">
        <f t="shared" si="44"/>
        <v>Apr</v>
      </c>
      <c r="Q516" s="3" t="str">
        <f t="shared" si="40"/>
        <v>low profit</v>
      </c>
    </row>
    <row r="517" spans="1:17" x14ac:dyDescent="0.25">
      <c r="A517" s="3" t="s">
        <v>1739</v>
      </c>
      <c r="B517" s="4">
        <v>45751</v>
      </c>
      <c r="C517" s="3" t="s">
        <v>2028</v>
      </c>
      <c r="D517" s="3" t="s">
        <v>2048</v>
      </c>
      <c r="E517" s="3" t="s">
        <v>2057</v>
      </c>
      <c r="F517" s="3" t="s">
        <v>2060</v>
      </c>
      <c r="G517" s="3">
        <v>3</v>
      </c>
      <c r="H517" s="3">
        <v>80</v>
      </c>
      <c r="I517" s="3">
        <v>116</v>
      </c>
      <c r="J517" s="3">
        <v>5.62</v>
      </c>
      <c r="K517" s="3">
        <v>328.44</v>
      </c>
      <c r="L517" s="3">
        <v>88.44</v>
      </c>
      <c r="M517" s="3">
        <f t="shared" si="41"/>
        <v>1955.76</v>
      </c>
      <c r="N517" s="3">
        <f t="shared" si="42"/>
        <v>240</v>
      </c>
      <c r="O517" s="3">
        <f t="shared" si="43"/>
        <v>26.927292656192915</v>
      </c>
      <c r="P517" s="3" t="str">
        <f t="shared" si="44"/>
        <v>Apr</v>
      </c>
      <c r="Q517" s="3" t="str">
        <f t="shared" si="40"/>
        <v>good profit</v>
      </c>
    </row>
    <row r="518" spans="1:17" x14ac:dyDescent="0.25">
      <c r="A518" s="3" t="s">
        <v>107</v>
      </c>
      <c r="B518" s="4">
        <v>45752</v>
      </c>
      <c r="C518" s="3" t="s">
        <v>2021</v>
      </c>
      <c r="D518" s="3" t="s">
        <v>2041</v>
      </c>
      <c r="E518" s="3" t="s">
        <v>2056</v>
      </c>
      <c r="F518" s="3" t="s">
        <v>2060</v>
      </c>
      <c r="G518" s="3">
        <v>9</v>
      </c>
      <c r="H518" s="3">
        <v>300</v>
      </c>
      <c r="I518" s="3">
        <v>405</v>
      </c>
      <c r="J518" s="3">
        <v>10.01</v>
      </c>
      <c r="K518" s="3">
        <v>3280.06</v>
      </c>
      <c r="L518" s="3">
        <v>580.05999999999995</v>
      </c>
      <c r="M518" s="3">
        <f t="shared" si="41"/>
        <v>36486.449999999997</v>
      </c>
      <c r="N518" s="3">
        <f t="shared" si="42"/>
        <v>2700</v>
      </c>
      <c r="O518" s="3">
        <f t="shared" si="43"/>
        <v>17.684432601842648</v>
      </c>
      <c r="P518" s="3" t="str">
        <f t="shared" si="44"/>
        <v>Apr</v>
      </c>
      <c r="Q518" s="3" t="str">
        <f t="shared" si="40"/>
        <v>good profit</v>
      </c>
    </row>
    <row r="519" spans="1:17" x14ac:dyDescent="0.25">
      <c r="A519" s="3" t="s">
        <v>358</v>
      </c>
      <c r="B519" s="4">
        <v>45752</v>
      </c>
      <c r="C519" s="3" t="s">
        <v>2027</v>
      </c>
      <c r="D519" s="3" t="s">
        <v>2047</v>
      </c>
      <c r="E519" s="3" t="s">
        <v>2053</v>
      </c>
      <c r="F519" s="3" t="s">
        <v>2059</v>
      </c>
      <c r="G519" s="3">
        <v>2</v>
      </c>
      <c r="H519" s="3">
        <v>1100</v>
      </c>
      <c r="I519" s="3">
        <v>1298</v>
      </c>
      <c r="J519" s="3">
        <v>19.03</v>
      </c>
      <c r="K519" s="3">
        <v>2101.94</v>
      </c>
      <c r="L519" s="3">
        <v>-98.06</v>
      </c>
      <c r="M519" s="3">
        <f t="shared" si="41"/>
        <v>49401.880000000005</v>
      </c>
      <c r="N519" s="3">
        <f t="shared" si="42"/>
        <v>2200</v>
      </c>
      <c r="O519" s="3">
        <f t="shared" si="43"/>
        <v>-4.6652140403627129</v>
      </c>
      <c r="P519" s="3" t="str">
        <f t="shared" si="44"/>
        <v>Apr</v>
      </c>
      <c r="Q519" s="3" t="str">
        <f t="shared" si="40"/>
        <v>loss</v>
      </c>
    </row>
    <row r="520" spans="1:17" x14ac:dyDescent="0.25">
      <c r="A520" s="3" t="s">
        <v>1956</v>
      </c>
      <c r="B520" s="4">
        <v>45752</v>
      </c>
      <c r="C520" s="3" t="s">
        <v>2025</v>
      </c>
      <c r="D520" s="3" t="s">
        <v>2045</v>
      </c>
      <c r="E520" s="3" t="s">
        <v>2057</v>
      </c>
      <c r="F520" s="3" t="s">
        <v>2059</v>
      </c>
      <c r="G520" s="3">
        <v>6</v>
      </c>
      <c r="H520" s="3">
        <v>45</v>
      </c>
      <c r="I520" s="3">
        <v>63</v>
      </c>
      <c r="J520" s="3">
        <v>17.329999999999998</v>
      </c>
      <c r="K520" s="3">
        <v>312.5</v>
      </c>
      <c r="L520" s="3">
        <v>42.5</v>
      </c>
      <c r="M520" s="3">
        <f t="shared" si="41"/>
        <v>6550.74</v>
      </c>
      <c r="N520" s="3">
        <f t="shared" si="42"/>
        <v>270</v>
      </c>
      <c r="O520" s="3">
        <f t="shared" si="43"/>
        <v>13.600000000000001</v>
      </c>
      <c r="P520" s="3" t="str">
        <f t="shared" si="44"/>
        <v>Apr</v>
      </c>
      <c r="Q520" s="3" t="str">
        <f t="shared" si="40"/>
        <v>good profit</v>
      </c>
    </row>
    <row r="521" spans="1:17" x14ac:dyDescent="0.25">
      <c r="A521" s="3" t="s">
        <v>124</v>
      </c>
      <c r="B521" s="4">
        <v>45753</v>
      </c>
      <c r="C521" s="3" t="s">
        <v>2030</v>
      </c>
      <c r="D521" s="3" t="s">
        <v>2050</v>
      </c>
      <c r="E521" s="3" t="s">
        <v>2058</v>
      </c>
      <c r="F521" s="3" t="s">
        <v>2062</v>
      </c>
      <c r="G521" s="3">
        <v>10</v>
      </c>
      <c r="H521" s="3">
        <v>1800</v>
      </c>
      <c r="I521" s="3">
        <v>2124</v>
      </c>
      <c r="J521" s="3">
        <v>9.24</v>
      </c>
      <c r="K521" s="3">
        <v>19276.39</v>
      </c>
      <c r="L521" s="3">
        <v>1276.3900000000001</v>
      </c>
      <c r="M521" s="3">
        <f t="shared" si="41"/>
        <v>196257.6</v>
      </c>
      <c r="N521" s="3">
        <f t="shared" si="42"/>
        <v>18000</v>
      </c>
      <c r="O521" s="3">
        <f t="shared" si="43"/>
        <v>6.6215199007698029</v>
      </c>
      <c r="P521" s="3" t="str">
        <f t="shared" si="44"/>
        <v>Apr</v>
      </c>
      <c r="Q521" s="3" t="str">
        <f t="shared" si="40"/>
        <v>low profit</v>
      </c>
    </row>
    <row r="522" spans="1:17" x14ac:dyDescent="0.25">
      <c r="A522" s="3" t="s">
        <v>1392</v>
      </c>
      <c r="B522" s="4">
        <v>45753</v>
      </c>
      <c r="C522" s="3" t="s">
        <v>2016</v>
      </c>
      <c r="D522" s="3" t="s">
        <v>2036</v>
      </c>
      <c r="E522" s="3" t="s">
        <v>2052</v>
      </c>
      <c r="F522" s="3" t="s">
        <v>2061</v>
      </c>
      <c r="G522" s="3">
        <v>4</v>
      </c>
      <c r="H522" s="3">
        <v>900</v>
      </c>
      <c r="I522" s="3">
        <v>1170</v>
      </c>
      <c r="J522" s="3">
        <v>11.33</v>
      </c>
      <c r="K522" s="3">
        <v>4149.62</v>
      </c>
      <c r="L522" s="3">
        <v>549.62</v>
      </c>
      <c r="M522" s="3">
        <f t="shared" si="41"/>
        <v>53024.4</v>
      </c>
      <c r="N522" s="3">
        <f t="shared" si="42"/>
        <v>3600</v>
      </c>
      <c r="O522" s="3">
        <f t="shared" si="43"/>
        <v>13.245068223114407</v>
      </c>
      <c r="P522" s="3" t="str">
        <f t="shared" si="44"/>
        <v>Apr</v>
      </c>
      <c r="Q522" s="3" t="str">
        <f t="shared" si="40"/>
        <v>good profit</v>
      </c>
    </row>
    <row r="523" spans="1:17" x14ac:dyDescent="0.25">
      <c r="A523" s="3" t="s">
        <v>1581</v>
      </c>
      <c r="B523" s="4">
        <v>45753</v>
      </c>
      <c r="C523" s="3" t="s">
        <v>2022</v>
      </c>
      <c r="D523" s="3" t="s">
        <v>2042</v>
      </c>
      <c r="E523" s="3" t="s">
        <v>2053</v>
      </c>
      <c r="F523" s="3" t="s">
        <v>2061</v>
      </c>
      <c r="G523" s="3">
        <v>10</v>
      </c>
      <c r="H523" s="3">
        <v>8500</v>
      </c>
      <c r="I523" s="3">
        <v>9520</v>
      </c>
      <c r="J523" s="3">
        <v>10.73</v>
      </c>
      <c r="K523" s="3">
        <v>84983.7</v>
      </c>
      <c r="L523" s="3">
        <v>-16.3</v>
      </c>
      <c r="M523" s="3">
        <f t="shared" si="41"/>
        <v>1021496</v>
      </c>
      <c r="N523" s="3">
        <f t="shared" si="42"/>
        <v>85000</v>
      </c>
      <c r="O523" s="3">
        <f t="shared" si="43"/>
        <v>-1.918014866380259E-2</v>
      </c>
      <c r="P523" s="3" t="str">
        <f t="shared" si="44"/>
        <v>Apr</v>
      </c>
      <c r="Q523" s="3" t="str">
        <f t="shared" si="40"/>
        <v>loss</v>
      </c>
    </row>
    <row r="524" spans="1:17" x14ac:dyDescent="0.25">
      <c r="A524" s="3" t="s">
        <v>1898</v>
      </c>
      <c r="B524" s="4">
        <v>45753</v>
      </c>
      <c r="C524" s="3" t="s">
        <v>2024</v>
      </c>
      <c r="D524" s="3" t="s">
        <v>2044</v>
      </c>
      <c r="E524" s="3" t="s">
        <v>2055</v>
      </c>
      <c r="F524" s="3" t="s">
        <v>2059</v>
      </c>
      <c r="G524" s="3">
        <v>6</v>
      </c>
      <c r="H524" s="3">
        <v>180</v>
      </c>
      <c r="I524" s="3">
        <v>243</v>
      </c>
      <c r="J524" s="3">
        <v>10.99</v>
      </c>
      <c r="K524" s="3">
        <v>1297.78</v>
      </c>
      <c r="L524" s="3">
        <v>217.78</v>
      </c>
      <c r="M524" s="3">
        <f t="shared" si="41"/>
        <v>16023.42</v>
      </c>
      <c r="N524" s="3">
        <f t="shared" si="42"/>
        <v>1080</v>
      </c>
      <c r="O524" s="3">
        <f t="shared" si="43"/>
        <v>16.78096441615682</v>
      </c>
      <c r="P524" s="3" t="str">
        <f t="shared" si="44"/>
        <v>Apr</v>
      </c>
      <c r="Q524" s="3" t="str">
        <f t="shared" si="40"/>
        <v>good profit</v>
      </c>
    </row>
    <row r="525" spans="1:17" x14ac:dyDescent="0.25">
      <c r="A525" s="3" t="s">
        <v>157</v>
      </c>
      <c r="B525" s="4">
        <v>45754</v>
      </c>
      <c r="C525" s="3" t="s">
        <v>2031</v>
      </c>
      <c r="D525" s="3" t="s">
        <v>2051</v>
      </c>
      <c r="E525" s="3" t="s">
        <v>2058</v>
      </c>
      <c r="F525" s="3" t="s">
        <v>2061</v>
      </c>
      <c r="G525" s="3">
        <v>10</v>
      </c>
      <c r="H525" s="3">
        <v>3200</v>
      </c>
      <c r="I525" s="3">
        <v>3840</v>
      </c>
      <c r="J525" s="3">
        <v>18.84</v>
      </c>
      <c r="K525" s="3">
        <v>31164.65</v>
      </c>
      <c r="L525" s="3">
        <v>-835.35</v>
      </c>
      <c r="M525" s="3">
        <f t="shared" si="41"/>
        <v>723456</v>
      </c>
      <c r="N525" s="3">
        <f t="shared" si="42"/>
        <v>32000</v>
      </c>
      <c r="O525" s="3">
        <f t="shared" si="43"/>
        <v>-2.6804408199674952</v>
      </c>
      <c r="P525" s="3" t="str">
        <f t="shared" si="44"/>
        <v>Apr</v>
      </c>
      <c r="Q525" s="3" t="str">
        <f t="shared" si="40"/>
        <v>loss</v>
      </c>
    </row>
    <row r="526" spans="1:17" x14ac:dyDescent="0.25">
      <c r="A526" s="3" t="s">
        <v>232</v>
      </c>
      <c r="B526" s="4">
        <v>45754</v>
      </c>
      <c r="C526" s="3" t="s">
        <v>2024</v>
      </c>
      <c r="D526" s="3" t="s">
        <v>2044</v>
      </c>
      <c r="E526" s="3" t="s">
        <v>2055</v>
      </c>
      <c r="F526" s="3" t="s">
        <v>2059</v>
      </c>
      <c r="G526" s="3">
        <v>7</v>
      </c>
      <c r="H526" s="3">
        <v>180</v>
      </c>
      <c r="I526" s="3">
        <v>243</v>
      </c>
      <c r="J526" s="3">
        <v>9.4700000000000006</v>
      </c>
      <c r="K526" s="3">
        <v>1539.99</v>
      </c>
      <c r="L526" s="3">
        <v>279.99</v>
      </c>
      <c r="M526" s="3">
        <f t="shared" si="41"/>
        <v>16108.470000000001</v>
      </c>
      <c r="N526" s="3">
        <f t="shared" si="42"/>
        <v>1260</v>
      </c>
      <c r="O526" s="3">
        <f t="shared" si="43"/>
        <v>18.181286891473324</v>
      </c>
      <c r="P526" s="3" t="str">
        <f t="shared" si="44"/>
        <v>Apr</v>
      </c>
      <c r="Q526" s="3" t="str">
        <f t="shared" si="40"/>
        <v>good profit</v>
      </c>
    </row>
    <row r="527" spans="1:17" x14ac:dyDescent="0.25">
      <c r="A527" s="3" t="s">
        <v>662</v>
      </c>
      <c r="B527" s="4">
        <v>45754</v>
      </c>
      <c r="C527" s="3" t="s">
        <v>2027</v>
      </c>
      <c r="D527" s="3" t="s">
        <v>2047</v>
      </c>
      <c r="E527" s="3" t="s">
        <v>2053</v>
      </c>
      <c r="F527" s="3" t="s">
        <v>2060</v>
      </c>
      <c r="G527" s="3">
        <v>7</v>
      </c>
      <c r="H527" s="3">
        <v>1100</v>
      </c>
      <c r="I527" s="3">
        <v>1298</v>
      </c>
      <c r="J527" s="3">
        <v>9.67</v>
      </c>
      <c r="K527" s="3">
        <v>8207.73</v>
      </c>
      <c r="L527" s="3">
        <v>507.73</v>
      </c>
      <c r="M527" s="3">
        <f t="shared" si="41"/>
        <v>87861.62</v>
      </c>
      <c r="N527" s="3">
        <f t="shared" si="42"/>
        <v>7700</v>
      </c>
      <c r="O527" s="3">
        <f t="shared" si="43"/>
        <v>6.185997833749405</v>
      </c>
      <c r="P527" s="3" t="str">
        <f t="shared" si="44"/>
        <v>Apr</v>
      </c>
      <c r="Q527" s="3" t="str">
        <f t="shared" si="40"/>
        <v>low profit</v>
      </c>
    </row>
    <row r="528" spans="1:17" x14ac:dyDescent="0.25">
      <c r="A528" s="3" t="s">
        <v>1978</v>
      </c>
      <c r="B528" s="4">
        <v>45754</v>
      </c>
      <c r="C528" s="3" t="s">
        <v>2030</v>
      </c>
      <c r="D528" s="3" t="s">
        <v>2050</v>
      </c>
      <c r="E528" s="3" t="s">
        <v>2058</v>
      </c>
      <c r="F528" s="3" t="s">
        <v>2059</v>
      </c>
      <c r="G528" s="3">
        <v>4</v>
      </c>
      <c r="H528" s="3">
        <v>1800</v>
      </c>
      <c r="I528" s="3">
        <v>2124</v>
      </c>
      <c r="J528" s="3">
        <v>8.66</v>
      </c>
      <c r="K528" s="3">
        <v>7760.65</v>
      </c>
      <c r="L528" s="3">
        <v>560.65</v>
      </c>
      <c r="M528" s="3">
        <f t="shared" si="41"/>
        <v>73575.360000000001</v>
      </c>
      <c r="N528" s="3">
        <f t="shared" si="42"/>
        <v>7200</v>
      </c>
      <c r="O528" s="3">
        <f t="shared" si="43"/>
        <v>7.2242660086461825</v>
      </c>
      <c r="P528" s="3" t="str">
        <f t="shared" si="44"/>
        <v>Apr</v>
      </c>
      <c r="Q528" s="3" t="str">
        <f t="shared" si="40"/>
        <v>low profit</v>
      </c>
    </row>
    <row r="529" spans="1:17" x14ac:dyDescent="0.25">
      <c r="A529" s="3" t="s">
        <v>612</v>
      </c>
      <c r="B529" s="4">
        <v>45755</v>
      </c>
      <c r="C529" s="3" t="s">
        <v>2025</v>
      </c>
      <c r="D529" s="3" t="s">
        <v>2045</v>
      </c>
      <c r="E529" s="3" t="s">
        <v>2057</v>
      </c>
      <c r="F529" s="3" t="s">
        <v>2060</v>
      </c>
      <c r="G529" s="3">
        <v>4</v>
      </c>
      <c r="H529" s="3">
        <v>45</v>
      </c>
      <c r="I529" s="3">
        <v>63</v>
      </c>
      <c r="J529" s="3">
        <v>8.25</v>
      </c>
      <c r="K529" s="3">
        <v>231.21</v>
      </c>
      <c r="L529" s="3">
        <v>51.21</v>
      </c>
      <c r="M529" s="3">
        <f t="shared" si="41"/>
        <v>2079</v>
      </c>
      <c r="N529" s="3">
        <f t="shared" si="42"/>
        <v>180</v>
      </c>
      <c r="O529" s="3">
        <f t="shared" si="43"/>
        <v>22.148695990657842</v>
      </c>
      <c r="P529" s="3" t="str">
        <f t="shared" si="44"/>
        <v>Apr</v>
      </c>
      <c r="Q529" s="3" t="str">
        <f t="shared" si="40"/>
        <v>good profit</v>
      </c>
    </row>
    <row r="530" spans="1:17" x14ac:dyDescent="0.25">
      <c r="A530" s="3" t="s">
        <v>614</v>
      </c>
      <c r="B530" s="4">
        <v>45755</v>
      </c>
      <c r="C530" s="3" t="s">
        <v>2031</v>
      </c>
      <c r="D530" s="3" t="s">
        <v>2051</v>
      </c>
      <c r="E530" s="3" t="s">
        <v>2058</v>
      </c>
      <c r="F530" s="3" t="s">
        <v>2060</v>
      </c>
      <c r="G530" s="3">
        <v>10</v>
      </c>
      <c r="H530" s="3">
        <v>3200</v>
      </c>
      <c r="I530" s="3">
        <v>3840</v>
      </c>
      <c r="J530" s="3">
        <v>16.309999999999999</v>
      </c>
      <c r="K530" s="3">
        <v>32136.43</v>
      </c>
      <c r="L530" s="3">
        <v>136.43</v>
      </c>
      <c r="M530" s="3">
        <f t="shared" si="41"/>
        <v>626304</v>
      </c>
      <c r="N530" s="3">
        <f t="shared" si="42"/>
        <v>32000</v>
      </c>
      <c r="O530" s="3">
        <f t="shared" si="43"/>
        <v>0.42453377677607629</v>
      </c>
      <c r="P530" s="3" t="str">
        <f t="shared" si="44"/>
        <v>Apr</v>
      </c>
      <c r="Q530" s="3" t="str">
        <f t="shared" si="40"/>
        <v>low profit</v>
      </c>
    </row>
    <row r="531" spans="1:17" x14ac:dyDescent="0.25">
      <c r="A531" s="3" t="s">
        <v>625</v>
      </c>
      <c r="B531" s="4">
        <v>45755</v>
      </c>
      <c r="C531" s="3" t="s">
        <v>2020</v>
      </c>
      <c r="D531" s="3" t="s">
        <v>2040</v>
      </c>
      <c r="E531" s="3" t="s">
        <v>2053</v>
      </c>
      <c r="F531" s="3" t="s">
        <v>2060</v>
      </c>
      <c r="G531" s="3">
        <v>5</v>
      </c>
      <c r="H531" s="3">
        <v>350</v>
      </c>
      <c r="I531" s="3">
        <v>455</v>
      </c>
      <c r="J531" s="3">
        <v>9.3800000000000008</v>
      </c>
      <c r="K531" s="3">
        <v>2061.71</v>
      </c>
      <c r="L531" s="3">
        <v>311.70999999999998</v>
      </c>
      <c r="M531" s="3">
        <f t="shared" si="41"/>
        <v>21339.5</v>
      </c>
      <c r="N531" s="3">
        <f t="shared" si="42"/>
        <v>1750</v>
      </c>
      <c r="O531" s="3">
        <f t="shared" si="43"/>
        <v>15.119003157573083</v>
      </c>
      <c r="P531" s="3" t="str">
        <f t="shared" si="44"/>
        <v>Apr</v>
      </c>
      <c r="Q531" s="3" t="str">
        <f t="shared" si="40"/>
        <v>good profit</v>
      </c>
    </row>
    <row r="532" spans="1:17" x14ac:dyDescent="0.25">
      <c r="A532" s="3" t="s">
        <v>1569</v>
      </c>
      <c r="B532" s="4">
        <v>45755</v>
      </c>
      <c r="C532" s="3" t="s">
        <v>2029</v>
      </c>
      <c r="D532" s="3" t="s">
        <v>2049</v>
      </c>
      <c r="E532" s="3" t="s">
        <v>2055</v>
      </c>
      <c r="F532" s="3" t="s">
        <v>2061</v>
      </c>
      <c r="G532" s="3">
        <v>4</v>
      </c>
      <c r="H532" s="3">
        <v>1200</v>
      </c>
      <c r="I532" s="3">
        <v>1464</v>
      </c>
      <c r="J532" s="3">
        <v>0</v>
      </c>
      <c r="K532" s="3">
        <v>5856</v>
      </c>
      <c r="L532" s="3">
        <v>1056</v>
      </c>
      <c r="M532" s="3">
        <f t="shared" si="41"/>
        <v>0</v>
      </c>
      <c r="N532" s="3">
        <f t="shared" si="42"/>
        <v>4800</v>
      </c>
      <c r="O532" s="3">
        <f t="shared" si="43"/>
        <v>18.032786885245901</v>
      </c>
      <c r="P532" s="3" t="str">
        <f t="shared" si="44"/>
        <v>Apr</v>
      </c>
      <c r="Q532" s="3" t="str">
        <f t="shared" si="40"/>
        <v>good profit</v>
      </c>
    </row>
    <row r="533" spans="1:17" x14ac:dyDescent="0.25">
      <c r="A533" s="3" t="s">
        <v>149</v>
      </c>
      <c r="B533" s="4">
        <v>45756</v>
      </c>
      <c r="C533" s="3" t="s">
        <v>2021</v>
      </c>
      <c r="D533" s="3" t="s">
        <v>2041</v>
      </c>
      <c r="E533" s="3" t="s">
        <v>2056</v>
      </c>
      <c r="F533" s="3" t="s">
        <v>2060</v>
      </c>
      <c r="G533" s="3">
        <v>1</v>
      </c>
      <c r="H533" s="3">
        <v>300</v>
      </c>
      <c r="I533" s="3">
        <v>405</v>
      </c>
      <c r="J533" s="3">
        <v>16.47</v>
      </c>
      <c r="K533" s="3">
        <v>338.29</v>
      </c>
      <c r="L533" s="3">
        <v>38.29</v>
      </c>
      <c r="M533" s="3">
        <f t="shared" si="41"/>
        <v>6670.3499999999995</v>
      </c>
      <c r="N533" s="3">
        <f t="shared" si="42"/>
        <v>300</v>
      </c>
      <c r="O533" s="3">
        <f t="shared" si="43"/>
        <v>11.318691063880101</v>
      </c>
      <c r="P533" s="3" t="str">
        <f t="shared" si="44"/>
        <v>Apr</v>
      </c>
      <c r="Q533" s="3" t="str">
        <f t="shared" si="40"/>
        <v>good profit</v>
      </c>
    </row>
    <row r="534" spans="1:17" x14ac:dyDescent="0.25">
      <c r="A534" s="3" t="s">
        <v>635</v>
      </c>
      <c r="B534" s="4">
        <v>45756</v>
      </c>
      <c r="C534" s="3" t="s">
        <v>2019</v>
      </c>
      <c r="D534" s="3" t="s">
        <v>2039</v>
      </c>
      <c r="E534" s="3" t="s">
        <v>2053</v>
      </c>
      <c r="F534" s="3" t="s">
        <v>2061</v>
      </c>
      <c r="G534" s="3">
        <v>10</v>
      </c>
      <c r="H534" s="3">
        <v>900</v>
      </c>
      <c r="I534" s="3">
        <v>1152</v>
      </c>
      <c r="J534" s="3">
        <v>0</v>
      </c>
      <c r="K534" s="3">
        <v>11520</v>
      </c>
      <c r="L534" s="3">
        <v>2520</v>
      </c>
      <c r="M534" s="3">
        <f t="shared" si="41"/>
        <v>0</v>
      </c>
      <c r="N534" s="3">
        <f t="shared" si="42"/>
        <v>9000</v>
      </c>
      <c r="O534" s="3">
        <f t="shared" si="43"/>
        <v>21.875</v>
      </c>
      <c r="P534" s="3" t="str">
        <f t="shared" si="44"/>
        <v>Apr</v>
      </c>
      <c r="Q534" s="3" t="str">
        <f t="shared" si="40"/>
        <v>good profit</v>
      </c>
    </row>
    <row r="535" spans="1:17" x14ac:dyDescent="0.25">
      <c r="A535" s="3" t="s">
        <v>1063</v>
      </c>
      <c r="B535" s="4">
        <v>45756</v>
      </c>
      <c r="C535" s="3" t="s">
        <v>2017</v>
      </c>
      <c r="D535" s="3" t="s">
        <v>2037</v>
      </c>
      <c r="E535" s="3" t="s">
        <v>2055</v>
      </c>
      <c r="F535" s="3" t="s">
        <v>2062</v>
      </c>
      <c r="G535" s="3">
        <v>4</v>
      </c>
      <c r="H535" s="3">
        <v>2500</v>
      </c>
      <c r="I535" s="3">
        <v>2875</v>
      </c>
      <c r="J535" s="3">
        <v>11.27</v>
      </c>
      <c r="K535" s="3">
        <v>10204.48</v>
      </c>
      <c r="L535" s="3">
        <v>204.48</v>
      </c>
      <c r="M535" s="3">
        <f t="shared" si="41"/>
        <v>129605</v>
      </c>
      <c r="N535" s="3">
        <f t="shared" si="42"/>
        <v>10000</v>
      </c>
      <c r="O535" s="3">
        <f t="shared" si="43"/>
        <v>2.0038257706419143</v>
      </c>
      <c r="P535" s="3" t="str">
        <f t="shared" si="44"/>
        <v>Apr</v>
      </c>
      <c r="Q535" s="3" t="str">
        <f t="shared" si="40"/>
        <v>low profit</v>
      </c>
    </row>
    <row r="536" spans="1:17" x14ac:dyDescent="0.25">
      <c r="A536" s="3" t="s">
        <v>1173</v>
      </c>
      <c r="B536" s="4">
        <v>45756</v>
      </c>
      <c r="C536" s="3" t="s">
        <v>2018</v>
      </c>
      <c r="D536" s="3" t="s">
        <v>2038</v>
      </c>
      <c r="E536" s="3" t="s">
        <v>2053</v>
      </c>
      <c r="F536" s="3" t="s">
        <v>2062</v>
      </c>
      <c r="G536" s="3">
        <v>2</v>
      </c>
      <c r="H536" s="3">
        <v>500</v>
      </c>
      <c r="I536" s="3">
        <v>610</v>
      </c>
      <c r="J536" s="3">
        <v>4.5</v>
      </c>
      <c r="K536" s="3">
        <v>1165.1300000000001</v>
      </c>
      <c r="L536" s="3">
        <v>165.13</v>
      </c>
      <c r="M536" s="3">
        <f t="shared" si="41"/>
        <v>5490</v>
      </c>
      <c r="N536" s="3">
        <f t="shared" si="42"/>
        <v>1000</v>
      </c>
      <c r="O536" s="3">
        <f t="shared" si="43"/>
        <v>14.172667427669014</v>
      </c>
      <c r="P536" s="3" t="str">
        <f t="shared" si="44"/>
        <v>Apr</v>
      </c>
      <c r="Q536" s="3" t="str">
        <f t="shared" si="40"/>
        <v>good profit</v>
      </c>
    </row>
    <row r="537" spans="1:17" x14ac:dyDescent="0.25">
      <c r="A537" s="3" t="s">
        <v>1741</v>
      </c>
      <c r="B537" s="4">
        <v>45756</v>
      </c>
      <c r="C537" s="3" t="s">
        <v>2013</v>
      </c>
      <c r="D537" s="3" t="s">
        <v>2033</v>
      </c>
      <c r="E537" s="3" t="s">
        <v>2053</v>
      </c>
      <c r="F537" s="3" t="s">
        <v>2059</v>
      </c>
      <c r="G537" s="3">
        <v>7</v>
      </c>
      <c r="H537" s="3">
        <v>6500</v>
      </c>
      <c r="I537" s="3">
        <v>7150</v>
      </c>
      <c r="J537" s="3">
        <v>21.99</v>
      </c>
      <c r="K537" s="3">
        <v>39044.910000000003</v>
      </c>
      <c r="L537" s="3">
        <v>-6455.09</v>
      </c>
      <c r="M537" s="3">
        <f t="shared" si="41"/>
        <v>1100599.5</v>
      </c>
      <c r="N537" s="3">
        <f t="shared" si="42"/>
        <v>45500</v>
      </c>
      <c r="O537" s="3">
        <f t="shared" si="43"/>
        <v>-16.53247503964025</v>
      </c>
      <c r="P537" s="3" t="str">
        <f t="shared" si="44"/>
        <v>Apr</v>
      </c>
      <c r="Q537" s="3" t="str">
        <f t="shared" si="40"/>
        <v>loss</v>
      </c>
    </row>
    <row r="538" spans="1:17" x14ac:dyDescent="0.25">
      <c r="A538" s="3" t="s">
        <v>1779</v>
      </c>
      <c r="B538" s="4">
        <v>45756</v>
      </c>
      <c r="C538" s="3" t="s">
        <v>2023</v>
      </c>
      <c r="D538" s="3" t="s">
        <v>2043</v>
      </c>
      <c r="E538" s="3" t="s">
        <v>2053</v>
      </c>
      <c r="F538" s="3" t="s">
        <v>2060</v>
      </c>
      <c r="G538" s="3">
        <v>9</v>
      </c>
      <c r="H538" s="3">
        <v>550</v>
      </c>
      <c r="I538" s="3">
        <v>742.5</v>
      </c>
      <c r="J538" s="3">
        <v>18.079999999999998</v>
      </c>
      <c r="K538" s="3">
        <v>5474.33</v>
      </c>
      <c r="L538" s="3">
        <v>524.33000000000004</v>
      </c>
      <c r="M538" s="3">
        <f t="shared" si="41"/>
        <v>120819.59999999999</v>
      </c>
      <c r="N538" s="3">
        <f t="shared" si="42"/>
        <v>4950</v>
      </c>
      <c r="O538" s="3">
        <f t="shared" si="43"/>
        <v>9.5779757522838427</v>
      </c>
      <c r="P538" s="3" t="str">
        <f t="shared" si="44"/>
        <v>Apr</v>
      </c>
      <c r="Q538" s="3" t="str">
        <f t="shared" si="40"/>
        <v>low profit</v>
      </c>
    </row>
    <row r="539" spans="1:17" x14ac:dyDescent="0.25">
      <c r="A539" s="3" t="s">
        <v>530</v>
      </c>
      <c r="B539" s="4">
        <v>45757</v>
      </c>
      <c r="C539" s="3" t="s">
        <v>2017</v>
      </c>
      <c r="D539" s="3" t="s">
        <v>2037</v>
      </c>
      <c r="E539" s="3" t="s">
        <v>2055</v>
      </c>
      <c r="F539" s="3" t="s">
        <v>2062</v>
      </c>
      <c r="G539" s="3">
        <v>4</v>
      </c>
      <c r="H539" s="3">
        <v>2500</v>
      </c>
      <c r="I539" s="3">
        <v>2875</v>
      </c>
      <c r="J539" s="3">
        <v>13.88</v>
      </c>
      <c r="K539" s="3">
        <v>9904.07</v>
      </c>
      <c r="L539" s="3">
        <v>-95.93</v>
      </c>
      <c r="M539" s="3">
        <f t="shared" si="41"/>
        <v>159620</v>
      </c>
      <c r="N539" s="3">
        <f t="shared" si="42"/>
        <v>10000</v>
      </c>
      <c r="O539" s="3">
        <f t="shared" si="43"/>
        <v>-0.9685917001798251</v>
      </c>
      <c r="P539" s="3" t="str">
        <f t="shared" si="44"/>
        <v>Apr</v>
      </c>
      <c r="Q539" s="3" t="str">
        <f t="shared" si="40"/>
        <v>loss</v>
      </c>
    </row>
    <row r="540" spans="1:17" x14ac:dyDescent="0.25">
      <c r="A540" s="3" t="s">
        <v>813</v>
      </c>
      <c r="B540" s="4">
        <v>45757</v>
      </c>
      <c r="C540" s="3" t="s">
        <v>2015</v>
      </c>
      <c r="D540" s="3" t="s">
        <v>2035</v>
      </c>
      <c r="E540" s="3" t="s">
        <v>2054</v>
      </c>
      <c r="F540" s="3" t="s">
        <v>2060</v>
      </c>
      <c r="G540" s="3">
        <v>4</v>
      </c>
      <c r="H540" s="3">
        <v>900</v>
      </c>
      <c r="I540" s="3">
        <v>1170</v>
      </c>
      <c r="J540" s="3">
        <v>5.57</v>
      </c>
      <c r="K540" s="3">
        <v>4419.51</v>
      </c>
      <c r="L540" s="3">
        <v>819.51</v>
      </c>
      <c r="M540" s="3">
        <f t="shared" si="41"/>
        <v>26067.600000000002</v>
      </c>
      <c r="N540" s="3">
        <f t="shared" si="42"/>
        <v>3600</v>
      </c>
      <c r="O540" s="3">
        <f t="shared" si="43"/>
        <v>18.54300589884399</v>
      </c>
      <c r="P540" s="3" t="str">
        <f t="shared" si="44"/>
        <v>Apr</v>
      </c>
      <c r="Q540" s="3" t="str">
        <f t="shared" si="40"/>
        <v>good profit</v>
      </c>
    </row>
    <row r="541" spans="1:17" x14ac:dyDescent="0.25">
      <c r="A541" s="3" t="s">
        <v>1084</v>
      </c>
      <c r="B541" s="4">
        <v>45757</v>
      </c>
      <c r="C541" s="3" t="s">
        <v>2015</v>
      </c>
      <c r="D541" s="3" t="s">
        <v>2035</v>
      </c>
      <c r="E541" s="3" t="s">
        <v>2054</v>
      </c>
      <c r="F541" s="3" t="s">
        <v>2060</v>
      </c>
      <c r="G541" s="3">
        <v>10</v>
      </c>
      <c r="H541" s="3">
        <v>900</v>
      </c>
      <c r="I541" s="3">
        <v>1170</v>
      </c>
      <c r="J541" s="3">
        <v>0</v>
      </c>
      <c r="K541" s="3">
        <v>11700</v>
      </c>
      <c r="L541" s="3">
        <v>2700</v>
      </c>
      <c r="M541" s="3">
        <f t="shared" si="41"/>
        <v>0</v>
      </c>
      <c r="N541" s="3">
        <f t="shared" si="42"/>
        <v>9000</v>
      </c>
      <c r="O541" s="3">
        <f t="shared" si="43"/>
        <v>23.076923076923077</v>
      </c>
      <c r="P541" s="3" t="str">
        <f t="shared" si="44"/>
        <v>Apr</v>
      </c>
      <c r="Q541" s="3" t="str">
        <f t="shared" si="40"/>
        <v>good profit</v>
      </c>
    </row>
    <row r="542" spans="1:17" x14ac:dyDescent="0.25">
      <c r="A542" s="3" t="s">
        <v>1411</v>
      </c>
      <c r="B542" s="4">
        <v>45757</v>
      </c>
      <c r="C542" s="3" t="s">
        <v>2031</v>
      </c>
      <c r="D542" s="3" t="s">
        <v>2051</v>
      </c>
      <c r="E542" s="3" t="s">
        <v>2058</v>
      </c>
      <c r="F542" s="3" t="s">
        <v>2061</v>
      </c>
      <c r="G542" s="3">
        <v>3</v>
      </c>
      <c r="H542" s="3">
        <v>3200</v>
      </c>
      <c r="I542" s="3">
        <v>3840</v>
      </c>
      <c r="J542" s="3">
        <v>6.48</v>
      </c>
      <c r="K542" s="3">
        <v>10773.21</v>
      </c>
      <c r="L542" s="3">
        <v>1173.21</v>
      </c>
      <c r="M542" s="3">
        <f t="shared" si="41"/>
        <v>74649.600000000006</v>
      </c>
      <c r="N542" s="3">
        <f t="shared" si="42"/>
        <v>9600</v>
      </c>
      <c r="O542" s="3">
        <f t="shared" si="43"/>
        <v>10.890068976655984</v>
      </c>
      <c r="P542" s="3" t="str">
        <f t="shared" si="44"/>
        <v>Apr</v>
      </c>
      <c r="Q542" s="3" t="str">
        <f t="shared" si="40"/>
        <v>good profit</v>
      </c>
    </row>
    <row r="543" spans="1:17" x14ac:dyDescent="0.25">
      <c r="A543" s="3" t="s">
        <v>1460</v>
      </c>
      <c r="B543" s="4">
        <v>45757</v>
      </c>
      <c r="C543" s="3" t="s">
        <v>2029</v>
      </c>
      <c r="D543" s="3" t="s">
        <v>2049</v>
      </c>
      <c r="E543" s="3" t="s">
        <v>2055</v>
      </c>
      <c r="F543" s="3" t="s">
        <v>2062</v>
      </c>
      <c r="G543" s="3">
        <v>6</v>
      </c>
      <c r="H543" s="3">
        <v>1200</v>
      </c>
      <c r="I543" s="3">
        <v>1464</v>
      </c>
      <c r="J543" s="3">
        <v>14.42</v>
      </c>
      <c r="K543" s="3">
        <v>7517.17</v>
      </c>
      <c r="L543" s="3">
        <v>317.17</v>
      </c>
      <c r="M543" s="3">
        <f t="shared" si="41"/>
        <v>126665.28</v>
      </c>
      <c r="N543" s="3">
        <f t="shared" si="42"/>
        <v>7200</v>
      </c>
      <c r="O543" s="3">
        <f t="shared" si="43"/>
        <v>4.2192740087027429</v>
      </c>
      <c r="P543" s="3" t="str">
        <f t="shared" si="44"/>
        <v>Apr</v>
      </c>
      <c r="Q543" s="3" t="str">
        <f t="shared" si="40"/>
        <v>low profit</v>
      </c>
    </row>
    <row r="544" spans="1:17" x14ac:dyDescent="0.25">
      <c r="A544" s="3" t="s">
        <v>1467</v>
      </c>
      <c r="B544" s="4">
        <v>45757</v>
      </c>
      <c r="C544" s="3" t="s">
        <v>2013</v>
      </c>
      <c r="D544" s="3" t="s">
        <v>2033</v>
      </c>
      <c r="E544" s="3" t="s">
        <v>2053</v>
      </c>
      <c r="F544" s="3" t="s">
        <v>2060</v>
      </c>
      <c r="G544" s="3">
        <v>9</v>
      </c>
      <c r="H544" s="3">
        <v>6500</v>
      </c>
      <c r="I544" s="3">
        <v>7150</v>
      </c>
      <c r="J544" s="3">
        <v>17.75</v>
      </c>
      <c r="K544" s="3">
        <v>52927.26</v>
      </c>
      <c r="L544" s="3">
        <v>-5572.74</v>
      </c>
      <c r="M544" s="3">
        <f t="shared" si="41"/>
        <v>1142212.5</v>
      </c>
      <c r="N544" s="3">
        <f t="shared" si="42"/>
        <v>58500</v>
      </c>
      <c r="O544" s="3">
        <f t="shared" si="43"/>
        <v>-10.529054404101023</v>
      </c>
      <c r="P544" s="3" t="str">
        <f t="shared" si="44"/>
        <v>Apr</v>
      </c>
      <c r="Q544" s="3" t="str">
        <f t="shared" si="40"/>
        <v>loss</v>
      </c>
    </row>
    <row r="545" spans="1:17" x14ac:dyDescent="0.25">
      <c r="A545" s="3" t="s">
        <v>1926</v>
      </c>
      <c r="B545" s="4">
        <v>45757</v>
      </c>
      <c r="C545" s="3" t="s">
        <v>2016</v>
      </c>
      <c r="D545" s="3" t="s">
        <v>2036</v>
      </c>
      <c r="E545" s="3" t="s">
        <v>2052</v>
      </c>
      <c r="F545" s="3" t="s">
        <v>2061</v>
      </c>
      <c r="G545" s="3">
        <v>10</v>
      </c>
      <c r="H545" s="3">
        <v>900</v>
      </c>
      <c r="I545" s="3">
        <v>1170</v>
      </c>
      <c r="J545" s="3">
        <v>3.8</v>
      </c>
      <c r="K545" s="3">
        <v>11255.9</v>
      </c>
      <c r="L545" s="3">
        <v>2255.9</v>
      </c>
      <c r="M545" s="3">
        <f t="shared" si="41"/>
        <v>44460</v>
      </c>
      <c r="N545" s="3">
        <f t="shared" si="42"/>
        <v>9000</v>
      </c>
      <c r="O545" s="3">
        <f t="shared" si="43"/>
        <v>20.041933563731025</v>
      </c>
      <c r="P545" s="3" t="str">
        <f t="shared" si="44"/>
        <v>Apr</v>
      </c>
      <c r="Q545" s="3" t="str">
        <f t="shared" si="40"/>
        <v>good profit</v>
      </c>
    </row>
    <row r="546" spans="1:17" x14ac:dyDescent="0.25">
      <c r="A546" s="3" t="s">
        <v>75</v>
      </c>
      <c r="B546" s="4">
        <v>45758</v>
      </c>
      <c r="C546" s="3" t="s">
        <v>2014</v>
      </c>
      <c r="D546" s="3" t="s">
        <v>2034</v>
      </c>
      <c r="E546" s="3" t="s">
        <v>2052</v>
      </c>
      <c r="F546" s="3" t="s">
        <v>2061</v>
      </c>
      <c r="G546" s="3">
        <v>9</v>
      </c>
      <c r="H546" s="3">
        <v>4500</v>
      </c>
      <c r="I546" s="3">
        <v>5220</v>
      </c>
      <c r="J546" s="3">
        <v>12</v>
      </c>
      <c r="K546" s="3">
        <v>41343.75</v>
      </c>
      <c r="L546" s="3">
        <v>843.75</v>
      </c>
      <c r="M546" s="3">
        <f t="shared" si="41"/>
        <v>563760</v>
      </c>
      <c r="N546" s="3">
        <f t="shared" si="42"/>
        <v>40500</v>
      </c>
      <c r="O546" s="3">
        <f t="shared" si="43"/>
        <v>2.0408163265306123</v>
      </c>
      <c r="P546" s="3" t="str">
        <f t="shared" si="44"/>
        <v>Apr</v>
      </c>
      <c r="Q546" s="3" t="str">
        <f t="shared" si="40"/>
        <v>low profit</v>
      </c>
    </row>
    <row r="547" spans="1:17" x14ac:dyDescent="0.25">
      <c r="A547" s="3" t="s">
        <v>163</v>
      </c>
      <c r="B547" s="4">
        <v>45758</v>
      </c>
      <c r="C547" s="3" t="s">
        <v>2028</v>
      </c>
      <c r="D547" s="3" t="s">
        <v>2048</v>
      </c>
      <c r="E547" s="3" t="s">
        <v>2057</v>
      </c>
      <c r="F547" s="3" t="s">
        <v>2059</v>
      </c>
      <c r="G547" s="3">
        <v>5</v>
      </c>
      <c r="H547" s="3">
        <v>80</v>
      </c>
      <c r="I547" s="3">
        <v>116</v>
      </c>
      <c r="J547" s="3">
        <v>0</v>
      </c>
      <c r="K547" s="3">
        <v>580</v>
      </c>
      <c r="L547" s="3">
        <v>180</v>
      </c>
      <c r="M547" s="3">
        <f t="shared" si="41"/>
        <v>0</v>
      </c>
      <c r="N547" s="3">
        <f t="shared" si="42"/>
        <v>400</v>
      </c>
      <c r="O547" s="3">
        <f t="shared" si="43"/>
        <v>31.03448275862069</v>
      </c>
      <c r="P547" s="3" t="str">
        <f t="shared" si="44"/>
        <v>Apr</v>
      </c>
      <c r="Q547" s="3" t="str">
        <f t="shared" si="40"/>
        <v>good profit</v>
      </c>
    </row>
    <row r="548" spans="1:17" x14ac:dyDescent="0.25">
      <c r="A548" s="3" t="s">
        <v>251</v>
      </c>
      <c r="B548" s="4">
        <v>45758</v>
      </c>
      <c r="C548" s="3" t="s">
        <v>2016</v>
      </c>
      <c r="D548" s="3" t="s">
        <v>2036</v>
      </c>
      <c r="E548" s="3" t="s">
        <v>2052</v>
      </c>
      <c r="F548" s="3" t="s">
        <v>2061</v>
      </c>
      <c r="G548" s="3">
        <v>1</v>
      </c>
      <c r="H548" s="3">
        <v>900</v>
      </c>
      <c r="I548" s="3">
        <v>1170</v>
      </c>
      <c r="J548" s="3">
        <v>0</v>
      </c>
      <c r="K548" s="3">
        <v>1170</v>
      </c>
      <c r="L548" s="3">
        <v>270</v>
      </c>
      <c r="M548" s="3">
        <f t="shared" si="41"/>
        <v>0</v>
      </c>
      <c r="N548" s="3">
        <f t="shared" si="42"/>
        <v>900</v>
      </c>
      <c r="O548" s="3">
        <f t="shared" si="43"/>
        <v>23.076923076923077</v>
      </c>
      <c r="P548" s="3" t="str">
        <f t="shared" si="44"/>
        <v>Apr</v>
      </c>
      <c r="Q548" s="3" t="str">
        <f t="shared" si="40"/>
        <v>good profit</v>
      </c>
    </row>
    <row r="549" spans="1:17" x14ac:dyDescent="0.25">
      <c r="A549" s="3" t="s">
        <v>415</v>
      </c>
      <c r="B549" s="4">
        <v>45758</v>
      </c>
      <c r="C549" s="3" t="s">
        <v>2023</v>
      </c>
      <c r="D549" s="3" t="s">
        <v>2043</v>
      </c>
      <c r="E549" s="3" t="s">
        <v>2053</v>
      </c>
      <c r="F549" s="3" t="s">
        <v>2060</v>
      </c>
      <c r="G549" s="3">
        <v>7</v>
      </c>
      <c r="H549" s="3">
        <v>550</v>
      </c>
      <c r="I549" s="3">
        <v>742.5</v>
      </c>
      <c r="J549" s="3">
        <v>12.74</v>
      </c>
      <c r="K549" s="3">
        <v>4535.32</v>
      </c>
      <c r="L549" s="3">
        <v>685.32</v>
      </c>
      <c r="M549" s="3">
        <f t="shared" si="41"/>
        <v>66216.149999999994</v>
      </c>
      <c r="N549" s="3">
        <f t="shared" si="42"/>
        <v>3850</v>
      </c>
      <c r="O549" s="3">
        <f t="shared" si="43"/>
        <v>15.110730885582496</v>
      </c>
      <c r="P549" s="3" t="str">
        <f t="shared" si="44"/>
        <v>Apr</v>
      </c>
      <c r="Q549" s="3" t="str">
        <f t="shared" si="40"/>
        <v>good profit</v>
      </c>
    </row>
    <row r="550" spans="1:17" x14ac:dyDescent="0.25">
      <c r="A550" s="3" t="s">
        <v>699</v>
      </c>
      <c r="B550" s="4">
        <v>45758</v>
      </c>
      <c r="C550" s="3" t="s">
        <v>2020</v>
      </c>
      <c r="D550" s="3" t="s">
        <v>2040</v>
      </c>
      <c r="E550" s="3" t="s">
        <v>2053</v>
      </c>
      <c r="F550" s="3" t="s">
        <v>2062</v>
      </c>
      <c r="G550" s="3">
        <v>10</v>
      </c>
      <c r="H550" s="3">
        <v>350</v>
      </c>
      <c r="I550" s="3">
        <v>455</v>
      </c>
      <c r="J550" s="3">
        <v>8.73</v>
      </c>
      <c r="K550" s="3">
        <v>4152.99</v>
      </c>
      <c r="L550" s="3">
        <v>652.99</v>
      </c>
      <c r="M550" s="3">
        <f t="shared" si="41"/>
        <v>39721.5</v>
      </c>
      <c r="N550" s="3">
        <f t="shared" si="42"/>
        <v>3500</v>
      </c>
      <c r="O550" s="3">
        <f t="shared" si="43"/>
        <v>15.723370390971326</v>
      </c>
      <c r="P550" s="3" t="str">
        <f t="shared" si="44"/>
        <v>Apr</v>
      </c>
      <c r="Q550" s="3" t="str">
        <f t="shared" si="40"/>
        <v>good profit</v>
      </c>
    </row>
    <row r="551" spans="1:17" x14ac:dyDescent="0.25">
      <c r="A551" s="3" t="s">
        <v>702</v>
      </c>
      <c r="B551" s="4">
        <v>45758</v>
      </c>
      <c r="C551" s="3" t="s">
        <v>2015</v>
      </c>
      <c r="D551" s="3" t="s">
        <v>2035</v>
      </c>
      <c r="E551" s="3" t="s">
        <v>2054</v>
      </c>
      <c r="F551" s="3" t="s">
        <v>2060</v>
      </c>
      <c r="G551" s="3">
        <v>5</v>
      </c>
      <c r="H551" s="3">
        <v>900</v>
      </c>
      <c r="I551" s="3">
        <v>1170</v>
      </c>
      <c r="J551" s="3">
        <v>16.97</v>
      </c>
      <c r="K551" s="3">
        <v>4857.26</v>
      </c>
      <c r="L551" s="3">
        <v>357.26</v>
      </c>
      <c r="M551" s="3">
        <f t="shared" si="41"/>
        <v>99274.5</v>
      </c>
      <c r="N551" s="3">
        <f t="shared" si="42"/>
        <v>4500</v>
      </c>
      <c r="O551" s="3">
        <f t="shared" si="43"/>
        <v>7.3551755516484603</v>
      </c>
      <c r="P551" s="3" t="str">
        <f t="shared" si="44"/>
        <v>Apr</v>
      </c>
      <c r="Q551" s="3" t="str">
        <f t="shared" si="40"/>
        <v>low profit</v>
      </c>
    </row>
    <row r="552" spans="1:17" x14ac:dyDescent="0.25">
      <c r="A552" s="3" t="s">
        <v>1188</v>
      </c>
      <c r="B552" s="4">
        <v>45758</v>
      </c>
      <c r="C552" s="3" t="s">
        <v>2015</v>
      </c>
      <c r="D552" s="3" t="s">
        <v>2035</v>
      </c>
      <c r="E552" s="3" t="s">
        <v>2054</v>
      </c>
      <c r="F552" s="3" t="s">
        <v>2059</v>
      </c>
      <c r="G552" s="3">
        <v>9</v>
      </c>
      <c r="H552" s="3">
        <v>900</v>
      </c>
      <c r="I552" s="3">
        <v>1170</v>
      </c>
      <c r="J552" s="3">
        <v>3.02</v>
      </c>
      <c r="K552" s="3">
        <v>10212.36</v>
      </c>
      <c r="L552" s="3">
        <v>2112.36</v>
      </c>
      <c r="M552" s="3">
        <f t="shared" si="41"/>
        <v>31800.6</v>
      </c>
      <c r="N552" s="3">
        <f t="shared" si="42"/>
        <v>8100</v>
      </c>
      <c r="O552" s="3">
        <f t="shared" si="43"/>
        <v>20.684347202801312</v>
      </c>
      <c r="P552" s="3" t="str">
        <f t="shared" si="44"/>
        <v>Apr</v>
      </c>
      <c r="Q552" s="3" t="str">
        <f t="shared" si="40"/>
        <v>good profit</v>
      </c>
    </row>
    <row r="553" spans="1:17" x14ac:dyDescent="0.25">
      <c r="A553" s="3" t="s">
        <v>1431</v>
      </c>
      <c r="B553" s="4">
        <v>45758</v>
      </c>
      <c r="C553" s="3" t="s">
        <v>2020</v>
      </c>
      <c r="D553" s="3" t="s">
        <v>2040</v>
      </c>
      <c r="E553" s="3" t="s">
        <v>2053</v>
      </c>
      <c r="F553" s="3" t="s">
        <v>2059</v>
      </c>
      <c r="G553" s="3">
        <v>1</v>
      </c>
      <c r="H553" s="3">
        <v>350</v>
      </c>
      <c r="I553" s="3">
        <v>455</v>
      </c>
      <c r="J553" s="3">
        <v>0</v>
      </c>
      <c r="K553" s="3">
        <v>455</v>
      </c>
      <c r="L553" s="3">
        <v>105</v>
      </c>
      <c r="M553" s="3">
        <f t="shared" si="41"/>
        <v>0</v>
      </c>
      <c r="N553" s="3">
        <f t="shared" si="42"/>
        <v>350</v>
      </c>
      <c r="O553" s="3">
        <f t="shared" si="43"/>
        <v>23.076923076923077</v>
      </c>
      <c r="P553" s="3" t="str">
        <f t="shared" si="44"/>
        <v>Apr</v>
      </c>
      <c r="Q553" s="3" t="str">
        <f t="shared" si="40"/>
        <v>good profit</v>
      </c>
    </row>
    <row r="554" spans="1:17" x14ac:dyDescent="0.25">
      <c r="A554" s="3" t="s">
        <v>1445</v>
      </c>
      <c r="B554" s="4">
        <v>45758</v>
      </c>
      <c r="C554" s="3" t="s">
        <v>2025</v>
      </c>
      <c r="D554" s="3" t="s">
        <v>2045</v>
      </c>
      <c r="E554" s="3" t="s">
        <v>2057</v>
      </c>
      <c r="F554" s="3" t="s">
        <v>2059</v>
      </c>
      <c r="G554" s="3">
        <v>5</v>
      </c>
      <c r="H554" s="3">
        <v>45</v>
      </c>
      <c r="I554" s="3">
        <v>63</v>
      </c>
      <c r="J554" s="3">
        <v>13.07</v>
      </c>
      <c r="K554" s="3">
        <v>273.83999999999997</v>
      </c>
      <c r="L554" s="3">
        <v>48.84</v>
      </c>
      <c r="M554" s="3">
        <f t="shared" si="41"/>
        <v>4117.05</v>
      </c>
      <c r="N554" s="3">
        <f t="shared" si="42"/>
        <v>225</v>
      </c>
      <c r="O554" s="3">
        <f t="shared" si="43"/>
        <v>17.835232252410169</v>
      </c>
      <c r="P554" s="3" t="str">
        <f t="shared" si="44"/>
        <v>Apr</v>
      </c>
      <c r="Q554" s="3" t="str">
        <f t="shared" si="40"/>
        <v>good profit</v>
      </c>
    </row>
    <row r="555" spans="1:17" x14ac:dyDescent="0.25">
      <c r="A555" s="3" t="s">
        <v>1706</v>
      </c>
      <c r="B555" s="4">
        <v>45758</v>
      </c>
      <c r="C555" s="3" t="s">
        <v>2025</v>
      </c>
      <c r="D555" s="3" t="s">
        <v>2045</v>
      </c>
      <c r="E555" s="3" t="s">
        <v>2057</v>
      </c>
      <c r="F555" s="3" t="s">
        <v>2062</v>
      </c>
      <c r="G555" s="3">
        <v>8</v>
      </c>
      <c r="H555" s="3">
        <v>45</v>
      </c>
      <c r="I555" s="3">
        <v>63</v>
      </c>
      <c r="J555" s="3">
        <v>15.34</v>
      </c>
      <c r="K555" s="3">
        <v>426.71</v>
      </c>
      <c r="L555" s="3">
        <v>66.709999999999994</v>
      </c>
      <c r="M555" s="3">
        <f t="shared" si="41"/>
        <v>7731.36</v>
      </c>
      <c r="N555" s="3">
        <f t="shared" si="42"/>
        <v>360</v>
      </c>
      <c r="O555" s="3">
        <f t="shared" si="43"/>
        <v>15.633568465702702</v>
      </c>
      <c r="P555" s="3" t="str">
        <f t="shared" si="44"/>
        <v>Apr</v>
      </c>
      <c r="Q555" s="3" t="str">
        <f t="shared" si="40"/>
        <v>good profit</v>
      </c>
    </row>
    <row r="556" spans="1:17" x14ac:dyDescent="0.25">
      <c r="A556" s="3" t="s">
        <v>1718</v>
      </c>
      <c r="B556" s="4">
        <v>45758</v>
      </c>
      <c r="C556" s="3" t="s">
        <v>2015</v>
      </c>
      <c r="D556" s="3" t="s">
        <v>2035</v>
      </c>
      <c r="E556" s="3" t="s">
        <v>2054</v>
      </c>
      <c r="F556" s="3" t="s">
        <v>2061</v>
      </c>
      <c r="G556" s="3">
        <v>2</v>
      </c>
      <c r="H556" s="3">
        <v>900</v>
      </c>
      <c r="I556" s="3">
        <v>1170</v>
      </c>
      <c r="J556" s="3">
        <v>16.75</v>
      </c>
      <c r="K556" s="3">
        <v>1947.94</v>
      </c>
      <c r="L556" s="3">
        <v>147.94</v>
      </c>
      <c r="M556" s="3">
        <f t="shared" si="41"/>
        <v>39195</v>
      </c>
      <c r="N556" s="3">
        <f t="shared" si="42"/>
        <v>1800</v>
      </c>
      <c r="O556" s="3">
        <f t="shared" si="43"/>
        <v>7.5946897748390603</v>
      </c>
      <c r="P556" s="3" t="str">
        <f t="shared" si="44"/>
        <v>Apr</v>
      </c>
      <c r="Q556" s="3" t="str">
        <f t="shared" si="40"/>
        <v>low profit</v>
      </c>
    </row>
    <row r="557" spans="1:17" x14ac:dyDescent="0.25">
      <c r="A557" s="3" t="s">
        <v>719</v>
      </c>
      <c r="B557" s="4">
        <v>45759</v>
      </c>
      <c r="C557" s="3" t="s">
        <v>2027</v>
      </c>
      <c r="D557" s="3" t="s">
        <v>2047</v>
      </c>
      <c r="E557" s="3" t="s">
        <v>2053</v>
      </c>
      <c r="F557" s="3" t="s">
        <v>2062</v>
      </c>
      <c r="G557" s="3">
        <v>4</v>
      </c>
      <c r="H557" s="3">
        <v>1100</v>
      </c>
      <c r="I557" s="3">
        <v>1298</v>
      </c>
      <c r="J557" s="3">
        <v>0.25</v>
      </c>
      <c r="K557" s="3">
        <v>5178.8100000000004</v>
      </c>
      <c r="L557" s="3">
        <v>778.81</v>
      </c>
      <c r="M557" s="3">
        <f t="shared" si="41"/>
        <v>1298</v>
      </c>
      <c r="N557" s="3">
        <f t="shared" si="42"/>
        <v>4400</v>
      </c>
      <c r="O557" s="3">
        <f t="shared" si="43"/>
        <v>15.038396851786413</v>
      </c>
      <c r="P557" s="3" t="str">
        <f t="shared" si="44"/>
        <v>Apr</v>
      </c>
      <c r="Q557" s="3" t="str">
        <f t="shared" si="40"/>
        <v>good profit</v>
      </c>
    </row>
    <row r="558" spans="1:17" x14ac:dyDescent="0.25">
      <c r="A558" s="3" t="s">
        <v>825</v>
      </c>
      <c r="B558" s="4">
        <v>45759</v>
      </c>
      <c r="C558" s="3" t="s">
        <v>2031</v>
      </c>
      <c r="D558" s="3" t="s">
        <v>2051</v>
      </c>
      <c r="E558" s="3" t="s">
        <v>2058</v>
      </c>
      <c r="F558" s="3" t="s">
        <v>2061</v>
      </c>
      <c r="G558" s="3">
        <v>7</v>
      </c>
      <c r="H558" s="3">
        <v>3200</v>
      </c>
      <c r="I558" s="3">
        <v>3840</v>
      </c>
      <c r="J558" s="3">
        <v>15.89</v>
      </c>
      <c r="K558" s="3">
        <v>22608.38</v>
      </c>
      <c r="L558" s="3">
        <v>208.38</v>
      </c>
      <c r="M558" s="3">
        <f t="shared" si="41"/>
        <v>427123.20000000001</v>
      </c>
      <c r="N558" s="3">
        <f t="shared" si="42"/>
        <v>22400</v>
      </c>
      <c r="O558" s="3">
        <f t="shared" si="43"/>
        <v>0.92169363749193878</v>
      </c>
      <c r="P558" s="3" t="str">
        <f t="shared" si="44"/>
        <v>Apr</v>
      </c>
      <c r="Q558" s="3" t="str">
        <f t="shared" si="40"/>
        <v>low profit</v>
      </c>
    </row>
    <row r="559" spans="1:17" x14ac:dyDescent="0.25">
      <c r="A559" s="3" t="s">
        <v>1221</v>
      </c>
      <c r="B559" s="4">
        <v>45759</v>
      </c>
      <c r="C559" s="3" t="s">
        <v>2014</v>
      </c>
      <c r="D559" s="3" t="s">
        <v>2034</v>
      </c>
      <c r="E559" s="3" t="s">
        <v>2052</v>
      </c>
      <c r="F559" s="3" t="s">
        <v>2060</v>
      </c>
      <c r="G559" s="3">
        <v>2</v>
      </c>
      <c r="H559" s="3">
        <v>4500</v>
      </c>
      <c r="I559" s="3">
        <v>5220</v>
      </c>
      <c r="J559" s="3">
        <v>12.75</v>
      </c>
      <c r="K559" s="3">
        <v>9108.7099999999991</v>
      </c>
      <c r="L559" s="3">
        <v>108.71</v>
      </c>
      <c r="M559" s="3">
        <f t="shared" si="41"/>
        <v>133110</v>
      </c>
      <c r="N559" s="3">
        <f t="shared" si="42"/>
        <v>9000</v>
      </c>
      <c r="O559" s="3">
        <f t="shared" si="43"/>
        <v>1.19347306040043</v>
      </c>
      <c r="P559" s="3" t="str">
        <f t="shared" si="44"/>
        <v>Apr</v>
      </c>
      <c r="Q559" s="3" t="str">
        <f t="shared" si="40"/>
        <v>low profit</v>
      </c>
    </row>
    <row r="560" spans="1:17" x14ac:dyDescent="0.25">
      <c r="A560" s="3" t="s">
        <v>1504</v>
      </c>
      <c r="B560" s="4">
        <v>45759</v>
      </c>
      <c r="C560" s="3" t="s">
        <v>2019</v>
      </c>
      <c r="D560" s="3" t="s">
        <v>2039</v>
      </c>
      <c r="E560" s="3" t="s">
        <v>2053</v>
      </c>
      <c r="F560" s="3" t="s">
        <v>2060</v>
      </c>
      <c r="G560" s="3">
        <v>5</v>
      </c>
      <c r="H560" s="3">
        <v>900</v>
      </c>
      <c r="I560" s="3">
        <v>1152</v>
      </c>
      <c r="J560" s="3">
        <v>11.47</v>
      </c>
      <c r="K560" s="3">
        <v>5099.5200000000004</v>
      </c>
      <c r="L560" s="3">
        <v>599.52</v>
      </c>
      <c r="M560" s="3">
        <f t="shared" si="41"/>
        <v>66067.199999999997</v>
      </c>
      <c r="N560" s="3">
        <f t="shared" si="42"/>
        <v>4500</v>
      </c>
      <c r="O560" s="3">
        <f t="shared" si="43"/>
        <v>11.756400602409638</v>
      </c>
      <c r="P560" s="3" t="str">
        <f t="shared" si="44"/>
        <v>Apr</v>
      </c>
      <c r="Q560" s="3" t="str">
        <f t="shared" si="40"/>
        <v>good profit</v>
      </c>
    </row>
    <row r="561" spans="1:17" x14ac:dyDescent="0.25">
      <c r="A561" s="3" t="s">
        <v>1512</v>
      </c>
      <c r="B561" s="4">
        <v>45759</v>
      </c>
      <c r="C561" s="3" t="s">
        <v>2029</v>
      </c>
      <c r="D561" s="3" t="s">
        <v>2049</v>
      </c>
      <c r="E561" s="3" t="s">
        <v>2055</v>
      </c>
      <c r="F561" s="3" t="s">
        <v>2060</v>
      </c>
      <c r="G561" s="3">
        <v>1</v>
      </c>
      <c r="H561" s="3">
        <v>1200</v>
      </c>
      <c r="I561" s="3">
        <v>1464</v>
      </c>
      <c r="J561" s="3">
        <v>18.829999999999998</v>
      </c>
      <c r="K561" s="3">
        <v>1188.33</v>
      </c>
      <c r="L561" s="3">
        <v>-11.67</v>
      </c>
      <c r="M561" s="3">
        <f t="shared" si="41"/>
        <v>27567.119999999999</v>
      </c>
      <c r="N561" s="3">
        <f t="shared" si="42"/>
        <v>1200</v>
      </c>
      <c r="O561" s="3">
        <f t="shared" si="43"/>
        <v>-0.98205044053419521</v>
      </c>
      <c r="P561" s="3" t="str">
        <f t="shared" si="44"/>
        <v>Apr</v>
      </c>
      <c r="Q561" s="3" t="str">
        <f t="shared" si="40"/>
        <v>loss</v>
      </c>
    </row>
    <row r="562" spans="1:17" x14ac:dyDescent="0.25">
      <c r="A562" s="3" t="s">
        <v>1606</v>
      </c>
      <c r="B562" s="4">
        <v>45759</v>
      </c>
      <c r="C562" s="3" t="s">
        <v>2012</v>
      </c>
      <c r="D562" s="3" t="s">
        <v>2032</v>
      </c>
      <c r="E562" s="3" t="s">
        <v>2052</v>
      </c>
      <c r="F562" s="3" t="s">
        <v>2062</v>
      </c>
      <c r="G562" s="3">
        <v>5</v>
      </c>
      <c r="H562" s="3">
        <v>6500</v>
      </c>
      <c r="I562" s="3">
        <v>8125</v>
      </c>
      <c r="J562" s="3">
        <v>21.64</v>
      </c>
      <c r="K562" s="3">
        <v>31834.54</v>
      </c>
      <c r="L562" s="3">
        <v>-665.46</v>
      </c>
      <c r="M562" s="3">
        <f t="shared" si="41"/>
        <v>879125</v>
      </c>
      <c r="N562" s="3">
        <f t="shared" si="42"/>
        <v>32500</v>
      </c>
      <c r="O562" s="3">
        <f t="shared" si="43"/>
        <v>-2.0903710246794835</v>
      </c>
      <c r="P562" s="3" t="str">
        <f t="shared" si="44"/>
        <v>Apr</v>
      </c>
      <c r="Q562" s="3" t="str">
        <f t="shared" si="40"/>
        <v>loss</v>
      </c>
    </row>
    <row r="563" spans="1:17" x14ac:dyDescent="0.25">
      <c r="A563" s="3" t="s">
        <v>1886</v>
      </c>
      <c r="B563" s="4">
        <v>45759</v>
      </c>
      <c r="C563" s="3" t="s">
        <v>2018</v>
      </c>
      <c r="D563" s="3" t="s">
        <v>2038</v>
      </c>
      <c r="E563" s="3" t="s">
        <v>2053</v>
      </c>
      <c r="F563" s="3" t="s">
        <v>2059</v>
      </c>
      <c r="G563" s="3">
        <v>1</v>
      </c>
      <c r="H563" s="3">
        <v>500</v>
      </c>
      <c r="I563" s="3">
        <v>610</v>
      </c>
      <c r="J563" s="3">
        <v>9.1999999999999993</v>
      </c>
      <c r="K563" s="3">
        <v>553.88</v>
      </c>
      <c r="L563" s="3">
        <v>53.88</v>
      </c>
      <c r="M563" s="3">
        <f t="shared" si="41"/>
        <v>5612</v>
      </c>
      <c r="N563" s="3">
        <f t="shared" si="42"/>
        <v>500</v>
      </c>
      <c r="O563" s="3">
        <f t="shared" si="43"/>
        <v>9.727738860402976</v>
      </c>
      <c r="P563" s="3" t="str">
        <f t="shared" si="44"/>
        <v>Apr</v>
      </c>
      <c r="Q563" s="3" t="str">
        <f t="shared" si="40"/>
        <v>low profit</v>
      </c>
    </row>
    <row r="564" spans="1:17" x14ac:dyDescent="0.25">
      <c r="A564" s="3" t="s">
        <v>160</v>
      </c>
      <c r="B564" s="4">
        <v>45760</v>
      </c>
      <c r="C564" s="3" t="s">
        <v>2012</v>
      </c>
      <c r="D564" s="3" t="s">
        <v>2032</v>
      </c>
      <c r="E564" s="3" t="s">
        <v>2052</v>
      </c>
      <c r="F564" s="3" t="s">
        <v>2060</v>
      </c>
      <c r="G564" s="3">
        <v>8</v>
      </c>
      <c r="H564" s="3">
        <v>6500</v>
      </c>
      <c r="I564" s="3">
        <v>8125</v>
      </c>
      <c r="J564" s="3">
        <v>7.78</v>
      </c>
      <c r="K564" s="3">
        <v>59942.51</v>
      </c>
      <c r="L564" s="3">
        <v>7942.51</v>
      </c>
      <c r="M564" s="3">
        <f t="shared" si="41"/>
        <v>505700</v>
      </c>
      <c r="N564" s="3">
        <f t="shared" si="42"/>
        <v>52000</v>
      </c>
      <c r="O564" s="3">
        <f t="shared" si="43"/>
        <v>13.25021257868581</v>
      </c>
      <c r="P564" s="3" t="str">
        <f t="shared" si="44"/>
        <v>Apr</v>
      </c>
      <c r="Q564" s="3" t="str">
        <f t="shared" si="40"/>
        <v>good profit</v>
      </c>
    </row>
    <row r="565" spans="1:17" x14ac:dyDescent="0.25">
      <c r="A565" s="3" t="s">
        <v>995</v>
      </c>
      <c r="B565" s="4">
        <v>45760</v>
      </c>
      <c r="C565" s="3" t="s">
        <v>2030</v>
      </c>
      <c r="D565" s="3" t="s">
        <v>2050</v>
      </c>
      <c r="E565" s="3" t="s">
        <v>2058</v>
      </c>
      <c r="F565" s="3" t="s">
        <v>2061</v>
      </c>
      <c r="G565" s="3">
        <v>4</v>
      </c>
      <c r="H565" s="3">
        <v>1800</v>
      </c>
      <c r="I565" s="3">
        <v>2124</v>
      </c>
      <c r="J565" s="3">
        <v>21.12</v>
      </c>
      <c r="K565" s="3">
        <v>6701.95</v>
      </c>
      <c r="L565" s="3">
        <v>-498.05</v>
      </c>
      <c r="M565" s="3">
        <f t="shared" si="41"/>
        <v>179435.52000000002</v>
      </c>
      <c r="N565" s="3">
        <f t="shared" si="42"/>
        <v>7200</v>
      </c>
      <c r="O565" s="3">
        <f t="shared" si="43"/>
        <v>-7.4314192138109068</v>
      </c>
      <c r="P565" s="3" t="str">
        <f t="shared" si="44"/>
        <v>Apr</v>
      </c>
      <c r="Q565" s="3" t="str">
        <f t="shared" si="40"/>
        <v>loss</v>
      </c>
    </row>
    <row r="566" spans="1:17" x14ac:dyDescent="0.25">
      <c r="A566" s="3" t="s">
        <v>1801</v>
      </c>
      <c r="B566" s="4">
        <v>45760</v>
      </c>
      <c r="C566" s="3" t="s">
        <v>2020</v>
      </c>
      <c r="D566" s="3" t="s">
        <v>2040</v>
      </c>
      <c r="E566" s="3" t="s">
        <v>2053</v>
      </c>
      <c r="F566" s="3" t="s">
        <v>2061</v>
      </c>
      <c r="G566" s="3">
        <v>9</v>
      </c>
      <c r="H566" s="3">
        <v>350</v>
      </c>
      <c r="I566" s="3">
        <v>455</v>
      </c>
      <c r="J566" s="3">
        <v>5.61</v>
      </c>
      <c r="K566" s="3">
        <v>3865.13</v>
      </c>
      <c r="L566" s="3">
        <v>715.13</v>
      </c>
      <c r="M566" s="3">
        <f t="shared" si="41"/>
        <v>22972.95</v>
      </c>
      <c r="N566" s="3">
        <f t="shared" si="42"/>
        <v>3150</v>
      </c>
      <c r="O566" s="3">
        <f t="shared" si="43"/>
        <v>18.502094366813019</v>
      </c>
      <c r="P566" s="3" t="str">
        <f t="shared" si="44"/>
        <v>Apr</v>
      </c>
      <c r="Q566" s="3" t="str">
        <f t="shared" si="40"/>
        <v>good profit</v>
      </c>
    </row>
    <row r="567" spans="1:17" x14ac:dyDescent="0.25">
      <c r="A567" s="3" t="s">
        <v>1836</v>
      </c>
      <c r="B567" s="4">
        <v>45760</v>
      </c>
      <c r="C567" s="3" t="s">
        <v>2023</v>
      </c>
      <c r="D567" s="3" t="s">
        <v>2043</v>
      </c>
      <c r="E567" s="3" t="s">
        <v>2053</v>
      </c>
      <c r="F567" s="3" t="s">
        <v>2059</v>
      </c>
      <c r="G567" s="3">
        <v>9</v>
      </c>
      <c r="H567" s="3">
        <v>550</v>
      </c>
      <c r="I567" s="3">
        <v>742.5</v>
      </c>
      <c r="J567" s="3">
        <v>7.78</v>
      </c>
      <c r="K567" s="3">
        <v>6162.66</v>
      </c>
      <c r="L567" s="3">
        <v>1212.6600000000001</v>
      </c>
      <c r="M567" s="3">
        <f t="shared" si="41"/>
        <v>51989.85</v>
      </c>
      <c r="N567" s="3">
        <f t="shared" si="42"/>
        <v>4950</v>
      </c>
      <c r="O567" s="3">
        <f t="shared" si="43"/>
        <v>19.677541840698662</v>
      </c>
      <c r="P567" s="3" t="str">
        <f t="shared" si="44"/>
        <v>Apr</v>
      </c>
      <c r="Q567" s="3" t="str">
        <f t="shared" si="40"/>
        <v>good profit</v>
      </c>
    </row>
    <row r="568" spans="1:17" x14ac:dyDescent="0.25">
      <c r="A568" s="3" t="s">
        <v>37</v>
      </c>
      <c r="B568" s="4">
        <v>45761</v>
      </c>
      <c r="C568" s="3" t="s">
        <v>2021</v>
      </c>
      <c r="D568" s="3" t="s">
        <v>2041</v>
      </c>
      <c r="E568" s="3" t="s">
        <v>2056</v>
      </c>
      <c r="F568" s="3" t="s">
        <v>2059</v>
      </c>
      <c r="G568" s="3">
        <v>10</v>
      </c>
      <c r="H568" s="3">
        <v>300</v>
      </c>
      <c r="I568" s="3">
        <v>405</v>
      </c>
      <c r="J568" s="3">
        <v>6.07</v>
      </c>
      <c r="K568" s="3">
        <v>3804.18</v>
      </c>
      <c r="L568" s="3">
        <v>804.18</v>
      </c>
      <c r="M568" s="3">
        <f t="shared" si="41"/>
        <v>24583.5</v>
      </c>
      <c r="N568" s="3">
        <f t="shared" si="42"/>
        <v>3000</v>
      </c>
      <c r="O568" s="3">
        <f t="shared" si="43"/>
        <v>21.139378262858223</v>
      </c>
      <c r="P568" s="3" t="str">
        <f t="shared" si="44"/>
        <v>Apr</v>
      </c>
      <c r="Q568" s="3" t="str">
        <f t="shared" si="40"/>
        <v>good profit</v>
      </c>
    </row>
    <row r="569" spans="1:17" x14ac:dyDescent="0.25">
      <c r="A569" s="3" t="s">
        <v>387</v>
      </c>
      <c r="B569" s="4">
        <v>45761</v>
      </c>
      <c r="C569" s="3" t="s">
        <v>2012</v>
      </c>
      <c r="D569" s="3" t="s">
        <v>2032</v>
      </c>
      <c r="E569" s="3" t="s">
        <v>2052</v>
      </c>
      <c r="F569" s="3" t="s">
        <v>2059</v>
      </c>
      <c r="G569" s="3">
        <v>6</v>
      </c>
      <c r="H569" s="3">
        <v>6500</v>
      </c>
      <c r="I569" s="3">
        <v>8125</v>
      </c>
      <c r="J569" s="3">
        <v>19.489999999999998</v>
      </c>
      <c r="K569" s="3">
        <v>39249.72</v>
      </c>
      <c r="L569" s="3">
        <v>249.72</v>
      </c>
      <c r="M569" s="3">
        <f t="shared" si="41"/>
        <v>950137.49999999988</v>
      </c>
      <c r="N569" s="3">
        <f t="shared" si="42"/>
        <v>39000</v>
      </c>
      <c r="O569" s="3">
        <f t="shared" si="43"/>
        <v>0.63623383810126544</v>
      </c>
      <c r="P569" s="3" t="str">
        <f t="shared" si="44"/>
        <v>Apr</v>
      </c>
      <c r="Q569" s="3" t="str">
        <f t="shared" si="40"/>
        <v>low profit</v>
      </c>
    </row>
    <row r="570" spans="1:17" x14ac:dyDescent="0.25">
      <c r="A570" s="3" t="s">
        <v>683</v>
      </c>
      <c r="B570" s="4">
        <v>45761</v>
      </c>
      <c r="C570" s="3" t="s">
        <v>2022</v>
      </c>
      <c r="D570" s="3" t="s">
        <v>2042</v>
      </c>
      <c r="E570" s="3" t="s">
        <v>2053</v>
      </c>
      <c r="F570" s="3" t="s">
        <v>2062</v>
      </c>
      <c r="G570" s="3">
        <v>6</v>
      </c>
      <c r="H570" s="3">
        <v>8500</v>
      </c>
      <c r="I570" s="3">
        <v>9520</v>
      </c>
      <c r="J570" s="3">
        <v>20.170000000000002</v>
      </c>
      <c r="K570" s="3">
        <v>45599.96</v>
      </c>
      <c r="L570" s="3">
        <v>-5400.04</v>
      </c>
      <c r="M570" s="3">
        <f t="shared" si="41"/>
        <v>1152110.4000000001</v>
      </c>
      <c r="N570" s="3">
        <f t="shared" si="42"/>
        <v>51000</v>
      </c>
      <c r="O570" s="3">
        <f t="shared" si="43"/>
        <v>-11.842203370353834</v>
      </c>
      <c r="P570" s="3" t="str">
        <f t="shared" si="44"/>
        <v>Apr</v>
      </c>
      <c r="Q570" s="3" t="str">
        <f t="shared" si="40"/>
        <v>loss</v>
      </c>
    </row>
    <row r="571" spans="1:17" x14ac:dyDescent="0.25">
      <c r="A571" s="3" t="s">
        <v>1176</v>
      </c>
      <c r="B571" s="4">
        <v>45761</v>
      </c>
      <c r="C571" s="3" t="s">
        <v>2016</v>
      </c>
      <c r="D571" s="3" t="s">
        <v>2036</v>
      </c>
      <c r="E571" s="3" t="s">
        <v>2052</v>
      </c>
      <c r="F571" s="3" t="s">
        <v>2060</v>
      </c>
      <c r="G571" s="3">
        <v>5</v>
      </c>
      <c r="H571" s="3">
        <v>900</v>
      </c>
      <c r="I571" s="3">
        <v>1170</v>
      </c>
      <c r="J571" s="3">
        <v>0.12</v>
      </c>
      <c r="K571" s="3">
        <v>5843.15</v>
      </c>
      <c r="L571" s="3">
        <v>1343.15</v>
      </c>
      <c r="M571" s="3">
        <f t="shared" si="41"/>
        <v>702</v>
      </c>
      <c r="N571" s="3">
        <f t="shared" si="42"/>
        <v>4500</v>
      </c>
      <c r="O571" s="3">
        <f t="shared" si="43"/>
        <v>22.986745163139748</v>
      </c>
      <c r="P571" s="3" t="str">
        <f t="shared" si="44"/>
        <v>Apr</v>
      </c>
      <c r="Q571" s="3" t="str">
        <f t="shared" si="40"/>
        <v>good profit</v>
      </c>
    </row>
    <row r="572" spans="1:17" x14ac:dyDescent="0.25">
      <c r="A572" s="3" t="s">
        <v>1303</v>
      </c>
      <c r="B572" s="4">
        <v>45761</v>
      </c>
      <c r="C572" s="3" t="s">
        <v>2030</v>
      </c>
      <c r="D572" s="3" t="s">
        <v>2050</v>
      </c>
      <c r="E572" s="3" t="s">
        <v>2058</v>
      </c>
      <c r="F572" s="3" t="s">
        <v>2061</v>
      </c>
      <c r="G572" s="3">
        <v>7</v>
      </c>
      <c r="H572" s="3">
        <v>1800</v>
      </c>
      <c r="I572" s="3">
        <v>2124</v>
      </c>
      <c r="J572" s="3">
        <v>6.99</v>
      </c>
      <c r="K572" s="3">
        <v>13829.28</v>
      </c>
      <c r="L572" s="3">
        <v>1229.28</v>
      </c>
      <c r="M572" s="3">
        <f t="shared" si="41"/>
        <v>103927.32</v>
      </c>
      <c r="N572" s="3">
        <f t="shared" si="42"/>
        <v>12600</v>
      </c>
      <c r="O572" s="3">
        <f t="shared" si="43"/>
        <v>8.8889660199229468</v>
      </c>
      <c r="P572" s="3" t="str">
        <f t="shared" si="44"/>
        <v>Apr</v>
      </c>
      <c r="Q572" s="3" t="str">
        <f t="shared" si="40"/>
        <v>low profit</v>
      </c>
    </row>
    <row r="573" spans="1:17" x14ac:dyDescent="0.25">
      <c r="A573" s="3" t="s">
        <v>1529</v>
      </c>
      <c r="B573" s="4">
        <v>45761</v>
      </c>
      <c r="C573" s="3" t="s">
        <v>2030</v>
      </c>
      <c r="D573" s="3" t="s">
        <v>2050</v>
      </c>
      <c r="E573" s="3" t="s">
        <v>2058</v>
      </c>
      <c r="F573" s="3" t="s">
        <v>2059</v>
      </c>
      <c r="G573" s="3">
        <v>7</v>
      </c>
      <c r="H573" s="3">
        <v>1800</v>
      </c>
      <c r="I573" s="3">
        <v>2124</v>
      </c>
      <c r="J573" s="3">
        <v>10</v>
      </c>
      <c r="K573" s="3">
        <v>13381.14</v>
      </c>
      <c r="L573" s="3">
        <v>781.14</v>
      </c>
      <c r="M573" s="3">
        <f t="shared" si="41"/>
        <v>148680</v>
      </c>
      <c r="N573" s="3">
        <f t="shared" si="42"/>
        <v>12600</v>
      </c>
      <c r="O573" s="3">
        <f t="shared" si="43"/>
        <v>5.8376192162999567</v>
      </c>
      <c r="P573" s="3" t="str">
        <f t="shared" si="44"/>
        <v>Apr</v>
      </c>
      <c r="Q573" s="3" t="str">
        <f t="shared" si="40"/>
        <v>low profit</v>
      </c>
    </row>
    <row r="574" spans="1:17" x14ac:dyDescent="0.25">
      <c r="A574" s="3" t="s">
        <v>1566</v>
      </c>
      <c r="B574" s="4">
        <v>45761</v>
      </c>
      <c r="C574" s="3" t="s">
        <v>2023</v>
      </c>
      <c r="D574" s="3" t="s">
        <v>2043</v>
      </c>
      <c r="E574" s="3" t="s">
        <v>2053</v>
      </c>
      <c r="F574" s="3" t="s">
        <v>2059</v>
      </c>
      <c r="G574" s="3">
        <v>1</v>
      </c>
      <c r="H574" s="3">
        <v>550</v>
      </c>
      <c r="I574" s="3">
        <v>742.5</v>
      </c>
      <c r="J574" s="3">
        <v>0</v>
      </c>
      <c r="K574" s="3">
        <v>742.5</v>
      </c>
      <c r="L574" s="3">
        <v>192.5</v>
      </c>
      <c r="M574" s="3">
        <f t="shared" si="41"/>
        <v>0</v>
      </c>
      <c r="N574" s="3">
        <f t="shared" si="42"/>
        <v>550</v>
      </c>
      <c r="O574" s="3">
        <f t="shared" si="43"/>
        <v>25.925925925925924</v>
      </c>
      <c r="P574" s="3" t="str">
        <f t="shared" si="44"/>
        <v>Apr</v>
      </c>
      <c r="Q574" s="3" t="str">
        <f t="shared" si="40"/>
        <v>good profit</v>
      </c>
    </row>
    <row r="575" spans="1:17" x14ac:dyDescent="0.25">
      <c r="A575" s="3" t="s">
        <v>1577</v>
      </c>
      <c r="B575" s="4">
        <v>45761</v>
      </c>
      <c r="C575" s="3" t="s">
        <v>2031</v>
      </c>
      <c r="D575" s="3" t="s">
        <v>2051</v>
      </c>
      <c r="E575" s="3" t="s">
        <v>2058</v>
      </c>
      <c r="F575" s="3" t="s">
        <v>2062</v>
      </c>
      <c r="G575" s="3">
        <v>6</v>
      </c>
      <c r="H575" s="3">
        <v>3200</v>
      </c>
      <c r="I575" s="3">
        <v>3840</v>
      </c>
      <c r="J575" s="3">
        <v>22.54</v>
      </c>
      <c r="K575" s="3">
        <v>17846.060000000001</v>
      </c>
      <c r="L575" s="3">
        <v>-1353.94</v>
      </c>
      <c r="M575" s="3">
        <f t="shared" si="41"/>
        <v>519321.59999999998</v>
      </c>
      <c r="N575" s="3">
        <f t="shared" si="42"/>
        <v>19200</v>
      </c>
      <c r="O575" s="3">
        <f t="shared" si="43"/>
        <v>-7.5867726545803382</v>
      </c>
      <c r="P575" s="3" t="str">
        <f t="shared" si="44"/>
        <v>Apr</v>
      </c>
      <c r="Q575" s="3" t="str">
        <f t="shared" si="40"/>
        <v>loss</v>
      </c>
    </row>
    <row r="576" spans="1:17" x14ac:dyDescent="0.25">
      <c r="A576" s="3" t="s">
        <v>1896</v>
      </c>
      <c r="B576" s="4">
        <v>45761</v>
      </c>
      <c r="C576" s="3" t="s">
        <v>2029</v>
      </c>
      <c r="D576" s="3" t="s">
        <v>2049</v>
      </c>
      <c r="E576" s="3" t="s">
        <v>2055</v>
      </c>
      <c r="F576" s="3" t="s">
        <v>2061</v>
      </c>
      <c r="G576" s="3">
        <v>3</v>
      </c>
      <c r="H576" s="3">
        <v>1200</v>
      </c>
      <c r="I576" s="3">
        <v>1464</v>
      </c>
      <c r="J576" s="3">
        <v>2.33</v>
      </c>
      <c r="K576" s="3">
        <v>4289.7700000000004</v>
      </c>
      <c r="L576" s="3">
        <v>689.77</v>
      </c>
      <c r="M576" s="3">
        <f t="shared" si="41"/>
        <v>10233.36</v>
      </c>
      <c r="N576" s="3">
        <f t="shared" si="42"/>
        <v>3600</v>
      </c>
      <c r="O576" s="3">
        <f t="shared" si="43"/>
        <v>16.079416845192167</v>
      </c>
      <c r="P576" s="3" t="str">
        <f t="shared" si="44"/>
        <v>Apr</v>
      </c>
      <c r="Q576" s="3" t="str">
        <f t="shared" si="40"/>
        <v>good profit</v>
      </c>
    </row>
    <row r="577" spans="1:17" x14ac:dyDescent="0.25">
      <c r="A577" s="3" t="s">
        <v>223</v>
      </c>
      <c r="B577" s="4">
        <v>45762</v>
      </c>
      <c r="C577" s="3" t="s">
        <v>2023</v>
      </c>
      <c r="D577" s="3" t="s">
        <v>2043</v>
      </c>
      <c r="E577" s="3" t="s">
        <v>2053</v>
      </c>
      <c r="F577" s="3" t="s">
        <v>2059</v>
      </c>
      <c r="G577" s="3">
        <v>3</v>
      </c>
      <c r="H577" s="3">
        <v>550</v>
      </c>
      <c r="I577" s="3">
        <v>742.5</v>
      </c>
      <c r="J577" s="3">
        <v>0</v>
      </c>
      <c r="K577" s="3">
        <v>2227.5</v>
      </c>
      <c r="L577" s="3">
        <v>577.5</v>
      </c>
      <c r="M577" s="3">
        <f t="shared" si="41"/>
        <v>0</v>
      </c>
      <c r="N577" s="3">
        <f t="shared" si="42"/>
        <v>1650</v>
      </c>
      <c r="O577" s="3">
        <f t="shared" si="43"/>
        <v>25.925925925925924</v>
      </c>
      <c r="P577" s="3" t="str">
        <f t="shared" si="44"/>
        <v>Apr</v>
      </c>
      <c r="Q577" s="3" t="str">
        <f t="shared" si="40"/>
        <v>good profit</v>
      </c>
    </row>
    <row r="578" spans="1:17" x14ac:dyDescent="0.25">
      <c r="A578" s="3" t="s">
        <v>290</v>
      </c>
      <c r="B578" s="4">
        <v>45762</v>
      </c>
      <c r="C578" s="3" t="s">
        <v>2023</v>
      </c>
      <c r="D578" s="3" t="s">
        <v>2043</v>
      </c>
      <c r="E578" s="3" t="s">
        <v>2053</v>
      </c>
      <c r="F578" s="3" t="s">
        <v>2059</v>
      </c>
      <c r="G578" s="3">
        <v>7</v>
      </c>
      <c r="H578" s="3">
        <v>550</v>
      </c>
      <c r="I578" s="3">
        <v>742.5</v>
      </c>
      <c r="J578" s="3">
        <v>10.5</v>
      </c>
      <c r="K578" s="3">
        <v>4651.96</v>
      </c>
      <c r="L578" s="3">
        <v>801.96</v>
      </c>
      <c r="M578" s="3">
        <f t="shared" si="41"/>
        <v>54573.75</v>
      </c>
      <c r="N578" s="3">
        <f t="shared" si="42"/>
        <v>3850</v>
      </c>
      <c r="O578" s="3">
        <f t="shared" si="43"/>
        <v>17.239185203656092</v>
      </c>
      <c r="P578" s="3" t="str">
        <f t="shared" si="44"/>
        <v>Apr</v>
      </c>
      <c r="Q578" s="3" t="str">
        <f t="shared" ref="Q578:Q641" si="45">IF(L578&lt;0,"loss",IF(O578&lt;10,"low profit","good profit"))</f>
        <v>good profit</v>
      </c>
    </row>
    <row r="579" spans="1:17" x14ac:dyDescent="0.25">
      <c r="A579" s="3" t="s">
        <v>1024</v>
      </c>
      <c r="B579" s="4">
        <v>45762</v>
      </c>
      <c r="C579" s="3" t="s">
        <v>2015</v>
      </c>
      <c r="D579" s="3" t="s">
        <v>2035</v>
      </c>
      <c r="E579" s="3" t="s">
        <v>2054</v>
      </c>
      <c r="F579" s="3" t="s">
        <v>2062</v>
      </c>
      <c r="G579" s="3">
        <v>2</v>
      </c>
      <c r="H579" s="3">
        <v>900</v>
      </c>
      <c r="I579" s="3">
        <v>1170</v>
      </c>
      <c r="J579" s="3">
        <v>5.25</v>
      </c>
      <c r="K579" s="3">
        <v>2217.23</v>
      </c>
      <c r="L579" s="3">
        <v>417.23</v>
      </c>
      <c r="M579" s="3">
        <f t="shared" ref="M579:M642" si="46">G579*I579*J579</f>
        <v>12285</v>
      </c>
      <c r="N579" s="3">
        <f t="shared" ref="N579:N642" si="47">G579*H579</f>
        <v>1800</v>
      </c>
      <c r="O579" s="3">
        <f t="shared" ref="O579:O642" si="48">IFERROR(L579/K579*100,0)</f>
        <v>18.817623791848387</v>
      </c>
      <c r="P579" s="3" t="str">
        <f t="shared" ref="P579:P642" si="49">TEXT(B579,"mmm")</f>
        <v>Apr</v>
      </c>
      <c r="Q579" s="3" t="str">
        <f t="shared" si="45"/>
        <v>good profit</v>
      </c>
    </row>
    <row r="580" spans="1:17" x14ac:dyDescent="0.25">
      <c r="A580" s="3" t="s">
        <v>1767</v>
      </c>
      <c r="B580" s="4">
        <v>45762</v>
      </c>
      <c r="C580" s="3" t="s">
        <v>2026</v>
      </c>
      <c r="D580" s="3" t="s">
        <v>2046</v>
      </c>
      <c r="E580" s="3" t="s">
        <v>2052</v>
      </c>
      <c r="F580" s="3" t="s">
        <v>2060</v>
      </c>
      <c r="G580" s="3">
        <v>4</v>
      </c>
      <c r="H580" s="3">
        <v>3000</v>
      </c>
      <c r="I580" s="3">
        <v>3600</v>
      </c>
      <c r="J580" s="3">
        <v>12.57</v>
      </c>
      <c r="K580" s="3">
        <v>12589.85</v>
      </c>
      <c r="L580" s="3">
        <v>589.85</v>
      </c>
      <c r="M580" s="3">
        <f t="shared" si="46"/>
        <v>181008</v>
      </c>
      <c r="N580" s="3">
        <f t="shared" si="47"/>
        <v>12000</v>
      </c>
      <c r="O580" s="3">
        <f t="shared" si="48"/>
        <v>4.6851233334789537</v>
      </c>
      <c r="P580" s="3" t="str">
        <f t="shared" si="49"/>
        <v>Apr</v>
      </c>
      <c r="Q580" s="3" t="str">
        <f t="shared" si="45"/>
        <v>low profit</v>
      </c>
    </row>
    <row r="581" spans="1:17" x14ac:dyDescent="0.25">
      <c r="A581" s="3" t="s">
        <v>23</v>
      </c>
      <c r="B581" s="4">
        <v>45763</v>
      </c>
      <c r="C581" s="3" t="s">
        <v>2019</v>
      </c>
      <c r="D581" s="3" t="s">
        <v>2039</v>
      </c>
      <c r="E581" s="3" t="s">
        <v>2053</v>
      </c>
      <c r="F581" s="3" t="s">
        <v>2059</v>
      </c>
      <c r="G581" s="3">
        <v>9</v>
      </c>
      <c r="H581" s="3">
        <v>900</v>
      </c>
      <c r="I581" s="3">
        <v>1152</v>
      </c>
      <c r="J581" s="3">
        <v>7.56</v>
      </c>
      <c r="K581" s="3">
        <v>9584.48</v>
      </c>
      <c r="L581" s="3">
        <v>1484.48</v>
      </c>
      <c r="M581" s="3">
        <f t="shared" si="46"/>
        <v>78382.080000000002</v>
      </c>
      <c r="N581" s="3">
        <f t="shared" si="47"/>
        <v>8100</v>
      </c>
      <c r="O581" s="3">
        <f t="shared" si="48"/>
        <v>15.488372869472315</v>
      </c>
      <c r="P581" s="3" t="str">
        <f t="shared" si="49"/>
        <v>Apr</v>
      </c>
      <c r="Q581" s="3" t="str">
        <f t="shared" si="45"/>
        <v>good profit</v>
      </c>
    </row>
    <row r="582" spans="1:17" x14ac:dyDescent="0.25">
      <c r="A582" s="3" t="s">
        <v>545</v>
      </c>
      <c r="B582" s="4">
        <v>45763</v>
      </c>
      <c r="C582" s="3" t="s">
        <v>2025</v>
      </c>
      <c r="D582" s="3" t="s">
        <v>2045</v>
      </c>
      <c r="E582" s="3" t="s">
        <v>2057</v>
      </c>
      <c r="F582" s="3" t="s">
        <v>2060</v>
      </c>
      <c r="G582" s="3">
        <v>2</v>
      </c>
      <c r="H582" s="3">
        <v>45</v>
      </c>
      <c r="I582" s="3">
        <v>63</v>
      </c>
      <c r="J582" s="3">
        <v>11.18</v>
      </c>
      <c r="K582" s="3">
        <v>111.91</v>
      </c>
      <c r="L582" s="3">
        <v>21.91</v>
      </c>
      <c r="M582" s="3">
        <f t="shared" si="46"/>
        <v>1408.68</v>
      </c>
      <c r="N582" s="3">
        <f t="shared" si="47"/>
        <v>90</v>
      </c>
      <c r="O582" s="3">
        <f t="shared" si="48"/>
        <v>19.578232508265572</v>
      </c>
      <c r="P582" s="3" t="str">
        <f t="shared" si="49"/>
        <v>Apr</v>
      </c>
      <c r="Q582" s="3" t="str">
        <f t="shared" si="45"/>
        <v>good profit</v>
      </c>
    </row>
    <row r="583" spans="1:17" x14ac:dyDescent="0.25">
      <c r="A583" s="3" t="s">
        <v>554</v>
      </c>
      <c r="B583" s="4">
        <v>45763</v>
      </c>
      <c r="C583" s="3" t="s">
        <v>2028</v>
      </c>
      <c r="D583" s="3" t="s">
        <v>2048</v>
      </c>
      <c r="E583" s="3" t="s">
        <v>2057</v>
      </c>
      <c r="F583" s="3" t="s">
        <v>2061</v>
      </c>
      <c r="G583" s="3">
        <v>8</v>
      </c>
      <c r="H583" s="3">
        <v>80</v>
      </c>
      <c r="I583" s="3">
        <v>116</v>
      </c>
      <c r="J583" s="3">
        <v>13.13</v>
      </c>
      <c r="K583" s="3">
        <v>806.13</v>
      </c>
      <c r="L583" s="3">
        <v>166.13</v>
      </c>
      <c r="M583" s="3">
        <f t="shared" si="46"/>
        <v>12184.640000000001</v>
      </c>
      <c r="N583" s="3">
        <f t="shared" si="47"/>
        <v>640</v>
      </c>
      <c r="O583" s="3">
        <f t="shared" si="48"/>
        <v>20.608338605435847</v>
      </c>
      <c r="P583" s="3" t="str">
        <f t="shared" si="49"/>
        <v>Apr</v>
      </c>
      <c r="Q583" s="3" t="str">
        <f t="shared" si="45"/>
        <v>good profit</v>
      </c>
    </row>
    <row r="584" spans="1:17" x14ac:dyDescent="0.25">
      <c r="A584" s="3" t="s">
        <v>960</v>
      </c>
      <c r="B584" s="4">
        <v>45763</v>
      </c>
      <c r="C584" s="3" t="s">
        <v>2025</v>
      </c>
      <c r="D584" s="3" t="s">
        <v>2045</v>
      </c>
      <c r="E584" s="3" t="s">
        <v>2057</v>
      </c>
      <c r="F584" s="3" t="s">
        <v>2060</v>
      </c>
      <c r="G584" s="3">
        <v>6</v>
      </c>
      <c r="H584" s="3">
        <v>45</v>
      </c>
      <c r="I584" s="3">
        <v>63</v>
      </c>
      <c r="J584" s="3">
        <v>0</v>
      </c>
      <c r="K584" s="3">
        <v>378</v>
      </c>
      <c r="L584" s="3">
        <v>108</v>
      </c>
      <c r="M584" s="3">
        <f t="shared" si="46"/>
        <v>0</v>
      </c>
      <c r="N584" s="3">
        <f t="shared" si="47"/>
        <v>270</v>
      </c>
      <c r="O584" s="3">
        <f t="shared" si="48"/>
        <v>28.571428571428569</v>
      </c>
      <c r="P584" s="3" t="str">
        <f t="shared" si="49"/>
        <v>Apr</v>
      </c>
      <c r="Q584" s="3" t="str">
        <f t="shared" si="45"/>
        <v>good profit</v>
      </c>
    </row>
    <row r="585" spans="1:17" x14ac:dyDescent="0.25">
      <c r="A585" s="3" t="s">
        <v>501</v>
      </c>
      <c r="B585" s="4">
        <v>45764</v>
      </c>
      <c r="C585" s="3" t="s">
        <v>2026</v>
      </c>
      <c r="D585" s="3" t="s">
        <v>2046</v>
      </c>
      <c r="E585" s="3" t="s">
        <v>2052</v>
      </c>
      <c r="F585" s="3" t="s">
        <v>2059</v>
      </c>
      <c r="G585" s="3">
        <v>4</v>
      </c>
      <c r="H585" s="3">
        <v>3000</v>
      </c>
      <c r="I585" s="3">
        <v>3600</v>
      </c>
      <c r="J585" s="3">
        <v>11.68</v>
      </c>
      <c r="K585" s="3">
        <v>12717.53</v>
      </c>
      <c r="L585" s="3">
        <v>717.53</v>
      </c>
      <c r="M585" s="3">
        <f t="shared" si="46"/>
        <v>168192</v>
      </c>
      <c r="N585" s="3">
        <f t="shared" si="47"/>
        <v>12000</v>
      </c>
      <c r="O585" s="3">
        <f t="shared" si="48"/>
        <v>5.6420547071640481</v>
      </c>
      <c r="P585" s="3" t="str">
        <f t="shared" si="49"/>
        <v>Apr</v>
      </c>
      <c r="Q585" s="3" t="str">
        <f t="shared" si="45"/>
        <v>low profit</v>
      </c>
    </row>
    <row r="586" spans="1:17" x14ac:dyDescent="0.25">
      <c r="A586" s="3" t="s">
        <v>563</v>
      </c>
      <c r="B586" s="4">
        <v>45764</v>
      </c>
      <c r="C586" s="3" t="s">
        <v>2021</v>
      </c>
      <c r="D586" s="3" t="s">
        <v>2041</v>
      </c>
      <c r="E586" s="3" t="s">
        <v>2056</v>
      </c>
      <c r="F586" s="3" t="s">
        <v>2059</v>
      </c>
      <c r="G586" s="3">
        <v>7</v>
      </c>
      <c r="H586" s="3">
        <v>300</v>
      </c>
      <c r="I586" s="3">
        <v>405</v>
      </c>
      <c r="J586" s="3">
        <v>12.42</v>
      </c>
      <c r="K586" s="3">
        <v>2482.9899999999998</v>
      </c>
      <c r="L586" s="3">
        <v>382.99</v>
      </c>
      <c r="M586" s="3">
        <f t="shared" si="46"/>
        <v>35210.699999999997</v>
      </c>
      <c r="N586" s="3">
        <f t="shared" si="47"/>
        <v>2100</v>
      </c>
      <c r="O586" s="3">
        <f t="shared" si="48"/>
        <v>15.424548628870838</v>
      </c>
      <c r="P586" s="3" t="str">
        <f t="shared" si="49"/>
        <v>Apr</v>
      </c>
      <c r="Q586" s="3" t="str">
        <f t="shared" si="45"/>
        <v>good profit</v>
      </c>
    </row>
    <row r="587" spans="1:17" x14ac:dyDescent="0.25">
      <c r="A587" s="3" t="s">
        <v>701</v>
      </c>
      <c r="B587" s="4">
        <v>45764</v>
      </c>
      <c r="C587" s="3" t="s">
        <v>2015</v>
      </c>
      <c r="D587" s="3" t="s">
        <v>2035</v>
      </c>
      <c r="E587" s="3" t="s">
        <v>2054</v>
      </c>
      <c r="F587" s="3" t="s">
        <v>2060</v>
      </c>
      <c r="G587" s="3">
        <v>1</v>
      </c>
      <c r="H587" s="3">
        <v>900</v>
      </c>
      <c r="I587" s="3">
        <v>1170</v>
      </c>
      <c r="J587" s="3">
        <v>19.14</v>
      </c>
      <c r="K587" s="3">
        <v>946.07</v>
      </c>
      <c r="L587" s="3">
        <v>46.07</v>
      </c>
      <c r="M587" s="3">
        <f t="shared" si="46"/>
        <v>22393.8</v>
      </c>
      <c r="N587" s="3">
        <f t="shared" si="47"/>
        <v>900</v>
      </c>
      <c r="O587" s="3">
        <f t="shared" si="48"/>
        <v>4.8696185271702932</v>
      </c>
      <c r="P587" s="3" t="str">
        <f t="shared" si="49"/>
        <v>Apr</v>
      </c>
      <c r="Q587" s="3" t="str">
        <f t="shared" si="45"/>
        <v>low profit</v>
      </c>
    </row>
    <row r="588" spans="1:17" x14ac:dyDescent="0.25">
      <c r="A588" s="3" t="s">
        <v>1061</v>
      </c>
      <c r="B588" s="4">
        <v>45764</v>
      </c>
      <c r="C588" s="3" t="s">
        <v>2025</v>
      </c>
      <c r="D588" s="3" t="s">
        <v>2045</v>
      </c>
      <c r="E588" s="3" t="s">
        <v>2057</v>
      </c>
      <c r="F588" s="3" t="s">
        <v>2061</v>
      </c>
      <c r="G588" s="3">
        <v>5</v>
      </c>
      <c r="H588" s="3">
        <v>45</v>
      </c>
      <c r="I588" s="3">
        <v>63</v>
      </c>
      <c r="J588" s="3">
        <v>2.72</v>
      </c>
      <c r="K588" s="3">
        <v>306.44</v>
      </c>
      <c r="L588" s="3">
        <v>81.44</v>
      </c>
      <c r="M588" s="3">
        <f t="shared" si="46"/>
        <v>856.80000000000007</v>
      </c>
      <c r="N588" s="3">
        <f t="shared" si="47"/>
        <v>225</v>
      </c>
      <c r="O588" s="3">
        <f t="shared" si="48"/>
        <v>26.576164991515466</v>
      </c>
      <c r="P588" s="3" t="str">
        <f t="shared" si="49"/>
        <v>Apr</v>
      </c>
      <c r="Q588" s="3" t="str">
        <f t="shared" si="45"/>
        <v>good profit</v>
      </c>
    </row>
    <row r="589" spans="1:17" x14ac:dyDescent="0.25">
      <c r="A589" s="3" t="s">
        <v>1407</v>
      </c>
      <c r="B589" s="4">
        <v>45764</v>
      </c>
      <c r="C589" s="3" t="s">
        <v>2026</v>
      </c>
      <c r="D589" s="3" t="s">
        <v>2046</v>
      </c>
      <c r="E589" s="3" t="s">
        <v>2052</v>
      </c>
      <c r="F589" s="3" t="s">
        <v>2061</v>
      </c>
      <c r="G589" s="3">
        <v>4</v>
      </c>
      <c r="H589" s="3">
        <v>3000</v>
      </c>
      <c r="I589" s="3">
        <v>3600</v>
      </c>
      <c r="J589" s="3">
        <v>13.85</v>
      </c>
      <c r="K589" s="3">
        <v>12405.06</v>
      </c>
      <c r="L589" s="3">
        <v>405.06</v>
      </c>
      <c r="M589" s="3">
        <f t="shared" si="46"/>
        <v>199440</v>
      </c>
      <c r="N589" s="3">
        <f t="shared" si="47"/>
        <v>12000</v>
      </c>
      <c r="O589" s="3">
        <f t="shared" si="48"/>
        <v>3.2652804581356318</v>
      </c>
      <c r="P589" s="3" t="str">
        <f t="shared" si="49"/>
        <v>Apr</v>
      </c>
      <c r="Q589" s="3" t="str">
        <f t="shared" si="45"/>
        <v>low profit</v>
      </c>
    </row>
    <row r="590" spans="1:17" x14ac:dyDescent="0.25">
      <c r="A590" s="3" t="s">
        <v>1681</v>
      </c>
      <c r="B590" s="4">
        <v>45764</v>
      </c>
      <c r="C590" s="3" t="s">
        <v>2020</v>
      </c>
      <c r="D590" s="3" t="s">
        <v>2040</v>
      </c>
      <c r="E590" s="3" t="s">
        <v>2053</v>
      </c>
      <c r="F590" s="3" t="s">
        <v>2059</v>
      </c>
      <c r="G590" s="3">
        <v>9</v>
      </c>
      <c r="H590" s="3">
        <v>350</v>
      </c>
      <c r="I590" s="3">
        <v>455</v>
      </c>
      <c r="J590" s="3">
        <v>16.07</v>
      </c>
      <c r="K590" s="3">
        <v>3436.99</v>
      </c>
      <c r="L590" s="3">
        <v>286.99</v>
      </c>
      <c r="M590" s="3">
        <f t="shared" si="46"/>
        <v>65806.649999999994</v>
      </c>
      <c r="N590" s="3">
        <f t="shared" si="47"/>
        <v>3150</v>
      </c>
      <c r="O590" s="3">
        <f t="shared" si="48"/>
        <v>8.3500388421263967</v>
      </c>
      <c r="P590" s="3" t="str">
        <f t="shared" si="49"/>
        <v>Apr</v>
      </c>
      <c r="Q590" s="3" t="str">
        <f t="shared" si="45"/>
        <v>low profit</v>
      </c>
    </row>
    <row r="591" spans="1:17" x14ac:dyDescent="0.25">
      <c r="A591" s="3" t="s">
        <v>373</v>
      </c>
      <c r="B591" s="4">
        <v>45765</v>
      </c>
      <c r="C591" s="3" t="s">
        <v>2024</v>
      </c>
      <c r="D591" s="3" t="s">
        <v>2044</v>
      </c>
      <c r="E591" s="3" t="s">
        <v>2055</v>
      </c>
      <c r="F591" s="3" t="s">
        <v>2060</v>
      </c>
      <c r="G591" s="3">
        <v>3</v>
      </c>
      <c r="H591" s="3">
        <v>180</v>
      </c>
      <c r="I591" s="3">
        <v>243</v>
      </c>
      <c r="J591" s="3">
        <v>4.2300000000000004</v>
      </c>
      <c r="K591" s="3">
        <v>698.17</v>
      </c>
      <c r="L591" s="3">
        <v>158.16999999999999</v>
      </c>
      <c r="M591" s="3">
        <f t="shared" si="46"/>
        <v>3083.6700000000005</v>
      </c>
      <c r="N591" s="3">
        <f t="shared" si="47"/>
        <v>540</v>
      </c>
      <c r="O591" s="3">
        <f t="shared" si="48"/>
        <v>22.654940773737057</v>
      </c>
      <c r="P591" s="3" t="str">
        <f t="shared" si="49"/>
        <v>Apr</v>
      </c>
      <c r="Q591" s="3" t="str">
        <f t="shared" si="45"/>
        <v>good profit</v>
      </c>
    </row>
    <row r="592" spans="1:17" x14ac:dyDescent="0.25">
      <c r="A592" s="3" t="s">
        <v>765</v>
      </c>
      <c r="B592" s="4">
        <v>45765</v>
      </c>
      <c r="C592" s="3" t="s">
        <v>2025</v>
      </c>
      <c r="D592" s="3" t="s">
        <v>2045</v>
      </c>
      <c r="E592" s="3" t="s">
        <v>2057</v>
      </c>
      <c r="F592" s="3" t="s">
        <v>2061</v>
      </c>
      <c r="G592" s="3">
        <v>1</v>
      </c>
      <c r="H592" s="3">
        <v>45</v>
      </c>
      <c r="I592" s="3">
        <v>63</v>
      </c>
      <c r="J592" s="3">
        <v>19.12</v>
      </c>
      <c r="K592" s="3">
        <v>50.95</v>
      </c>
      <c r="L592" s="3">
        <v>5.95</v>
      </c>
      <c r="M592" s="3">
        <f t="shared" si="46"/>
        <v>1204.5600000000002</v>
      </c>
      <c r="N592" s="3">
        <f t="shared" si="47"/>
        <v>45</v>
      </c>
      <c r="O592" s="3">
        <f t="shared" si="48"/>
        <v>11.678115799803729</v>
      </c>
      <c r="P592" s="3" t="str">
        <f t="shared" si="49"/>
        <v>Apr</v>
      </c>
      <c r="Q592" s="3" t="str">
        <f t="shared" si="45"/>
        <v>good profit</v>
      </c>
    </row>
    <row r="593" spans="1:17" x14ac:dyDescent="0.25">
      <c r="A593" s="3" t="s">
        <v>986</v>
      </c>
      <c r="B593" s="4">
        <v>45765</v>
      </c>
      <c r="C593" s="3" t="s">
        <v>2028</v>
      </c>
      <c r="D593" s="3" t="s">
        <v>2048</v>
      </c>
      <c r="E593" s="3" t="s">
        <v>2057</v>
      </c>
      <c r="F593" s="3" t="s">
        <v>2061</v>
      </c>
      <c r="G593" s="3">
        <v>2</v>
      </c>
      <c r="H593" s="3">
        <v>80</v>
      </c>
      <c r="I593" s="3">
        <v>116</v>
      </c>
      <c r="J593" s="3">
        <v>13.28</v>
      </c>
      <c r="K593" s="3">
        <v>201.2</v>
      </c>
      <c r="L593" s="3">
        <v>41.2</v>
      </c>
      <c r="M593" s="3">
        <f t="shared" si="46"/>
        <v>3080.96</v>
      </c>
      <c r="N593" s="3">
        <f t="shared" si="47"/>
        <v>160</v>
      </c>
      <c r="O593" s="3">
        <f t="shared" si="48"/>
        <v>20.477137176938374</v>
      </c>
      <c r="P593" s="3" t="str">
        <f t="shared" si="49"/>
        <v>Apr</v>
      </c>
      <c r="Q593" s="3" t="str">
        <f t="shared" si="45"/>
        <v>good profit</v>
      </c>
    </row>
    <row r="594" spans="1:17" x14ac:dyDescent="0.25">
      <c r="A594" s="3" t="s">
        <v>1213</v>
      </c>
      <c r="B594" s="4">
        <v>45765</v>
      </c>
      <c r="C594" s="3" t="s">
        <v>2021</v>
      </c>
      <c r="D594" s="3" t="s">
        <v>2041</v>
      </c>
      <c r="E594" s="3" t="s">
        <v>2056</v>
      </c>
      <c r="F594" s="3" t="s">
        <v>2061</v>
      </c>
      <c r="G594" s="3">
        <v>4</v>
      </c>
      <c r="H594" s="3">
        <v>300</v>
      </c>
      <c r="I594" s="3">
        <v>405</v>
      </c>
      <c r="J594" s="3">
        <v>7.32</v>
      </c>
      <c r="K594" s="3">
        <v>1501.37</v>
      </c>
      <c r="L594" s="3">
        <v>301.37</v>
      </c>
      <c r="M594" s="3">
        <f t="shared" si="46"/>
        <v>11858.4</v>
      </c>
      <c r="N594" s="3">
        <f t="shared" si="47"/>
        <v>1200</v>
      </c>
      <c r="O594" s="3">
        <f t="shared" si="48"/>
        <v>20.072999993339419</v>
      </c>
      <c r="P594" s="3" t="str">
        <f t="shared" si="49"/>
        <v>Apr</v>
      </c>
      <c r="Q594" s="3" t="str">
        <f t="shared" si="45"/>
        <v>good profit</v>
      </c>
    </row>
    <row r="595" spans="1:17" x14ac:dyDescent="0.25">
      <c r="A595" s="3" t="s">
        <v>1644</v>
      </c>
      <c r="B595" s="4">
        <v>45765</v>
      </c>
      <c r="C595" s="3" t="s">
        <v>2024</v>
      </c>
      <c r="D595" s="3" t="s">
        <v>2044</v>
      </c>
      <c r="E595" s="3" t="s">
        <v>2055</v>
      </c>
      <c r="F595" s="3" t="s">
        <v>2061</v>
      </c>
      <c r="G595" s="3">
        <v>5</v>
      </c>
      <c r="H595" s="3">
        <v>180</v>
      </c>
      <c r="I595" s="3">
        <v>243</v>
      </c>
      <c r="J595" s="3">
        <v>8.8000000000000007</v>
      </c>
      <c r="K595" s="3">
        <v>1108.1099999999999</v>
      </c>
      <c r="L595" s="3">
        <v>208.11</v>
      </c>
      <c r="M595" s="3">
        <f t="shared" si="46"/>
        <v>10692</v>
      </c>
      <c r="N595" s="3">
        <f t="shared" si="47"/>
        <v>900</v>
      </c>
      <c r="O595" s="3">
        <f t="shared" si="48"/>
        <v>18.780626472101147</v>
      </c>
      <c r="P595" s="3" t="str">
        <f t="shared" si="49"/>
        <v>Apr</v>
      </c>
      <c r="Q595" s="3" t="str">
        <f t="shared" si="45"/>
        <v>good profit</v>
      </c>
    </row>
    <row r="596" spans="1:17" x14ac:dyDescent="0.25">
      <c r="A596" s="3" t="s">
        <v>1675</v>
      </c>
      <c r="B596" s="4">
        <v>45765</v>
      </c>
      <c r="C596" s="3" t="s">
        <v>2018</v>
      </c>
      <c r="D596" s="3" t="s">
        <v>2038</v>
      </c>
      <c r="E596" s="3" t="s">
        <v>2053</v>
      </c>
      <c r="F596" s="3" t="s">
        <v>2059</v>
      </c>
      <c r="G596" s="3">
        <v>10</v>
      </c>
      <c r="H596" s="3">
        <v>500</v>
      </c>
      <c r="I596" s="3">
        <v>610</v>
      </c>
      <c r="J596" s="3">
        <v>0</v>
      </c>
      <c r="K596" s="3">
        <v>6100</v>
      </c>
      <c r="L596" s="3">
        <v>1100</v>
      </c>
      <c r="M596" s="3">
        <f t="shared" si="46"/>
        <v>0</v>
      </c>
      <c r="N596" s="3">
        <f t="shared" si="47"/>
        <v>5000</v>
      </c>
      <c r="O596" s="3">
        <f t="shared" si="48"/>
        <v>18.032786885245901</v>
      </c>
      <c r="P596" s="3" t="str">
        <f t="shared" si="49"/>
        <v>Apr</v>
      </c>
      <c r="Q596" s="3" t="str">
        <f t="shared" si="45"/>
        <v>good profit</v>
      </c>
    </row>
    <row r="597" spans="1:17" x14ac:dyDescent="0.25">
      <c r="A597" s="3" t="s">
        <v>257</v>
      </c>
      <c r="B597" s="4">
        <v>45766</v>
      </c>
      <c r="C597" s="3" t="s">
        <v>2026</v>
      </c>
      <c r="D597" s="3" t="s">
        <v>2046</v>
      </c>
      <c r="E597" s="3" t="s">
        <v>2052</v>
      </c>
      <c r="F597" s="3" t="s">
        <v>2061</v>
      </c>
      <c r="G597" s="3">
        <v>3</v>
      </c>
      <c r="H597" s="3">
        <v>3000</v>
      </c>
      <c r="I597" s="3">
        <v>3600</v>
      </c>
      <c r="J597" s="3">
        <v>21.66</v>
      </c>
      <c r="K597" s="3">
        <v>8460.68</v>
      </c>
      <c r="L597" s="3">
        <v>-539.32000000000005</v>
      </c>
      <c r="M597" s="3">
        <f t="shared" si="46"/>
        <v>233928</v>
      </c>
      <c r="N597" s="3">
        <f t="shared" si="47"/>
        <v>9000</v>
      </c>
      <c r="O597" s="3">
        <f t="shared" si="48"/>
        <v>-6.3744285329311587</v>
      </c>
      <c r="P597" s="3" t="str">
        <f t="shared" si="49"/>
        <v>Apr</v>
      </c>
      <c r="Q597" s="3" t="str">
        <f t="shared" si="45"/>
        <v>loss</v>
      </c>
    </row>
    <row r="598" spans="1:17" x14ac:dyDescent="0.25">
      <c r="A598" s="3" t="s">
        <v>458</v>
      </c>
      <c r="B598" s="4">
        <v>45766</v>
      </c>
      <c r="C598" s="3" t="s">
        <v>2018</v>
      </c>
      <c r="D598" s="3" t="s">
        <v>2038</v>
      </c>
      <c r="E598" s="3" t="s">
        <v>2053</v>
      </c>
      <c r="F598" s="3" t="s">
        <v>2061</v>
      </c>
      <c r="G598" s="3">
        <v>1</v>
      </c>
      <c r="H598" s="3">
        <v>500</v>
      </c>
      <c r="I598" s="3">
        <v>610</v>
      </c>
      <c r="J598" s="3">
        <v>17.73</v>
      </c>
      <c r="K598" s="3">
        <v>501.84</v>
      </c>
      <c r="L598" s="3">
        <v>1.84</v>
      </c>
      <c r="M598" s="3">
        <f t="shared" si="46"/>
        <v>10815.300000000001</v>
      </c>
      <c r="N598" s="3">
        <f t="shared" si="47"/>
        <v>500</v>
      </c>
      <c r="O598" s="3">
        <f t="shared" si="48"/>
        <v>0.36665072533078275</v>
      </c>
      <c r="P598" s="3" t="str">
        <f t="shared" si="49"/>
        <v>Apr</v>
      </c>
      <c r="Q598" s="3" t="str">
        <f t="shared" si="45"/>
        <v>low profit</v>
      </c>
    </row>
    <row r="599" spans="1:17" x14ac:dyDescent="0.25">
      <c r="A599" s="3" t="s">
        <v>713</v>
      </c>
      <c r="B599" s="4">
        <v>45766</v>
      </c>
      <c r="C599" s="3" t="s">
        <v>2018</v>
      </c>
      <c r="D599" s="3" t="s">
        <v>2038</v>
      </c>
      <c r="E599" s="3" t="s">
        <v>2053</v>
      </c>
      <c r="F599" s="3" t="s">
        <v>2062</v>
      </c>
      <c r="G599" s="3">
        <v>2</v>
      </c>
      <c r="H599" s="3">
        <v>500</v>
      </c>
      <c r="I599" s="3">
        <v>610</v>
      </c>
      <c r="J599" s="3">
        <v>1.31</v>
      </c>
      <c r="K599" s="3">
        <v>1203.98</v>
      </c>
      <c r="L599" s="3">
        <v>203.98</v>
      </c>
      <c r="M599" s="3">
        <f t="shared" si="46"/>
        <v>1598.2</v>
      </c>
      <c r="N599" s="3">
        <f t="shared" si="47"/>
        <v>1000</v>
      </c>
      <c r="O599" s="3">
        <f t="shared" si="48"/>
        <v>16.942141896044784</v>
      </c>
      <c r="P599" s="3" t="str">
        <f t="shared" si="49"/>
        <v>Apr</v>
      </c>
      <c r="Q599" s="3" t="str">
        <f t="shared" si="45"/>
        <v>good profit</v>
      </c>
    </row>
    <row r="600" spans="1:17" x14ac:dyDescent="0.25">
      <c r="A600" s="3" t="s">
        <v>937</v>
      </c>
      <c r="B600" s="4">
        <v>45766</v>
      </c>
      <c r="C600" s="3" t="s">
        <v>2023</v>
      </c>
      <c r="D600" s="3" t="s">
        <v>2043</v>
      </c>
      <c r="E600" s="3" t="s">
        <v>2053</v>
      </c>
      <c r="F600" s="3" t="s">
        <v>2059</v>
      </c>
      <c r="G600" s="3">
        <v>10</v>
      </c>
      <c r="H600" s="3">
        <v>550</v>
      </c>
      <c r="I600" s="3">
        <v>742.5</v>
      </c>
      <c r="J600" s="3">
        <v>13.63</v>
      </c>
      <c r="K600" s="3">
        <v>6412.73</v>
      </c>
      <c r="L600" s="3">
        <v>912.73</v>
      </c>
      <c r="M600" s="3">
        <f t="shared" si="46"/>
        <v>101202.75</v>
      </c>
      <c r="N600" s="3">
        <f t="shared" si="47"/>
        <v>5500</v>
      </c>
      <c r="O600" s="3">
        <f t="shared" si="48"/>
        <v>14.233095733018544</v>
      </c>
      <c r="P600" s="3" t="str">
        <f t="shared" si="49"/>
        <v>Apr</v>
      </c>
      <c r="Q600" s="3" t="str">
        <f t="shared" si="45"/>
        <v>good profit</v>
      </c>
    </row>
    <row r="601" spans="1:17" x14ac:dyDescent="0.25">
      <c r="A601" s="3" t="s">
        <v>990</v>
      </c>
      <c r="B601" s="4">
        <v>45766</v>
      </c>
      <c r="C601" s="3" t="s">
        <v>2028</v>
      </c>
      <c r="D601" s="3" t="s">
        <v>2048</v>
      </c>
      <c r="E601" s="3" t="s">
        <v>2057</v>
      </c>
      <c r="F601" s="3" t="s">
        <v>2060</v>
      </c>
      <c r="G601" s="3">
        <v>4</v>
      </c>
      <c r="H601" s="3">
        <v>80</v>
      </c>
      <c r="I601" s="3">
        <v>116</v>
      </c>
      <c r="J601" s="3">
        <v>9.52</v>
      </c>
      <c r="K601" s="3">
        <v>419.83</v>
      </c>
      <c r="L601" s="3">
        <v>99.83</v>
      </c>
      <c r="M601" s="3">
        <f t="shared" si="46"/>
        <v>4417.28</v>
      </c>
      <c r="N601" s="3">
        <f t="shared" si="47"/>
        <v>320</v>
      </c>
      <c r="O601" s="3">
        <f t="shared" si="48"/>
        <v>23.77867231974847</v>
      </c>
      <c r="P601" s="3" t="str">
        <f t="shared" si="49"/>
        <v>Apr</v>
      </c>
      <c r="Q601" s="3" t="str">
        <f t="shared" si="45"/>
        <v>good profit</v>
      </c>
    </row>
    <row r="602" spans="1:17" x14ac:dyDescent="0.25">
      <c r="A602" s="3" t="s">
        <v>1143</v>
      </c>
      <c r="B602" s="4">
        <v>45766</v>
      </c>
      <c r="C602" s="3" t="s">
        <v>2029</v>
      </c>
      <c r="D602" s="3" t="s">
        <v>2049</v>
      </c>
      <c r="E602" s="3" t="s">
        <v>2055</v>
      </c>
      <c r="F602" s="3" t="s">
        <v>2059</v>
      </c>
      <c r="G602" s="3">
        <v>8</v>
      </c>
      <c r="H602" s="3">
        <v>1200</v>
      </c>
      <c r="I602" s="3">
        <v>1464</v>
      </c>
      <c r="J602" s="3">
        <v>7.03</v>
      </c>
      <c r="K602" s="3">
        <v>10888.28</v>
      </c>
      <c r="L602" s="3">
        <v>1288.28</v>
      </c>
      <c r="M602" s="3">
        <f t="shared" si="46"/>
        <v>82335.360000000001</v>
      </c>
      <c r="N602" s="3">
        <f t="shared" si="47"/>
        <v>9600</v>
      </c>
      <c r="O602" s="3">
        <f t="shared" si="48"/>
        <v>11.831804472331717</v>
      </c>
      <c r="P602" s="3" t="str">
        <f t="shared" si="49"/>
        <v>Apr</v>
      </c>
      <c r="Q602" s="3" t="str">
        <f t="shared" si="45"/>
        <v>good profit</v>
      </c>
    </row>
    <row r="603" spans="1:17" x14ac:dyDescent="0.25">
      <c r="A603" s="3" t="s">
        <v>1157</v>
      </c>
      <c r="B603" s="4">
        <v>45766</v>
      </c>
      <c r="C603" s="3" t="s">
        <v>2021</v>
      </c>
      <c r="D603" s="3" t="s">
        <v>2041</v>
      </c>
      <c r="E603" s="3" t="s">
        <v>2056</v>
      </c>
      <c r="F603" s="3" t="s">
        <v>2061</v>
      </c>
      <c r="G603" s="3">
        <v>7</v>
      </c>
      <c r="H603" s="3">
        <v>300</v>
      </c>
      <c r="I603" s="3">
        <v>405</v>
      </c>
      <c r="J603" s="3">
        <v>11.75</v>
      </c>
      <c r="K603" s="3">
        <v>2502.0100000000002</v>
      </c>
      <c r="L603" s="3">
        <v>402.01</v>
      </c>
      <c r="M603" s="3">
        <f t="shared" si="46"/>
        <v>33311.25</v>
      </c>
      <c r="N603" s="3">
        <f t="shared" si="47"/>
        <v>2100</v>
      </c>
      <c r="O603" s="3">
        <f t="shared" si="48"/>
        <v>16.067481744677277</v>
      </c>
      <c r="P603" s="3" t="str">
        <f t="shared" si="49"/>
        <v>Apr</v>
      </c>
      <c r="Q603" s="3" t="str">
        <f t="shared" si="45"/>
        <v>good profit</v>
      </c>
    </row>
    <row r="604" spans="1:17" x14ac:dyDescent="0.25">
      <c r="A604" s="3" t="s">
        <v>1468</v>
      </c>
      <c r="B604" s="4">
        <v>45766</v>
      </c>
      <c r="C604" s="3" t="s">
        <v>2021</v>
      </c>
      <c r="D604" s="3" t="s">
        <v>2041</v>
      </c>
      <c r="E604" s="3" t="s">
        <v>2056</v>
      </c>
      <c r="F604" s="3" t="s">
        <v>2062</v>
      </c>
      <c r="G604" s="3">
        <v>6</v>
      </c>
      <c r="H604" s="3">
        <v>300</v>
      </c>
      <c r="I604" s="3">
        <v>405</v>
      </c>
      <c r="J604" s="3">
        <v>7.62</v>
      </c>
      <c r="K604" s="3">
        <v>2244.7399999999998</v>
      </c>
      <c r="L604" s="3">
        <v>444.74</v>
      </c>
      <c r="M604" s="3">
        <f t="shared" si="46"/>
        <v>18516.599999999999</v>
      </c>
      <c r="N604" s="3">
        <f t="shared" si="47"/>
        <v>1800</v>
      </c>
      <c r="O604" s="3">
        <f t="shared" si="48"/>
        <v>19.812539536872869</v>
      </c>
      <c r="P604" s="3" t="str">
        <f t="shared" si="49"/>
        <v>Apr</v>
      </c>
      <c r="Q604" s="3" t="str">
        <f t="shared" si="45"/>
        <v>good profit</v>
      </c>
    </row>
    <row r="605" spans="1:17" x14ac:dyDescent="0.25">
      <c r="A605" s="3" t="s">
        <v>1782</v>
      </c>
      <c r="B605" s="4">
        <v>45766</v>
      </c>
      <c r="C605" s="3" t="s">
        <v>2029</v>
      </c>
      <c r="D605" s="3" t="s">
        <v>2049</v>
      </c>
      <c r="E605" s="3" t="s">
        <v>2055</v>
      </c>
      <c r="F605" s="3" t="s">
        <v>2060</v>
      </c>
      <c r="G605" s="3">
        <v>2</v>
      </c>
      <c r="H605" s="3">
        <v>1200</v>
      </c>
      <c r="I605" s="3">
        <v>1464</v>
      </c>
      <c r="J605" s="3">
        <v>12.09</v>
      </c>
      <c r="K605" s="3">
        <v>2573.9299999999998</v>
      </c>
      <c r="L605" s="3">
        <v>173.93</v>
      </c>
      <c r="M605" s="3">
        <f t="shared" si="46"/>
        <v>35399.519999999997</v>
      </c>
      <c r="N605" s="3">
        <f t="shared" si="47"/>
        <v>2400</v>
      </c>
      <c r="O605" s="3">
        <f t="shared" si="48"/>
        <v>6.7573710240760239</v>
      </c>
      <c r="P605" s="3" t="str">
        <f t="shared" si="49"/>
        <v>Apr</v>
      </c>
      <c r="Q605" s="3" t="str">
        <f t="shared" si="45"/>
        <v>low profit</v>
      </c>
    </row>
    <row r="606" spans="1:17" x14ac:dyDescent="0.25">
      <c r="A606" s="3" t="s">
        <v>1796</v>
      </c>
      <c r="B606" s="4">
        <v>45766</v>
      </c>
      <c r="C606" s="3" t="s">
        <v>2026</v>
      </c>
      <c r="D606" s="3" t="s">
        <v>2046</v>
      </c>
      <c r="E606" s="3" t="s">
        <v>2052</v>
      </c>
      <c r="F606" s="3" t="s">
        <v>2060</v>
      </c>
      <c r="G606" s="3">
        <v>1</v>
      </c>
      <c r="H606" s="3">
        <v>3000</v>
      </c>
      <c r="I606" s="3">
        <v>3600</v>
      </c>
      <c r="J606" s="3">
        <v>13.45</v>
      </c>
      <c r="K606" s="3">
        <v>3115.79</v>
      </c>
      <c r="L606" s="3">
        <v>115.79</v>
      </c>
      <c r="M606" s="3">
        <f t="shared" si="46"/>
        <v>48420</v>
      </c>
      <c r="N606" s="3">
        <f t="shared" si="47"/>
        <v>3000</v>
      </c>
      <c r="O606" s="3">
        <f t="shared" si="48"/>
        <v>3.7162324803661355</v>
      </c>
      <c r="P606" s="3" t="str">
        <f t="shared" si="49"/>
        <v>Apr</v>
      </c>
      <c r="Q606" s="3" t="str">
        <f t="shared" si="45"/>
        <v>low profit</v>
      </c>
    </row>
    <row r="607" spans="1:17" x14ac:dyDescent="0.25">
      <c r="A607" s="3" t="s">
        <v>1920</v>
      </c>
      <c r="B607" s="4">
        <v>45766</v>
      </c>
      <c r="C607" s="3" t="s">
        <v>2031</v>
      </c>
      <c r="D607" s="3" t="s">
        <v>2051</v>
      </c>
      <c r="E607" s="3" t="s">
        <v>2058</v>
      </c>
      <c r="F607" s="3" t="s">
        <v>2062</v>
      </c>
      <c r="G607" s="3">
        <v>8</v>
      </c>
      <c r="H607" s="3">
        <v>3200</v>
      </c>
      <c r="I607" s="3">
        <v>3840</v>
      </c>
      <c r="J607" s="3">
        <v>9.86</v>
      </c>
      <c r="K607" s="3">
        <v>27691.26</v>
      </c>
      <c r="L607" s="3">
        <v>2091.2600000000002</v>
      </c>
      <c r="M607" s="3">
        <f t="shared" si="46"/>
        <v>302899.19999999995</v>
      </c>
      <c r="N607" s="3">
        <f t="shared" si="47"/>
        <v>25600</v>
      </c>
      <c r="O607" s="3">
        <f t="shared" si="48"/>
        <v>7.5520579417476865</v>
      </c>
      <c r="P607" s="3" t="str">
        <f t="shared" si="49"/>
        <v>Apr</v>
      </c>
      <c r="Q607" s="3" t="str">
        <f t="shared" si="45"/>
        <v>low profit</v>
      </c>
    </row>
    <row r="608" spans="1:17" x14ac:dyDescent="0.25">
      <c r="A608" s="3" t="s">
        <v>110</v>
      </c>
      <c r="B608" s="4">
        <v>45767</v>
      </c>
      <c r="C608" s="3" t="s">
        <v>2026</v>
      </c>
      <c r="D608" s="3" t="s">
        <v>2046</v>
      </c>
      <c r="E608" s="3" t="s">
        <v>2052</v>
      </c>
      <c r="F608" s="3" t="s">
        <v>2061</v>
      </c>
      <c r="G608" s="3">
        <v>4</v>
      </c>
      <c r="H608" s="3">
        <v>3000</v>
      </c>
      <c r="I608" s="3">
        <v>3600</v>
      </c>
      <c r="J608" s="3">
        <v>11.63</v>
      </c>
      <c r="K608" s="3">
        <v>12725.29</v>
      </c>
      <c r="L608" s="3">
        <v>725.29</v>
      </c>
      <c r="M608" s="3">
        <f t="shared" si="46"/>
        <v>167472</v>
      </c>
      <c r="N608" s="3">
        <f t="shared" si="47"/>
        <v>12000</v>
      </c>
      <c r="O608" s="3">
        <f t="shared" si="48"/>
        <v>5.6995950583444452</v>
      </c>
      <c r="P608" s="3" t="str">
        <f t="shared" si="49"/>
        <v>Apr</v>
      </c>
      <c r="Q608" s="3" t="str">
        <f t="shared" si="45"/>
        <v>low profit</v>
      </c>
    </row>
    <row r="609" spans="1:17" x14ac:dyDescent="0.25">
      <c r="A609" s="3" t="s">
        <v>829</v>
      </c>
      <c r="B609" s="4">
        <v>45767</v>
      </c>
      <c r="C609" s="3" t="s">
        <v>2018</v>
      </c>
      <c r="D609" s="3" t="s">
        <v>2038</v>
      </c>
      <c r="E609" s="3" t="s">
        <v>2053</v>
      </c>
      <c r="F609" s="3" t="s">
        <v>2060</v>
      </c>
      <c r="G609" s="3">
        <v>8</v>
      </c>
      <c r="H609" s="3">
        <v>500</v>
      </c>
      <c r="I609" s="3">
        <v>610</v>
      </c>
      <c r="J609" s="3">
        <v>13.32</v>
      </c>
      <c r="K609" s="3">
        <v>4229.8999999999996</v>
      </c>
      <c r="L609" s="3">
        <v>229.9</v>
      </c>
      <c r="M609" s="3">
        <f t="shared" si="46"/>
        <v>65001.599999999999</v>
      </c>
      <c r="N609" s="3">
        <f t="shared" si="47"/>
        <v>4000</v>
      </c>
      <c r="O609" s="3">
        <f t="shared" si="48"/>
        <v>5.4351166694248096</v>
      </c>
      <c r="P609" s="3" t="str">
        <f t="shared" si="49"/>
        <v>Apr</v>
      </c>
      <c r="Q609" s="3" t="str">
        <f t="shared" si="45"/>
        <v>low profit</v>
      </c>
    </row>
    <row r="610" spans="1:17" x14ac:dyDescent="0.25">
      <c r="A610" s="3" t="s">
        <v>864</v>
      </c>
      <c r="B610" s="4">
        <v>45767</v>
      </c>
      <c r="C610" s="3" t="s">
        <v>2014</v>
      </c>
      <c r="D610" s="3" t="s">
        <v>2034</v>
      </c>
      <c r="E610" s="3" t="s">
        <v>2052</v>
      </c>
      <c r="F610" s="3" t="s">
        <v>2059</v>
      </c>
      <c r="G610" s="3">
        <v>3</v>
      </c>
      <c r="H610" s="3">
        <v>4500</v>
      </c>
      <c r="I610" s="3">
        <v>5220</v>
      </c>
      <c r="J610" s="3">
        <v>15.99</v>
      </c>
      <c r="K610" s="3">
        <v>13155.74</v>
      </c>
      <c r="L610" s="3">
        <v>-344.26</v>
      </c>
      <c r="M610" s="3">
        <f t="shared" si="46"/>
        <v>250403.4</v>
      </c>
      <c r="N610" s="3">
        <f t="shared" si="47"/>
        <v>13500</v>
      </c>
      <c r="O610" s="3">
        <f t="shared" si="48"/>
        <v>-2.6168045279094905</v>
      </c>
      <c r="P610" s="3" t="str">
        <f t="shared" si="49"/>
        <v>Apr</v>
      </c>
      <c r="Q610" s="3" t="str">
        <f t="shared" si="45"/>
        <v>loss</v>
      </c>
    </row>
    <row r="611" spans="1:17" x14ac:dyDescent="0.25">
      <c r="A611" s="3" t="s">
        <v>278</v>
      </c>
      <c r="B611" s="4">
        <v>45768</v>
      </c>
      <c r="C611" s="3" t="s">
        <v>2026</v>
      </c>
      <c r="D611" s="3" t="s">
        <v>2046</v>
      </c>
      <c r="E611" s="3" t="s">
        <v>2052</v>
      </c>
      <c r="F611" s="3" t="s">
        <v>2061</v>
      </c>
      <c r="G611" s="3">
        <v>2</v>
      </c>
      <c r="H611" s="3">
        <v>3000</v>
      </c>
      <c r="I611" s="3">
        <v>3600</v>
      </c>
      <c r="J611" s="3">
        <v>10.98</v>
      </c>
      <c r="K611" s="3">
        <v>6409.75</v>
      </c>
      <c r="L611" s="3">
        <v>409.75</v>
      </c>
      <c r="M611" s="3">
        <f t="shared" si="46"/>
        <v>79056</v>
      </c>
      <c r="N611" s="3">
        <f t="shared" si="47"/>
        <v>6000</v>
      </c>
      <c r="O611" s="3">
        <f t="shared" si="48"/>
        <v>6.3926050157962475</v>
      </c>
      <c r="P611" s="3" t="str">
        <f t="shared" si="49"/>
        <v>Apr</v>
      </c>
      <c r="Q611" s="3" t="str">
        <f t="shared" si="45"/>
        <v>low profit</v>
      </c>
    </row>
    <row r="612" spans="1:17" x14ac:dyDescent="0.25">
      <c r="A612" s="3" t="s">
        <v>377</v>
      </c>
      <c r="B612" s="4">
        <v>45768</v>
      </c>
      <c r="C612" s="3" t="s">
        <v>2021</v>
      </c>
      <c r="D612" s="3" t="s">
        <v>2041</v>
      </c>
      <c r="E612" s="3" t="s">
        <v>2056</v>
      </c>
      <c r="F612" s="3" t="s">
        <v>2062</v>
      </c>
      <c r="G612" s="3">
        <v>10</v>
      </c>
      <c r="H612" s="3">
        <v>300</v>
      </c>
      <c r="I612" s="3">
        <v>405</v>
      </c>
      <c r="J612" s="3">
        <v>1.1200000000000001</v>
      </c>
      <c r="K612" s="3">
        <v>4004.79</v>
      </c>
      <c r="L612" s="3">
        <v>1004.79</v>
      </c>
      <c r="M612" s="3">
        <f t="shared" si="46"/>
        <v>4536</v>
      </c>
      <c r="N612" s="3">
        <f t="shared" si="47"/>
        <v>3000</v>
      </c>
      <c r="O612" s="3">
        <f t="shared" si="48"/>
        <v>25.089705078168894</v>
      </c>
      <c r="P612" s="3" t="str">
        <f t="shared" si="49"/>
        <v>Apr</v>
      </c>
      <c r="Q612" s="3" t="str">
        <f t="shared" si="45"/>
        <v>good profit</v>
      </c>
    </row>
    <row r="613" spans="1:17" x14ac:dyDescent="0.25">
      <c r="A613" s="3" t="s">
        <v>418</v>
      </c>
      <c r="B613" s="4">
        <v>45768</v>
      </c>
      <c r="C613" s="3" t="s">
        <v>2018</v>
      </c>
      <c r="D613" s="3" t="s">
        <v>2038</v>
      </c>
      <c r="E613" s="3" t="s">
        <v>2053</v>
      </c>
      <c r="F613" s="3" t="s">
        <v>2059</v>
      </c>
      <c r="G613" s="3">
        <v>7</v>
      </c>
      <c r="H613" s="3">
        <v>500</v>
      </c>
      <c r="I613" s="3">
        <v>610</v>
      </c>
      <c r="J613" s="3">
        <v>0</v>
      </c>
      <c r="K613" s="3">
        <v>4270</v>
      </c>
      <c r="L613" s="3">
        <v>770</v>
      </c>
      <c r="M613" s="3">
        <f t="shared" si="46"/>
        <v>0</v>
      </c>
      <c r="N613" s="3">
        <f t="shared" si="47"/>
        <v>3500</v>
      </c>
      <c r="O613" s="3">
        <f t="shared" si="48"/>
        <v>18.032786885245901</v>
      </c>
      <c r="P613" s="3" t="str">
        <f t="shared" si="49"/>
        <v>Apr</v>
      </c>
      <c r="Q613" s="3" t="str">
        <f t="shared" si="45"/>
        <v>good profit</v>
      </c>
    </row>
    <row r="614" spans="1:17" x14ac:dyDescent="0.25">
      <c r="A614" s="3" t="s">
        <v>1169</v>
      </c>
      <c r="B614" s="4">
        <v>45768</v>
      </c>
      <c r="C614" s="3" t="s">
        <v>2017</v>
      </c>
      <c r="D614" s="3" t="s">
        <v>2037</v>
      </c>
      <c r="E614" s="3" t="s">
        <v>2055</v>
      </c>
      <c r="F614" s="3" t="s">
        <v>2062</v>
      </c>
      <c r="G614" s="3">
        <v>4</v>
      </c>
      <c r="H614" s="3">
        <v>2500</v>
      </c>
      <c r="I614" s="3">
        <v>2875</v>
      </c>
      <c r="J614" s="3">
        <v>4.45</v>
      </c>
      <c r="K614" s="3">
        <v>10988.76</v>
      </c>
      <c r="L614" s="3">
        <v>988.76</v>
      </c>
      <c r="M614" s="3">
        <f t="shared" si="46"/>
        <v>51175</v>
      </c>
      <c r="N614" s="3">
        <f t="shared" si="47"/>
        <v>10000</v>
      </c>
      <c r="O614" s="3">
        <f t="shared" si="48"/>
        <v>8.9979215125273466</v>
      </c>
      <c r="P614" s="3" t="str">
        <f t="shared" si="49"/>
        <v>Apr</v>
      </c>
      <c r="Q614" s="3" t="str">
        <f t="shared" si="45"/>
        <v>low profit</v>
      </c>
    </row>
    <row r="615" spans="1:17" x14ac:dyDescent="0.25">
      <c r="A615" s="3" t="s">
        <v>1332</v>
      </c>
      <c r="B615" s="4">
        <v>45768</v>
      </c>
      <c r="C615" s="3" t="s">
        <v>2031</v>
      </c>
      <c r="D615" s="3" t="s">
        <v>2051</v>
      </c>
      <c r="E615" s="3" t="s">
        <v>2058</v>
      </c>
      <c r="F615" s="3" t="s">
        <v>2062</v>
      </c>
      <c r="G615" s="3">
        <v>3</v>
      </c>
      <c r="H615" s="3">
        <v>3200</v>
      </c>
      <c r="I615" s="3">
        <v>3840</v>
      </c>
      <c r="J615" s="3">
        <v>15.44</v>
      </c>
      <c r="K615" s="3">
        <v>9741.83</v>
      </c>
      <c r="L615" s="3">
        <v>141.83000000000001</v>
      </c>
      <c r="M615" s="3">
        <f t="shared" si="46"/>
        <v>177868.79999999999</v>
      </c>
      <c r="N615" s="3">
        <f t="shared" si="47"/>
        <v>9600</v>
      </c>
      <c r="O615" s="3">
        <f t="shared" si="48"/>
        <v>1.4558866249975622</v>
      </c>
      <c r="P615" s="3" t="str">
        <f t="shared" si="49"/>
        <v>Apr</v>
      </c>
      <c r="Q615" s="3" t="str">
        <f t="shared" si="45"/>
        <v>low profit</v>
      </c>
    </row>
    <row r="616" spans="1:17" x14ac:dyDescent="0.25">
      <c r="A616" s="3" t="s">
        <v>1511</v>
      </c>
      <c r="B616" s="4">
        <v>45768</v>
      </c>
      <c r="C616" s="3" t="s">
        <v>2021</v>
      </c>
      <c r="D616" s="3" t="s">
        <v>2041</v>
      </c>
      <c r="E616" s="3" t="s">
        <v>2056</v>
      </c>
      <c r="F616" s="3" t="s">
        <v>2060</v>
      </c>
      <c r="G616" s="3">
        <v>4</v>
      </c>
      <c r="H616" s="3">
        <v>300</v>
      </c>
      <c r="I616" s="3">
        <v>405</v>
      </c>
      <c r="J616" s="3">
        <v>10.59</v>
      </c>
      <c r="K616" s="3">
        <v>1448.45</v>
      </c>
      <c r="L616" s="3">
        <v>248.45</v>
      </c>
      <c r="M616" s="3">
        <f t="shared" si="46"/>
        <v>17155.8</v>
      </c>
      <c r="N616" s="3">
        <f t="shared" si="47"/>
        <v>1200</v>
      </c>
      <c r="O616" s="3">
        <f t="shared" si="48"/>
        <v>17.152818530152921</v>
      </c>
      <c r="P616" s="3" t="str">
        <f t="shared" si="49"/>
        <v>Apr</v>
      </c>
      <c r="Q616" s="3" t="str">
        <f t="shared" si="45"/>
        <v>good profit</v>
      </c>
    </row>
    <row r="617" spans="1:17" x14ac:dyDescent="0.25">
      <c r="A617" s="3" t="s">
        <v>1555</v>
      </c>
      <c r="B617" s="4">
        <v>45768</v>
      </c>
      <c r="C617" s="3" t="s">
        <v>2028</v>
      </c>
      <c r="D617" s="3" t="s">
        <v>2048</v>
      </c>
      <c r="E617" s="3" t="s">
        <v>2057</v>
      </c>
      <c r="F617" s="3" t="s">
        <v>2060</v>
      </c>
      <c r="G617" s="3">
        <v>9</v>
      </c>
      <c r="H617" s="3">
        <v>80</v>
      </c>
      <c r="I617" s="3">
        <v>116</v>
      </c>
      <c r="J617" s="3">
        <v>0</v>
      </c>
      <c r="K617" s="3">
        <v>1044</v>
      </c>
      <c r="L617" s="3">
        <v>324</v>
      </c>
      <c r="M617" s="3">
        <f t="shared" si="46"/>
        <v>0</v>
      </c>
      <c r="N617" s="3">
        <f t="shared" si="47"/>
        <v>720</v>
      </c>
      <c r="O617" s="3">
        <f t="shared" si="48"/>
        <v>31.03448275862069</v>
      </c>
      <c r="P617" s="3" t="str">
        <f t="shared" si="49"/>
        <v>Apr</v>
      </c>
      <c r="Q617" s="3" t="str">
        <f t="shared" si="45"/>
        <v>good profit</v>
      </c>
    </row>
    <row r="618" spans="1:17" x14ac:dyDescent="0.25">
      <c r="A618" s="3" t="s">
        <v>1882</v>
      </c>
      <c r="B618" s="4">
        <v>45768</v>
      </c>
      <c r="C618" s="3" t="s">
        <v>2031</v>
      </c>
      <c r="D618" s="3" t="s">
        <v>2051</v>
      </c>
      <c r="E618" s="3" t="s">
        <v>2058</v>
      </c>
      <c r="F618" s="3" t="s">
        <v>2062</v>
      </c>
      <c r="G618" s="3">
        <v>9</v>
      </c>
      <c r="H618" s="3">
        <v>3200</v>
      </c>
      <c r="I618" s="3">
        <v>3840</v>
      </c>
      <c r="J618" s="3">
        <v>11.84</v>
      </c>
      <c r="K618" s="3">
        <v>30468.81</v>
      </c>
      <c r="L618" s="3">
        <v>1668.81</v>
      </c>
      <c r="M618" s="3">
        <f t="shared" si="46"/>
        <v>409190.40000000002</v>
      </c>
      <c r="N618" s="3">
        <f t="shared" si="47"/>
        <v>28800</v>
      </c>
      <c r="O618" s="3">
        <f t="shared" si="48"/>
        <v>5.4771092143080082</v>
      </c>
      <c r="P618" s="3" t="str">
        <f t="shared" si="49"/>
        <v>Apr</v>
      </c>
      <c r="Q618" s="3" t="str">
        <f t="shared" si="45"/>
        <v>low profit</v>
      </c>
    </row>
    <row r="619" spans="1:17" x14ac:dyDescent="0.25">
      <c r="A619" s="3" t="s">
        <v>212</v>
      </c>
      <c r="B619" s="4">
        <v>45769</v>
      </c>
      <c r="C619" s="3" t="s">
        <v>2019</v>
      </c>
      <c r="D619" s="3" t="s">
        <v>2039</v>
      </c>
      <c r="E619" s="3" t="s">
        <v>2053</v>
      </c>
      <c r="F619" s="3" t="s">
        <v>2062</v>
      </c>
      <c r="G619" s="3">
        <v>10</v>
      </c>
      <c r="H619" s="3">
        <v>900</v>
      </c>
      <c r="I619" s="3">
        <v>1152</v>
      </c>
      <c r="J619" s="3">
        <v>17.850000000000001</v>
      </c>
      <c r="K619" s="3">
        <v>9463.15</v>
      </c>
      <c r="L619" s="3">
        <v>463.15</v>
      </c>
      <c r="M619" s="3">
        <f t="shared" si="46"/>
        <v>205632.00000000003</v>
      </c>
      <c r="N619" s="3">
        <f t="shared" si="47"/>
        <v>9000</v>
      </c>
      <c r="O619" s="3">
        <f t="shared" si="48"/>
        <v>4.8942476870809406</v>
      </c>
      <c r="P619" s="3" t="str">
        <f t="shared" si="49"/>
        <v>Apr</v>
      </c>
      <c r="Q619" s="3" t="str">
        <f t="shared" si="45"/>
        <v>low profit</v>
      </c>
    </row>
    <row r="620" spans="1:17" x14ac:dyDescent="0.25">
      <c r="A620" s="3" t="s">
        <v>397</v>
      </c>
      <c r="B620" s="4">
        <v>45769</v>
      </c>
      <c r="C620" s="3" t="s">
        <v>2024</v>
      </c>
      <c r="D620" s="3" t="s">
        <v>2044</v>
      </c>
      <c r="E620" s="3" t="s">
        <v>2055</v>
      </c>
      <c r="F620" s="3" t="s">
        <v>2061</v>
      </c>
      <c r="G620" s="3">
        <v>1</v>
      </c>
      <c r="H620" s="3">
        <v>180</v>
      </c>
      <c r="I620" s="3">
        <v>243</v>
      </c>
      <c r="J620" s="3">
        <v>6.73</v>
      </c>
      <c r="K620" s="3">
        <v>226.64</v>
      </c>
      <c r="L620" s="3">
        <v>46.64</v>
      </c>
      <c r="M620" s="3">
        <f t="shared" si="46"/>
        <v>1635.39</v>
      </c>
      <c r="N620" s="3">
        <f t="shared" si="47"/>
        <v>180</v>
      </c>
      <c r="O620" s="3">
        <f t="shared" si="48"/>
        <v>20.578891634309919</v>
      </c>
      <c r="P620" s="3" t="str">
        <f t="shared" si="49"/>
        <v>Apr</v>
      </c>
      <c r="Q620" s="3" t="str">
        <f t="shared" si="45"/>
        <v>good profit</v>
      </c>
    </row>
    <row r="621" spans="1:17" x14ac:dyDescent="0.25">
      <c r="A621" s="3" t="s">
        <v>621</v>
      </c>
      <c r="B621" s="4">
        <v>45769</v>
      </c>
      <c r="C621" s="3" t="s">
        <v>2015</v>
      </c>
      <c r="D621" s="3" t="s">
        <v>2035</v>
      </c>
      <c r="E621" s="3" t="s">
        <v>2054</v>
      </c>
      <c r="F621" s="3" t="s">
        <v>2062</v>
      </c>
      <c r="G621" s="3">
        <v>7</v>
      </c>
      <c r="H621" s="3">
        <v>900</v>
      </c>
      <c r="I621" s="3">
        <v>1170</v>
      </c>
      <c r="J621" s="3">
        <v>4.7699999999999996</v>
      </c>
      <c r="K621" s="3">
        <v>7799.13</v>
      </c>
      <c r="L621" s="3">
        <v>1499.13</v>
      </c>
      <c r="M621" s="3">
        <f t="shared" si="46"/>
        <v>39066.299999999996</v>
      </c>
      <c r="N621" s="3">
        <f t="shared" si="47"/>
        <v>6300</v>
      </c>
      <c r="O621" s="3">
        <f t="shared" si="48"/>
        <v>19.221759350081356</v>
      </c>
      <c r="P621" s="3" t="str">
        <f t="shared" si="49"/>
        <v>Apr</v>
      </c>
      <c r="Q621" s="3" t="str">
        <f t="shared" si="45"/>
        <v>good profit</v>
      </c>
    </row>
    <row r="622" spans="1:17" x14ac:dyDescent="0.25">
      <c r="A622" s="3" t="s">
        <v>1418</v>
      </c>
      <c r="B622" s="4">
        <v>45769</v>
      </c>
      <c r="C622" s="3" t="s">
        <v>2031</v>
      </c>
      <c r="D622" s="3" t="s">
        <v>2051</v>
      </c>
      <c r="E622" s="3" t="s">
        <v>2058</v>
      </c>
      <c r="F622" s="3" t="s">
        <v>2059</v>
      </c>
      <c r="G622" s="3">
        <v>7</v>
      </c>
      <c r="H622" s="3">
        <v>3200</v>
      </c>
      <c r="I622" s="3">
        <v>3840</v>
      </c>
      <c r="J622" s="3">
        <v>23.84</v>
      </c>
      <c r="K622" s="3">
        <v>20472.830000000002</v>
      </c>
      <c r="L622" s="3">
        <v>-1927.17</v>
      </c>
      <c r="M622" s="3">
        <f t="shared" si="46"/>
        <v>640819.19999999995</v>
      </c>
      <c r="N622" s="3">
        <f t="shared" si="47"/>
        <v>22400</v>
      </c>
      <c r="O622" s="3">
        <f t="shared" si="48"/>
        <v>-9.413305341762717</v>
      </c>
      <c r="P622" s="3" t="str">
        <f t="shared" si="49"/>
        <v>Apr</v>
      </c>
      <c r="Q622" s="3" t="str">
        <f t="shared" si="45"/>
        <v>loss</v>
      </c>
    </row>
    <row r="623" spans="1:17" x14ac:dyDescent="0.25">
      <c r="A623" s="3" t="s">
        <v>1800</v>
      </c>
      <c r="B623" s="4">
        <v>45769</v>
      </c>
      <c r="C623" s="3" t="s">
        <v>2028</v>
      </c>
      <c r="D623" s="3" t="s">
        <v>2048</v>
      </c>
      <c r="E623" s="3" t="s">
        <v>2057</v>
      </c>
      <c r="F623" s="3" t="s">
        <v>2061</v>
      </c>
      <c r="G623" s="3">
        <v>2</v>
      </c>
      <c r="H623" s="3">
        <v>80</v>
      </c>
      <c r="I623" s="3">
        <v>116</v>
      </c>
      <c r="J623" s="3">
        <v>19.62</v>
      </c>
      <c r="K623" s="3">
        <v>186.48</v>
      </c>
      <c r="L623" s="3">
        <v>26.48</v>
      </c>
      <c r="M623" s="3">
        <f t="shared" si="46"/>
        <v>4551.84</v>
      </c>
      <c r="N623" s="3">
        <f t="shared" si="47"/>
        <v>160</v>
      </c>
      <c r="O623" s="3">
        <f t="shared" si="48"/>
        <v>14.199914199914202</v>
      </c>
      <c r="P623" s="3" t="str">
        <f t="shared" si="49"/>
        <v>Apr</v>
      </c>
      <c r="Q623" s="3" t="str">
        <f t="shared" si="45"/>
        <v>good profit</v>
      </c>
    </row>
    <row r="624" spans="1:17" x14ac:dyDescent="0.25">
      <c r="A624" s="3" t="s">
        <v>1855</v>
      </c>
      <c r="B624" s="4">
        <v>45769</v>
      </c>
      <c r="C624" s="3" t="s">
        <v>2022</v>
      </c>
      <c r="D624" s="3" t="s">
        <v>2042</v>
      </c>
      <c r="E624" s="3" t="s">
        <v>2053</v>
      </c>
      <c r="F624" s="3" t="s">
        <v>2062</v>
      </c>
      <c r="G624" s="3">
        <v>3</v>
      </c>
      <c r="H624" s="3">
        <v>8500</v>
      </c>
      <c r="I624" s="3">
        <v>9520</v>
      </c>
      <c r="J624" s="3">
        <v>10.79</v>
      </c>
      <c r="K624" s="3">
        <v>25477.67</v>
      </c>
      <c r="L624" s="3">
        <v>-22.33</v>
      </c>
      <c r="M624" s="3">
        <f t="shared" si="46"/>
        <v>308162.39999999997</v>
      </c>
      <c r="N624" s="3">
        <f t="shared" si="47"/>
        <v>25500</v>
      </c>
      <c r="O624" s="3">
        <f t="shared" si="48"/>
        <v>-8.7645377304910538E-2</v>
      </c>
      <c r="P624" s="3" t="str">
        <f t="shared" si="49"/>
        <v>Apr</v>
      </c>
      <c r="Q624" s="3" t="str">
        <f t="shared" si="45"/>
        <v>loss</v>
      </c>
    </row>
    <row r="625" spans="1:17" x14ac:dyDescent="0.25">
      <c r="A625" s="3" t="s">
        <v>222</v>
      </c>
      <c r="B625" s="4">
        <v>45770</v>
      </c>
      <c r="C625" s="3" t="s">
        <v>2016</v>
      </c>
      <c r="D625" s="3" t="s">
        <v>2036</v>
      </c>
      <c r="E625" s="3" t="s">
        <v>2052</v>
      </c>
      <c r="F625" s="3" t="s">
        <v>2062</v>
      </c>
      <c r="G625" s="3">
        <v>3</v>
      </c>
      <c r="H625" s="3">
        <v>900</v>
      </c>
      <c r="I625" s="3">
        <v>1170</v>
      </c>
      <c r="J625" s="3">
        <v>19.399999999999999</v>
      </c>
      <c r="K625" s="3">
        <v>2828.9</v>
      </c>
      <c r="L625" s="3">
        <v>128.9</v>
      </c>
      <c r="M625" s="3">
        <f t="shared" si="46"/>
        <v>68094</v>
      </c>
      <c r="N625" s="3">
        <f t="shared" si="47"/>
        <v>2700</v>
      </c>
      <c r="O625" s="3">
        <f t="shared" si="48"/>
        <v>4.5565414118561982</v>
      </c>
      <c r="P625" s="3" t="str">
        <f t="shared" si="49"/>
        <v>Apr</v>
      </c>
      <c r="Q625" s="3" t="str">
        <f t="shared" si="45"/>
        <v>low profit</v>
      </c>
    </row>
    <row r="626" spans="1:17" x14ac:dyDescent="0.25">
      <c r="A626" s="3" t="s">
        <v>324</v>
      </c>
      <c r="B626" s="4">
        <v>45770</v>
      </c>
      <c r="C626" s="3" t="s">
        <v>2028</v>
      </c>
      <c r="D626" s="3" t="s">
        <v>2048</v>
      </c>
      <c r="E626" s="3" t="s">
        <v>2057</v>
      </c>
      <c r="F626" s="3" t="s">
        <v>2059</v>
      </c>
      <c r="G626" s="3">
        <v>9</v>
      </c>
      <c r="H626" s="3">
        <v>80</v>
      </c>
      <c r="I626" s="3">
        <v>116</v>
      </c>
      <c r="J626" s="3">
        <v>15.36</v>
      </c>
      <c r="K626" s="3">
        <v>883.66</v>
      </c>
      <c r="L626" s="3">
        <v>163.66</v>
      </c>
      <c r="M626" s="3">
        <f t="shared" si="46"/>
        <v>16035.84</v>
      </c>
      <c r="N626" s="3">
        <f t="shared" si="47"/>
        <v>720</v>
      </c>
      <c r="O626" s="3">
        <f t="shared" si="48"/>
        <v>18.520698006020414</v>
      </c>
      <c r="P626" s="3" t="str">
        <f t="shared" si="49"/>
        <v>Apr</v>
      </c>
      <c r="Q626" s="3" t="str">
        <f t="shared" si="45"/>
        <v>good profit</v>
      </c>
    </row>
    <row r="627" spans="1:17" x14ac:dyDescent="0.25">
      <c r="A627" s="3" t="s">
        <v>470</v>
      </c>
      <c r="B627" s="4">
        <v>45770</v>
      </c>
      <c r="C627" s="3" t="s">
        <v>2012</v>
      </c>
      <c r="D627" s="3" t="s">
        <v>2032</v>
      </c>
      <c r="E627" s="3" t="s">
        <v>2052</v>
      </c>
      <c r="F627" s="3" t="s">
        <v>2061</v>
      </c>
      <c r="G627" s="3">
        <v>1</v>
      </c>
      <c r="H627" s="3">
        <v>6500</v>
      </c>
      <c r="I627" s="3">
        <v>8125</v>
      </c>
      <c r="J627" s="3">
        <v>4</v>
      </c>
      <c r="K627" s="3">
        <v>7800</v>
      </c>
      <c r="L627" s="3">
        <v>1300</v>
      </c>
      <c r="M627" s="3">
        <f t="shared" si="46"/>
        <v>32500</v>
      </c>
      <c r="N627" s="3">
        <f t="shared" si="47"/>
        <v>6500</v>
      </c>
      <c r="O627" s="3">
        <f t="shared" si="48"/>
        <v>16.666666666666664</v>
      </c>
      <c r="P627" s="3" t="str">
        <f t="shared" si="49"/>
        <v>Apr</v>
      </c>
      <c r="Q627" s="3" t="str">
        <f t="shared" si="45"/>
        <v>good profit</v>
      </c>
    </row>
    <row r="628" spans="1:17" x14ac:dyDescent="0.25">
      <c r="A628" s="3" t="s">
        <v>475</v>
      </c>
      <c r="B628" s="4">
        <v>45770</v>
      </c>
      <c r="C628" s="3" t="s">
        <v>2019</v>
      </c>
      <c r="D628" s="3" t="s">
        <v>2039</v>
      </c>
      <c r="E628" s="3" t="s">
        <v>2053</v>
      </c>
      <c r="F628" s="3" t="s">
        <v>2059</v>
      </c>
      <c r="G628" s="3">
        <v>3</v>
      </c>
      <c r="H628" s="3">
        <v>900</v>
      </c>
      <c r="I628" s="3">
        <v>1152</v>
      </c>
      <c r="J628" s="3">
        <v>9.3800000000000008</v>
      </c>
      <c r="K628" s="3">
        <v>3131.97</v>
      </c>
      <c r="L628" s="3">
        <v>431.97</v>
      </c>
      <c r="M628" s="3">
        <f t="shared" si="46"/>
        <v>32417.280000000002</v>
      </c>
      <c r="N628" s="3">
        <f t="shared" si="47"/>
        <v>2700</v>
      </c>
      <c r="O628" s="3">
        <f t="shared" si="48"/>
        <v>13.792277703809425</v>
      </c>
      <c r="P628" s="3" t="str">
        <f t="shared" si="49"/>
        <v>Apr</v>
      </c>
      <c r="Q628" s="3" t="str">
        <f t="shared" si="45"/>
        <v>good profit</v>
      </c>
    </row>
    <row r="629" spans="1:17" x14ac:dyDescent="0.25">
      <c r="A629" s="3" t="s">
        <v>502</v>
      </c>
      <c r="B629" s="4">
        <v>45770</v>
      </c>
      <c r="C629" s="3" t="s">
        <v>2012</v>
      </c>
      <c r="D629" s="3" t="s">
        <v>2032</v>
      </c>
      <c r="E629" s="3" t="s">
        <v>2052</v>
      </c>
      <c r="F629" s="3" t="s">
        <v>2059</v>
      </c>
      <c r="G629" s="3">
        <v>6</v>
      </c>
      <c r="H629" s="3">
        <v>6500</v>
      </c>
      <c r="I629" s="3">
        <v>8125</v>
      </c>
      <c r="J629" s="3">
        <v>23.36</v>
      </c>
      <c r="K629" s="3">
        <v>37359.74</v>
      </c>
      <c r="L629" s="3">
        <v>-1640.26</v>
      </c>
      <c r="M629" s="3">
        <f t="shared" si="46"/>
        <v>1138800</v>
      </c>
      <c r="N629" s="3">
        <f t="shared" si="47"/>
        <v>39000</v>
      </c>
      <c r="O629" s="3">
        <f t="shared" si="48"/>
        <v>-4.3904481133969355</v>
      </c>
      <c r="P629" s="3" t="str">
        <f t="shared" si="49"/>
        <v>Apr</v>
      </c>
      <c r="Q629" s="3" t="str">
        <f t="shared" si="45"/>
        <v>loss</v>
      </c>
    </row>
    <row r="630" spans="1:17" x14ac:dyDescent="0.25">
      <c r="A630" s="3" t="s">
        <v>1016</v>
      </c>
      <c r="B630" s="4">
        <v>45770</v>
      </c>
      <c r="C630" s="3" t="s">
        <v>2015</v>
      </c>
      <c r="D630" s="3" t="s">
        <v>2035</v>
      </c>
      <c r="E630" s="3" t="s">
        <v>2054</v>
      </c>
      <c r="F630" s="3" t="s">
        <v>2060</v>
      </c>
      <c r="G630" s="3">
        <v>4</v>
      </c>
      <c r="H630" s="3">
        <v>900</v>
      </c>
      <c r="I630" s="3">
        <v>1170</v>
      </c>
      <c r="J630" s="3">
        <v>6.15</v>
      </c>
      <c r="K630" s="3">
        <v>4392.16</v>
      </c>
      <c r="L630" s="3">
        <v>792.16</v>
      </c>
      <c r="M630" s="3">
        <f t="shared" si="46"/>
        <v>28782</v>
      </c>
      <c r="N630" s="3">
        <f t="shared" si="47"/>
        <v>3600</v>
      </c>
      <c r="O630" s="3">
        <f t="shared" si="48"/>
        <v>18.035772831590833</v>
      </c>
      <c r="P630" s="3" t="str">
        <f t="shared" si="49"/>
        <v>Apr</v>
      </c>
      <c r="Q630" s="3" t="str">
        <f t="shared" si="45"/>
        <v>good profit</v>
      </c>
    </row>
    <row r="631" spans="1:17" x14ac:dyDescent="0.25">
      <c r="A631" s="3" t="s">
        <v>1108</v>
      </c>
      <c r="B631" s="4">
        <v>45770</v>
      </c>
      <c r="C631" s="3" t="s">
        <v>2020</v>
      </c>
      <c r="D631" s="3" t="s">
        <v>2040</v>
      </c>
      <c r="E631" s="3" t="s">
        <v>2053</v>
      </c>
      <c r="F631" s="3" t="s">
        <v>2062</v>
      </c>
      <c r="G631" s="3">
        <v>9</v>
      </c>
      <c r="H631" s="3">
        <v>350</v>
      </c>
      <c r="I631" s="3">
        <v>455</v>
      </c>
      <c r="J631" s="3">
        <v>15.14</v>
      </c>
      <c r="K631" s="3">
        <v>3474.92</v>
      </c>
      <c r="L631" s="3">
        <v>324.92</v>
      </c>
      <c r="M631" s="3">
        <f t="shared" si="46"/>
        <v>61998.3</v>
      </c>
      <c r="N631" s="3">
        <f t="shared" si="47"/>
        <v>3150</v>
      </c>
      <c r="O631" s="3">
        <f t="shared" si="48"/>
        <v>9.3504310890610434</v>
      </c>
      <c r="P631" s="3" t="str">
        <f t="shared" si="49"/>
        <v>Apr</v>
      </c>
      <c r="Q631" s="3" t="str">
        <f t="shared" si="45"/>
        <v>low profit</v>
      </c>
    </row>
    <row r="632" spans="1:17" x14ac:dyDescent="0.25">
      <c r="A632" s="3" t="s">
        <v>1280</v>
      </c>
      <c r="B632" s="4">
        <v>45770</v>
      </c>
      <c r="C632" s="3" t="s">
        <v>2019</v>
      </c>
      <c r="D632" s="3" t="s">
        <v>2039</v>
      </c>
      <c r="E632" s="3" t="s">
        <v>2053</v>
      </c>
      <c r="F632" s="3" t="s">
        <v>2062</v>
      </c>
      <c r="G632" s="3">
        <v>10</v>
      </c>
      <c r="H632" s="3">
        <v>900</v>
      </c>
      <c r="I632" s="3">
        <v>1152</v>
      </c>
      <c r="J632" s="3">
        <v>22.34</v>
      </c>
      <c r="K632" s="3">
        <v>8946.32</v>
      </c>
      <c r="L632" s="3">
        <v>-53.68</v>
      </c>
      <c r="M632" s="3">
        <f t="shared" si="46"/>
        <v>257356.79999999999</v>
      </c>
      <c r="N632" s="3">
        <f t="shared" si="47"/>
        <v>9000</v>
      </c>
      <c r="O632" s="3">
        <f t="shared" si="48"/>
        <v>-0.60002324978315102</v>
      </c>
      <c r="P632" s="3" t="str">
        <f t="shared" si="49"/>
        <v>Apr</v>
      </c>
      <c r="Q632" s="3" t="str">
        <f t="shared" si="45"/>
        <v>loss</v>
      </c>
    </row>
    <row r="633" spans="1:17" x14ac:dyDescent="0.25">
      <c r="A633" s="3" t="s">
        <v>1742</v>
      </c>
      <c r="B633" s="4">
        <v>45770</v>
      </c>
      <c r="C633" s="3" t="s">
        <v>2023</v>
      </c>
      <c r="D633" s="3" t="s">
        <v>2043</v>
      </c>
      <c r="E633" s="3" t="s">
        <v>2053</v>
      </c>
      <c r="F633" s="3" t="s">
        <v>2062</v>
      </c>
      <c r="G633" s="3">
        <v>2</v>
      </c>
      <c r="H633" s="3">
        <v>550</v>
      </c>
      <c r="I633" s="3">
        <v>742.5</v>
      </c>
      <c r="J633" s="3">
        <v>4.16</v>
      </c>
      <c r="K633" s="3">
        <v>1423.27</v>
      </c>
      <c r="L633" s="3">
        <v>323.27</v>
      </c>
      <c r="M633" s="3">
        <f t="shared" si="46"/>
        <v>6177.6</v>
      </c>
      <c r="N633" s="3">
        <f t="shared" si="47"/>
        <v>1100</v>
      </c>
      <c r="O633" s="3">
        <f t="shared" si="48"/>
        <v>22.713188643054373</v>
      </c>
      <c r="P633" s="3" t="str">
        <f t="shared" si="49"/>
        <v>Apr</v>
      </c>
      <c r="Q633" s="3" t="str">
        <f t="shared" si="45"/>
        <v>good profit</v>
      </c>
    </row>
    <row r="634" spans="1:17" x14ac:dyDescent="0.25">
      <c r="A634" s="3" t="s">
        <v>1971</v>
      </c>
      <c r="B634" s="4">
        <v>45770</v>
      </c>
      <c r="C634" s="3" t="s">
        <v>2030</v>
      </c>
      <c r="D634" s="3" t="s">
        <v>2050</v>
      </c>
      <c r="E634" s="3" t="s">
        <v>2058</v>
      </c>
      <c r="F634" s="3" t="s">
        <v>2062</v>
      </c>
      <c r="G634" s="3">
        <v>7</v>
      </c>
      <c r="H634" s="3">
        <v>1800</v>
      </c>
      <c r="I634" s="3">
        <v>2124</v>
      </c>
      <c r="J634" s="3">
        <v>6.06</v>
      </c>
      <c r="K634" s="3">
        <v>13967.39</v>
      </c>
      <c r="L634" s="3">
        <v>1367.39</v>
      </c>
      <c r="M634" s="3">
        <f t="shared" si="46"/>
        <v>90100.079999999987</v>
      </c>
      <c r="N634" s="3">
        <f t="shared" si="47"/>
        <v>12600</v>
      </c>
      <c r="O634" s="3">
        <f t="shared" si="48"/>
        <v>9.7898748441906474</v>
      </c>
      <c r="P634" s="3" t="str">
        <f t="shared" si="49"/>
        <v>Apr</v>
      </c>
      <c r="Q634" s="3" t="str">
        <f t="shared" si="45"/>
        <v>low profit</v>
      </c>
    </row>
    <row r="635" spans="1:17" x14ac:dyDescent="0.25">
      <c r="A635" s="3" t="s">
        <v>57</v>
      </c>
      <c r="B635" s="4">
        <v>45771</v>
      </c>
      <c r="C635" s="3" t="s">
        <v>2019</v>
      </c>
      <c r="D635" s="3" t="s">
        <v>2039</v>
      </c>
      <c r="E635" s="3" t="s">
        <v>2053</v>
      </c>
      <c r="F635" s="3" t="s">
        <v>2062</v>
      </c>
      <c r="G635" s="3">
        <v>6</v>
      </c>
      <c r="H635" s="3">
        <v>900</v>
      </c>
      <c r="I635" s="3">
        <v>1152</v>
      </c>
      <c r="J635" s="3">
        <v>11.47</v>
      </c>
      <c r="K635" s="3">
        <v>6119.49</v>
      </c>
      <c r="L635" s="3">
        <v>719.49</v>
      </c>
      <c r="M635" s="3">
        <f t="shared" si="46"/>
        <v>79280.639999999999</v>
      </c>
      <c r="N635" s="3">
        <f t="shared" si="47"/>
        <v>5400</v>
      </c>
      <c r="O635" s="3">
        <f t="shared" si="48"/>
        <v>11.757352328380307</v>
      </c>
      <c r="P635" s="3" t="str">
        <f t="shared" si="49"/>
        <v>Apr</v>
      </c>
      <c r="Q635" s="3" t="str">
        <f t="shared" si="45"/>
        <v>good profit</v>
      </c>
    </row>
    <row r="636" spans="1:17" x14ac:dyDescent="0.25">
      <c r="A636" s="3" t="s">
        <v>318</v>
      </c>
      <c r="B636" s="4">
        <v>45771</v>
      </c>
      <c r="C636" s="3" t="s">
        <v>2020</v>
      </c>
      <c r="D636" s="3" t="s">
        <v>2040</v>
      </c>
      <c r="E636" s="3" t="s">
        <v>2053</v>
      </c>
      <c r="F636" s="3" t="s">
        <v>2061</v>
      </c>
      <c r="G636" s="3">
        <v>6</v>
      </c>
      <c r="H636" s="3">
        <v>350</v>
      </c>
      <c r="I636" s="3">
        <v>455</v>
      </c>
      <c r="J636" s="3">
        <v>13</v>
      </c>
      <c r="K636" s="3">
        <v>2375.0300000000002</v>
      </c>
      <c r="L636" s="3">
        <v>275.02999999999997</v>
      </c>
      <c r="M636" s="3">
        <f t="shared" si="46"/>
        <v>35490</v>
      </c>
      <c r="N636" s="3">
        <f t="shared" si="47"/>
        <v>2100</v>
      </c>
      <c r="O636" s="3">
        <f t="shared" si="48"/>
        <v>11.580064251819975</v>
      </c>
      <c r="P636" s="3" t="str">
        <f t="shared" si="49"/>
        <v>Apr</v>
      </c>
      <c r="Q636" s="3" t="str">
        <f t="shared" si="45"/>
        <v>good profit</v>
      </c>
    </row>
    <row r="637" spans="1:17" x14ac:dyDescent="0.25">
      <c r="A637" s="3" t="s">
        <v>693</v>
      </c>
      <c r="B637" s="4">
        <v>45771</v>
      </c>
      <c r="C637" s="3" t="s">
        <v>2025</v>
      </c>
      <c r="D637" s="3" t="s">
        <v>2045</v>
      </c>
      <c r="E637" s="3" t="s">
        <v>2057</v>
      </c>
      <c r="F637" s="3" t="s">
        <v>2061</v>
      </c>
      <c r="G637" s="3">
        <v>8</v>
      </c>
      <c r="H637" s="3">
        <v>45</v>
      </c>
      <c r="I637" s="3">
        <v>63</v>
      </c>
      <c r="J637" s="3">
        <v>28.42</v>
      </c>
      <c r="K637" s="3">
        <v>360.76</v>
      </c>
      <c r="L637" s="3">
        <v>0.76</v>
      </c>
      <c r="M637" s="3">
        <f t="shared" si="46"/>
        <v>14323.68</v>
      </c>
      <c r="N637" s="3">
        <f t="shared" si="47"/>
        <v>360</v>
      </c>
      <c r="O637" s="3">
        <f t="shared" si="48"/>
        <v>0.21066637099456703</v>
      </c>
      <c r="P637" s="3" t="str">
        <f t="shared" si="49"/>
        <v>Apr</v>
      </c>
      <c r="Q637" s="3" t="str">
        <f t="shared" si="45"/>
        <v>low profit</v>
      </c>
    </row>
    <row r="638" spans="1:17" x14ac:dyDescent="0.25">
      <c r="A638" s="3" t="s">
        <v>1255</v>
      </c>
      <c r="B638" s="4">
        <v>45771</v>
      </c>
      <c r="C638" s="3" t="s">
        <v>2025</v>
      </c>
      <c r="D638" s="3" t="s">
        <v>2045</v>
      </c>
      <c r="E638" s="3" t="s">
        <v>2057</v>
      </c>
      <c r="F638" s="3" t="s">
        <v>2061</v>
      </c>
      <c r="G638" s="3">
        <v>1</v>
      </c>
      <c r="H638" s="3">
        <v>45</v>
      </c>
      <c r="I638" s="3">
        <v>63</v>
      </c>
      <c r="J638" s="3">
        <v>19.12</v>
      </c>
      <c r="K638" s="3">
        <v>50.95</v>
      </c>
      <c r="L638" s="3">
        <v>5.95</v>
      </c>
      <c r="M638" s="3">
        <f t="shared" si="46"/>
        <v>1204.5600000000002</v>
      </c>
      <c r="N638" s="3">
        <f t="shared" si="47"/>
        <v>45</v>
      </c>
      <c r="O638" s="3">
        <f t="shared" si="48"/>
        <v>11.678115799803729</v>
      </c>
      <c r="P638" s="3" t="str">
        <f t="shared" si="49"/>
        <v>Apr</v>
      </c>
      <c r="Q638" s="3" t="str">
        <f t="shared" si="45"/>
        <v>good profit</v>
      </c>
    </row>
    <row r="639" spans="1:17" x14ac:dyDescent="0.25">
      <c r="A639" s="3" t="s">
        <v>1756</v>
      </c>
      <c r="B639" s="4">
        <v>45771</v>
      </c>
      <c r="C639" s="3" t="s">
        <v>2020</v>
      </c>
      <c r="D639" s="3" t="s">
        <v>2040</v>
      </c>
      <c r="E639" s="3" t="s">
        <v>2053</v>
      </c>
      <c r="F639" s="3" t="s">
        <v>2061</v>
      </c>
      <c r="G639" s="3">
        <v>2</v>
      </c>
      <c r="H639" s="3">
        <v>350</v>
      </c>
      <c r="I639" s="3">
        <v>455</v>
      </c>
      <c r="J639" s="3">
        <v>9.57</v>
      </c>
      <c r="K639" s="3">
        <v>822.93</v>
      </c>
      <c r="L639" s="3">
        <v>122.93</v>
      </c>
      <c r="M639" s="3">
        <f t="shared" si="46"/>
        <v>8708.7000000000007</v>
      </c>
      <c r="N639" s="3">
        <f t="shared" si="47"/>
        <v>700</v>
      </c>
      <c r="O639" s="3">
        <f t="shared" si="48"/>
        <v>14.93808707909543</v>
      </c>
      <c r="P639" s="3" t="str">
        <f t="shared" si="49"/>
        <v>Apr</v>
      </c>
      <c r="Q639" s="3" t="str">
        <f t="shared" si="45"/>
        <v>good profit</v>
      </c>
    </row>
    <row r="640" spans="1:17" x14ac:dyDescent="0.25">
      <c r="A640" s="3" t="s">
        <v>1964</v>
      </c>
      <c r="B640" s="4">
        <v>45771</v>
      </c>
      <c r="C640" s="3" t="s">
        <v>2019</v>
      </c>
      <c r="D640" s="3" t="s">
        <v>2039</v>
      </c>
      <c r="E640" s="3" t="s">
        <v>2053</v>
      </c>
      <c r="F640" s="3" t="s">
        <v>2060</v>
      </c>
      <c r="G640" s="3">
        <v>3</v>
      </c>
      <c r="H640" s="3">
        <v>900</v>
      </c>
      <c r="I640" s="3">
        <v>1152</v>
      </c>
      <c r="J640" s="3">
        <v>3.53</v>
      </c>
      <c r="K640" s="3">
        <v>3333.99</v>
      </c>
      <c r="L640" s="3">
        <v>633.99</v>
      </c>
      <c r="M640" s="3">
        <f t="shared" si="46"/>
        <v>12199.679999999998</v>
      </c>
      <c r="N640" s="3">
        <f t="shared" si="47"/>
        <v>2700</v>
      </c>
      <c r="O640" s="3">
        <f t="shared" si="48"/>
        <v>19.015953857090153</v>
      </c>
      <c r="P640" s="3" t="str">
        <f t="shared" si="49"/>
        <v>Apr</v>
      </c>
      <c r="Q640" s="3" t="str">
        <f t="shared" si="45"/>
        <v>good profit</v>
      </c>
    </row>
    <row r="641" spans="1:17" x14ac:dyDescent="0.25">
      <c r="A641" s="3" t="s">
        <v>36</v>
      </c>
      <c r="B641" s="4">
        <v>45772</v>
      </c>
      <c r="C641" s="3" t="s">
        <v>2017</v>
      </c>
      <c r="D641" s="3" t="s">
        <v>2037</v>
      </c>
      <c r="E641" s="3" t="s">
        <v>2055</v>
      </c>
      <c r="F641" s="3" t="s">
        <v>2062</v>
      </c>
      <c r="G641" s="3">
        <v>6</v>
      </c>
      <c r="H641" s="3">
        <v>2500</v>
      </c>
      <c r="I641" s="3">
        <v>2875</v>
      </c>
      <c r="J641" s="3">
        <v>15.79</v>
      </c>
      <c r="K641" s="3">
        <v>14525.67</v>
      </c>
      <c r="L641" s="3">
        <v>-474.33</v>
      </c>
      <c r="M641" s="3">
        <f t="shared" si="46"/>
        <v>272377.5</v>
      </c>
      <c r="N641" s="3">
        <f t="shared" si="47"/>
        <v>15000</v>
      </c>
      <c r="O641" s="3">
        <f t="shared" si="48"/>
        <v>-3.2654603884020492</v>
      </c>
      <c r="P641" s="3" t="str">
        <f t="shared" si="49"/>
        <v>Apr</v>
      </c>
      <c r="Q641" s="3" t="str">
        <f t="shared" si="45"/>
        <v>loss</v>
      </c>
    </row>
    <row r="642" spans="1:17" x14ac:dyDescent="0.25">
      <c r="A642" s="3" t="s">
        <v>803</v>
      </c>
      <c r="B642" s="4">
        <v>45772</v>
      </c>
      <c r="C642" s="3" t="s">
        <v>2015</v>
      </c>
      <c r="D642" s="3" t="s">
        <v>2035</v>
      </c>
      <c r="E642" s="3" t="s">
        <v>2054</v>
      </c>
      <c r="F642" s="3" t="s">
        <v>2059</v>
      </c>
      <c r="G642" s="3">
        <v>1</v>
      </c>
      <c r="H642" s="3">
        <v>900</v>
      </c>
      <c r="I642" s="3">
        <v>1170</v>
      </c>
      <c r="J642" s="3">
        <v>17.170000000000002</v>
      </c>
      <c r="K642" s="3">
        <v>969.06</v>
      </c>
      <c r="L642" s="3">
        <v>69.06</v>
      </c>
      <c r="M642" s="3">
        <f t="shared" si="46"/>
        <v>20088.900000000001</v>
      </c>
      <c r="N642" s="3">
        <f t="shared" si="47"/>
        <v>900</v>
      </c>
      <c r="O642" s="3">
        <f t="shared" si="48"/>
        <v>7.126493715559409</v>
      </c>
      <c r="P642" s="3" t="str">
        <f t="shared" si="49"/>
        <v>Apr</v>
      </c>
      <c r="Q642" s="3" t="str">
        <f t="shared" ref="Q642:Q705" si="50">IF(L642&lt;0,"loss",IF(O642&lt;10,"low profit","good profit"))</f>
        <v>low profit</v>
      </c>
    </row>
    <row r="643" spans="1:17" x14ac:dyDescent="0.25">
      <c r="A643" s="3" t="s">
        <v>13</v>
      </c>
      <c r="B643" s="4">
        <v>45773</v>
      </c>
      <c r="C643" s="3" t="s">
        <v>2013</v>
      </c>
      <c r="D643" s="3" t="s">
        <v>2033</v>
      </c>
      <c r="E643" s="3" t="s">
        <v>2053</v>
      </c>
      <c r="F643" s="3" t="s">
        <v>2060</v>
      </c>
      <c r="G643" s="3">
        <v>1</v>
      </c>
      <c r="H643" s="3">
        <v>6500</v>
      </c>
      <c r="I643" s="3">
        <v>7150</v>
      </c>
      <c r="J643" s="3">
        <v>5.18</v>
      </c>
      <c r="K643" s="3">
        <v>6779.35</v>
      </c>
      <c r="L643" s="3">
        <v>279.35000000000002</v>
      </c>
      <c r="M643" s="3">
        <f t="shared" ref="M643:M706" si="51">G643*I643*J643</f>
        <v>37037</v>
      </c>
      <c r="N643" s="3">
        <f t="shared" ref="N643:N706" si="52">G643*H643</f>
        <v>6500</v>
      </c>
      <c r="O643" s="3">
        <f t="shared" ref="O643:O706" si="53">IFERROR(L643/K643*100,0)</f>
        <v>4.120601532595308</v>
      </c>
      <c r="P643" s="3" t="str">
        <f t="shared" ref="P643:P706" si="54">TEXT(B643,"mmm")</f>
        <v>Apr</v>
      </c>
      <c r="Q643" s="3" t="str">
        <f t="shared" si="50"/>
        <v>low profit</v>
      </c>
    </row>
    <row r="644" spans="1:17" x14ac:dyDescent="0.25">
      <c r="A644" s="3" t="s">
        <v>172</v>
      </c>
      <c r="B644" s="4">
        <v>45773</v>
      </c>
      <c r="C644" s="3" t="s">
        <v>2024</v>
      </c>
      <c r="D644" s="3" t="s">
        <v>2044</v>
      </c>
      <c r="E644" s="3" t="s">
        <v>2055</v>
      </c>
      <c r="F644" s="3" t="s">
        <v>2061</v>
      </c>
      <c r="G644" s="3">
        <v>6</v>
      </c>
      <c r="H644" s="3">
        <v>180</v>
      </c>
      <c r="I644" s="3">
        <v>243</v>
      </c>
      <c r="J644" s="3">
        <v>4.12</v>
      </c>
      <c r="K644" s="3">
        <v>1397.86</v>
      </c>
      <c r="L644" s="3">
        <v>317.86</v>
      </c>
      <c r="M644" s="3">
        <f t="shared" si="51"/>
        <v>6006.96</v>
      </c>
      <c r="N644" s="3">
        <f t="shared" si="52"/>
        <v>1080</v>
      </c>
      <c r="O644" s="3">
        <f t="shared" si="53"/>
        <v>22.739043967207017</v>
      </c>
      <c r="P644" s="3" t="str">
        <f t="shared" si="54"/>
        <v>Apr</v>
      </c>
      <c r="Q644" s="3" t="str">
        <f t="shared" si="50"/>
        <v>good profit</v>
      </c>
    </row>
    <row r="645" spans="1:17" x14ac:dyDescent="0.25">
      <c r="A645" s="3" t="s">
        <v>474</v>
      </c>
      <c r="B645" s="4">
        <v>45773</v>
      </c>
      <c r="C645" s="3" t="s">
        <v>2031</v>
      </c>
      <c r="D645" s="3" t="s">
        <v>2051</v>
      </c>
      <c r="E645" s="3" t="s">
        <v>2058</v>
      </c>
      <c r="F645" s="3" t="s">
        <v>2060</v>
      </c>
      <c r="G645" s="3">
        <v>3</v>
      </c>
      <c r="H645" s="3">
        <v>3200</v>
      </c>
      <c r="I645" s="3">
        <v>3840</v>
      </c>
      <c r="J645" s="3">
        <v>18.850000000000001</v>
      </c>
      <c r="K645" s="3">
        <v>9348.0400000000009</v>
      </c>
      <c r="L645" s="3">
        <v>-251.96</v>
      </c>
      <c r="M645" s="3">
        <f t="shared" si="51"/>
        <v>217152.00000000003</v>
      </c>
      <c r="N645" s="3">
        <f t="shared" si="52"/>
        <v>9600</v>
      </c>
      <c r="O645" s="3">
        <f t="shared" si="53"/>
        <v>-2.6953243674609864</v>
      </c>
      <c r="P645" s="3" t="str">
        <f t="shared" si="54"/>
        <v>Apr</v>
      </c>
      <c r="Q645" s="3" t="str">
        <f t="shared" si="50"/>
        <v>loss</v>
      </c>
    </row>
    <row r="646" spans="1:17" x14ac:dyDescent="0.25">
      <c r="A646" s="3" t="s">
        <v>651</v>
      </c>
      <c r="B646" s="4">
        <v>45773</v>
      </c>
      <c r="C646" s="3" t="s">
        <v>2024</v>
      </c>
      <c r="D646" s="3" t="s">
        <v>2044</v>
      </c>
      <c r="E646" s="3" t="s">
        <v>2055</v>
      </c>
      <c r="F646" s="3" t="s">
        <v>2059</v>
      </c>
      <c r="G646" s="3">
        <v>7</v>
      </c>
      <c r="H646" s="3">
        <v>180</v>
      </c>
      <c r="I646" s="3">
        <v>243</v>
      </c>
      <c r="J646" s="3">
        <v>27.49</v>
      </c>
      <c r="K646" s="3">
        <v>1233.3599999999999</v>
      </c>
      <c r="L646" s="3">
        <v>-26.64</v>
      </c>
      <c r="M646" s="3">
        <f t="shared" si="51"/>
        <v>46760.49</v>
      </c>
      <c r="N646" s="3">
        <f t="shared" si="52"/>
        <v>1260</v>
      </c>
      <c r="O646" s="3">
        <f t="shared" si="53"/>
        <v>-2.1599532983070642</v>
      </c>
      <c r="P646" s="3" t="str">
        <f t="shared" si="54"/>
        <v>Apr</v>
      </c>
      <c r="Q646" s="3" t="str">
        <f t="shared" si="50"/>
        <v>loss</v>
      </c>
    </row>
    <row r="647" spans="1:17" x14ac:dyDescent="0.25">
      <c r="A647" s="3" t="s">
        <v>1104</v>
      </c>
      <c r="B647" s="4">
        <v>45773</v>
      </c>
      <c r="C647" s="3" t="s">
        <v>2027</v>
      </c>
      <c r="D647" s="3" t="s">
        <v>2047</v>
      </c>
      <c r="E647" s="3" t="s">
        <v>2053</v>
      </c>
      <c r="F647" s="3" t="s">
        <v>2061</v>
      </c>
      <c r="G647" s="3">
        <v>10</v>
      </c>
      <c r="H647" s="3">
        <v>1100</v>
      </c>
      <c r="I647" s="3">
        <v>1298</v>
      </c>
      <c r="J647" s="3">
        <v>5.89</v>
      </c>
      <c r="K647" s="3">
        <v>12215.37</v>
      </c>
      <c r="L647" s="3">
        <v>1215.3699999999999</v>
      </c>
      <c r="M647" s="3">
        <f t="shared" si="51"/>
        <v>76452.2</v>
      </c>
      <c r="N647" s="3">
        <f t="shared" si="52"/>
        <v>11000</v>
      </c>
      <c r="O647" s="3">
        <f t="shared" si="53"/>
        <v>9.9495144232225456</v>
      </c>
      <c r="P647" s="3" t="str">
        <f t="shared" si="54"/>
        <v>Apr</v>
      </c>
      <c r="Q647" s="3" t="str">
        <f t="shared" si="50"/>
        <v>low profit</v>
      </c>
    </row>
    <row r="648" spans="1:17" x14ac:dyDescent="0.25">
      <c r="A648" s="3" t="s">
        <v>1240</v>
      </c>
      <c r="B648" s="4">
        <v>45773</v>
      </c>
      <c r="C648" s="3" t="s">
        <v>2024</v>
      </c>
      <c r="D648" s="3" t="s">
        <v>2044</v>
      </c>
      <c r="E648" s="3" t="s">
        <v>2055</v>
      </c>
      <c r="F648" s="3" t="s">
        <v>2059</v>
      </c>
      <c r="G648" s="3">
        <v>1</v>
      </c>
      <c r="H648" s="3">
        <v>180</v>
      </c>
      <c r="I648" s="3">
        <v>243</v>
      </c>
      <c r="J648" s="3">
        <v>8.16</v>
      </c>
      <c r="K648" s="3">
        <v>223.17</v>
      </c>
      <c r="L648" s="3">
        <v>43.17</v>
      </c>
      <c r="M648" s="3">
        <f t="shared" si="51"/>
        <v>1982.88</v>
      </c>
      <c r="N648" s="3">
        <f t="shared" si="52"/>
        <v>180</v>
      </c>
      <c r="O648" s="3">
        <f t="shared" si="53"/>
        <v>19.343997849173277</v>
      </c>
      <c r="P648" s="3" t="str">
        <f t="shared" si="54"/>
        <v>Apr</v>
      </c>
      <c r="Q648" s="3" t="str">
        <f t="shared" si="50"/>
        <v>good profit</v>
      </c>
    </row>
    <row r="649" spans="1:17" x14ac:dyDescent="0.25">
      <c r="A649" s="3" t="s">
        <v>1750</v>
      </c>
      <c r="B649" s="4">
        <v>45773</v>
      </c>
      <c r="C649" s="3" t="s">
        <v>2030</v>
      </c>
      <c r="D649" s="3" t="s">
        <v>2050</v>
      </c>
      <c r="E649" s="3" t="s">
        <v>2058</v>
      </c>
      <c r="F649" s="3" t="s">
        <v>2061</v>
      </c>
      <c r="G649" s="3">
        <v>8</v>
      </c>
      <c r="H649" s="3">
        <v>1800</v>
      </c>
      <c r="I649" s="3">
        <v>2124</v>
      </c>
      <c r="J649" s="3">
        <v>4.67</v>
      </c>
      <c r="K649" s="3">
        <v>16198.1</v>
      </c>
      <c r="L649" s="3">
        <v>1798.1</v>
      </c>
      <c r="M649" s="3">
        <f t="shared" si="51"/>
        <v>79352.639999999999</v>
      </c>
      <c r="N649" s="3">
        <f t="shared" si="52"/>
        <v>14400</v>
      </c>
      <c r="O649" s="3">
        <f t="shared" si="53"/>
        <v>11.100684648199479</v>
      </c>
      <c r="P649" s="3" t="str">
        <f t="shared" si="54"/>
        <v>Apr</v>
      </c>
      <c r="Q649" s="3" t="str">
        <f t="shared" si="50"/>
        <v>good profit</v>
      </c>
    </row>
    <row r="650" spans="1:17" x14ac:dyDescent="0.25">
      <c r="A650" s="3" t="s">
        <v>1761</v>
      </c>
      <c r="B650" s="4">
        <v>45773</v>
      </c>
      <c r="C650" s="3" t="s">
        <v>2029</v>
      </c>
      <c r="D650" s="3" t="s">
        <v>2049</v>
      </c>
      <c r="E650" s="3" t="s">
        <v>2055</v>
      </c>
      <c r="F650" s="3" t="s">
        <v>2060</v>
      </c>
      <c r="G650" s="3">
        <v>9</v>
      </c>
      <c r="H650" s="3">
        <v>1200</v>
      </c>
      <c r="I650" s="3">
        <v>1464</v>
      </c>
      <c r="J650" s="3">
        <v>9.4</v>
      </c>
      <c r="K650" s="3">
        <v>11938.01</v>
      </c>
      <c r="L650" s="3">
        <v>1138.01</v>
      </c>
      <c r="M650" s="3">
        <f t="shared" si="51"/>
        <v>123854.40000000001</v>
      </c>
      <c r="N650" s="3">
        <f t="shared" si="52"/>
        <v>10800</v>
      </c>
      <c r="O650" s="3">
        <f t="shared" si="53"/>
        <v>9.5326608036012708</v>
      </c>
      <c r="P650" s="3" t="str">
        <f t="shared" si="54"/>
        <v>Apr</v>
      </c>
      <c r="Q650" s="3" t="str">
        <f t="shared" si="50"/>
        <v>low profit</v>
      </c>
    </row>
    <row r="651" spans="1:17" x14ac:dyDescent="0.25">
      <c r="A651" s="3" t="s">
        <v>1795</v>
      </c>
      <c r="B651" s="4">
        <v>45773</v>
      </c>
      <c r="C651" s="3" t="s">
        <v>2017</v>
      </c>
      <c r="D651" s="3" t="s">
        <v>2037</v>
      </c>
      <c r="E651" s="3" t="s">
        <v>2055</v>
      </c>
      <c r="F651" s="3" t="s">
        <v>2060</v>
      </c>
      <c r="G651" s="3">
        <v>3</v>
      </c>
      <c r="H651" s="3">
        <v>2500</v>
      </c>
      <c r="I651" s="3">
        <v>2875</v>
      </c>
      <c r="J651" s="3">
        <v>10.29</v>
      </c>
      <c r="K651" s="3">
        <v>7737.16</v>
      </c>
      <c r="L651" s="3">
        <v>237.16</v>
      </c>
      <c r="M651" s="3">
        <f t="shared" si="51"/>
        <v>88751.249999999985</v>
      </c>
      <c r="N651" s="3">
        <f t="shared" si="52"/>
        <v>7500</v>
      </c>
      <c r="O651" s="3">
        <f t="shared" si="53"/>
        <v>3.0652073887576319</v>
      </c>
      <c r="P651" s="3" t="str">
        <f t="shared" si="54"/>
        <v>Apr</v>
      </c>
      <c r="Q651" s="3" t="str">
        <f t="shared" si="50"/>
        <v>low profit</v>
      </c>
    </row>
    <row r="652" spans="1:17" x14ac:dyDescent="0.25">
      <c r="A652" s="3" t="s">
        <v>1818</v>
      </c>
      <c r="B652" s="4">
        <v>45773</v>
      </c>
      <c r="C652" s="3" t="s">
        <v>2022</v>
      </c>
      <c r="D652" s="3" t="s">
        <v>2042</v>
      </c>
      <c r="E652" s="3" t="s">
        <v>2053</v>
      </c>
      <c r="F652" s="3" t="s">
        <v>2059</v>
      </c>
      <c r="G652" s="3">
        <v>2</v>
      </c>
      <c r="H652" s="3">
        <v>8500</v>
      </c>
      <c r="I652" s="3">
        <v>9520</v>
      </c>
      <c r="J652" s="3">
        <v>12.48</v>
      </c>
      <c r="K652" s="3">
        <v>16664.169999999998</v>
      </c>
      <c r="L652" s="3">
        <v>-335.83</v>
      </c>
      <c r="M652" s="3">
        <f t="shared" si="51"/>
        <v>237619.20000000001</v>
      </c>
      <c r="N652" s="3">
        <f t="shared" si="52"/>
        <v>17000</v>
      </c>
      <c r="O652" s="3">
        <f t="shared" si="53"/>
        <v>-2.0152818892270061</v>
      </c>
      <c r="P652" s="3" t="str">
        <f t="shared" si="54"/>
        <v>Apr</v>
      </c>
      <c r="Q652" s="3" t="str">
        <f t="shared" si="50"/>
        <v>loss</v>
      </c>
    </row>
    <row r="653" spans="1:17" x14ac:dyDescent="0.25">
      <c r="A653" s="3" t="s">
        <v>116</v>
      </c>
      <c r="B653" s="4">
        <v>45774</v>
      </c>
      <c r="C653" s="3" t="s">
        <v>2023</v>
      </c>
      <c r="D653" s="3" t="s">
        <v>2043</v>
      </c>
      <c r="E653" s="3" t="s">
        <v>2053</v>
      </c>
      <c r="F653" s="3" t="s">
        <v>2060</v>
      </c>
      <c r="G653" s="3">
        <v>4</v>
      </c>
      <c r="H653" s="3">
        <v>550</v>
      </c>
      <c r="I653" s="3">
        <v>742.5</v>
      </c>
      <c r="J653" s="3">
        <v>13.35</v>
      </c>
      <c r="K653" s="3">
        <v>2573.64</v>
      </c>
      <c r="L653" s="3">
        <v>373.64</v>
      </c>
      <c r="M653" s="3">
        <f t="shared" si="51"/>
        <v>39649.5</v>
      </c>
      <c r="N653" s="3">
        <f t="shared" si="52"/>
        <v>2200</v>
      </c>
      <c r="O653" s="3">
        <f t="shared" si="53"/>
        <v>14.5179589997047</v>
      </c>
      <c r="P653" s="3" t="str">
        <f t="shared" si="54"/>
        <v>Apr</v>
      </c>
      <c r="Q653" s="3" t="str">
        <f t="shared" si="50"/>
        <v>good profit</v>
      </c>
    </row>
    <row r="654" spans="1:17" x14ac:dyDescent="0.25">
      <c r="A654" s="3" t="s">
        <v>207</v>
      </c>
      <c r="B654" s="4">
        <v>45774</v>
      </c>
      <c r="C654" s="3" t="s">
        <v>2026</v>
      </c>
      <c r="D654" s="3" t="s">
        <v>2046</v>
      </c>
      <c r="E654" s="3" t="s">
        <v>2052</v>
      </c>
      <c r="F654" s="3" t="s">
        <v>2059</v>
      </c>
      <c r="G654" s="3">
        <v>9</v>
      </c>
      <c r="H654" s="3">
        <v>3000</v>
      </c>
      <c r="I654" s="3">
        <v>3600</v>
      </c>
      <c r="J654" s="3">
        <v>17.239999999999998</v>
      </c>
      <c r="K654" s="3">
        <v>26815.13</v>
      </c>
      <c r="L654" s="3">
        <v>-184.87</v>
      </c>
      <c r="M654" s="3">
        <f t="shared" si="51"/>
        <v>558576</v>
      </c>
      <c r="N654" s="3">
        <f t="shared" si="52"/>
        <v>27000</v>
      </c>
      <c r="O654" s="3">
        <f t="shared" si="53"/>
        <v>-0.68942421685071076</v>
      </c>
      <c r="P654" s="3" t="str">
        <f t="shared" si="54"/>
        <v>Apr</v>
      </c>
      <c r="Q654" s="3" t="str">
        <f t="shared" si="50"/>
        <v>loss</v>
      </c>
    </row>
    <row r="655" spans="1:17" x14ac:dyDescent="0.25">
      <c r="A655" s="3" t="s">
        <v>462</v>
      </c>
      <c r="B655" s="4">
        <v>45774</v>
      </c>
      <c r="C655" s="3" t="s">
        <v>2028</v>
      </c>
      <c r="D655" s="3" t="s">
        <v>2048</v>
      </c>
      <c r="E655" s="3" t="s">
        <v>2057</v>
      </c>
      <c r="F655" s="3" t="s">
        <v>2059</v>
      </c>
      <c r="G655" s="3">
        <v>3</v>
      </c>
      <c r="H655" s="3">
        <v>80</v>
      </c>
      <c r="I655" s="3">
        <v>116</v>
      </c>
      <c r="J655" s="3">
        <v>0</v>
      </c>
      <c r="K655" s="3">
        <v>348</v>
      </c>
      <c r="L655" s="3">
        <v>108</v>
      </c>
      <c r="M655" s="3">
        <f t="shared" si="51"/>
        <v>0</v>
      </c>
      <c r="N655" s="3">
        <f t="shared" si="52"/>
        <v>240</v>
      </c>
      <c r="O655" s="3">
        <f t="shared" si="53"/>
        <v>31.03448275862069</v>
      </c>
      <c r="P655" s="3" t="str">
        <f t="shared" si="54"/>
        <v>Apr</v>
      </c>
      <c r="Q655" s="3" t="str">
        <f t="shared" si="50"/>
        <v>good profit</v>
      </c>
    </row>
    <row r="656" spans="1:17" x14ac:dyDescent="0.25">
      <c r="A656" s="3" t="s">
        <v>596</v>
      </c>
      <c r="B656" s="4">
        <v>45774</v>
      </c>
      <c r="C656" s="3" t="s">
        <v>2018</v>
      </c>
      <c r="D656" s="3" t="s">
        <v>2038</v>
      </c>
      <c r="E656" s="3" t="s">
        <v>2053</v>
      </c>
      <c r="F656" s="3" t="s">
        <v>2061</v>
      </c>
      <c r="G656" s="3">
        <v>4</v>
      </c>
      <c r="H656" s="3">
        <v>500</v>
      </c>
      <c r="I656" s="3">
        <v>610</v>
      </c>
      <c r="J656" s="3">
        <v>6.61</v>
      </c>
      <c r="K656" s="3">
        <v>2278.71</v>
      </c>
      <c r="L656" s="3">
        <v>278.70999999999998</v>
      </c>
      <c r="M656" s="3">
        <f t="shared" si="51"/>
        <v>16128.400000000001</v>
      </c>
      <c r="N656" s="3">
        <f t="shared" si="52"/>
        <v>2000</v>
      </c>
      <c r="O656" s="3">
        <f t="shared" si="53"/>
        <v>12.231043002400479</v>
      </c>
      <c r="P656" s="3" t="str">
        <f t="shared" si="54"/>
        <v>Apr</v>
      </c>
      <c r="Q656" s="3" t="str">
        <f t="shared" si="50"/>
        <v>good profit</v>
      </c>
    </row>
    <row r="657" spans="1:17" x14ac:dyDescent="0.25">
      <c r="A657" s="3" t="s">
        <v>794</v>
      </c>
      <c r="B657" s="4">
        <v>45774</v>
      </c>
      <c r="C657" s="3" t="s">
        <v>2020</v>
      </c>
      <c r="D657" s="3" t="s">
        <v>2040</v>
      </c>
      <c r="E657" s="3" t="s">
        <v>2053</v>
      </c>
      <c r="F657" s="3" t="s">
        <v>2062</v>
      </c>
      <c r="G657" s="3">
        <v>3</v>
      </c>
      <c r="H657" s="3">
        <v>350</v>
      </c>
      <c r="I657" s="3">
        <v>455</v>
      </c>
      <c r="J657" s="3">
        <v>0</v>
      </c>
      <c r="K657" s="3">
        <v>1365</v>
      </c>
      <c r="L657" s="3">
        <v>315</v>
      </c>
      <c r="M657" s="3">
        <f t="shared" si="51"/>
        <v>0</v>
      </c>
      <c r="N657" s="3">
        <f t="shared" si="52"/>
        <v>1050</v>
      </c>
      <c r="O657" s="3">
        <f t="shared" si="53"/>
        <v>23.076923076923077</v>
      </c>
      <c r="P657" s="3" t="str">
        <f t="shared" si="54"/>
        <v>Apr</v>
      </c>
      <c r="Q657" s="3" t="str">
        <f t="shared" si="50"/>
        <v>good profit</v>
      </c>
    </row>
    <row r="658" spans="1:17" x14ac:dyDescent="0.25">
      <c r="A658" s="3" t="s">
        <v>1038</v>
      </c>
      <c r="B658" s="4">
        <v>45774</v>
      </c>
      <c r="C658" s="3" t="s">
        <v>2017</v>
      </c>
      <c r="D658" s="3" t="s">
        <v>2037</v>
      </c>
      <c r="E658" s="3" t="s">
        <v>2055</v>
      </c>
      <c r="F658" s="3" t="s">
        <v>2062</v>
      </c>
      <c r="G658" s="3">
        <v>9</v>
      </c>
      <c r="H658" s="3">
        <v>2500</v>
      </c>
      <c r="I658" s="3">
        <v>2875</v>
      </c>
      <c r="J658" s="3">
        <v>12.37</v>
      </c>
      <c r="K658" s="3">
        <v>22674.71</v>
      </c>
      <c r="L658" s="3">
        <v>174.71</v>
      </c>
      <c r="M658" s="3">
        <f t="shared" si="51"/>
        <v>320073.75</v>
      </c>
      <c r="N658" s="3">
        <f t="shared" si="52"/>
        <v>22500</v>
      </c>
      <c r="O658" s="3">
        <f t="shared" si="53"/>
        <v>0.77050599544602782</v>
      </c>
      <c r="P658" s="3" t="str">
        <f t="shared" si="54"/>
        <v>Apr</v>
      </c>
      <c r="Q658" s="3" t="str">
        <f t="shared" si="50"/>
        <v>low profit</v>
      </c>
    </row>
    <row r="659" spans="1:17" x14ac:dyDescent="0.25">
      <c r="A659" s="3" t="s">
        <v>1193</v>
      </c>
      <c r="B659" s="4">
        <v>45774</v>
      </c>
      <c r="C659" s="3" t="s">
        <v>2028</v>
      </c>
      <c r="D659" s="3" t="s">
        <v>2048</v>
      </c>
      <c r="E659" s="3" t="s">
        <v>2057</v>
      </c>
      <c r="F659" s="3" t="s">
        <v>2061</v>
      </c>
      <c r="G659" s="3">
        <v>6</v>
      </c>
      <c r="H659" s="3">
        <v>80</v>
      </c>
      <c r="I659" s="3">
        <v>116</v>
      </c>
      <c r="J659" s="3">
        <v>7.38</v>
      </c>
      <c r="K659" s="3">
        <v>644.65</v>
      </c>
      <c r="L659" s="3">
        <v>164.65</v>
      </c>
      <c r="M659" s="3">
        <f t="shared" si="51"/>
        <v>5136.4799999999996</v>
      </c>
      <c r="N659" s="3">
        <f t="shared" si="52"/>
        <v>480</v>
      </c>
      <c r="O659" s="3">
        <f t="shared" si="53"/>
        <v>25.540991235554177</v>
      </c>
      <c r="P659" s="3" t="str">
        <f t="shared" si="54"/>
        <v>Apr</v>
      </c>
      <c r="Q659" s="3" t="str">
        <f t="shared" si="50"/>
        <v>good profit</v>
      </c>
    </row>
    <row r="660" spans="1:17" x14ac:dyDescent="0.25">
      <c r="A660" s="3" t="s">
        <v>1738</v>
      </c>
      <c r="B660" s="4">
        <v>45774</v>
      </c>
      <c r="C660" s="3" t="s">
        <v>2020</v>
      </c>
      <c r="D660" s="3" t="s">
        <v>2040</v>
      </c>
      <c r="E660" s="3" t="s">
        <v>2053</v>
      </c>
      <c r="F660" s="3" t="s">
        <v>2061</v>
      </c>
      <c r="G660" s="3">
        <v>7</v>
      </c>
      <c r="H660" s="3">
        <v>350</v>
      </c>
      <c r="I660" s="3">
        <v>455</v>
      </c>
      <c r="J660" s="3">
        <v>5.07</v>
      </c>
      <c r="K660" s="3">
        <v>3023.48</v>
      </c>
      <c r="L660" s="3">
        <v>573.48</v>
      </c>
      <c r="M660" s="3">
        <f t="shared" si="51"/>
        <v>16147.95</v>
      </c>
      <c r="N660" s="3">
        <f t="shared" si="52"/>
        <v>2450</v>
      </c>
      <c r="O660" s="3">
        <f t="shared" si="53"/>
        <v>18.967547329567257</v>
      </c>
      <c r="P660" s="3" t="str">
        <f t="shared" si="54"/>
        <v>Apr</v>
      </c>
      <c r="Q660" s="3" t="str">
        <f t="shared" si="50"/>
        <v>good profit</v>
      </c>
    </row>
    <row r="661" spans="1:17" x14ac:dyDescent="0.25">
      <c r="A661" s="3" t="s">
        <v>38</v>
      </c>
      <c r="B661" s="4">
        <v>45775</v>
      </c>
      <c r="C661" s="3" t="s">
        <v>2013</v>
      </c>
      <c r="D661" s="3" t="s">
        <v>2033</v>
      </c>
      <c r="E661" s="3" t="s">
        <v>2053</v>
      </c>
      <c r="F661" s="3" t="s">
        <v>2060</v>
      </c>
      <c r="G661" s="3">
        <v>7</v>
      </c>
      <c r="H661" s="3">
        <v>6500</v>
      </c>
      <c r="I661" s="3">
        <v>7150</v>
      </c>
      <c r="J661" s="3">
        <v>19.809999999999999</v>
      </c>
      <c r="K661" s="3">
        <v>40137.26</v>
      </c>
      <c r="L661" s="3">
        <v>-5362.74</v>
      </c>
      <c r="M661" s="3">
        <f t="shared" si="51"/>
        <v>991490.49999999988</v>
      </c>
      <c r="N661" s="3">
        <f t="shared" si="52"/>
        <v>45500</v>
      </c>
      <c r="O661" s="3">
        <f t="shared" si="53"/>
        <v>-13.361001722588936</v>
      </c>
      <c r="P661" s="3" t="str">
        <f t="shared" si="54"/>
        <v>Apr</v>
      </c>
      <c r="Q661" s="3" t="str">
        <f t="shared" si="50"/>
        <v>loss</v>
      </c>
    </row>
    <row r="662" spans="1:17" x14ac:dyDescent="0.25">
      <c r="A662" s="3" t="s">
        <v>368</v>
      </c>
      <c r="B662" s="4">
        <v>45775</v>
      </c>
      <c r="C662" s="3" t="s">
        <v>2026</v>
      </c>
      <c r="D662" s="3" t="s">
        <v>2046</v>
      </c>
      <c r="E662" s="3" t="s">
        <v>2052</v>
      </c>
      <c r="F662" s="3" t="s">
        <v>2059</v>
      </c>
      <c r="G662" s="3">
        <v>10</v>
      </c>
      <c r="H662" s="3">
        <v>3000</v>
      </c>
      <c r="I662" s="3">
        <v>3600</v>
      </c>
      <c r="J662" s="3">
        <v>22.4</v>
      </c>
      <c r="K662" s="3">
        <v>27936.9</v>
      </c>
      <c r="L662" s="3">
        <v>-2063.1</v>
      </c>
      <c r="M662" s="3">
        <f t="shared" si="51"/>
        <v>806400</v>
      </c>
      <c r="N662" s="3">
        <f t="shared" si="52"/>
        <v>30000</v>
      </c>
      <c r="O662" s="3">
        <f t="shared" si="53"/>
        <v>-7.384856587524026</v>
      </c>
      <c r="P662" s="3" t="str">
        <f t="shared" si="54"/>
        <v>Apr</v>
      </c>
      <c r="Q662" s="3" t="str">
        <f t="shared" si="50"/>
        <v>loss</v>
      </c>
    </row>
    <row r="663" spans="1:17" x14ac:dyDescent="0.25">
      <c r="A663" s="3" t="s">
        <v>480</v>
      </c>
      <c r="B663" s="4">
        <v>45775</v>
      </c>
      <c r="C663" s="3" t="s">
        <v>2026</v>
      </c>
      <c r="D663" s="3" t="s">
        <v>2046</v>
      </c>
      <c r="E663" s="3" t="s">
        <v>2052</v>
      </c>
      <c r="F663" s="3" t="s">
        <v>2060</v>
      </c>
      <c r="G663" s="3">
        <v>9</v>
      </c>
      <c r="H663" s="3">
        <v>3000</v>
      </c>
      <c r="I663" s="3">
        <v>3600</v>
      </c>
      <c r="J663" s="3">
        <v>7.34</v>
      </c>
      <c r="K663" s="3">
        <v>30020.560000000001</v>
      </c>
      <c r="L663" s="3">
        <v>3020.56</v>
      </c>
      <c r="M663" s="3">
        <f t="shared" si="51"/>
        <v>237816</v>
      </c>
      <c r="N663" s="3">
        <f t="shared" si="52"/>
        <v>27000</v>
      </c>
      <c r="O663" s="3">
        <f t="shared" si="53"/>
        <v>10.06163775759013</v>
      </c>
      <c r="P663" s="3" t="str">
        <f t="shared" si="54"/>
        <v>Apr</v>
      </c>
      <c r="Q663" s="3" t="str">
        <f t="shared" si="50"/>
        <v>good profit</v>
      </c>
    </row>
    <row r="664" spans="1:17" x14ac:dyDescent="0.25">
      <c r="A664" s="3" t="s">
        <v>505</v>
      </c>
      <c r="B664" s="4">
        <v>45775</v>
      </c>
      <c r="C664" s="3" t="s">
        <v>2012</v>
      </c>
      <c r="D664" s="3" t="s">
        <v>2032</v>
      </c>
      <c r="E664" s="3" t="s">
        <v>2052</v>
      </c>
      <c r="F664" s="3" t="s">
        <v>2062</v>
      </c>
      <c r="G664" s="3">
        <v>7</v>
      </c>
      <c r="H664" s="3">
        <v>6500</v>
      </c>
      <c r="I664" s="3">
        <v>8125</v>
      </c>
      <c r="J664" s="3">
        <v>14.43</v>
      </c>
      <c r="K664" s="3">
        <v>48668.800000000003</v>
      </c>
      <c r="L664" s="3">
        <v>3168.8</v>
      </c>
      <c r="M664" s="3">
        <f t="shared" si="51"/>
        <v>820706.25</v>
      </c>
      <c r="N664" s="3">
        <f t="shared" si="52"/>
        <v>45500</v>
      </c>
      <c r="O664" s="3">
        <f t="shared" si="53"/>
        <v>6.5109474653165886</v>
      </c>
      <c r="P664" s="3" t="str">
        <f t="shared" si="54"/>
        <v>Apr</v>
      </c>
      <c r="Q664" s="3" t="str">
        <f t="shared" si="50"/>
        <v>low profit</v>
      </c>
    </row>
    <row r="665" spans="1:17" x14ac:dyDescent="0.25">
      <c r="A665" s="3" t="s">
        <v>1031</v>
      </c>
      <c r="B665" s="4">
        <v>45775</v>
      </c>
      <c r="C665" s="3" t="s">
        <v>2024</v>
      </c>
      <c r="D665" s="3" t="s">
        <v>2044</v>
      </c>
      <c r="E665" s="3" t="s">
        <v>2055</v>
      </c>
      <c r="F665" s="3" t="s">
        <v>2059</v>
      </c>
      <c r="G665" s="3">
        <v>2</v>
      </c>
      <c r="H665" s="3">
        <v>180</v>
      </c>
      <c r="I665" s="3">
        <v>243</v>
      </c>
      <c r="J665" s="3">
        <v>6.12</v>
      </c>
      <c r="K665" s="3">
        <v>456.25</v>
      </c>
      <c r="L665" s="3">
        <v>96.25</v>
      </c>
      <c r="M665" s="3">
        <f t="shared" si="51"/>
        <v>2974.32</v>
      </c>
      <c r="N665" s="3">
        <f t="shared" si="52"/>
        <v>360</v>
      </c>
      <c r="O665" s="3">
        <f t="shared" si="53"/>
        <v>21.095890410958905</v>
      </c>
      <c r="P665" s="3" t="str">
        <f t="shared" si="54"/>
        <v>Apr</v>
      </c>
      <c r="Q665" s="3" t="str">
        <f t="shared" si="50"/>
        <v>good profit</v>
      </c>
    </row>
    <row r="666" spans="1:17" x14ac:dyDescent="0.25">
      <c r="A666" s="3" t="s">
        <v>1083</v>
      </c>
      <c r="B666" s="4">
        <v>45775</v>
      </c>
      <c r="C666" s="3" t="s">
        <v>2030</v>
      </c>
      <c r="D666" s="3" t="s">
        <v>2050</v>
      </c>
      <c r="E666" s="3" t="s">
        <v>2058</v>
      </c>
      <c r="F666" s="3" t="s">
        <v>2062</v>
      </c>
      <c r="G666" s="3">
        <v>7</v>
      </c>
      <c r="H666" s="3">
        <v>1800</v>
      </c>
      <c r="I666" s="3">
        <v>2124</v>
      </c>
      <c r="J666" s="3">
        <v>21.74</v>
      </c>
      <c r="K666" s="3">
        <v>11635.78</v>
      </c>
      <c r="L666" s="3">
        <v>-964.22</v>
      </c>
      <c r="M666" s="3">
        <f t="shared" si="51"/>
        <v>323230.31999999995</v>
      </c>
      <c r="N666" s="3">
        <f t="shared" si="52"/>
        <v>12600</v>
      </c>
      <c r="O666" s="3">
        <f t="shared" si="53"/>
        <v>-8.2866812538566386</v>
      </c>
      <c r="P666" s="3" t="str">
        <f t="shared" si="54"/>
        <v>Apr</v>
      </c>
      <c r="Q666" s="3" t="str">
        <f t="shared" si="50"/>
        <v>loss</v>
      </c>
    </row>
    <row r="667" spans="1:17" x14ac:dyDescent="0.25">
      <c r="A667" s="3" t="s">
        <v>1339</v>
      </c>
      <c r="B667" s="4">
        <v>45775</v>
      </c>
      <c r="C667" s="3" t="s">
        <v>2019</v>
      </c>
      <c r="D667" s="3" t="s">
        <v>2039</v>
      </c>
      <c r="E667" s="3" t="s">
        <v>2053</v>
      </c>
      <c r="F667" s="3" t="s">
        <v>2062</v>
      </c>
      <c r="G667" s="3">
        <v>9</v>
      </c>
      <c r="H667" s="3">
        <v>900</v>
      </c>
      <c r="I667" s="3">
        <v>1152</v>
      </c>
      <c r="J667" s="3">
        <v>21.47</v>
      </c>
      <c r="K667" s="3">
        <v>8142.37</v>
      </c>
      <c r="L667" s="3">
        <v>42.37</v>
      </c>
      <c r="M667" s="3">
        <f t="shared" si="51"/>
        <v>222600.95999999999</v>
      </c>
      <c r="N667" s="3">
        <f t="shared" si="52"/>
        <v>8100</v>
      </c>
      <c r="O667" s="3">
        <f t="shared" si="53"/>
        <v>0.52036446390915669</v>
      </c>
      <c r="P667" s="3" t="str">
        <f t="shared" si="54"/>
        <v>Apr</v>
      </c>
      <c r="Q667" s="3" t="str">
        <f t="shared" si="50"/>
        <v>low profit</v>
      </c>
    </row>
    <row r="668" spans="1:17" x14ac:dyDescent="0.25">
      <c r="A668" s="3" t="s">
        <v>1493</v>
      </c>
      <c r="B668" s="4">
        <v>45775</v>
      </c>
      <c r="C668" s="3" t="s">
        <v>2015</v>
      </c>
      <c r="D668" s="3" t="s">
        <v>2035</v>
      </c>
      <c r="E668" s="3" t="s">
        <v>2054</v>
      </c>
      <c r="F668" s="3" t="s">
        <v>2061</v>
      </c>
      <c r="G668" s="3">
        <v>1</v>
      </c>
      <c r="H668" s="3">
        <v>900</v>
      </c>
      <c r="I668" s="3">
        <v>1170</v>
      </c>
      <c r="J668" s="3">
        <v>21.61</v>
      </c>
      <c r="K668" s="3">
        <v>917.2</v>
      </c>
      <c r="L668" s="3">
        <v>17.2</v>
      </c>
      <c r="M668" s="3">
        <f t="shared" si="51"/>
        <v>25283.7</v>
      </c>
      <c r="N668" s="3">
        <f t="shared" si="52"/>
        <v>900</v>
      </c>
      <c r="O668" s="3">
        <f t="shared" si="53"/>
        <v>1.8752725686873091</v>
      </c>
      <c r="P668" s="3" t="str">
        <f t="shared" si="54"/>
        <v>Apr</v>
      </c>
      <c r="Q668" s="3" t="str">
        <f t="shared" si="50"/>
        <v>low profit</v>
      </c>
    </row>
    <row r="669" spans="1:17" x14ac:dyDescent="0.25">
      <c r="A669" s="3" t="s">
        <v>1983</v>
      </c>
      <c r="B669" s="4">
        <v>45775</v>
      </c>
      <c r="C669" s="3" t="s">
        <v>2018</v>
      </c>
      <c r="D669" s="3" t="s">
        <v>2038</v>
      </c>
      <c r="E669" s="3" t="s">
        <v>2053</v>
      </c>
      <c r="F669" s="3" t="s">
        <v>2061</v>
      </c>
      <c r="G669" s="3">
        <v>5</v>
      </c>
      <c r="H669" s="3">
        <v>500</v>
      </c>
      <c r="I669" s="3">
        <v>610</v>
      </c>
      <c r="J669" s="3">
        <v>3.23</v>
      </c>
      <c r="K669" s="3">
        <v>2951.55</v>
      </c>
      <c r="L669" s="3">
        <v>451.55</v>
      </c>
      <c r="M669" s="3">
        <f t="shared" si="51"/>
        <v>9851.5</v>
      </c>
      <c r="N669" s="3">
        <f t="shared" si="52"/>
        <v>2500</v>
      </c>
      <c r="O669" s="3">
        <f t="shared" si="53"/>
        <v>15.298741339296301</v>
      </c>
      <c r="P669" s="3" t="str">
        <f t="shared" si="54"/>
        <v>Apr</v>
      </c>
      <c r="Q669" s="3" t="str">
        <f t="shared" si="50"/>
        <v>good profit</v>
      </c>
    </row>
    <row r="670" spans="1:17" x14ac:dyDescent="0.25">
      <c r="A670" s="3" t="s">
        <v>293</v>
      </c>
      <c r="B670" s="4">
        <v>45776</v>
      </c>
      <c r="C670" s="3" t="s">
        <v>2017</v>
      </c>
      <c r="D670" s="3" t="s">
        <v>2037</v>
      </c>
      <c r="E670" s="3" t="s">
        <v>2055</v>
      </c>
      <c r="F670" s="3" t="s">
        <v>2059</v>
      </c>
      <c r="G670" s="3">
        <v>1</v>
      </c>
      <c r="H670" s="3">
        <v>2500</v>
      </c>
      <c r="I670" s="3">
        <v>2875</v>
      </c>
      <c r="J670" s="3">
        <v>13.8</v>
      </c>
      <c r="K670" s="3">
        <v>2478.13</v>
      </c>
      <c r="L670" s="3">
        <v>-21.87</v>
      </c>
      <c r="M670" s="3">
        <f t="shared" si="51"/>
        <v>39675</v>
      </c>
      <c r="N670" s="3">
        <f t="shared" si="52"/>
        <v>2500</v>
      </c>
      <c r="O670" s="3">
        <f t="shared" si="53"/>
        <v>-0.88252028747482991</v>
      </c>
      <c r="P670" s="3" t="str">
        <f t="shared" si="54"/>
        <v>Apr</v>
      </c>
      <c r="Q670" s="3" t="str">
        <f t="shared" si="50"/>
        <v>loss</v>
      </c>
    </row>
    <row r="671" spans="1:17" x14ac:dyDescent="0.25">
      <c r="A671" s="3" t="s">
        <v>328</v>
      </c>
      <c r="B671" s="4">
        <v>45776</v>
      </c>
      <c r="C671" s="3" t="s">
        <v>2025</v>
      </c>
      <c r="D671" s="3" t="s">
        <v>2045</v>
      </c>
      <c r="E671" s="3" t="s">
        <v>2057</v>
      </c>
      <c r="F671" s="3" t="s">
        <v>2061</v>
      </c>
      <c r="G671" s="3">
        <v>8</v>
      </c>
      <c r="H671" s="3">
        <v>45</v>
      </c>
      <c r="I671" s="3">
        <v>63</v>
      </c>
      <c r="J671" s="3">
        <v>10.97</v>
      </c>
      <c r="K671" s="3">
        <v>448.72</v>
      </c>
      <c r="L671" s="3">
        <v>88.72</v>
      </c>
      <c r="M671" s="3">
        <f t="shared" si="51"/>
        <v>5528.88</v>
      </c>
      <c r="N671" s="3">
        <f t="shared" si="52"/>
        <v>360</v>
      </c>
      <c r="O671" s="3">
        <f t="shared" si="53"/>
        <v>19.771795328935639</v>
      </c>
      <c r="P671" s="3" t="str">
        <f t="shared" si="54"/>
        <v>Apr</v>
      </c>
      <c r="Q671" s="3" t="str">
        <f t="shared" si="50"/>
        <v>good profit</v>
      </c>
    </row>
    <row r="672" spans="1:17" x14ac:dyDescent="0.25">
      <c r="A672" s="3" t="s">
        <v>435</v>
      </c>
      <c r="B672" s="4">
        <v>45776</v>
      </c>
      <c r="C672" s="3" t="s">
        <v>2023</v>
      </c>
      <c r="D672" s="3" t="s">
        <v>2043</v>
      </c>
      <c r="E672" s="3" t="s">
        <v>2053</v>
      </c>
      <c r="F672" s="3" t="s">
        <v>2061</v>
      </c>
      <c r="G672" s="3">
        <v>5</v>
      </c>
      <c r="H672" s="3">
        <v>550</v>
      </c>
      <c r="I672" s="3">
        <v>742.5</v>
      </c>
      <c r="J672" s="3">
        <v>6.08</v>
      </c>
      <c r="K672" s="3">
        <v>3486.92</v>
      </c>
      <c r="L672" s="3">
        <v>736.92</v>
      </c>
      <c r="M672" s="3">
        <f t="shared" si="51"/>
        <v>22572</v>
      </c>
      <c r="N672" s="3">
        <f t="shared" si="52"/>
        <v>2750</v>
      </c>
      <c r="O672" s="3">
        <f t="shared" si="53"/>
        <v>21.133837312011742</v>
      </c>
      <c r="P672" s="3" t="str">
        <f t="shared" si="54"/>
        <v>Apr</v>
      </c>
      <c r="Q672" s="3" t="str">
        <f t="shared" si="50"/>
        <v>good profit</v>
      </c>
    </row>
    <row r="673" spans="1:17" x14ac:dyDescent="0.25">
      <c r="A673" s="3" t="s">
        <v>1377</v>
      </c>
      <c r="B673" s="4">
        <v>45776</v>
      </c>
      <c r="C673" s="3" t="s">
        <v>2020</v>
      </c>
      <c r="D673" s="3" t="s">
        <v>2040</v>
      </c>
      <c r="E673" s="3" t="s">
        <v>2053</v>
      </c>
      <c r="F673" s="3" t="s">
        <v>2061</v>
      </c>
      <c r="G673" s="3">
        <v>1</v>
      </c>
      <c r="H673" s="3">
        <v>350</v>
      </c>
      <c r="I673" s="3">
        <v>455</v>
      </c>
      <c r="J673" s="3">
        <v>14.57</v>
      </c>
      <c r="K673" s="3">
        <v>388.71</v>
      </c>
      <c r="L673" s="3">
        <v>38.71</v>
      </c>
      <c r="M673" s="3">
        <f t="shared" si="51"/>
        <v>6629.35</v>
      </c>
      <c r="N673" s="3">
        <f t="shared" si="52"/>
        <v>350</v>
      </c>
      <c r="O673" s="3">
        <f t="shared" si="53"/>
        <v>9.9585809472357294</v>
      </c>
      <c r="P673" s="3" t="str">
        <f t="shared" si="54"/>
        <v>Apr</v>
      </c>
      <c r="Q673" s="3" t="str">
        <f t="shared" si="50"/>
        <v>low profit</v>
      </c>
    </row>
    <row r="674" spans="1:17" x14ac:dyDescent="0.25">
      <c r="A674" s="3" t="s">
        <v>1525</v>
      </c>
      <c r="B674" s="4">
        <v>45776</v>
      </c>
      <c r="C674" s="3" t="s">
        <v>2019</v>
      </c>
      <c r="D674" s="3" t="s">
        <v>2039</v>
      </c>
      <c r="E674" s="3" t="s">
        <v>2053</v>
      </c>
      <c r="F674" s="3" t="s">
        <v>2059</v>
      </c>
      <c r="G674" s="3">
        <v>3</v>
      </c>
      <c r="H674" s="3">
        <v>900</v>
      </c>
      <c r="I674" s="3">
        <v>1152</v>
      </c>
      <c r="J674" s="3">
        <v>0</v>
      </c>
      <c r="K674" s="3">
        <v>3456</v>
      </c>
      <c r="L674" s="3">
        <v>756</v>
      </c>
      <c r="M674" s="3">
        <f t="shared" si="51"/>
        <v>0</v>
      </c>
      <c r="N674" s="3">
        <f t="shared" si="52"/>
        <v>2700</v>
      </c>
      <c r="O674" s="3">
        <f t="shared" si="53"/>
        <v>21.875</v>
      </c>
      <c r="P674" s="3" t="str">
        <f t="shared" si="54"/>
        <v>Apr</v>
      </c>
      <c r="Q674" s="3" t="str">
        <f t="shared" si="50"/>
        <v>good profit</v>
      </c>
    </row>
    <row r="675" spans="1:17" x14ac:dyDescent="0.25">
      <c r="A675" s="3" t="s">
        <v>1578</v>
      </c>
      <c r="B675" s="4">
        <v>45776</v>
      </c>
      <c r="C675" s="3" t="s">
        <v>2013</v>
      </c>
      <c r="D675" s="3" t="s">
        <v>2033</v>
      </c>
      <c r="E675" s="3" t="s">
        <v>2053</v>
      </c>
      <c r="F675" s="3" t="s">
        <v>2062</v>
      </c>
      <c r="G675" s="3">
        <v>5</v>
      </c>
      <c r="H675" s="3">
        <v>6500</v>
      </c>
      <c r="I675" s="3">
        <v>7150</v>
      </c>
      <c r="J675" s="3">
        <v>9.49</v>
      </c>
      <c r="K675" s="3">
        <v>32358.66</v>
      </c>
      <c r="L675" s="3">
        <v>-141.34</v>
      </c>
      <c r="M675" s="3">
        <f t="shared" si="51"/>
        <v>339267.5</v>
      </c>
      <c r="N675" s="3">
        <f t="shared" si="52"/>
        <v>32500</v>
      </c>
      <c r="O675" s="3">
        <f t="shared" si="53"/>
        <v>-0.4367918819876967</v>
      </c>
      <c r="P675" s="3" t="str">
        <f t="shared" si="54"/>
        <v>Apr</v>
      </c>
      <c r="Q675" s="3" t="str">
        <f t="shared" si="50"/>
        <v>loss</v>
      </c>
    </row>
    <row r="676" spans="1:17" x14ac:dyDescent="0.25">
      <c r="A676" s="3" t="s">
        <v>226</v>
      </c>
      <c r="B676" s="4">
        <v>45777</v>
      </c>
      <c r="C676" s="3" t="s">
        <v>2025</v>
      </c>
      <c r="D676" s="3" t="s">
        <v>2045</v>
      </c>
      <c r="E676" s="3" t="s">
        <v>2057</v>
      </c>
      <c r="F676" s="3" t="s">
        <v>2060</v>
      </c>
      <c r="G676" s="3">
        <v>9</v>
      </c>
      <c r="H676" s="3">
        <v>45</v>
      </c>
      <c r="I676" s="3">
        <v>63</v>
      </c>
      <c r="J676" s="3">
        <v>24.72</v>
      </c>
      <c r="K676" s="3">
        <v>426.85</v>
      </c>
      <c r="L676" s="3">
        <v>21.85</v>
      </c>
      <c r="M676" s="3">
        <f t="shared" si="51"/>
        <v>14016.24</v>
      </c>
      <c r="N676" s="3">
        <f t="shared" si="52"/>
        <v>405</v>
      </c>
      <c r="O676" s="3">
        <f t="shared" si="53"/>
        <v>5.1188942251376366</v>
      </c>
      <c r="P676" s="3" t="str">
        <f t="shared" si="54"/>
        <v>Apr</v>
      </c>
      <c r="Q676" s="3" t="str">
        <f t="shared" si="50"/>
        <v>low profit</v>
      </c>
    </row>
    <row r="677" spans="1:17" x14ac:dyDescent="0.25">
      <c r="A677" s="3" t="s">
        <v>551</v>
      </c>
      <c r="B677" s="4">
        <v>45777</v>
      </c>
      <c r="C677" s="3" t="s">
        <v>2029</v>
      </c>
      <c r="D677" s="3" t="s">
        <v>2049</v>
      </c>
      <c r="E677" s="3" t="s">
        <v>2055</v>
      </c>
      <c r="F677" s="3" t="s">
        <v>2062</v>
      </c>
      <c r="G677" s="3">
        <v>6</v>
      </c>
      <c r="H677" s="3">
        <v>1200</v>
      </c>
      <c r="I677" s="3">
        <v>1464</v>
      </c>
      <c r="J677" s="3">
        <v>12.45</v>
      </c>
      <c r="K677" s="3">
        <v>7690.67</v>
      </c>
      <c r="L677" s="3">
        <v>490.67</v>
      </c>
      <c r="M677" s="3">
        <f t="shared" si="51"/>
        <v>109360.79999999999</v>
      </c>
      <c r="N677" s="3">
        <f t="shared" si="52"/>
        <v>7200</v>
      </c>
      <c r="O677" s="3">
        <f t="shared" si="53"/>
        <v>6.3800683165445928</v>
      </c>
      <c r="P677" s="3" t="str">
        <f t="shared" si="54"/>
        <v>Apr</v>
      </c>
      <c r="Q677" s="3" t="str">
        <f t="shared" si="50"/>
        <v>low profit</v>
      </c>
    </row>
    <row r="678" spans="1:17" x14ac:dyDescent="0.25">
      <c r="A678" s="3" t="s">
        <v>842</v>
      </c>
      <c r="B678" s="4">
        <v>45777</v>
      </c>
      <c r="C678" s="3" t="s">
        <v>2018</v>
      </c>
      <c r="D678" s="3" t="s">
        <v>2038</v>
      </c>
      <c r="E678" s="3" t="s">
        <v>2053</v>
      </c>
      <c r="F678" s="3" t="s">
        <v>2060</v>
      </c>
      <c r="G678" s="3">
        <v>8</v>
      </c>
      <c r="H678" s="3">
        <v>500</v>
      </c>
      <c r="I678" s="3">
        <v>610</v>
      </c>
      <c r="J678" s="3">
        <v>15.06</v>
      </c>
      <c r="K678" s="3">
        <v>4145.12</v>
      </c>
      <c r="L678" s="3">
        <v>145.12</v>
      </c>
      <c r="M678" s="3">
        <f t="shared" si="51"/>
        <v>73492.800000000003</v>
      </c>
      <c r="N678" s="3">
        <f t="shared" si="52"/>
        <v>4000</v>
      </c>
      <c r="O678" s="3">
        <f t="shared" si="53"/>
        <v>3.5009842899602428</v>
      </c>
      <c r="P678" s="3" t="str">
        <f t="shared" si="54"/>
        <v>Apr</v>
      </c>
      <c r="Q678" s="3" t="str">
        <f t="shared" si="50"/>
        <v>low profit</v>
      </c>
    </row>
    <row r="679" spans="1:17" x14ac:dyDescent="0.25">
      <c r="A679" s="3" t="s">
        <v>866</v>
      </c>
      <c r="B679" s="4">
        <v>45777</v>
      </c>
      <c r="C679" s="3" t="s">
        <v>2019</v>
      </c>
      <c r="D679" s="3" t="s">
        <v>2039</v>
      </c>
      <c r="E679" s="3" t="s">
        <v>2053</v>
      </c>
      <c r="F679" s="3" t="s">
        <v>2060</v>
      </c>
      <c r="G679" s="3">
        <v>5</v>
      </c>
      <c r="H679" s="3">
        <v>900</v>
      </c>
      <c r="I679" s="3">
        <v>1152</v>
      </c>
      <c r="J679" s="3">
        <v>5.72</v>
      </c>
      <c r="K679" s="3">
        <v>5430.64</v>
      </c>
      <c r="L679" s="3">
        <v>930.64</v>
      </c>
      <c r="M679" s="3">
        <f t="shared" si="51"/>
        <v>32947.199999999997</v>
      </c>
      <c r="N679" s="3">
        <f t="shared" si="52"/>
        <v>4500</v>
      </c>
      <c r="O679" s="3">
        <f t="shared" si="53"/>
        <v>17.136838383689582</v>
      </c>
      <c r="P679" s="3" t="str">
        <f t="shared" si="54"/>
        <v>Apr</v>
      </c>
      <c r="Q679" s="3" t="str">
        <f t="shared" si="50"/>
        <v>good profit</v>
      </c>
    </row>
    <row r="680" spans="1:17" x14ac:dyDescent="0.25">
      <c r="A680" s="3" t="s">
        <v>1336</v>
      </c>
      <c r="B680" s="4">
        <v>45777</v>
      </c>
      <c r="C680" s="3" t="s">
        <v>2020</v>
      </c>
      <c r="D680" s="3" t="s">
        <v>2040</v>
      </c>
      <c r="E680" s="3" t="s">
        <v>2053</v>
      </c>
      <c r="F680" s="3" t="s">
        <v>2061</v>
      </c>
      <c r="G680" s="3">
        <v>7</v>
      </c>
      <c r="H680" s="3">
        <v>350</v>
      </c>
      <c r="I680" s="3">
        <v>455</v>
      </c>
      <c r="J680" s="3">
        <v>12.04</v>
      </c>
      <c r="K680" s="3">
        <v>2801.61</v>
      </c>
      <c r="L680" s="3">
        <v>351.61</v>
      </c>
      <c r="M680" s="3">
        <f t="shared" si="51"/>
        <v>38347.399999999994</v>
      </c>
      <c r="N680" s="3">
        <f t="shared" si="52"/>
        <v>2450</v>
      </c>
      <c r="O680" s="3">
        <f t="shared" si="53"/>
        <v>12.55028358693751</v>
      </c>
      <c r="P680" s="3" t="str">
        <f t="shared" si="54"/>
        <v>Apr</v>
      </c>
      <c r="Q680" s="3" t="str">
        <f t="shared" si="50"/>
        <v>good profit</v>
      </c>
    </row>
    <row r="681" spans="1:17" x14ac:dyDescent="0.25">
      <c r="A681" s="3" t="s">
        <v>1425</v>
      </c>
      <c r="B681" s="4">
        <v>45777</v>
      </c>
      <c r="C681" s="3" t="s">
        <v>2018</v>
      </c>
      <c r="D681" s="3" t="s">
        <v>2038</v>
      </c>
      <c r="E681" s="3" t="s">
        <v>2053</v>
      </c>
      <c r="F681" s="3" t="s">
        <v>2061</v>
      </c>
      <c r="G681" s="3">
        <v>3</v>
      </c>
      <c r="H681" s="3">
        <v>500</v>
      </c>
      <c r="I681" s="3">
        <v>610</v>
      </c>
      <c r="J681" s="3">
        <v>11.83</v>
      </c>
      <c r="K681" s="3">
        <v>1613.46</v>
      </c>
      <c r="L681" s="3">
        <v>113.46</v>
      </c>
      <c r="M681" s="3">
        <f t="shared" si="51"/>
        <v>21648.9</v>
      </c>
      <c r="N681" s="3">
        <f t="shared" si="52"/>
        <v>1500</v>
      </c>
      <c r="O681" s="3">
        <f t="shared" si="53"/>
        <v>7.0320925216615215</v>
      </c>
      <c r="P681" s="3" t="str">
        <f t="shared" si="54"/>
        <v>Apr</v>
      </c>
      <c r="Q681" s="3" t="str">
        <f t="shared" si="50"/>
        <v>low profit</v>
      </c>
    </row>
    <row r="682" spans="1:17" x14ac:dyDescent="0.25">
      <c r="A682" s="3" t="s">
        <v>25</v>
      </c>
      <c r="B682" s="4">
        <v>45778</v>
      </c>
      <c r="C682" s="3" t="s">
        <v>2021</v>
      </c>
      <c r="D682" s="3" t="s">
        <v>2041</v>
      </c>
      <c r="E682" s="3" t="s">
        <v>2056</v>
      </c>
      <c r="F682" s="3" t="s">
        <v>2059</v>
      </c>
      <c r="G682" s="3">
        <v>1</v>
      </c>
      <c r="H682" s="3">
        <v>300</v>
      </c>
      <c r="I682" s="3">
        <v>405</v>
      </c>
      <c r="J682" s="3">
        <v>12.82</v>
      </c>
      <c r="K682" s="3">
        <v>353.07</v>
      </c>
      <c r="L682" s="3">
        <v>53.07</v>
      </c>
      <c r="M682" s="3">
        <f t="shared" si="51"/>
        <v>5192.1000000000004</v>
      </c>
      <c r="N682" s="3">
        <f t="shared" si="52"/>
        <v>300</v>
      </c>
      <c r="O682" s="3">
        <f t="shared" si="53"/>
        <v>15.031013680006797</v>
      </c>
      <c r="P682" s="3" t="str">
        <f t="shared" si="54"/>
        <v>May</v>
      </c>
      <c r="Q682" s="3" t="str">
        <f t="shared" si="50"/>
        <v>good profit</v>
      </c>
    </row>
    <row r="683" spans="1:17" x14ac:dyDescent="0.25">
      <c r="A683" s="3" t="s">
        <v>44</v>
      </c>
      <c r="B683" s="4">
        <v>45778</v>
      </c>
      <c r="C683" s="3" t="s">
        <v>2012</v>
      </c>
      <c r="D683" s="3" t="s">
        <v>2032</v>
      </c>
      <c r="E683" s="3" t="s">
        <v>2052</v>
      </c>
      <c r="F683" s="3" t="s">
        <v>2060</v>
      </c>
      <c r="G683" s="3">
        <v>4</v>
      </c>
      <c r="H683" s="3">
        <v>6500</v>
      </c>
      <c r="I683" s="3">
        <v>8125</v>
      </c>
      <c r="J683" s="3">
        <v>6.55</v>
      </c>
      <c r="K683" s="3">
        <v>30372.55</v>
      </c>
      <c r="L683" s="3">
        <v>4372.55</v>
      </c>
      <c r="M683" s="3">
        <f t="shared" si="51"/>
        <v>212875</v>
      </c>
      <c r="N683" s="3">
        <f t="shared" si="52"/>
        <v>26000</v>
      </c>
      <c r="O683" s="3">
        <f t="shared" si="53"/>
        <v>14.396387527553664</v>
      </c>
      <c r="P683" s="3" t="str">
        <f t="shared" si="54"/>
        <v>May</v>
      </c>
      <c r="Q683" s="3" t="str">
        <f t="shared" si="50"/>
        <v>good profit</v>
      </c>
    </row>
    <row r="684" spans="1:17" x14ac:dyDescent="0.25">
      <c r="A684" s="3" t="s">
        <v>407</v>
      </c>
      <c r="B684" s="4">
        <v>45778</v>
      </c>
      <c r="C684" s="3" t="s">
        <v>2027</v>
      </c>
      <c r="D684" s="3" t="s">
        <v>2047</v>
      </c>
      <c r="E684" s="3" t="s">
        <v>2053</v>
      </c>
      <c r="F684" s="3" t="s">
        <v>2062</v>
      </c>
      <c r="G684" s="3">
        <v>9</v>
      </c>
      <c r="H684" s="3">
        <v>1100</v>
      </c>
      <c r="I684" s="3">
        <v>1298</v>
      </c>
      <c r="J684" s="3">
        <v>10.97</v>
      </c>
      <c r="K684" s="3">
        <v>10400.42</v>
      </c>
      <c r="L684" s="3">
        <v>500.42</v>
      </c>
      <c r="M684" s="3">
        <f t="shared" si="51"/>
        <v>128151.54000000001</v>
      </c>
      <c r="N684" s="3">
        <f t="shared" si="52"/>
        <v>9900</v>
      </c>
      <c r="O684" s="3">
        <f t="shared" si="53"/>
        <v>4.8115364571815373</v>
      </c>
      <c r="P684" s="3" t="str">
        <f t="shared" si="54"/>
        <v>May</v>
      </c>
      <c r="Q684" s="3" t="str">
        <f t="shared" si="50"/>
        <v>low profit</v>
      </c>
    </row>
    <row r="685" spans="1:17" x14ac:dyDescent="0.25">
      <c r="A685" s="3" t="s">
        <v>840</v>
      </c>
      <c r="B685" s="4">
        <v>45778</v>
      </c>
      <c r="C685" s="3" t="s">
        <v>2027</v>
      </c>
      <c r="D685" s="3" t="s">
        <v>2047</v>
      </c>
      <c r="E685" s="3" t="s">
        <v>2053</v>
      </c>
      <c r="F685" s="3" t="s">
        <v>2059</v>
      </c>
      <c r="G685" s="3">
        <v>6</v>
      </c>
      <c r="H685" s="3">
        <v>1100</v>
      </c>
      <c r="I685" s="3">
        <v>1298</v>
      </c>
      <c r="J685" s="3">
        <v>0.32</v>
      </c>
      <c r="K685" s="3">
        <v>7763.42</v>
      </c>
      <c r="L685" s="3">
        <v>1163.42</v>
      </c>
      <c r="M685" s="3">
        <f t="shared" si="51"/>
        <v>2492.16</v>
      </c>
      <c r="N685" s="3">
        <f t="shared" si="52"/>
        <v>6600</v>
      </c>
      <c r="O685" s="3">
        <f t="shared" si="53"/>
        <v>14.985921153306148</v>
      </c>
      <c r="P685" s="3" t="str">
        <f t="shared" si="54"/>
        <v>May</v>
      </c>
      <c r="Q685" s="3" t="str">
        <f t="shared" si="50"/>
        <v>good profit</v>
      </c>
    </row>
    <row r="686" spans="1:17" x14ac:dyDescent="0.25">
      <c r="A686" s="3" t="s">
        <v>1405</v>
      </c>
      <c r="B686" s="4">
        <v>45778</v>
      </c>
      <c r="C686" s="3" t="s">
        <v>2016</v>
      </c>
      <c r="D686" s="3" t="s">
        <v>2036</v>
      </c>
      <c r="E686" s="3" t="s">
        <v>2052</v>
      </c>
      <c r="F686" s="3" t="s">
        <v>2059</v>
      </c>
      <c r="G686" s="3">
        <v>3</v>
      </c>
      <c r="H686" s="3">
        <v>900</v>
      </c>
      <c r="I686" s="3">
        <v>1170</v>
      </c>
      <c r="J686" s="3">
        <v>10.88</v>
      </c>
      <c r="K686" s="3">
        <v>3128.04</v>
      </c>
      <c r="L686" s="3">
        <v>428.04</v>
      </c>
      <c r="M686" s="3">
        <f t="shared" si="51"/>
        <v>38188.800000000003</v>
      </c>
      <c r="N686" s="3">
        <f t="shared" si="52"/>
        <v>2700</v>
      </c>
      <c r="O686" s="3">
        <f t="shared" si="53"/>
        <v>13.683968235700311</v>
      </c>
      <c r="P686" s="3" t="str">
        <f t="shared" si="54"/>
        <v>May</v>
      </c>
      <c r="Q686" s="3" t="str">
        <f t="shared" si="50"/>
        <v>good profit</v>
      </c>
    </row>
    <row r="687" spans="1:17" x14ac:dyDescent="0.25">
      <c r="A687" s="3" t="s">
        <v>325</v>
      </c>
      <c r="B687" s="4">
        <v>45779</v>
      </c>
      <c r="C687" s="3" t="s">
        <v>2015</v>
      </c>
      <c r="D687" s="3" t="s">
        <v>2035</v>
      </c>
      <c r="E687" s="3" t="s">
        <v>2054</v>
      </c>
      <c r="F687" s="3" t="s">
        <v>2059</v>
      </c>
      <c r="G687" s="3">
        <v>3</v>
      </c>
      <c r="H687" s="3">
        <v>900</v>
      </c>
      <c r="I687" s="3">
        <v>1170</v>
      </c>
      <c r="J687" s="3">
        <v>13.58</v>
      </c>
      <c r="K687" s="3">
        <v>3033.39</v>
      </c>
      <c r="L687" s="3">
        <v>333.39</v>
      </c>
      <c r="M687" s="3">
        <f t="shared" si="51"/>
        <v>47665.8</v>
      </c>
      <c r="N687" s="3">
        <f t="shared" si="52"/>
        <v>2700</v>
      </c>
      <c r="O687" s="3">
        <f t="shared" si="53"/>
        <v>10.99067380059933</v>
      </c>
      <c r="P687" s="3" t="str">
        <f t="shared" si="54"/>
        <v>May</v>
      </c>
      <c r="Q687" s="3" t="str">
        <f t="shared" si="50"/>
        <v>good profit</v>
      </c>
    </row>
    <row r="688" spans="1:17" x14ac:dyDescent="0.25">
      <c r="A688" s="3" t="s">
        <v>1065</v>
      </c>
      <c r="B688" s="4">
        <v>45779</v>
      </c>
      <c r="C688" s="3" t="s">
        <v>2020</v>
      </c>
      <c r="D688" s="3" t="s">
        <v>2040</v>
      </c>
      <c r="E688" s="3" t="s">
        <v>2053</v>
      </c>
      <c r="F688" s="3" t="s">
        <v>2060</v>
      </c>
      <c r="G688" s="3">
        <v>8</v>
      </c>
      <c r="H688" s="3">
        <v>350</v>
      </c>
      <c r="I688" s="3">
        <v>455</v>
      </c>
      <c r="J688" s="3">
        <v>4.37</v>
      </c>
      <c r="K688" s="3">
        <v>3481.06</v>
      </c>
      <c r="L688" s="3">
        <v>681.06</v>
      </c>
      <c r="M688" s="3">
        <f t="shared" si="51"/>
        <v>15906.800000000001</v>
      </c>
      <c r="N688" s="3">
        <f t="shared" si="52"/>
        <v>2800</v>
      </c>
      <c r="O688" s="3">
        <f t="shared" si="53"/>
        <v>19.56473028330451</v>
      </c>
      <c r="P688" s="3" t="str">
        <f t="shared" si="54"/>
        <v>May</v>
      </c>
      <c r="Q688" s="3" t="str">
        <f t="shared" si="50"/>
        <v>good profit</v>
      </c>
    </row>
    <row r="689" spans="1:17" x14ac:dyDescent="0.25">
      <c r="A689" s="3" t="s">
        <v>1127</v>
      </c>
      <c r="B689" s="4">
        <v>45779</v>
      </c>
      <c r="C689" s="3" t="s">
        <v>2024</v>
      </c>
      <c r="D689" s="3" t="s">
        <v>2044</v>
      </c>
      <c r="E689" s="3" t="s">
        <v>2055</v>
      </c>
      <c r="F689" s="3" t="s">
        <v>2062</v>
      </c>
      <c r="G689" s="3">
        <v>3</v>
      </c>
      <c r="H689" s="3">
        <v>180</v>
      </c>
      <c r="I689" s="3">
        <v>243</v>
      </c>
      <c r="J689" s="3">
        <v>26.65</v>
      </c>
      <c r="K689" s="3">
        <v>534.70000000000005</v>
      </c>
      <c r="L689" s="3">
        <v>-5.3</v>
      </c>
      <c r="M689" s="3">
        <f t="shared" si="51"/>
        <v>19427.849999999999</v>
      </c>
      <c r="N689" s="3">
        <f t="shared" si="52"/>
        <v>540</v>
      </c>
      <c r="O689" s="3">
        <f t="shared" si="53"/>
        <v>-0.99121002431269856</v>
      </c>
      <c r="P689" s="3" t="str">
        <f t="shared" si="54"/>
        <v>May</v>
      </c>
      <c r="Q689" s="3" t="str">
        <f t="shared" si="50"/>
        <v>loss</v>
      </c>
    </row>
    <row r="690" spans="1:17" x14ac:dyDescent="0.25">
      <c r="A690" s="3" t="s">
        <v>1627</v>
      </c>
      <c r="B690" s="4">
        <v>45779</v>
      </c>
      <c r="C690" s="3" t="s">
        <v>2016</v>
      </c>
      <c r="D690" s="3" t="s">
        <v>2036</v>
      </c>
      <c r="E690" s="3" t="s">
        <v>2052</v>
      </c>
      <c r="F690" s="3" t="s">
        <v>2059</v>
      </c>
      <c r="G690" s="3">
        <v>3</v>
      </c>
      <c r="H690" s="3">
        <v>900</v>
      </c>
      <c r="I690" s="3">
        <v>1170</v>
      </c>
      <c r="J690" s="3">
        <v>11.1</v>
      </c>
      <c r="K690" s="3">
        <v>3120.45</v>
      </c>
      <c r="L690" s="3">
        <v>420.45</v>
      </c>
      <c r="M690" s="3">
        <f t="shared" si="51"/>
        <v>38961</v>
      </c>
      <c r="N690" s="3">
        <f t="shared" si="52"/>
        <v>2700</v>
      </c>
      <c r="O690" s="3">
        <f t="shared" si="53"/>
        <v>13.474018170456183</v>
      </c>
      <c r="P690" s="3" t="str">
        <f t="shared" si="54"/>
        <v>May</v>
      </c>
      <c r="Q690" s="3" t="str">
        <f t="shared" si="50"/>
        <v>good profit</v>
      </c>
    </row>
    <row r="691" spans="1:17" x14ac:dyDescent="0.25">
      <c r="A691" s="3" t="s">
        <v>1319</v>
      </c>
      <c r="B691" s="4">
        <v>45780</v>
      </c>
      <c r="C691" s="3" t="s">
        <v>2015</v>
      </c>
      <c r="D691" s="3" t="s">
        <v>2035</v>
      </c>
      <c r="E691" s="3" t="s">
        <v>2054</v>
      </c>
      <c r="F691" s="3" t="s">
        <v>2060</v>
      </c>
      <c r="G691" s="3">
        <v>8</v>
      </c>
      <c r="H691" s="3">
        <v>900</v>
      </c>
      <c r="I691" s="3">
        <v>1170</v>
      </c>
      <c r="J691" s="3">
        <v>9.52</v>
      </c>
      <c r="K691" s="3">
        <v>8468.4699999999993</v>
      </c>
      <c r="L691" s="3">
        <v>1268.47</v>
      </c>
      <c r="M691" s="3">
        <f t="shared" si="51"/>
        <v>89107.199999999997</v>
      </c>
      <c r="N691" s="3">
        <f t="shared" si="52"/>
        <v>7200</v>
      </c>
      <c r="O691" s="3">
        <f t="shared" si="53"/>
        <v>14.978738780440862</v>
      </c>
      <c r="P691" s="3" t="str">
        <f t="shared" si="54"/>
        <v>May</v>
      </c>
      <c r="Q691" s="3" t="str">
        <f t="shared" si="50"/>
        <v>good profit</v>
      </c>
    </row>
    <row r="692" spans="1:17" x14ac:dyDescent="0.25">
      <c r="A692" s="3" t="s">
        <v>1884</v>
      </c>
      <c r="B692" s="4">
        <v>45780</v>
      </c>
      <c r="C692" s="3" t="s">
        <v>2020</v>
      </c>
      <c r="D692" s="3" t="s">
        <v>2040</v>
      </c>
      <c r="E692" s="3" t="s">
        <v>2053</v>
      </c>
      <c r="F692" s="3" t="s">
        <v>2061</v>
      </c>
      <c r="G692" s="3">
        <v>4</v>
      </c>
      <c r="H692" s="3">
        <v>350</v>
      </c>
      <c r="I692" s="3">
        <v>455</v>
      </c>
      <c r="J692" s="3">
        <v>8.0500000000000007</v>
      </c>
      <c r="K692" s="3">
        <v>1673.55</v>
      </c>
      <c r="L692" s="3">
        <v>273.55</v>
      </c>
      <c r="M692" s="3">
        <f t="shared" si="51"/>
        <v>14651.000000000002</v>
      </c>
      <c r="N692" s="3">
        <f t="shared" si="52"/>
        <v>1400</v>
      </c>
      <c r="O692" s="3">
        <f t="shared" si="53"/>
        <v>16.345493113441485</v>
      </c>
      <c r="P692" s="3" t="str">
        <f t="shared" si="54"/>
        <v>May</v>
      </c>
      <c r="Q692" s="3" t="str">
        <f t="shared" si="50"/>
        <v>good profit</v>
      </c>
    </row>
    <row r="693" spans="1:17" x14ac:dyDescent="0.25">
      <c r="A693" s="3" t="s">
        <v>168</v>
      </c>
      <c r="B693" s="4">
        <v>45781</v>
      </c>
      <c r="C693" s="3" t="s">
        <v>2021</v>
      </c>
      <c r="D693" s="3" t="s">
        <v>2041</v>
      </c>
      <c r="E693" s="3" t="s">
        <v>2056</v>
      </c>
      <c r="F693" s="3" t="s">
        <v>2059</v>
      </c>
      <c r="G693" s="3">
        <v>9</v>
      </c>
      <c r="H693" s="3">
        <v>300</v>
      </c>
      <c r="I693" s="3">
        <v>405</v>
      </c>
      <c r="J693" s="3">
        <v>4.95</v>
      </c>
      <c r="K693" s="3">
        <v>3464.57</v>
      </c>
      <c r="L693" s="3">
        <v>764.57</v>
      </c>
      <c r="M693" s="3">
        <f t="shared" si="51"/>
        <v>18042.75</v>
      </c>
      <c r="N693" s="3">
        <f t="shared" si="52"/>
        <v>2700</v>
      </c>
      <c r="O693" s="3">
        <f t="shared" si="53"/>
        <v>22.068250894050344</v>
      </c>
      <c r="P693" s="3" t="str">
        <f t="shared" si="54"/>
        <v>May</v>
      </c>
      <c r="Q693" s="3" t="str">
        <f t="shared" si="50"/>
        <v>good profit</v>
      </c>
    </row>
    <row r="694" spans="1:17" x14ac:dyDescent="0.25">
      <c r="A694" s="3" t="s">
        <v>317</v>
      </c>
      <c r="B694" s="4">
        <v>45781</v>
      </c>
      <c r="C694" s="3" t="s">
        <v>2014</v>
      </c>
      <c r="D694" s="3" t="s">
        <v>2034</v>
      </c>
      <c r="E694" s="3" t="s">
        <v>2052</v>
      </c>
      <c r="F694" s="3" t="s">
        <v>2059</v>
      </c>
      <c r="G694" s="3">
        <v>3</v>
      </c>
      <c r="H694" s="3">
        <v>4500</v>
      </c>
      <c r="I694" s="3">
        <v>5220</v>
      </c>
      <c r="J694" s="3">
        <v>4</v>
      </c>
      <c r="K694" s="3">
        <v>15033.6</v>
      </c>
      <c r="L694" s="3">
        <v>1533.6</v>
      </c>
      <c r="M694" s="3">
        <f t="shared" si="51"/>
        <v>62640</v>
      </c>
      <c r="N694" s="3">
        <f t="shared" si="52"/>
        <v>13500</v>
      </c>
      <c r="O694" s="3">
        <f t="shared" si="53"/>
        <v>10.201149425287355</v>
      </c>
      <c r="P694" s="3" t="str">
        <f t="shared" si="54"/>
        <v>May</v>
      </c>
      <c r="Q694" s="3" t="str">
        <f t="shared" si="50"/>
        <v>good profit</v>
      </c>
    </row>
    <row r="695" spans="1:17" x14ac:dyDescent="0.25">
      <c r="A695" s="3" t="s">
        <v>491</v>
      </c>
      <c r="B695" s="4">
        <v>45781</v>
      </c>
      <c r="C695" s="3" t="s">
        <v>2030</v>
      </c>
      <c r="D695" s="3" t="s">
        <v>2050</v>
      </c>
      <c r="E695" s="3" t="s">
        <v>2058</v>
      </c>
      <c r="F695" s="3" t="s">
        <v>2062</v>
      </c>
      <c r="G695" s="3">
        <v>7</v>
      </c>
      <c r="H695" s="3">
        <v>1800</v>
      </c>
      <c r="I695" s="3">
        <v>2124</v>
      </c>
      <c r="J695" s="3">
        <v>16.86</v>
      </c>
      <c r="K695" s="3">
        <v>12361.09</v>
      </c>
      <c r="L695" s="3">
        <v>-238.91</v>
      </c>
      <c r="M695" s="3">
        <f t="shared" si="51"/>
        <v>250674.47999999998</v>
      </c>
      <c r="N695" s="3">
        <f t="shared" si="52"/>
        <v>12600</v>
      </c>
      <c r="O695" s="3">
        <f t="shared" si="53"/>
        <v>-1.9327583570704525</v>
      </c>
      <c r="P695" s="3" t="str">
        <f t="shared" si="54"/>
        <v>May</v>
      </c>
      <c r="Q695" s="3" t="str">
        <f t="shared" si="50"/>
        <v>loss</v>
      </c>
    </row>
    <row r="696" spans="1:17" x14ac:dyDescent="0.25">
      <c r="A696" s="3" t="s">
        <v>779</v>
      </c>
      <c r="B696" s="4">
        <v>45781</v>
      </c>
      <c r="C696" s="3" t="s">
        <v>2014</v>
      </c>
      <c r="D696" s="3" t="s">
        <v>2034</v>
      </c>
      <c r="E696" s="3" t="s">
        <v>2052</v>
      </c>
      <c r="F696" s="3" t="s">
        <v>2060</v>
      </c>
      <c r="G696" s="3">
        <v>5</v>
      </c>
      <c r="H696" s="3">
        <v>4500</v>
      </c>
      <c r="I696" s="3">
        <v>5220</v>
      </c>
      <c r="J696" s="3">
        <v>12.47</v>
      </c>
      <c r="K696" s="3">
        <v>22844.29</v>
      </c>
      <c r="L696" s="3">
        <v>344.29</v>
      </c>
      <c r="M696" s="3">
        <f t="shared" si="51"/>
        <v>325467</v>
      </c>
      <c r="N696" s="3">
        <f t="shared" si="52"/>
        <v>22500</v>
      </c>
      <c r="O696" s="3">
        <f t="shared" si="53"/>
        <v>1.5071162202896216</v>
      </c>
      <c r="P696" s="3" t="str">
        <f t="shared" si="54"/>
        <v>May</v>
      </c>
      <c r="Q696" s="3" t="str">
        <f t="shared" si="50"/>
        <v>low profit</v>
      </c>
    </row>
    <row r="697" spans="1:17" x14ac:dyDescent="0.25">
      <c r="A697" s="3" t="s">
        <v>839</v>
      </c>
      <c r="B697" s="4">
        <v>45781</v>
      </c>
      <c r="C697" s="3" t="s">
        <v>2022</v>
      </c>
      <c r="D697" s="3" t="s">
        <v>2042</v>
      </c>
      <c r="E697" s="3" t="s">
        <v>2053</v>
      </c>
      <c r="F697" s="3" t="s">
        <v>2060</v>
      </c>
      <c r="G697" s="3">
        <v>4</v>
      </c>
      <c r="H697" s="3">
        <v>8500</v>
      </c>
      <c r="I697" s="3">
        <v>9520</v>
      </c>
      <c r="J697" s="3">
        <v>14.23</v>
      </c>
      <c r="K697" s="3">
        <v>32660.53</v>
      </c>
      <c r="L697" s="3">
        <v>-1339.47</v>
      </c>
      <c r="M697" s="3">
        <f t="shared" si="51"/>
        <v>541878.4</v>
      </c>
      <c r="N697" s="3">
        <f t="shared" si="52"/>
        <v>34000</v>
      </c>
      <c r="O697" s="3">
        <f t="shared" si="53"/>
        <v>-4.1011888049581566</v>
      </c>
      <c r="P697" s="3" t="str">
        <f t="shared" si="54"/>
        <v>May</v>
      </c>
      <c r="Q697" s="3" t="str">
        <f t="shared" si="50"/>
        <v>loss</v>
      </c>
    </row>
    <row r="698" spans="1:17" x14ac:dyDescent="0.25">
      <c r="A698" s="3" t="s">
        <v>1131</v>
      </c>
      <c r="B698" s="4">
        <v>45781</v>
      </c>
      <c r="C698" s="3" t="s">
        <v>2020</v>
      </c>
      <c r="D698" s="3" t="s">
        <v>2040</v>
      </c>
      <c r="E698" s="3" t="s">
        <v>2053</v>
      </c>
      <c r="F698" s="3" t="s">
        <v>2062</v>
      </c>
      <c r="G698" s="3">
        <v>10</v>
      </c>
      <c r="H698" s="3">
        <v>350</v>
      </c>
      <c r="I698" s="3">
        <v>455</v>
      </c>
      <c r="J698" s="3">
        <v>6.83</v>
      </c>
      <c r="K698" s="3">
        <v>4239.12</v>
      </c>
      <c r="L698" s="3">
        <v>739.12</v>
      </c>
      <c r="M698" s="3">
        <f t="shared" si="51"/>
        <v>31076.5</v>
      </c>
      <c r="N698" s="3">
        <f t="shared" si="52"/>
        <v>3500</v>
      </c>
      <c r="O698" s="3">
        <f t="shared" si="53"/>
        <v>17.435694200683159</v>
      </c>
      <c r="P698" s="3" t="str">
        <f t="shared" si="54"/>
        <v>May</v>
      </c>
      <c r="Q698" s="3" t="str">
        <f t="shared" si="50"/>
        <v>good profit</v>
      </c>
    </row>
    <row r="699" spans="1:17" x14ac:dyDescent="0.25">
      <c r="A699" s="3" t="s">
        <v>1573</v>
      </c>
      <c r="B699" s="4">
        <v>45781</v>
      </c>
      <c r="C699" s="3" t="s">
        <v>2023</v>
      </c>
      <c r="D699" s="3" t="s">
        <v>2043</v>
      </c>
      <c r="E699" s="3" t="s">
        <v>2053</v>
      </c>
      <c r="F699" s="3" t="s">
        <v>2062</v>
      </c>
      <c r="G699" s="3">
        <v>2</v>
      </c>
      <c r="H699" s="3">
        <v>550</v>
      </c>
      <c r="I699" s="3">
        <v>742.5</v>
      </c>
      <c r="J699" s="3">
        <v>8.36</v>
      </c>
      <c r="K699" s="3">
        <v>1360.89</v>
      </c>
      <c r="L699" s="3">
        <v>260.89</v>
      </c>
      <c r="M699" s="3">
        <f t="shared" si="51"/>
        <v>12414.599999999999</v>
      </c>
      <c r="N699" s="3">
        <f t="shared" si="52"/>
        <v>1100</v>
      </c>
      <c r="O699" s="3">
        <f t="shared" si="53"/>
        <v>19.170542806545715</v>
      </c>
      <c r="P699" s="3" t="str">
        <f t="shared" si="54"/>
        <v>May</v>
      </c>
      <c r="Q699" s="3" t="str">
        <f t="shared" si="50"/>
        <v>good profit</v>
      </c>
    </row>
    <row r="700" spans="1:17" x14ac:dyDescent="0.25">
      <c r="A700" s="3" t="s">
        <v>1970</v>
      </c>
      <c r="B700" s="4">
        <v>45781</v>
      </c>
      <c r="C700" s="3" t="s">
        <v>2012</v>
      </c>
      <c r="D700" s="3" t="s">
        <v>2032</v>
      </c>
      <c r="E700" s="3" t="s">
        <v>2052</v>
      </c>
      <c r="F700" s="3" t="s">
        <v>2062</v>
      </c>
      <c r="G700" s="3">
        <v>6</v>
      </c>
      <c r="H700" s="3">
        <v>6500</v>
      </c>
      <c r="I700" s="3">
        <v>8125</v>
      </c>
      <c r="J700" s="3">
        <v>28.34</v>
      </c>
      <c r="K700" s="3">
        <v>34934.04</v>
      </c>
      <c r="L700" s="3">
        <v>-4065.96</v>
      </c>
      <c r="M700" s="3">
        <f t="shared" si="51"/>
        <v>1381575</v>
      </c>
      <c r="N700" s="3">
        <f t="shared" si="52"/>
        <v>39000</v>
      </c>
      <c r="O700" s="3">
        <f t="shared" si="53"/>
        <v>-11.63896302861049</v>
      </c>
      <c r="P700" s="3" t="str">
        <f t="shared" si="54"/>
        <v>May</v>
      </c>
      <c r="Q700" s="3" t="str">
        <f t="shared" si="50"/>
        <v>loss</v>
      </c>
    </row>
    <row r="701" spans="1:17" x14ac:dyDescent="0.25">
      <c r="A701" s="3" t="s">
        <v>627</v>
      </c>
      <c r="B701" s="4">
        <v>45782</v>
      </c>
      <c r="C701" s="3" t="s">
        <v>2019</v>
      </c>
      <c r="D701" s="3" t="s">
        <v>2039</v>
      </c>
      <c r="E701" s="3" t="s">
        <v>2053</v>
      </c>
      <c r="F701" s="3" t="s">
        <v>2061</v>
      </c>
      <c r="G701" s="3">
        <v>10</v>
      </c>
      <c r="H701" s="3">
        <v>900</v>
      </c>
      <c r="I701" s="3">
        <v>1152</v>
      </c>
      <c r="J701" s="3">
        <v>7.54</v>
      </c>
      <c r="K701" s="3">
        <v>10651.46</v>
      </c>
      <c r="L701" s="3">
        <v>1651.46</v>
      </c>
      <c r="M701" s="3">
        <f t="shared" si="51"/>
        <v>86860.800000000003</v>
      </c>
      <c r="N701" s="3">
        <f t="shared" si="52"/>
        <v>9000</v>
      </c>
      <c r="O701" s="3">
        <f t="shared" si="53"/>
        <v>15.504541161493353</v>
      </c>
      <c r="P701" s="3" t="str">
        <f t="shared" si="54"/>
        <v>May</v>
      </c>
      <c r="Q701" s="3" t="str">
        <f t="shared" si="50"/>
        <v>good profit</v>
      </c>
    </row>
    <row r="702" spans="1:17" x14ac:dyDescent="0.25">
      <c r="A702" s="3" t="s">
        <v>863</v>
      </c>
      <c r="B702" s="4">
        <v>45782</v>
      </c>
      <c r="C702" s="3" t="s">
        <v>2015</v>
      </c>
      <c r="D702" s="3" t="s">
        <v>2035</v>
      </c>
      <c r="E702" s="3" t="s">
        <v>2054</v>
      </c>
      <c r="F702" s="3" t="s">
        <v>2062</v>
      </c>
      <c r="G702" s="3">
        <v>1</v>
      </c>
      <c r="H702" s="3">
        <v>900</v>
      </c>
      <c r="I702" s="3">
        <v>1170</v>
      </c>
      <c r="J702" s="3">
        <v>4.8600000000000003</v>
      </c>
      <c r="K702" s="3">
        <v>1113.17</v>
      </c>
      <c r="L702" s="3">
        <v>213.17</v>
      </c>
      <c r="M702" s="3">
        <f t="shared" si="51"/>
        <v>5686.2000000000007</v>
      </c>
      <c r="N702" s="3">
        <f t="shared" si="52"/>
        <v>900</v>
      </c>
      <c r="O702" s="3">
        <f t="shared" si="53"/>
        <v>19.149815392078477</v>
      </c>
      <c r="P702" s="3" t="str">
        <f t="shared" si="54"/>
        <v>May</v>
      </c>
      <c r="Q702" s="3" t="str">
        <f t="shared" si="50"/>
        <v>good profit</v>
      </c>
    </row>
    <row r="703" spans="1:17" x14ac:dyDescent="0.25">
      <c r="A703" s="3" t="s">
        <v>1124</v>
      </c>
      <c r="B703" s="4">
        <v>45782</v>
      </c>
      <c r="C703" s="3" t="s">
        <v>2024</v>
      </c>
      <c r="D703" s="3" t="s">
        <v>2044</v>
      </c>
      <c r="E703" s="3" t="s">
        <v>2055</v>
      </c>
      <c r="F703" s="3" t="s">
        <v>2060</v>
      </c>
      <c r="G703" s="3">
        <v>2</v>
      </c>
      <c r="H703" s="3">
        <v>180</v>
      </c>
      <c r="I703" s="3">
        <v>243</v>
      </c>
      <c r="J703" s="3">
        <v>17.010000000000002</v>
      </c>
      <c r="K703" s="3">
        <v>403.34</v>
      </c>
      <c r="L703" s="3">
        <v>43.34</v>
      </c>
      <c r="M703" s="3">
        <f t="shared" si="51"/>
        <v>8266.86</v>
      </c>
      <c r="N703" s="3">
        <f t="shared" si="52"/>
        <v>360</v>
      </c>
      <c r="O703" s="3">
        <f t="shared" si="53"/>
        <v>10.745276937571282</v>
      </c>
      <c r="P703" s="3" t="str">
        <f t="shared" si="54"/>
        <v>May</v>
      </c>
      <c r="Q703" s="3" t="str">
        <f t="shared" si="50"/>
        <v>good profit</v>
      </c>
    </row>
    <row r="704" spans="1:17" x14ac:dyDescent="0.25">
      <c r="A704" s="3" t="s">
        <v>1128</v>
      </c>
      <c r="B704" s="4">
        <v>45782</v>
      </c>
      <c r="C704" s="3" t="s">
        <v>2030</v>
      </c>
      <c r="D704" s="3" t="s">
        <v>2050</v>
      </c>
      <c r="E704" s="3" t="s">
        <v>2058</v>
      </c>
      <c r="F704" s="3" t="s">
        <v>2059</v>
      </c>
      <c r="G704" s="3">
        <v>2</v>
      </c>
      <c r="H704" s="3">
        <v>1800</v>
      </c>
      <c r="I704" s="3">
        <v>2124</v>
      </c>
      <c r="J704" s="3">
        <v>17.88</v>
      </c>
      <c r="K704" s="3">
        <v>3488.45</v>
      </c>
      <c r="L704" s="3">
        <v>-111.55</v>
      </c>
      <c r="M704" s="3">
        <f t="shared" si="51"/>
        <v>75954.239999999991</v>
      </c>
      <c r="N704" s="3">
        <f t="shared" si="52"/>
        <v>3600</v>
      </c>
      <c r="O704" s="3">
        <f t="shared" si="53"/>
        <v>-3.1976952514727173</v>
      </c>
      <c r="P704" s="3" t="str">
        <f t="shared" si="54"/>
        <v>May</v>
      </c>
      <c r="Q704" s="3" t="str">
        <f t="shared" si="50"/>
        <v>loss</v>
      </c>
    </row>
    <row r="705" spans="1:17" x14ac:dyDescent="0.25">
      <c r="A705" s="3" t="s">
        <v>1168</v>
      </c>
      <c r="B705" s="4">
        <v>45782</v>
      </c>
      <c r="C705" s="3" t="s">
        <v>2018</v>
      </c>
      <c r="D705" s="3" t="s">
        <v>2038</v>
      </c>
      <c r="E705" s="3" t="s">
        <v>2053</v>
      </c>
      <c r="F705" s="3" t="s">
        <v>2060</v>
      </c>
      <c r="G705" s="3">
        <v>4</v>
      </c>
      <c r="H705" s="3">
        <v>500</v>
      </c>
      <c r="I705" s="3">
        <v>610</v>
      </c>
      <c r="J705" s="3">
        <v>13.82</v>
      </c>
      <c r="K705" s="3">
        <v>2102.7199999999998</v>
      </c>
      <c r="L705" s="3">
        <v>102.72</v>
      </c>
      <c r="M705" s="3">
        <f t="shared" si="51"/>
        <v>33720.800000000003</v>
      </c>
      <c r="N705" s="3">
        <f t="shared" si="52"/>
        <v>2000</v>
      </c>
      <c r="O705" s="3">
        <f t="shared" si="53"/>
        <v>4.8851012022523213</v>
      </c>
      <c r="P705" s="3" t="str">
        <f t="shared" si="54"/>
        <v>May</v>
      </c>
      <c r="Q705" s="3" t="str">
        <f t="shared" si="50"/>
        <v>low profit</v>
      </c>
    </row>
    <row r="706" spans="1:17" x14ac:dyDescent="0.25">
      <c r="A706" s="3" t="s">
        <v>1678</v>
      </c>
      <c r="B706" s="4">
        <v>45782</v>
      </c>
      <c r="C706" s="3" t="s">
        <v>2021</v>
      </c>
      <c r="D706" s="3" t="s">
        <v>2041</v>
      </c>
      <c r="E706" s="3" t="s">
        <v>2056</v>
      </c>
      <c r="F706" s="3" t="s">
        <v>2059</v>
      </c>
      <c r="G706" s="3">
        <v>8</v>
      </c>
      <c r="H706" s="3">
        <v>300</v>
      </c>
      <c r="I706" s="3">
        <v>405</v>
      </c>
      <c r="J706" s="3">
        <v>0</v>
      </c>
      <c r="K706" s="3">
        <v>3240</v>
      </c>
      <c r="L706" s="3">
        <v>840</v>
      </c>
      <c r="M706" s="3">
        <f t="shared" si="51"/>
        <v>0</v>
      </c>
      <c r="N706" s="3">
        <f t="shared" si="52"/>
        <v>2400</v>
      </c>
      <c r="O706" s="3">
        <f t="shared" si="53"/>
        <v>25.925925925925924</v>
      </c>
      <c r="P706" s="3" t="str">
        <f t="shared" si="54"/>
        <v>May</v>
      </c>
      <c r="Q706" s="3" t="str">
        <f t="shared" ref="Q706:Q769" si="55">IF(L706&lt;0,"loss",IF(O706&lt;10,"low profit","good profit"))</f>
        <v>good profit</v>
      </c>
    </row>
    <row r="707" spans="1:17" x14ac:dyDescent="0.25">
      <c r="A707" s="3" t="s">
        <v>335</v>
      </c>
      <c r="B707" s="4">
        <v>45783</v>
      </c>
      <c r="C707" s="3" t="s">
        <v>2013</v>
      </c>
      <c r="D707" s="3" t="s">
        <v>2033</v>
      </c>
      <c r="E707" s="3" t="s">
        <v>2053</v>
      </c>
      <c r="F707" s="3" t="s">
        <v>2061</v>
      </c>
      <c r="G707" s="3">
        <v>9</v>
      </c>
      <c r="H707" s="3">
        <v>6500</v>
      </c>
      <c r="I707" s="3">
        <v>7150</v>
      </c>
      <c r="J707" s="3">
        <v>8.17</v>
      </c>
      <c r="K707" s="3">
        <v>59090.37</v>
      </c>
      <c r="L707" s="3">
        <v>590.37</v>
      </c>
      <c r="M707" s="3">
        <f t="shared" ref="M707:M770" si="56">G707*I707*J707</f>
        <v>525739.5</v>
      </c>
      <c r="N707" s="3">
        <f t="shared" ref="N707:N770" si="57">G707*H707</f>
        <v>58500</v>
      </c>
      <c r="O707" s="3">
        <f t="shared" ref="O707:O770" si="58">IFERROR(L707/K707*100,0)</f>
        <v>0.99909680714471738</v>
      </c>
      <c r="P707" s="3" t="str">
        <f t="shared" ref="P707:P770" si="59">TEXT(B707,"mmm")</f>
        <v>May</v>
      </c>
      <c r="Q707" s="3" t="str">
        <f t="shared" si="55"/>
        <v>low profit</v>
      </c>
    </row>
    <row r="708" spans="1:17" x14ac:dyDescent="0.25">
      <c r="A708" s="3" t="s">
        <v>524</v>
      </c>
      <c r="B708" s="4">
        <v>45783</v>
      </c>
      <c r="C708" s="3" t="s">
        <v>2028</v>
      </c>
      <c r="D708" s="3" t="s">
        <v>2048</v>
      </c>
      <c r="E708" s="3" t="s">
        <v>2057</v>
      </c>
      <c r="F708" s="3" t="s">
        <v>2059</v>
      </c>
      <c r="G708" s="3">
        <v>8</v>
      </c>
      <c r="H708" s="3">
        <v>80</v>
      </c>
      <c r="I708" s="3">
        <v>116</v>
      </c>
      <c r="J708" s="3">
        <v>16.809999999999999</v>
      </c>
      <c r="K708" s="3">
        <v>772.01</v>
      </c>
      <c r="L708" s="3">
        <v>132.01</v>
      </c>
      <c r="M708" s="3">
        <f t="shared" si="56"/>
        <v>15599.679999999998</v>
      </c>
      <c r="N708" s="3">
        <f t="shared" si="57"/>
        <v>640</v>
      </c>
      <c r="O708" s="3">
        <f t="shared" si="58"/>
        <v>17.099519436276729</v>
      </c>
      <c r="P708" s="3" t="str">
        <f t="shared" si="59"/>
        <v>May</v>
      </c>
      <c r="Q708" s="3" t="str">
        <f t="shared" si="55"/>
        <v>good profit</v>
      </c>
    </row>
    <row r="709" spans="1:17" x14ac:dyDescent="0.25">
      <c r="A709" s="3" t="s">
        <v>1098</v>
      </c>
      <c r="B709" s="4">
        <v>45783</v>
      </c>
      <c r="C709" s="3" t="s">
        <v>2017</v>
      </c>
      <c r="D709" s="3" t="s">
        <v>2037</v>
      </c>
      <c r="E709" s="3" t="s">
        <v>2055</v>
      </c>
      <c r="F709" s="3" t="s">
        <v>2061</v>
      </c>
      <c r="G709" s="3">
        <v>7</v>
      </c>
      <c r="H709" s="3">
        <v>2500</v>
      </c>
      <c r="I709" s="3">
        <v>2875</v>
      </c>
      <c r="J709" s="3">
        <v>14.44</v>
      </c>
      <c r="K709" s="3">
        <v>17218.080000000002</v>
      </c>
      <c r="L709" s="3">
        <v>-281.92</v>
      </c>
      <c r="M709" s="3">
        <f t="shared" si="56"/>
        <v>290605</v>
      </c>
      <c r="N709" s="3">
        <f t="shared" si="57"/>
        <v>17500</v>
      </c>
      <c r="O709" s="3">
        <f t="shared" si="58"/>
        <v>-1.6373486474682424</v>
      </c>
      <c r="P709" s="3" t="str">
        <f t="shared" si="59"/>
        <v>May</v>
      </c>
      <c r="Q709" s="3" t="str">
        <f t="shared" si="55"/>
        <v>loss</v>
      </c>
    </row>
    <row r="710" spans="1:17" x14ac:dyDescent="0.25">
      <c r="A710" s="3" t="s">
        <v>1142</v>
      </c>
      <c r="B710" s="4">
        <v>45783</v>
      </c>
      <c r="C710" s="3" t="s">
        <v>2022</v>
      </c>
      <c r="D710" s="3" t="s">
        <v>2042</v>
      </c>
      <c r="E710" s="3" t="s">
        <v>2053</v>
      </c>
      <c r="F710" s="3" t="s">
        <v>2061</v>
      </c>
      <c r="G710" s="3">
        <v>7</v>
      </c>
      <c r="H710" s="3">
        <v>8500</v>
      </c>
      <c r="I710" s="3">
        <v>9520</v>
      </c>
      <c r="J710" s="3">
        <v>4</v>
      </c>
      <c r="K710" s="3">
        <v>63974.400000000001</v>
      </c>
      <c r="L710" s="3">
        <v>4474.3999999999996</v>
      </c>
      <c r="M710" s="3">
        <f t="shared" si="56"/>
        <v>266560</v>
      </c>
      <c r="N710" s="3">
        <f t="shared" si="57"/>
        <v>59500</v>
      </c>
      <c r="O710" s="3">
        <f t="shared" si="58"/>
        <v>6.9940476190476177</v>
      </c>
      <c r="P710" s="3" t="str">
        <f t="shared" si="59"/>
        <v>May</v>
      </c>
      <c r="Q710" s="3" t="str">
        <f t="shared" si="55"/>
        <v>low profit</v>
      </c>
    </row>
    <row r="711" spans="1:17" x14ac:dyDescent="0.25">
      <c r="A711" s="3" t="s">
        <v>1264</v>
      </c>
      <c r="B711" s="4">
        <v>45783</v>
      </c>
      <c r="C711" s="3" t="s">
        <v>2027</v>
      </c>
      <c r="D711" s="3" t="s">
        <v>2047</v>
      </c>
      <c r="E711" s="3" t="s">
        <v>2053</v>
      </c>
      <c r="F711" s="3" t="s">
        <v>2061</v>
      </c>
      <c r="G711" s="3">
        <v>10</v>
      </c>
      <c r="H711" s="3">
        <v>1100</v>
      </c>
      <c r="I711" s="3">
        <v>1298</v>
      </c>
      <c r="J711" s="3">
        <v>4.03</v>
      </c>
      <c r="K711" s="3">
        <v>12456.62</v>
      </c>
      <c r="L711" s="3">
        <v>1456.62</v>
      </c>
      <c r="M711" s="3">
        <f t="shared" si="56"/>
        <v>52309.4</v>
      </c>
      <c r="N711" s="3">
        <f t="shared" si="57"/>
        <v>11000</v>
      </c>
      <c r="O711" s="3">
        <f t="shared" si="58"/>
        <v>11.693541265608165</v>
      </c>
      <c r="P711" s="3" t="str">
        <f t="shared" si="59"/>
        <v>May</v>
      </c>
      <c r="Q711" s="3" t="str">
        <f t="shared" si="55"/>
        <v>good profit</v>
      </c>
    </row>
    <row r="712" spans="1:17" x14ac:dyDescent="0.25">
      <c r="A712" s="3" t="s">
        <v>1548</v>
      </c>
      <c r="B712" s="4">
        <v>45783</v>
      </c>
      <c r="C712" s="3" t="s">
        <v>2030</v>
      </c>
      <c r="D712" s="3" t="s">
        <v>2050</v>
      </c>
      <c r="E712" s="3" t="s">
        <v>2058</v>
      </c>
      <c r="F712" s="3" t="s">
        <v>2060</v>
      </c>
      <c r="G712" s="3">
        <v>8</v>
      </c>
      <c r="H712" s="3">
        <v>1800</v>
      </c>
      <c r="I712" s="3">
        <v>2124</v>
      </c>
      <c r="J712" s="3">
        <v>23.06</v>
      </c>
      <c r="K712" s="3">
        <v>13073.76</v>
      </c>
      <c r="L712" s="3">
        <v>-1326.24</v>
      </c>
      <c r="M712" s="3">
        <f t="shared" si="56"/>
        <v>391835.51999999996</v>
      </c>
      <c r="N712" s="3">
        <f t="shared" si="57"/>
        <v>14400</v>
      </c>
      <c r="O712" s="3">
        <f t="shared" si="58"/>
        <v>-10.144289018614385</v>
      </c>
      <c r="P712" s="3" t="str">
        <f t="shared" si="59"/>
        <v>May</v>
      </c>
      <c r="Q712" s="3" t="str">
        <f t="shared" si="55"/>
        <v>loss</v>
      </c>
    </row>
    <row r="713" spans="1:17" x14ac:dyDescent="0.25">
      <c r="A713" s="3" t="s">
        <v>1902</v>
      </c>
      <c r="B713" s="4">
        <v>45783</v>
      </c>
      <c r="C713" s="3" t="s">
        <v>2012</v>
      </c>
      <c r="D713" s="3" t="s">
        <v>2032</v>
      </c>
      <c r="E713" s="3" t="s">
        <v>2052</v>
      </c>
      <c r="F713" s="3" t="s">
        <v>2061</v>
      </c>
      <c r="G713" s="3">
        <v>6</v>
      </c>
      <c r="H713" s="3">
        <v>6500</v>
      </c>
      <c r="I713" s="3">
        <v>8125</v>
      </c>
      <c r="J713" s="3">
        <v>18.510000000000002</v>
      </c>
      <c r="K713" s="3">
        <v>39726.660000000003</v>
      </c>
      <c r="L713" s="3">
        <v>726.66</v>
      </c>
      <c r="M713" s="3">
        <f t="shared" si="56"/>
        <v>902362.50000000012</v>
      </c>
      <c r="N713" s="3">
        <f t="shared" si="57"/>
        <v>39000</v>
      </c>
      <c r="O713" s="3">
        <f t="shared" si="58"/>
        <v>1.8291494930608312</v>
      </c>
      <c r="P713" s="3" t="str">
        <f t="shared" si="59"/>
        <v>May</v>
      </c>
      <c r="Q713" s="3" t="str">
        <f t="shared" si="55"/>
        <v>low profit</v>
      </c>
    </row>
    <row r="714" spans="1:17" x14ac:dyDescent="0.25">
      <c r="A714" s="3" t="s">
        <v>1973</v>
      </c>
      <c r="B714" s="4">
        <v>45783</v>
      </c>
      <c r="C714" s="3" t="s">
        <v>2018</v>
      </c>
      <c r="D714" s="3" t="s">
        <v>2038</v>
      </c>
      <c r="E714" s="3" t="s">
        <v>2053</v>
      </c>
      <c r="F714" s="3" t="s">
        <v>2062</v>
      </c>
      <c r="G714" s="3">
        <v>9</v>
      </c>
      <c r="H714" s="3">
        <v>500</v>
      </c>
      <c r="I714" s="3">
        <v>610</v>
      </c>
      <c r="J714" s="3">
        <v>12.25</v>
      </c>
      <c r="K714" s="3">
        <v>4817.45</v>
      </c>
      <c r="L714" s="3">
        <v>317.45</v>
      </c>
      <c r="M714" s="3">
        <f t="shared" si="56"/>
        <v>67252.5</v>
      </c>
      <c r="N714" s="3">
        <f t="shared" si="57"/>
        <v>4500</v>
      </c>
      <c r="O714" s="3">
        <f t="shared" si="58"/>
        <v>6.5895857767075947</v>
      </c>
      <c r="P714" s="3" t="str">
        <f t="shared" si="59"/>
        <v>May</v>
      </c>
      <c r="Q714" s="3" t="str">
        <f t="shared" si="55"/>
        <v>low profit</v>
      </c>
    </row>
    <row r="715" spans="1:17" x14ac:dyDescent="0.25">
      <c r="A715" s="3" t="s">
        <v>573</v>
      </c>
      <c r="B715" s="4">
        <v>45784</v>
      </c>
      <c r="C715" s="3" t="s">
        <v>2013</v>
      </c>
      <c r="D715" s="3" t="s">
        <v>2033</v>
      </c>
      <c r="E715" s="3" t="s">
        <v>2053</v>
      </c>
      <c r="F715" s="3" t="s">
        <v>2060</v>
      </c>
      <c r="G715" s="3">
        <v>9</v>
      </c>
      <c r="H715" s="3">
        <v>6500</v>
      </c>
      <c r="I715" s="3">
        <v>7150</v>
      </c>
      <c r="J715" s="3">
        <v>11.12</v>
      </c>
      <c r="K715" s="3">
        <v>57196.43</v>
      </c>
      <c r="L715" s="3">
        <v>-1303.57</v>
      </c>
      <c r="M715" s="3">
        <f t="shared" si="56"/>
        <v>715572</v>
      </c>
      <c r="N715" s="3">
        <f t="shared" si="57"/>
        <v>58500</v>
      </c>
      <c r="O715" s="3">
        <f t="shared" si="58"/>
        <v>-2.279110776669103</v>
      </c>
      <c r="P715" s="3" t="str">
        <f t="shared" si="59"/>
        <v>May</v>
      </c>
      <c r="Q715" s="3" t="str">
        <f t="shared" si="55"/>
        <v>loss</v>
      </c>
    </row>
    <row r="716" spans="1:17" x14ac:dyDescent="0.25">
      <c r="A716" s="3" t="s">
        <v>867</v>
      </c>
      <c r="B716" s="4">
        <v>45784</v>
      </c>
      <c r="C716" s="3" t="s">
        <v>2024</v>
      </c>
      <c r="D716" s="3" t="s">
        <v>2044</v>
      </c>
      <c r="E716" s="3" t="s">
        <v>2055</v>
      </c>
      <c r="F716" s="3" t="s">
        <v>2060</v>
      </c>
      <c r="G716" s="3">
        <v>10</v>
      </c>
      <c r="H716" s="3">
        <v>180</v>
      </c>
      <c r="I716" s="3">
        <v>243</v>
      </c>
      <c r="J716" s="3">
        <v>0</v>
      </c>
      <c r="K716" s="3">
        <v>2430</v>
      </c>
      <c r="L716" s="3">
        <v>630</v>
      </c>
      <c r="M716" s="3">
        <f t="shared" si="56"/>
        <v>0</v>
      </c>
      <c r="N716" s="3">
        <f t="shared" si="57"/>
        <v>1800</v>
      </c>
      <c r="O716" s="3">
        <f t="shared" si="58"/>
        <v>25.925925925925924</v>
      </c>
      <c r="P716" s="3" t="str">
        <f t="shared" si="59"/>
        <v>May</v>
      </c>
      <c r="Q716" s="3" t="str">
        <f t="shared" si="55"/>
        <v>good profit</v>
      </c>
    </row>
    <row r="717" spans="1:17" x14ac:dyDescent="0.25">
      <c r="A717" s="3" t="s">
        <v>981</v>
      </c>
      <c r="B717" s="4">
        <v>45784</v>
      </c>
      <c r="C717" s="3" t="s">
        <v>2027</v>
      </c>
      <c r="D717" s="3" t="s">
        <v>2047</v>
      </c>
      <c r="E717" s="3" t="s">
        <v>2053</v>
      </c>
      <c r="F717" s="3" t="s">
        <v>2062</v>
      </c>
      <c r="G717" s="3">
        <v>6</v>
      </c>
      <c r="H717" s="3">
        <v>1100</v>
      </c>
      <c r="I717" s="3">
        <v>1298</v>
      </c>
      <c r="J717" s="3">
        <v>3.44</v>
      </c>
      <c r="K717" s="3">
        <v>7519.85</v>
      </c>
      <c r="L717" s="3">
        <v>919.85</v>
      </c>
      <c r="M717" s="3">
        <f t="shared" si="56"/>
        <v>26790.720000000001</v>
      </c>
      <c r="N717" s="3">
        <f t="shared" si="57"/>
        <v>6600</v>
      </c>
      <c r="O717" s="3">
        <f t="shared" si="58"/>
        <v>12.232291867523953</v>
      </c>
      <c r="P717" s="3" t="str">
        <f t="shared" si="59"/>
        <v>May</v>
      </c>
      <c r="Q717" s="3" t="str">
        <f t="shared" si="55"/>
        <v>good profit</v>
      </c>
    </row>
    <row r="718" spans="1:17" x14ac:dyDescent="0.25">
      <c r="A718" s="3" t="s">
        <v>1011</v>
      </c>
      <c r="B718" s="4">
        <v>45784</v>
      </c>
      <c r="C718" s="3" t="s">
        <v>2020</v>
      </c>
      <c r="D718" s="3" t="s">
        <v>2040</v>
      </c>
      <c r="E718" s="3" t="s">
        <v>2053</v>
      </c>
      <c r="F718" s="3" t="s">
        <v>2061</v>
      </c>
      <c r="G718" s="3">
        <v>1</v>
      </c>
      <c r="H718" s="3">
        <v>350</v>
      </c>
      <c r="I718" s="3">
        <v>455</v>
      </c>
      <c r="J718" s="3">
        <v>2.0299999999999998</v>
      </c>
      <c r="K718" s="3">
        <v>445.76</v>
      </c>
      <c r="L718" s="3">
        <v>95.76</v>
      </c>
      <c r="M718" s="3">
        <f t="shared" si="56"/>
        <v>923.64999999999986</v>
      </c>
      <c r="N718" s="3">
        <f t="shared" si="57"/>
        <v>350</v>
      </c>
      <c r="O718" s="3">
        <f t="shared" si="58"/>
        <v>21.48241206030151</v>
      </c>
      <c r="P718" s="3" t="str">
        <f t="shared" si="59"/>
        <v>May</v>
      </c>
      <c r="Q718" s="3" t="str">
        <f t="shared" si="55"/>
        <v>good profit</v>
      </c>
    </row>
    <row r="719" spans="1:17" x14ac:dyDescent="0.25">
      <c r="A719" s="3" t="s">
        <v>1055</v>
      </c>
      <c r="B719" s="4">
        <v>45784</v>
      </c>
      <c r="C719" s="3" t="s">
        <v>2017</v>
      </c>
      <c r="D719" s="3" t="s">
        <v>2037</v>
      </c>
      <c r="E719" s="3" t="s">
        <v>2055</v>
      </c>
      <c r="F719" s="3" t="s">
        <v>2059</v>
      </c>
      <c r="G719" s="3">
        <v>6</v>
      </c>
      <c r="H719" s="3">
        <v>2500</v>
      </c>
      <c r="I719" s="3">
        <v>2875</v>
      </c>
      <c r="J719" s="3">
        <v>4.17</v>
      </c>
      <c r="K719" s="3">
        <v>16531.45</v>
      </c>
      <c r="L719" s="3">
        <v>1531.45</v>
      </c>
      <c r="M719" s="3">
        <f t="shared" si="56"/>
        <v>71932.5</v>
      </c>
      <c r="N719" s="3">
        <f t="shared" si="57"/>
        <v>15000</v>
      </c>
      <c r="O719" s="3">
        <f t="shared" si="58"/>
        <v>9.2638576773362296</v>
      </c>
      <c r="P719" s="3" t="str">
        <f t="shared" si="59"/>
        <v>May</v>
      </c>
      <c r="Q719" s="3" t="str">
        <f t="shared" si="55"/>
        <v>low profit</v>
      </c>
    </row>
    <row r="720" spans="1:17" x14ac:dyDescent="0.25">
      <c r="A720" s="3" t="s">
        <v>1297</v>
      </c>
      <c r="B720" s="4">
        <v>45784</v>
      </c>
      <c r="C720" s="3" t="s">
        <v>2013</v>
      </c>
      <c r="D720" s="3" t="s">
        <v>2033</v>
      </c>
      <c r="E720" s="3" t="s">
        <v>2053</v>
      </c>
      <c r="F720" s="3" t="s">
        <v>2062</v>
      </c>
      <c r="G720" s="3">
        <v>6</v>
      </c>
      <c r="H720" s="3">
        <v>6500</v>
      </c>
      <c r="I720" s="3">
        <v>7150</v>
      </c>
      <c r="J720" s="3">
        <v>16.68</v>
      </c>
      <c r="K720" s="3">
        <v>35742.54</v>
      </c>
      <c r="L720" s="3">
        <v>-3257.46</v>
      </c>
      <c r="M720" s="3">
        <f t="shared" si="56"/>
        <v>715572</v>
      </c>
      <c r="N720" s="3">
        <f t="shared" si="57"/>
        <v>39000</v>
      </c>
      <c r="O720" s="3">
        <f t="shared" si="58"/>
        <v>-9.1136779870708686</v>
      </c>
      <c r="P720" s="3" t="str">
        <f t="shared" si="59"/>
        <v>May</v>
      </c>
      <c r="Q720" s="3" t="str">
        <f t="shared" si="55"/>
        <v>loss</v>
      </c>
    </row>
    <row r="721" spans="1:17" x14ac:dyDescent="0.25">
      <c r="A721" s="3" t="s">
        <v>1382</v>
      </c>
      <c r="B721" s="4">
        <v>45784</v>
      </c>
      <c r="C721" s="3" t="s">
        <v>2026</v>
      </c>
      <c r="D721" s="3" t="s">
        <v>2046</v>
      </c>
      <c r="E721" s="3" t="s">
        <v>2052</v>
      </c>
      <c r="F721" s="3" t="s">
        <v>2060</v>
      </c>
      <c r="G721" s="3">
        <v>2</v>
      </c>
      <c r="H721" s="3">
        <v>3000</v>
      </c>
      <c r="I721" s="3">
        <v>3600</v>
      </c>
      <c r="J721" s="3">
        <v>7.78</v>
      </c>
      <c r="K721" s="3">
        <v>6640.18</v>
      </c>
      <c r="L721" s="3">
        <v>640.17999999999995</v>
      </c>
      <c r="M721" s="3">
        <f t="shared" si="56"/>
        <v>56016</v>
      </c>
      <c r="N721" s="3">
        <f t="shared" si="57"/>
        <v>6000</v>
      </c>
      <c r="O721" s="3">
        <f t="shared" si="58"/>
        <v>9.6410037077308139</v>
      </c>
      <c r="P721" s="3" t="str">
        <f t="shared" si="59"/>
        <v>May</v>
      </c>
      <c r="Q721" s="3" t="str">
        <f t="shared" si="55"/>
        <v>low profit</v>
      </c>
    </row>
    <row r="722" spans="1:17" x14ac:dyDescent="0.25">
      <c r="A722" s="3" t="s">
        <v>123</v>
      </c>
      <c r="B722" s="4">
        <v>45785</v>
      </c>
      <c r="C722" s="3" t="s">
        <v>2027</v>
      </c>
      <c r="D722" s="3" t="s">
        <v>2047</v>
      </c>
      <c r="E722" s="3" t="s">
        <v>2053</v>
      </c>
      <c r="F722" s="3" t="s">
        <v>2062</v>
      </c>
      <c r="G722" s="3">
        <v>3</v>
      </c>
      <c r="H722" s="3">
        <v>1100</v>
      </c>
      <c r="I722" s="3">
        <v>1298</v>
      </c>
      <c r="J722" s="3">
        <v>14.65</v>
      </c>
      <c r="K722" s="3">
        <v>3323.5</v>
      </c>
      <c r="L722" s="3">
        <v>23.5</v>
      </c>
      <c r="M722" s="3">
        <f t="shared" si="56"/>
        <v>57047.1</v>
      </c>
      <c r="N722" s="3">
        <f t="shared" si="57"/>
        <v>3300</v>
      </c>
      <c r="O722" s="3">
        <f t="shared" si="58"/>
        <v>0.70708590341507449</v>
      </c>
      <c r="P722" s="3" t="str">
        <f t="shared" si="59"/>
        <v>May</v>
      </c>
      <c r="Q722" s="3" t="str">
        <f t="shared" si="55"/>
        <v>low profit</v>
      </c>
    </row>
    <row r="723" spans="1:17" x14ac:dyDescent="0.25">
      <c r="A723" s="3" t="s">
        <v>375</v>
      </c>
      <c r="B723" s="4">
        <v>45785</v>
      </c>
      <c r="C723" s="3" t="s">
        <v>2027</v>
      </c>
      <c r="D723" s="3" t="s">
        <v>2047</v>
      </c>
      <c r="E723" s="3" t="s">
        <v>2053</v>
      </c>
      <c r="F723" s="3" t="s">
        <v>2059</v>
      </c>
      <c r="G723" s="3">
        <v>9</v>
      </c>
      <c r="H723" s="3">
        <v>1100</v>
      </c>
      <c r="I723" s="3">
        <v>1298</v>
      </c>
      <c r="J723" s="3">
        <v>8.61</v>
      </c>
      <c r="K723" s="3">
        <v>10676.27</v>
      </c>
      <c r="L723" s="3">
        <v>776.27</v>
      </c>
      <c r="M723" s="3">
        <f t="shared" si="56"/>
        <v>100582.01999999999</v>
      </c>
      <c r="N723" s="3">
        <f t="shared" si="57"/>
        <v>9900</v>
      </c>
      <c r="O723" s="3">
        <f t="shared" si="58"/>
        <v>7.2709850912350467</v>
      </c>
      <c r="P723" s="3" t="str">
        <f t="shared" si="59"/>
        <v>May</v>
      </c>
      <c r="Q723" s="3" t="str">
        <f t="shared" si="55"/>
        <v>low profit</v>
      </c>
    </row>
    <row r="724" spans="1:17" x14ac:dyDescent="0.25">
      <c r="A724" s="3" t="s">
        <v>723</v>
      </c>
      <c r="B724" s="4">
        <v>45785</v>
      </c>
      <c r="C724" s="3" t="s">
        <v>2023</v>
      </c>
      <c r="D724" s="3" t="s">
        <v>2043</v>
      </c>
      <c r="E724" s="3" t="s">
        <v>2053</v>
      </c>
      <c r="F724" s="3" t="s">
        <v>2061</v>
      </c>
      <c r="G724" s="3">
        <v>8</v>
      </c>
      <c r="H724" s="3">
        <v>550</v>
      </c>
      <c r="I724" s="3">
        <v>742.5</v>
      </c>
      <c r="J724" s="3">
        <v>17.34</v>
      </c>
      <c r="K724" s="3">
        <v>4909.8100000000004</v>
      </c>
      <c r="L724" s="3">
        <v>509.81</v>
      </c>
      <c r="M724" s="3">
        <f t="shared" si="56"/>
        <v>102999.6</v>
      </c>
      <c r="N724" s="3">
        <f t="shared" si="57"/>
        <v>4400</v>
      </c>
      <c r="O724" s="3">
        <f t="shared" si="58"/>
        <v>10.383497528417596</v>
      </c>
      <c r="P724" s="3" t="str">
        <f t="shared" si="59"/>
        <v>May</v>
      </c>
      <c r="Q724" s="3" t="str">
        <f t="shared" si="55"/>
        <v>good profit</v>
      </c>
    </row>
    <row r="725" spans="1:17" x14ac:dyDescent="0.25">
      <c r="A725" s="3" t="s">
        <v>783</v>
      </c>
      <c r="B725" s="4">
        <v>45785</v>
      </c>
      <c r="C725" s="3" t="s">
        <v>2014</v>
      </c>
      <c r="D725" s="3" t="s">
        <v>2034</v>
      </c>
      <c r="E725" s="3" t="s">
        <v>2052</v>
      </c>
      <c r="F725" s="3" t="s">
        <v>2060</v>
      </c>
      <c r="G725" s="3">
        <v>6</v>
      </c>
      <c r="H725" s="3">
        <v>4500</v>
      </c>
      <c r="I725" s="3">
        <v>5220</v>
      </c>
      <c r="J725" s="3">
        <v>10.5</v>
      </c>
      <c r="K725" s="3">
        <v>28031.51</v>
      </c>
      <c r="L725" s="3">
        <v>1031.51</v>
      </c>
      <c r="M725" s="3">
        <f t="shared" si="56"/>
        <v>328860</v>
      </c>
      <c r="N725" s="3">
        <f t="shared" si="57"/>
        <v>27000</v>
      </c>
      <c r="O725" s="3">
        <f t="shared" si="58"/>
        <v>3.6798231704249971</v>
      </c>
      <c r="P725" s="3" t="str">
        <f t="shared" si="59"/>
        <v>May</v>
      </c>
      <c r="Q725" s="3" t="str">
        <f t="shared" si="55"/>
        <v>low profit</v>
      </c>
    </row>
    <row r="726" spans="1:17" x14ac:dyDescent="0.25">
      <c r="A726" s="3" t="s">
        <v>1295</v>
      </c>
      <c r="B726" s="4">
        <v>45785</v>
      </c>
      <c r="C726" s="3" t="s">
        <v>2025</v>
      </c>
      <c r="D726" s="3" t="s">
        <v>2045</v>
      </c>
      <c r="E726" s="3" t="s">
        <v>2057</v>
      </c>
      <c r="F726" s="3" t="s">
        <v>2060</v>
      </c>
      <c r="G726" s="3">
        <v>4</v>
      </c>
      <c r="H726" s="3">
        <v>45</v>
      </c>
      <c r="I726" s="3">
        <v>63</v>
      </c>
      <c r="J726" s="3">
        <v>17.86</v>
      </c>
      <c r="K726" s="3">
        <v>206.99</v>
      </c>
      <c r="L726" s="3">
        <v>26.99</v>
      </c>
      <c r="M726" s="3">
        <f t="shared" si="56"/>
        <v>4500.72</v>
      </c>
      <c r="N726" s="3">
        <f t="shared" si="57"/>
        <v>180</v>
      </c>
      <c r="O726" s="3">
        <f t="shared" si="58"/>
        <v>13.039277259771001</v>
      </c>
      <c r="P726" s="3" t="str">
        <f t="shared" si="59"/>
        <v>May</v>
      </c>
      <c r="Q726" s="3" t="str">
        <f t="shared" si="55"/>
        <v>good profit</v>
      </c>
    </row>
    <row r="727" spans="1:17" x14ac:dyDescent="0.25">
      <c r="A727" s="3" t="s">
        <v>1929</v>
      </c>
      <c r="B727" s="4">
        <v>45785</v>
      </c>
      <c r="C727" s="3" t="s">
        <v>2027</v>
      </c>
      <c r="D727" s="3" t="s">
        <v>2047</v>
      </c>
      <c r="E727" s="3" t="s">
        <v>2053</v>
      </c>
      <c r="F727" s="3" t="s">
        <v>2059</v>
      </c>
      <c r="G727" s="3">
        <v>10</v>
      </c>
      <c r="H727" s="3">
        <v>1100</v>
      </c>
      <c r="I727" s="3">
        <v>1298</v>
      </c>
      <c r="J727" s="3">
        <v>5.38</v>
      </c>
      <c r="K727" s="3">
        <v>12281.11</v>
      </c>
      <c r="L727" s="3">
        <v>1281.1099999999999</v>
      </c>
      <c r="M727" s="3">
        <f t="shared" si="56"/>
        <v>69832.399999999994</v>
      </c>
      <c r="N727" s="3">
        <f t="shared" si="57"/>
        <v>11000</v>
      </c>
      <c r="O727" s="3">
        <f t="shared" si="58"/>
        <v>10.431548939794528</v>
      </c>
      <c r="P727" s="3" t="str">
        <f t="shared" si="59"/>
        <v>May</v>
      </c>
      <c r="Q727" s="3" t="str">
        <f t="shared" si="55"/>
        <v>good profit</v>
      </c>
    </row>
    <row r="728" spans="1:17" x14ac:dyDescent="0.25">
      <c r="A728" s="3" t="s">
        <v>2001</v>
      </c>
      <c r="B728" s="4">
        <v>45785</v>
      </c>
      <c r="C728" s="3" t="s">
        <v>2019</v>
      </c>
      <c r="D728" s="3" t="s">
        <v>2039</v>
      </c>
      <c r="E728" s="3" t="s">
        <v>2053</v>
      </c>
      <c r="F728" s="3" t="s">
        <v>2060</v>
      </c>
      <c r="G728" s="3">
        <v>3</v>
      </c>
      <c r="H728" s="3">
        <v>900</v>
      </c>
      <c r="I728" s="3">
        <v>1152</v>
      </c>
      <c r="J728" s="3">
        <v>19.48</v>
      </c>
      <c r="K728" s="3">
        <v>2782.76</v>
      </c>
      <c r="L728" s="3">
        <v>82.76</v>
      </c>
      <c r="M728" s="3">
        <f t="shared" si="56"/>
        <v>67322.880000000005</v>
      </c>
      <c r="N728" s="3">
        <f t="shared" si="57"/>
        <v>2700</v>
      </c>
      <c r="O728" s="3">
        <f t="shared" si="58"/>
        <v>2.9740257873478129</v>
      </c>
      <c r="P728" s="3" t="str">
        <f t="shared" si="59"/>
        <v>May</v>
      </c>
      <c r="Q728" s="3" t="str">
        <f t="shared" si="55"/>
        <v>low profit</v>
      </c>
    </row>
    <row r="729" spans="1:17" x14ac:dyDescent="0.25">
      <c r="A729" s="3" t="s">
        <v>227</v>
      </c>
      <c r="B729" s="4">
        <v>45786</v>
      </c>
      <c r="C729" s="3" t="s">
        <v>2019</v>
      </c>
      <c r="D729" s="3" t="s">
        <v>2039</v>
      </c>
      <c r="E729" s="3" t="s">
        <v>2053</v>
      </c>
      <c r="F729" s="3" t="s">
        <v>2061</v>
      </c>
      <c r="G729" s="3">
        <v>6</v>
      </c>
      <c r="H729" s="3">
        <v>900</v>
      </c>
      <c r="I729" s="3">
        <v>1152</v>
      </c>
      <c r="J729" s="3">
        <v>8.2100000000000009</v>
      </c>
      <c r="K729" s="3">
        <v>6344.76</v>
      </c>
      <c r="L729" s="3">
        <v>944.76</v>
      </c>
      <c r="M729" s="3">
        <f t="shared" si="56"/>
        <v>56747.520000000004</v>
      </c>
      <c r="N729" s="3">
        <f t="shared" si="57"/>
        <v>5400</v>
      </c>
      <c r="O729" s="3">
        <f t="shared" si="58"/>
        <v>14.8903977455412</v>
      </c>
      <c r="P729" s="3" t="str">
        <f t="shared" si="59"/>
        <v>May</v>
      </c>
      <c r="Q729" s="3" t="str">
        <f t="shared" si="55"/>
        <v>good profit</v>
      </c>
    </row>
    <row r="730" spans="1:17" x14ac:dyDescent="0.25">
      <c r="A730" s="3" t="s">
        <v>383</v>
      </c>
      <c r="B730" s="4">
        <v>45786</v>
      </c>
      <c r="C730" s="3" t="s">
        <v>2016</v>
      </c>
      <c r="D730" s="3" t="s">
        <v>2036</v>
      </c>
      <c r="E730" s="3" t="s">
        <v>2052</v>
      </c>
      <c r="F730" s="3" t="s">
        <v>2061</v>
      </c>
      <c r="G730" s="3">
        <v>4</v>
      </c>
      <c r="H730" s="3">
        <v>900</v>
      </c>
      <c r="I730" s="3">
        <v>1170</v>
      </c>
      <c r="J730" s="3">
        <v>11.57</v>
      </c>
      <c r="K730" s="3">
        <v>4138.66</v>
      </c>
      <c r="L730" s="3">
        <v>538.66</v>
      </c>
      <c r="M730" s="3">
        <f t="shared" si="56"/>
        <v>54147.6</v>
      </c>
      <c r="N730" s="3">
        <f t="shared" si="57"/>
        <v>3600</v>
      </c>
      <c r="O730" s="3">
        <f t="shared" si="58"/>
        <v>13.015323800457152</v>
      </c>
      <c r="P730" s="3" t="str">
        <f t="shared" si="59"/>
        <v>May</v>
      </c>
      <c r="Q730" s="3" t="str">
        <f t="shared" si="55"/>
        <v>good profit</v>
      </c>
    </row>
    <row r="731" spans="1:17" x14ac:dyDescent="0.25">
      <c r="A731" s="3" t="s">
        <v>527</v>
      </c>
      <c r="B731" s="4">
        <v>45786</v>
      </c>
      <c r="C731" s="3" t="s">
        <v>2027</v>
      </c>
      <c r="D731" s="3" t="s">
        <v>2047</v>
      </c>
      <c r="E731" s="3" t="s">
        <v>2053</v>
      </c>
      <c r="F731" s="3" t="s">
        <v>2060</v>
      </c>
      <c r="G731" s="3">
        <v>2</v>
      </c>
      <c r="H731" s="3">
        <v>1100</v>
      </c>
      <c r="I731" s="3">
        <v>1298</v>
      </c>
      <c r="J731" s="3">
        <v>0</v>
      </c>
      <c r="K731" s="3">
        <v>2596</v>
      </c>
      <c r="L731" s="3">
        <v>396</v>
      </c>
      <c r="M731" s="3">
        <f t="shared" si="56"/>
        <v>0</v>
      </c>
      <c r="N731" s="3">
        <f t="shared" si="57"/>
        <v>2200</v>
      </c>
      <c r="O731" s="3">
        <f t="shared" si="58"/>
        <v>15.254237288135593</v>
      </c>
      <c r="P731" s="3" t="str">
        <f t="shared" si="59"/>
        <v>May</v>
      </c>
      <c r="Q731" s="3" t="str">
        <f t="shared" si="55"/>
        <v>good profit</v>
      </c>
    </row>
    <row r="732" spans="1:17" x14ac:dyDescent="0.25">
      <c r="A732" s="3" t="s">
        <v>697</v>
      </c>
      <c r="B732" s="4">
        <v>45786</v>
      </c>
      <c r="C732" s="3" t="s">
        <v>2020</v>
      </c>
      <c r="D732" s="3" t="s">
        <v>2040</v>
      </c>
      <c r="E732" s="3" t="s">
        <v>2053</v>
      </c>
      <c r="F732" s="3" t="s">
        <v>2059</v>
      </c>
      <c r="G732" s="3">
        <v>6</v>
      </c>
      <c r="H732" s="3">
        <v>350</v>
      </c>
      <c r="I732" s="3">
        <v>455</v>
      </c>
      <c r="J732" s="3">
        <v>8.34</v>
      </c>
      <c r="K732" s="3">
        <v>2502.1799999999998</v>
      </c>
      <c r="L732" s="3">
        <v>402.18</v>
      </c>
      <c r="M732" s="3">
        <f t="shared" si="56"/>
        <v>22768.2</v>
      </c>
      <c r="N732" s="3">
        <f t="shared" si="57"/>
        <v>2100</v>
      </c>
      <c r="O732" s="3">
        <f t="shared" si="58"/>
        <v>16.073184183392083</v>
      </c>
      <c r="P732" s="3" t="str">
        <f t="shared" si="59"/>
        <v>May</v>
      </c>
      <c r="Q732" s="3" t="str">
        <f t="shared" si="55"/>
        <v>good profit</v>
      </c>
    </row>
    <row r="733" spans="1:17" x14ac:dyDescent="0.25">
      <c r="A733" s="3" t="s">
        <v>711</v>
      </c>
      <c r="B733" s="4">
        <v>45786</v>
      </c>
      <c r="C733" s="3" t="s">
        <v>2018</v>
      </c>
      <c r="D733" s="3" t="s">
        <v>2038</v>
      </c>
      <c r="E733" s="3" t="s">
        <v>2053</v>
      </c>
      <c r="F733" s="3" t="s">
        <v>2059</v>
      </c>
      <c r="G733" s="3">
        <v>4</v>
      </c>
      <c r="H733" s="3">
        <v>500</v>
      </c>
      <c r="I733" s="3">
        <v>610</v>
      </c>
      <c r="J733" s="3">
        <v>11.88</v>
      </c>
      <c r="K733" s="3">
        <v>2150.1799999999998</v>
      </c>
      <c r="L733" s="3">
        <v>150.18</v>
      </c>
      <c r="M733" s="3">
        <f t="shared" si="56"/>
        <v>28987.200000000001</v>
      </c>
      <c r="N733" s="3">
        <f t="shared" si="57"/>
        <v>2000</v>
      </c>
      <c r="O733" s="3">
        <f t="shared" si="58"/>
        <v>6.9845315275930391</v>
      </c>
      <c r="P733" s="3" t="str">
        <f t="shared" si="59"/>
        <v>May</v>
      </c>
      <c r="Q733" s="3" t="str">
        <f t="shared" si="55"/>
        <v>low profit</v>
      </c>
    </row>
    <row r="734" spans="1:17" x14ac:dyDescent="0.25">
      <c r="A734" s="3" t="s">
        <v>1731</v>
      </c>
      <c r="B734" s="4">
        <v>45786</v>
      </c>
      <c r="C734" s="3" t="s">
        <v>2014</v>
      </c>
      <c r="D734" s="3" t="s">
        <v>2034</v>
      </c>
      <c r="E734" s="3" t="s">
        <v>2052</v>
      </c>
      <c r="F734" s="3" t="s">
        <v>2061</v>
      </c>
      <c r="G734" s="3">
        <v>10</v>
      </c>
      <c r="H734" s="3">
        <v>4500</v>
      </c>
      <c r="I734" s="3">
        <v>5220</v>
      </c>
      <c r="J734" s="3">
        <v>15.61</v>
      </c>
      <c r="K734" s="3">
        <v>44049.77</v>
      </c>
      <c r="L734" s="3">
        <v>-950.23</v>
      </c>
      <c r="M734" s="3">
        <f t="shared" si="56"/>
        <v>814842</v>
      </c>
      <c r="N734" s="3">
        <f t="shared" si="57"/>
        <v>45000</v>
      </c>
      <c r="O734" s="3">
        <f t="shared" si="58"/>
        <v>-2.157173578885883</v>
      </c>
      <c r="P734" s="3" t="str">
        <f t="shared" si="59"/>
        <v>May</v>
      </c>
      <c r="Q734" s="3" t="str">
        <f t="shared" si="55"/>
        <v>loss</v>
      </c>
    </row>
    <row r="735" spans="1:17" x14ac:dyDescent="0.25">
      <c r="A735" s="3" t="s">
        <v>96</v>
      </c>
      <c r="B735" s="4">
        <v>45787</v>
      </c>
      <c r="C735" s="3" t="s">
        <v>2016</v>
      </c>
      <c r="D735" s="3" t="s">
        <v>2036</v>
      </c>
      <c r="E735" s="3" t="s">
        <v>2052</v>
      </c>
      <c r="F735" s="3" t="s">
        <v>2059</v>
      </c>
      <c r="G735" s="3">
        <v>3</v>
      </c>
      <c r="H735" s="3">
        <v>900</v>
      </c>
      <c r="I735" s="3">
        <v>1170</v>
      </c>
      <c r="J735" s="3">
        <v>11.63</v>
      </c>
      <c r="K735" s="3">
        <v>3101.73</v>
      </c>
      <c r="L735" s="3">
        <v>401.73</v>
      </c>
      <c r="M735" s="3">
        <f t="shared" si="56"/>
        <v>40821.300000000003</v>
      </c>
      <c r="N735" s="3">
        <f t="shared" si="57"/>
        <v>2700</v>
      </c>
      <c r="O735" s="3">
        <f t="shared" si="58"/>
        <v>12.951804315656101</v>
      </c>
      <c r="P735" s="3" t="str">
        <f t="shared" si="59"/>
        <v>May</v>
      </c>
      <c r="Q735" s="3" t="str">
        <f t="shared" si="55"/>
        <v>good profit</v>
      </c>
    </row>
    <row r="736" spans="1:17" x14ac:dyDescent="0.25">
      <c r="A736" s="3" t="s">
        <v>136</v>
      </c>
      <c r="B736" s="4">
        <v>45787</v>
      </c>
      <c r="C736" s="3" t="s">
        <v>2027</v>
      </c>
      <c r="D736" s="3" t="s">
        <v>2047</v>
      </c>
      <c r="E736" s="3" t="s">
        <v>2053</v>
      </c>
      <c r="F736" s="3" t="s">
        <v>2062</v>
      </c>
      <c r="G736" s="3">
        <v>6</v>
      </c>
      <c r="H736" s="3">
        <v>1100</v>
      </c>
      <c r="I736" s="3">
        <v>1298</v>
      </c>
      <c r="J736" s="3">
        <v>14.37</v>
      </c>
      <c r="K736" s="3">
        <v>6669.05</v>
      </c>
      <c r="L736" s="3">
        <v>69.05</v>
      </c>
      <c r="M736" s="3">
        <f t="shared" si="56"/>
        <v>111913.56</v>
      </c>
      <c r="N736" s="3">
        <f t="shared" si="57"/>
        <v>6600</v>
      </c>
      <c r="O736" s="3">
        <f t="shared" si="58"/>
        <v>1.0353798517030162</v>
      </c>
      <c r="P736" s="3" t="str">
        <f t="shared" si="59"/>
        <v>May</v>
      </c>
      <c r="Q736" s="3" t="str">
        <f t="shared" si="55"/>
        <v>low profit</v>
      </c>
    </row>
    <row r="737" spans="1:17" x14ac:dyDescent="0.25">
      <c r="A737" s="3" t="s">
        <v>143</v>
      </c>
      <c r="B737" s="4">
        <v>45787</v>
      </c>
      <c r="C737" s="3" t="s">
        <v>2012</v>
      </c>
      <c r="D737" s="3" t="s">
        <v>2032</v>
      </c>
      <c r="E737" s="3" t="s">
        <v>2052</v>
      </c>
      <c r="F737" s="3" t="s">
        <v>2062</v>
      </c>
      <c r="G737" s="3">
        <v>1</v>
      </c>
      <c r="H737" s="3">
        <v>6500</v>
      </c>
      <c r="I737" s="3">
        <v>8125</v>
      </c>
      <c r="J737" s="3">
        <v>20.260000000000002</v>
      </c>
      <c r="K737" s="3">
        <v>6478.74</v>
      </c>
      <c r="L737" s="3">
        <v>-21.26</v>
      </c>
      <c r="M737" s="3">
        <f t="shared" si="56"/>
        <v>164612.5</v>
      </c>
      <c r="N737" s="3">
        <f t="shared" si="57"/>
        <v>6500</v>
      </c>
      <c r="O737" s="3">
        <f t="shared" si="58"/>
        <v>-0.32815022674161953</v>
      </c>
      <c r="P737" s="3" t="str">
        <f t="shared" si="59"/>
        <v>May</v>
      </c>
      <c r="Q737" s="3" t="str">
        <f t="shared" si="55"/>
        <v>loss</v>
      </c>
    </row>
    <row r="738" spans="1:17" x14ac:dyDescent="0.25">
      <c r="A738" s="3" t="s">
        <v>228</v>
      </c>
      <c r="B738" s="4">
        <v>45787</v>
      </c>
      <c r="C738" s="3" t="s">
        <v>2012</v>
      </c>
      <c r="D738" s="3" t="s">
        <v>2032</v>
      </c>
      <c r="E738" s="3" t="s">
        <v>2052</v>
      </c>
      <c r="F738" s="3" t="s">
        <v>2062</v>
      </c>
      <c r="G738" s="3">
        <v>5</v>
      </c>
      <c r="H738" s="3">
        <v>6500</v>
      </c>
      <c r="I738" s="3">
        <v>8125</v>
      </c>
      <c r="J738" s="3">
        <v>11.61</v>
      </c>
      <c r="K738" s="3">
        <v>35906.980000000003</v>
      </c>
      <c r="L738" s="3">
        <v>3406.98</v>
      </c>
      <c r="M738" s="3">
        <f t="shared" si="56"/>
        <v>471656.25</v>
      </c>
      <c r="N738" s="3">
        <f t="shared" si="57"/>
        <v>32500</v>
      </c>
      <c r="O738" s="3">
        <f t="shared" si="58"/>
        <v>9.4883501759267972</v>
      </c>
      <c r="P738" s="3" t="str">
        <f t="shared" si="59"/>
        <v>May</v>
      </c>
      <c r="Q738" s="3" t="str">
        <f t="shared" si="55"/>
        <v>low profit</v>
      </c>
    </row>
    <row r="739" spans="1:17" x14ac:dyDescent="0.25">
      <c r="A739" s="3" t="s">
        <v>588</v>
      </c>
      <c r="B739" s="4">
        <v>45788</v>
      </c>
      <c r="C739" s="3" t="s">
        <v>2022</v>
      </c>
      <c r="D739" s="3" t="s">
        <v>2042</v>
      </c>
      <c r="E739" s="3" t="s">
        <v>2053</v>
      </c>
      <c r="F739" s="3" t="s">
        <v>2060</v>
      </c>
      <c r="G739" s="3">
        <v>2</v>
      </c>
      <c r="H739" s="3">
        <v>8500</v>
      </c>
      <c r="I739" s="3">
        <v>9520</v>
      </c>
      <c r="J739" s="3">
        <v>17.760000000000002</v>
      </c>
      <c r="K739" s="3">
        <v>15658.47</v>
      </c>
      <c r="L739" s="3">
        <v>-1341.53</v>
      </c>
      <c r="M739" s="3">
        <f t="shared" si="56"/>
        <v>338150.40000000002</v>
      </c>
      <c r="N739" s="3">
        <f t="shared" si="57"/>
        <v>17000</v>
      </c>
      <c r="O739" s="3">
        <f t="shared" si="58"/>
        <v>-8.5674398584280578</v>
      </c>
      <c r="P739" s="3" t="str">
        <f t="shared" si="59"/>
        <v>May</v>
      </c>
      <c r="Q739" s="3" t="str">
        <f t="shared" si="55"/>
        <v>loss</v>
      </c>
    </row>
    <row r="740" spans="1:17" x14ac:dyDescent="0.25">
      <c r="A740" s="3" t="s">
        <v>727</v>
      </c>
      <c r="B740" s="4">
        <v>45788</v>
      </c>
      <c r="C740" s="3" t="s">
        <v>2030</v>
      </c>
      <c r="D740" s="3" t="s">
        <v>2050</v>
      </c>
      <c r="E740" s="3" t="s">
        <v>2058</v>
      </c>
      <c r="F740" s="3" t="s">
        <v>2059</v>
      </c>
      <c r="G740" s="3">
        <v>7</v>
      </c>
      <c r="H740" s="3">
        <v>1800</v>
      </c>
      <c r="I740" s="3">
        <v>2124</v>
      </c>
      <c r="J740" s="3">
        <v>19.66</v>
      </c>
      <c r="K740" s="3">
        <v>11945.43</v>
      </c>
      <c r="L740" s="3">
        <v>-654.57000000000005</v>
      </c>
      <c r="M740" s="3">
        <f t="shared" si="56"/>
        <v>292304.88</v>
      </c>
      <c r="N740" s="3">
        <f t="shared" si="57"/>
        <v>12600</v>
      </c>
      <c r="O740" s="3">
        <f t="shared" si="58"/>
        <v>-5.4796687938399877</v>
      </c>
      <c r="P740" s="3" t="str">
        <f t="shared" si="59"/>
        <v>May</v>
      </c>
      <c r="Q740" s="3" t="str">
        <f t="shared" si="55"/>
        <v>loss</v>
      </c>
    </row>
    <row r="741" spans="1:17" x14ac:dyDescent="0.25">
      <c r="A741" s="3" t="s">
        <v>744</v>
      </c>
      <c r="B741" s="4">
        <v>45788</v>
      </c>
      <c r="C741" s="3" t="s">
        <v>2014</v>
      </c>
      <c r="D741" s="3" t="s">
        <v>2034</v>
      </c>
      <c r="E741" s="3" t="s">
        <v>2052</v>
      </c>
      <c r="F741" s="3" t="s">
        <v>2061</v>
      </c>
      <c r="G741" s="3">
        <v>5</v>
      </c>
      <c r="H741" s="3">
        <v>4500</v>
      </c>
      <c r="I741" s="3">
        <v>5220</v>
      </c>
      <c r="J741" s="3">
        <v>23.01</v>
      </c>
      <c r="K741" s="3">
        <v>20094.34</v>
      </c>
      <c r="L741" s="3">
        <v>-2405.66</v>
      </c>
      <c r="M741" s="3">
        <f t="shared" si="56"/>
        <v>600561</v>
      </c>
      <c r="N741" s="3">
        <f t="shared" si="57"/>
        <v>22500</v>
      </c>
      <c r="O741" s="3">
        <f t="shared" si="58"/>
        <v>-11.971828883158143</v>
      </c>
      <c r="P741" s="3" t="str">
        <f t="shared" si="59"/>
        <v>May</v>
      </c>
      <c r="Q741" s="3" t="str">
        <f t="shared" si="55"/>
        <v>loss</v>
      </c>
    </row>
    <row r="742" spans="1:17" x14ac:dyDescent="0.25">
      <c r="A742" s="3" t="s">
        <v>417</v>
      </c>
      <c r="B742" s="4">
        <v>45789</v>
      </c>
      <c r="C742" s="3" t="s">
        <v>2031</v>
      </c>
      <c r="D742" s="3" t="s">
        <v>2051</v>
      </c>
      <c r="E742" s="3" t="s">
        <v>2058</v>
      </c>
      <c r="F742" s="3" t="s">
        <v>2062</v>
      </c>
      <c r="G742" s="3">
        <v>10</v>
      </c>
      <c r="H742" s="3">
        <v>3200</v>
      </c>
      <c r="I742" s="3">
        <v>3840</v>
      </c>
      <c r="J742" s="3">
        <v>20.96</v>
      </c>
      <c r="K742" s="3">
        <v>30351.22</v>
      </c>
      <c r="L742" s="3">
        <v>-1648.78</v>
      </c>
      <c r="M742" s="3">
        <f t="shared" si="56"/>
        <v>804864</v>
      </c>
      <c r="N742" s="3">
        <f t="shared" si="57"/>
        <v>32000</v>
      </c>
      <c r="O742" s="3">
        <f t="shared" si="58"/>
        <v>-5.4323351746651367</v>
      </c>
      <c r="P742" s="3" t="str">
        <f t="shared" si="59"/>
        <v>May</v>
      </c>
      <c r="Q742" s="3" t="str">
        <f t="shared" si="55"/>
        <v>loss</v>
      </c>
    </row>
    <row r="743" spans="1:17" x14ac:dyDescent="0.25">
      <c r="A743" s="3" t="s">
        <v>419</v>
      </c>
      <c r="B743" s="4">
        <v>45789</v>
      </c>
      <c r="C743" s="3" t="s">
        <v>2026</v>
      </c>
      <c r="D743" s="3" t="s">
        <v>2046</v>
      </c>
      <c r="E743" s="3" t="s">
        <v>2052</v>
      </c>
      <c r="F743" s="3" t="s">
        <v>2062</v>
      </c>
      <c r="G743" s="3">
        <v>5</v>
      </c>
      <c r="H743" s="3">
        <v>3000</v>
      </c>
      <c r="I743" s="3">
        <v>3600</v>
      </c>
      <c r="J743" s="3">
        <v>14.99</v>
      </c>
      <c r="K743" s="3">
        <v>15301.78</v>
      </c>
      <c r="L743" s="3">
        <v>301.77999999999997</v>
      </c>
      <c r="M743" s="3">
        <f t="shared" si="56"/>
        <v>269820</v>
      </c>
      <c r="N743" s="3">
        <f t="shared" si="57"/>
        <v>15000</v>
      </c>
      <c r="O743" s="3">
        <f t="shared" si="58"/>
        <v>1.9721888564598364</v>
      </c>
      <c r="P743" s="3" t="str">
        <f t="shared" si="59"/>
        <v>May</v>
      </c>
      <c r="Q743" s="3" t="str">
        <f t="shared" si="55"/>
        <v>low profit</v>
      </c>
    </row>
    <row r="744" spans="1:17" x14ac:dyDescent="0.25">
      <c r="A744" s="3" t="s">
        <v>910</v>
      </c>
      <c r="B744" s="4">
        <v>45789</v>
      </c>
      <c r="C744" s="3" t="s">
        <v>2016</v>
      </c>
      <c r="D744" s="3" t="s">
        <v>2036</v>
      </c>
      <c r="E744" s="3" t="s">
        <v>2052</v>
      </c>
      <c r="F744" s="3" t="s">
        <v>2061</v>
      </c>
      <c r="G744" s="3">
        <v>7</v>
      </c>
      <c r="H744" s="3">
        <v>900</v>
      </c>
      <c r="I744" s="3">
        <v>1170</v>
      </c>
      <c r="J744" s="3">
        <v>8.82</v>
      </c>
      <c r="K744" s="3">
        <v>7467.35</v>
      </c>
      <c r="L744" s="3">
        <v>1167.3499999999999</v>
      </c>
      <c r="M744" s="3">
        <f t="shared" si="56"/>
        <v>72235.8</v>
      </c>
      <c r="N744" s="3">
        <f t="shared" si="57"/>
        <v>6300</v>
      </c>
      <c r="O744" s="3">
        <f t="shared" si="58"/>
        <v>15.63272111257675</v>
      </c>
      <c r="P744" s="3" t="str">
        <f t="shared" si="59"/>
        <v>May</v>
      </c>
      <c r="Q744" s="3" t="str">
        <f t="shared" si="55"/>
        <v>good profit</v>
      </c>
    </row>
    <row r="745" spans="1:17" x14ac:dyDescent="0.25">
      <c r="A745" s="3" t="s">
        <v>1565</v>
      </c>
      <c r="B745" s="4">
        <v>45789</v>
      </c>
      <c r="C745" s="3" t="s">
        <v>2013</v>
      </c>
      <c r="D745" s="3" t="s">
        <v>2033</v>
      </c>
      <c r="E745" s="3" t="s">
        <v>2053</v>
      </c>
      <c r="F745" s="3" t="s">
        <v>2060</v>
      </c>
      <c r="G745" s="3">
        <v>7</v>
      </c>
      <c r="H745" s="3">
        <v>6500</v>
      </c>
      <c r="I745" s="3">
        <v>7150</v>
      </c>
      <c r="J745" s="3">
        <v>11.84</v>
      </c>
      <c r="K745" s="3">
        <v>44123.72</v>
      </c>
      <c r="L745" s="3">
        <v>-1376.28</v>
      </c>
      <c r="M745" s="3">
        <f t="shared" si="56"/>
        <v>592592</v>
      </c>
      <c r="N745" s="3">
        <f t="shared" si="57"/>
        <v>45500</v>
      </c>
      <c r="O745" s="3">
        <f t="shared" si="58"/>
        <v>-3.119138640169052</v>
      </c>
      <c r="P745" s="3" t="str">
        <f t="shared" si="59"/>
        <v>May</v>
      </c>
      <c r="Q745" s="3" t="str">
        <f t="shared" si="55"/>
        <v>loss</v>
      </c>
    </row>
    <row r="746" spans="1:17" x14ac:dyDescent="0.25">
      <c r="A746" s="3" t="s">
        <v>1790</v>
      </c>
      <c r="B746" s="4">
        <v>45789</v>
      </c>
      <c r="C746" s="3" t="s">
        <v>2016</v>
      </c>
      <c r="D746" s="3" t="s">
        <v>2036</v>
      </c>
      <c r="E746" s="3" t="s">
        <v>2052</v>
      </c>
      <c r="F746" s="3" t="s">
        <v>2062</v>
      </c>
      <c r="G746" s="3">
        <v>3</v>
      </c>
      <c r="H746" s="3">
        <v>900</v>
      </c>
      <c r="I746" s="3">
        <v>1170</v>
      </c>
      <c r="J746" s="3">
        <v>16.87</v>
      </c>
      <c r="K746" s="3">
        <v>2917.75</v>
      </c>
      <c r="L746" s="3">
        <v>217.75</v>
      </c>
      <c r="M746" s="3">
        <f t="shared" si="56"/>
        <v>59213.700000000004</v>
      </c>
      <c r="N746" s="3">
        <f t="shared" si="57"/>
        <v>2700</v>
      </c>
      <c r="O746" s="3">
        <f t="shared" si="58"/>
        <v>7.4629423357038815</v>
      </c>
      <c r="P746" s="3" t="str">
        <f t="shared" si="59"/>
        <v>May</v>
      </c>
      <c r="Q746" s="3" t="str">
        <f t="shared" si="55"/>
        <v>low profit</v>
      </c>
    </row>
    <row r="747" spans="1:17" x14ac:dyDescent="0.25">
      <c r="A747" s="3" t="s">
        <v>182</v>
      </c>
      <c r="B747" s="4">
        <v>45790</v>
      </c>
      <c r="C747" s="3" t="s">
        <v>2024</v>
      </c>
      <c r="D747" s="3" t="s">
        <v>2044</v>
      </c>
      <c r="E747" s="3" t="s">
        <v>2055</v>
      </c>
      <c r="F747" s="3" t="s">
        <v>2062</v>
      </c>
      <c r="G747" s="3">
        <v>6</v>
      </c>
      <c r="H747" s="3">
        <v>180</v>
      </c>
      <c r="I747" s="3">
        <v>243</v>
      </c>
      <c r="J747" s="3">
        <v>4.55</v>
      </c>
      <c r="K747" s="3">
        <v>1391.7</v>
      </c>
      <c r="L747" s="3">
        <v>311.7</v>
      </c>
      <c r="M747" s="3">
        <f t="shared" si="56"/>
        <v>6633.9</v>
      </c>
      <c r="N747" s="3">
        <f t="shared" si="57"/>
        <v>1080</v>
      </c>
      <c r="O747" s="3">
        <f t="shared" si="58"/>
        <v>22.397068333692605</v>
      </c>
      <c r="P747" s="3" t="str">
        <f t="shared" si="59"/>
        <v>May</v>
      </c>
      <c r="Q747" s="3" t="str">
        <f t="shared" si="55"/>
        <v>good profit</v>
      </c>
    </row>
    <row r="748" spans="1:17" x14ac:dyDescent="0.25">
      <c r="A748" s="3" t="s">
        <v>260</v>
      </c>
      <c r="B748" s="4">
        <v>45790</v>
      </c>
      <c r="C748" s="3" t="s">
        <v>2030</v>
      </c>
      <c r="D748" s="3" t="s">
        <v>2050</v>
      </c>
      <c r="E748" s="3" t="s">
        <v>2058</v>
      </c>
      <c r="F748" s="3" t="s">
        <v>2059</v>
      </c>
      <c r="G748" s="3">
        <v>9</v>
      </c>
      <c r="H748" s="3">
        <v>1800</v>
      </c>
      <c r="I748" s="3">
        <v>2124</v>
      </c>
      <c r="J748" s="3">
        <v>9.51</v>
      </c>
      <c r="K748" s="3">
        <v>17297.14</v>
      </c>
      <c r="L748" s="3">
        <v>1097.1400000000001</v>
      </c>
      <c r="M748" s="3">
        <f t="shared" si="56"/>
        <v>181793.16</v>
      </c>
      <c r="N748" s="3">
        <f t="shared" si="57"/>
        <v>16200</v>
      </c>
      <c r="O748" s="3">
        <f t="shared" si="58"/>
        <v>6.3428983057314685</v>
      </c>
      <c r="P748" s="3" t="str">
        <f t="shared" si="59"/>
        <v>May</v>
      </c>
      <c r="Q748" s="3" t="str">
        <f t="shared" si="55"/>
        <v>low profit</v>
      </c>
    </row>
    <row r="749" spans="1:17" x14ac:dyDescent="0.25">
      <c r="A749" s="3" t="s">
        <v>732</v>
      </c>
      <c r="B749" s="4">
        <v>45790</v>
      </c>
      <c r="C749" s="3" t="s">
        <v>2028</v>
      </c>
      <c r="D749" s="3" t="s">
        <v>2048</v>
      </c>
      <c r="E749" s="3" t="s">
        <v>2057</v>
      </c>
      <c r="F749" s="3" t="s">
        <v>2060</v>
      </c>
      <c r="G749" s="3">
        <v>5</v>
      </c>
      <c r="H749" s="3">
        <v>80</v>
      </c>
      <c r="I749" s="3">
        <v>116</v>
      </c>
      <c r="J749" s="3">
        <v>9.19</v>
      </c>
      <c r="K749" s="3">
        <v>526.70000000000005</v>
      </c>
      <c r="L749" s="3">
        <v>126.7</v>
      </c>
      <c r="M749" s="3">
        <f t="shared" si="56"/>
        <v>5330.2</v>
      </c>
      <c r="N749" s="3">
        <f t="shared" si="57"/>
        <v>400</v>
      </c>
      <c r="O749" s="3">
        <f t="shared" si="58"/>
        <v>24.055439529143722</v>
      </c>
      <c r="P749" s="3" t="str">
        <f t="shared" si="59"/>
        <v>May</v>
      </c>
      <c r="Q749" s="3" t="str">
        <f t="shared" si="55"/>
        <v>good profit</v>
      </c>
    </row>
    <row r="750" spans="1:17" x14ac:dyDescent="0.25">
      <c r="A750" s="3" t="s">
        <v>1579</v>
      </c>
      <c r="B750" s="4">
        <v>45790</v>
      </c>
      <c r="C750" s="3" t="s">
        <v>2012</v>
      </c>
      <c r="D750" s="3" t="s">
        <v>2032</v>
      </c>
      <c r="E750" s="3" t="s">
        <v>2052</v>
      </c>
      <c r="F750" s="3" t="s">
        <v>2062</v>
      </c>
      <c r="G750" s="3">
        <v>10</v>
      </c>
      <c r="H750" s="3">
        <v>6500</v>
      </c>
      <c r="I750" s="3">
        <v>8125</v>
      </c>
      <c r="J750" s="3">
        <v>20.88</v>
      </c>
      <c r="K750" s="3">
        <v>64287.06</v>
      </c>
      <c r="L750" s="3">
        <v>-712.94</v>
      </c>
      <c r="M750" s="3">
        <f t="shared" si="56"/>
        <v>1696500</v>
      </c>
      <c r="N750" s="3">
        <f t="shared" si="57"/>
        <v>65000</v>
      </c>
      <c r="O750" s="3">
        <f t="shared" si="58"/>
        <v>-1.1089945628249296</v>
      </c>
      <c r="P750" s="3" t="str">
        <f t="shared" si="59"/>
        <v>May</v>
      </c>
      <c r="Q750" s="3" t="str">
        <f t="shared" si="55"/>
        <v>loss</v>
      </c>
    </row>
    <row r="751" spans="1:17" x14ac:dyDescent="0.25">
      <c r="A751" s="3" t="s">
        <v>1789</v>
      </c>
      <c r="B751" s="4">
        <v>45790</v>
      </c>
      <c r="C751" s="3" t="s">
        <v>2021</v>
      </c>
      <c r="D751" s="3" t="s">
        <v>2041</v>
      </c>
      <c r="E751" s="3" t="s">
        <v>2056</v>
      </c>
      <c r="F751" s="3" t="s">
        <v>2060</v>
      </c>
      <c r="G751" s="3">
        <v>8</v>
      </c>
      <c r="H751" s="3">
        <v>300</v>
      </c>
      <c r="I751" s="3">
        <v>405</v>
      </c>
      <c r="J751" s="3">
        <v>20.83</v>
      </c>
      <c r="K751" s="3">
        <v>2565.13</v>
      </c>
      <c r="L751" s="3">
        <v>165.13</v>
      </c>
      <c r="M751" s="3">
        <f t="shared" si="56"/>
        <v>67489.2</v>
      </c>
      <c r="N751" s="3">
        <f t="shared" si="57"/>
        <v>2400</v>
      </c>
      <c r="O751" s="3">
        <f t="shared" si="58"/>
        <v>6.4374904975576284</v>
      </c>
      <c r="P751" s="3" t="str">
        <f t="shared" si="59"/>
        <v>May</v>
      </c>
      <c r="Q751" s="3" t="str">
        <f t="shared" si="55"/>
        <v>low profit</v>
      </c>
    </row>
    <row r="752" spans="1:17" x14ac:dyDescent="0.25">
      <c r="A752" s="3" t="s">
        <v>87</v>
      </c>
      <c r="B752" s="4">
        <v>45791</v>
      </c>
      <c r="C752" s="3" t="s">
        <v>2023</v>
      </c>
      <c r="D752" s="3" t="s">
        <v>2043</v>
      </c>
      <c r="E752" s="3" t="s">
        <v>2053</v>
      </c>
      <c r="F752" s="3" t="s">
        <v>2060</v>
      </c>
      <c r="G752" s="3">
        <v>9</v>
      </c>
      <c r="H752" s="3">
        <v>550</v>
      </c>
      <c r="I752" s="3">
        <v>742.5</v>
      </c>
      <c r="J752" s="3">
        <v>9.65</v>
      </c>
      <c r="K752" s="3">
        <v>6037.45</v>
      </c>
      <c r="L752" s="3">
        <v>1087.45</v>
      </c>
      <c r="M752" s="3">
        <f t="shared" si="56"/>
        <v>64486.125</v>
      </c>
      <c r="N752" s="3">
        <f t="shared" si="57"/>
        <v>4950</v>
      </c>
      <c r="O752" s="3">
        <f t="shared" si="58"/>
        <v>18.011743368475102</v>
      </c>
      <c r="P752" s="3" t="str">
        <f t="shared" si="59"/>
        <v>May</v>
      </c>
      <c r="Q752" s="3" t="str">
        <f t="shared" si="55"/>
        <v>good profit</v>
      </c>
    </row>
    <row r="753" spans="1:17" x14ac:dyDescent="0.25">
      <c r="A753" s="3" t="s">
        <v>736</v>
      </c>
      <c r="B753" s="4">
        <v>45791</v>
      </c>
      <c r="C753" s="3" t="s">
        <v>2026</v>
      </c>
      <c r="D753" s="3" t="s">
        <v>2046</v>
      </c>
      <c r="E753" s="3" t="s">
        <v>2052</v>
      </c>
      <c r="F753" s="3" t="s">
        <v>2061</v>
      </c>
      <c r="G753" s="3">
        <v>2</v>
      </c>
      <c r="H753" s="3">
        <v>3000</v>
      </c>
      <c r="I753" s="3">
        <v>3600</v>
      </c>
      <c r="J753" s="3">
        <v>12.6</v>
      </c>
      <c r="K753" s="3">
        <v>6293.1</v>
      </c>
      <c r="L753" s="3">
        <v>293.10000000000002</v>
      </c>
      <c r="M753" s="3">
        <f t="shared" si="56"/>
        <v>90720</v>
      </c>
      <c r="N753" s="3">
        <f t="shared" si="57"/>
        <v>6000</v>
      </c>
      <c r="O753" s="3">
        <f t="shared" si="58"/>
        <v>4.6574820040997285</v>
      </c>
      <c r="P753" s="3" t="str">
        <f t="shared" si="59"/>
        <v>May</v>
      </c>
      <c r="Q753" s="3" t="str">
        <f t="shared" si="55"/>
        <v>low profit</v>
      </c>
    </row>
    <row r="754" spans="1:17" x14ac:dyDescent="0.25">
      <c r="A754" s="3" t="s">
        <v>805</v>
      </c>
      <c r="B754" s="4">
        <v>45791</v>
      </c>
      <c r="C754" s="3" t="s">
        <v>2019</v>
      </c>
      <c r="D754" s="3" t="s">
        <v>2039</v>
      </c>
      <c r="E754" s="3" t="s">
        <v>2053</v>
      </c>
      <c r="F754" s="3" t="s">
        <v>2059</v>
      </c>
      <c r="G754" s="3">
        <v>3</v>
      </c>
      <c r="H754" s="3">
        <v>900</v>
      </c>
      <c r="I754" s="3">
        <v>1152</v>
      </c>
      <c r="J754" s="3">
        <v>9.9700000000000006</v>
      </c>
      <c r="K754" s="3">
        <v>3111.36</v>
      </c>
      <c r="L754" s="3">
        <v>411.36</v>
      </c>
      <c r="M754" s="3">
        <f t="shared" si="56"/>
        <v>34456.32</v>
      </c>
      <c r="N754" s="3">
        <f t="shared" si="57"/>
        <v>2700</v>
      </c>
      <c r="O754" s="3">
        <f t="shared" si="58"/>
        <v>13.221228016044432</v>
      </c>
      <c r="P754" s="3" t="str">
        <f t="shared" si="59"/>
        <v>May</v>
      </c>
      <c r="Q754" s="3" t="str">
        <f t="shared" si="55"/>
        <v>good profit</v>
      </c>
    </row>
    <row r="755" spans="1:17" x14ac:dyDescent="0.25">
      <c r="A755" s="3" t="s">
        <v>1135</v>
      </c>
      <c r="B755" s="4">
        <v>45791</v>
      </c>
      <c r="C755" s="3" t="s">
        <v>2015</v>
      </c>
      <c r="D755" s="3" t="s">
        <v>2035</v>
      </c>
      <c r="E755" s="3" t="s">
        <v>2054</v>
      </c>
      <c r="F755" s="3" t="s">
        <v>2061</v>
      </c>
      <c r="G755" s="3">
        <v>4</v>
      </c>
      <c r="H755" s="3">
        <v>900</v>
      </c>
      <c r="I755" s="3">
        <v>1170</v>
      </c>
      <c r="J755" s="3">
        <v>3.57</v>
      </c>
      <c r="K755" s="3">
        <v>4512.7700000000004</v>
      </c>
      <c r="L755" s="3">
        <v>912.77</v>
      </c>
      <c r="M755" s="3">
        <f t="shared" si="56"/>
        <v>16707.599999999999</v>
      </c>
      <c r="N755" s="3">
        <f t="shared" si="57"/>
        <v>3600</v>
      </c>
      <c r="O755" s="3">
        <f t="shared" si="58"/>
        <v>20.226379806637606</v>
      </c>
      <c r="P755" s="3" t="str">
        <f t="shared" si="59"/>
        <v>May</v>
      </c>
      <c r="Q755" s="3" t="str">
        <f t="shared" si="55"/>
        <v>good profit</v>
      </c>
    </row>
    <row r="756" spans="1:17" x14ac:dyDescent="0.25">
      <c r="A756" s="3" t="s">
        <v>1540</v>
      </c>
      <c r="B756" s="4">
        <v>45791</v>
      </c>
      <c r="C756" s="3" t="s">
        <v>2020</v>
      </c>
      <c r="D756" s="3" t="s">
        <v>2040</v>
      </c>
      <c r="E756" s="3" t="s">
        <v>2053</v>
      </c>
      <c r="F756" s="3" t="s">
        <v>2060</v>
      </c>
      <c r="G756" s="3">
        <v>7</v>
      </c>
      <c r="H756" s="3">
        <v>350</v>
      </c>
      <c r="I756" s="3">
        <v>455</v>
      </c>
      <c r="J756" s="3">
        <v>11.7</v>
      </c>
      <c r="K756" s="3">
        <v>2812.49</v>
      </c>
      <c r="L756" s="3">
        <v>362.49</v>
      </c>
      <c r="M756" s="3">
        <f t="shared" si="56"/>
        <v>37264.5</v>
      </c>
      <c r="N756" s="3">
        <f t="shared" si="57"/>
        <v>2450</v>
      </c>
      <c r="O756" s="3">
        <f t="shared" si="58"/>
        <v>12.888579159392568</v>
      </c>
      <c r="P756" s="3" t="str">
        <f t="shared" si="59"/>
        <v>May</v>
      </c>
      <c r="Q756" s="3" t="str">
        <f t="shared" si="55"/>
        <v>good profit</v>
      </c>
    </row>
    <row r="757" spans="1:17" x14ac:dyDescent="0.25">
      <c r="A757" s="3" t="s">
        <v>339</v>
      </c>
      <c r="B757" s="4">
        <v>45792</v>
      </c>
      <c r="C757" s="3" t="s">
        <v>2026</v>
      </c>
      <c r="D757" s="3" t="s">
        <v>2046</v>
      </c>
      <c r="E757" s="3" t="s">
        <v>2052</v>
      </c>
      <c r="F757" s="3" t="s">
        <v>2060</v>
      </c>
      <c r="G757" s="3">
        <v>9</v>
      </c>
      <c r="H757" s="3">
        <v>3000</v>
      </c>
      <c r="I757" s="3">
        <v>3600</v>
      </c>
      <c r="J757" s="3">
        <v>19.559999999999999</v>
      </c>
      <c r="K757" s="3">
        <v>26064.1</v>
      </c>
      <c r="L757" s="3">
        <v>-935.9</v>
      </c>
      <c r="M757" s="3">
        <f t="shared" si="56"/>
        <v>633744</v>
      </c>
      <c r="N757" s="3">
        <f t="shared" si="57"/>
        <v>27000</v>
      </c>
      <c r="O757" s="3">
        <f t="shared" si="58"/>
        <v>-3.5907627733165541</v>
      </c>
      <c r="P757" s="3" t="str">
        <f t="shared" si="59"/>
        <v>May</v>
      </c>
      <c r="Q757" s="3" t="str">
        <f t="shared" si="55"/>
        <v>loss</v>
      </c>
    </row>
    <row r="758" spans="1:17" x14ac:dyDescent="0.25">
      <c r="A758" s="3" t="s">
        <v>1283</v>
      </c>
      <c r="B758" s="4">
        <v>45792</v>
      </c>
      <c r="C758" s="3" t="s">
        <v>2031</v>
      </c>
      <c r="D758" s="3" t="s">
        <v>2051</v>
      </c>
      <c r="E758" s="3" t="s">
        <v>2058</v>
      </c>
      <c r="F758" s="3" t="s">
        <v>2061</v>
      </c>
      <c r="G758" s="3">
        <v>8</v>
      </c>
      <c r="H758" s="3">
        <v>3200</v>
      </c>
      <c r="I758" s="3">
        <v>3840</v>
      </c>
      <c r="J758" s="3">
        <v>4.96</v>
      </c>
      <c r="K758" s="3">
        <v>29196.73</v>
      </c>
      <c r="L758" s="3">
        <v>3596.73</v>
      </c>
      <c r="M758" s="3">
        <f t="shared" si="56"/>
        <v>152371.20000000001</v>
      </c>
      <c r="N758" s="3">
        <f t="shared" si="57"/>
        <v>25600</v>
      </c>
      <c r="O758" s="3">
        <f t="shared" si="58"/>
        <v>12.318948046579189</v>
      </c>
      <c r="P758" s="3" t="str">
        <f t="shared" si="59"/>
        <v>May</v>
      </c>
      <c r="Q758" s="3" t="str">
        <f t="shared" si="55"/>
        <v>good profit</v>
      </c>
    </row>
    <row r="759" spans="1:17" x14ac:dyDescent="0.25">
      <c r="A759" s="3" t="s">
        <v>1553</v>
      </c>
      <c r="B759" s="4">
        <v>45792</v>
      </c>
      <c r="C759" s="3" t="s">
        <v>2023</v>
      </c>
      <c r="D759" s="3" t="s">
        <v>2043</v>
      </c>
      <c r="E759" s="3" t="s">
        <v>2053</v>
      </c>
      <c r="F759" s="3" t="s">
        <v>2059</v>
      </c>
      <c r="G759" s="3">
        <v>2</v>
      </c>
      <c r="H759" s="3">
        <v>550</v>
      </c>
      <c r="I759" s="3">
        <v>742.5</v>
      </c>
      <c r="J759" s="3">
        <v>3.79</v>
      </c>
      <c r="K759" s="3">
        <v>1428.74</v>
      </c>
      <c r="L759" s="3">
        <v>328.74</v>
      </c>
      <c r="M759" s="3">
        <f t="shared" si="56"/>
        <v>5628.15</v>
      </c>
      <c r="N759" s="3">
        <f t="shared" si="57"/>
        <v>1100</v>
      </c>
      <c r="O759" s="3">
        <f t="shared" si="58"/>
        <v>23.009084927978499</v>
      </c>
      <c r="P759" s="3" t="str">
        <f t="shared" si="59"/>
        <v>May</v>
      </c>
      <c r="Q759" s="3" t="str">
        <f t="shared" si="55"/>
        <v>good profit</v>
      </c>
    </row>
    <row r="760" spans="1:17" x14ac:dyDescent="0.25">
      <c r="A760" s="3" t="s">
        <v>29</v>
      </c>
      <c r="B760" s="4">
        <v>45793</v>
      </c>
      <c r="C760" s="3" t="s">
        <v>2021</v>
      </c>
      <c r="D760" s="3" t="s">
        <v>2041</v>
      </c>
      <c r="E760" s="3" t="s">
        <v>2056</v>
      </c>
      <c r="F760" s="3" t="s">
        <v>2061</v>
      </c>
      <c r="G760" s="3">
        <v>2</v>
      </c>
      <c r="H760" s="3">
        <v>300</v>
      </c>
      <c r="I760" s="3">
        <v>405</v>
      </c>
      <c r="J760" s="3">
        <v>17.68</v>
      </c>
      <c r="K760" s="3">
        <v>666.76</v>
      </c>
      <c r="L760" s="3">
        <v>66.760000000000005</v>
      </c>
      <c r="M760" s="3">
        <f t="shared" si="56"/>
        <v>14320.8</v>
      </c>
      <c r="N760" s="3">
        <f t="shared" si="57"/>
        <v>600</v>
      </c>
      <c r="O760" s="3">
        <f t="shared" si="58"/>
        <v>10.012598236246927</v>
      </c>
      <c r="P760" s="3" t="str">
        <f t="shared" si="59"/>
        <v>May</v>
      </c>
      <c r="Q760" s="3" t="str">
        <f t="shared" si="55"/>
        <v>good profit</v>
      </c>
    </row>
    <row r="761" spans="1:17" x14ac:dyDescent="0.25">
      <c r="A761" s="3" t="s">
        <v>282</v>
      </c>
      <c r="B761" s="4">
        <v>45793</v>
      </c>
      <c r="C761" s="3" t="s">
        <v>2022</v>
      </c>
      <c r="D761" s="3" t="s">
        <v>2042</v>
      </c>
      <c r="E761" s="3" t="s">
        <v>2053</v>
      </c>
      <c r="F761" s="3" t="s">
        <v>2060</v>
      </c>
      <c r="G761" s="3">
        <v>1</v>
      </c>
      <c r="H761" s="3">
        <v>8500</v>
      </c>
      <c r="I761" s="3">
        <v>9520</v>
      </c>
      <c r="J761" s="3">
        <v>17.55</v>
      </c>
      <c r="K761" s="3">
        <v>7849.03</v>
      </c>
      <c r="L761" s="3">
        <v>-650.97</v>
      </c>
      <c r="M761" s="3">
        <f t="shared" si="56"/>
        <v>167076</v>
      </c>
      <c r="N761" s="3">
        <f t="shared" si="57"/>
        <v>8500</v>
      </c>
      <c r="O761" s="3">
        <f t="shared" si="58"/>
        <v>-8.2936362837191364</v>
      </c>
      <c r="P761" s="3" t="str">
        <f t="shared" si="59"/>
        <v>May</v>
      </c>
      <c r="Q761" s="3" t="str">
        <f t="shared" si="55"/>
        <v>loss</v>
      </c>
    </row>
    <row r="762" spans="1:17" x14ac:dyDescent="0.25">
      <c r="A762" s="3" t="s">
        <v>378</v>
      </c>
      <c r="B762" s="4">
        <v>45793</v>
      </c>
      <c r="C762" s="3" t="s">
        <v>2023</v>
      </c>
      <c r="D762" s="3" t="s">
        <v>2043</v>
      </c>
      <c r="E762" s="3" t="s">
        <v>2053</v>
      </c>
      <c r="F762" s="3" t="s">
        <v>2061</v>
      </c>
      <c r="G762" s="3">
        <v>1</v>
      </c>
      <c r="H762" s="3">
        <v>550</v>
      </c>
      <c r="I762" s="3">
        <v>742.5</v>
      </c>
      <c r="J762" s="3">
        <v>2.5499999999999998</v>
      </c>
      <c r="K762" s="3">
        <v>723.53</v>
      </c>
      <c r="L762" s="3">
        <v>173.53</v>
      </c>
      <c r="M762" s="3">
        <f t="shared" si="56"/>
        <v>1893.3749999999998</v>
      </c>
      <c r="N762" s="3">
        <f t="shared" si="57"/>
        <v>550</v>
      </c>
      <c r="O762" s="3">
        <f t="shared" si="58"/>
        <v>23.983801639185661</v>
      </c>
      <c r="P762" s="3" t="str">
        <f t="shared" si="59"/>
        <v>May</v>
      </c>
      <c r="Q762" s="3" t="str">
        <f t="shared" si="55"/>
        <v>good profit</v>
      </c>
    </row>
    <row r="763" spans="1:17" x14ac:dyDescent="0.25">
      <c r="A763" s="3" t="s">
        <v>934</v>
      </c>
      <c r="B763" s="4">
        <v>45793</v>
      </c>
      <c r="C763" s="3" t="s">
        <v>2025</v>
      </c>
      <c r="D763" s="3" t="s">
        <v>2045</v>
      </c>
      <c r="E763" s="3" t="s">
        <v>2057</v>
      </c>
      <c r="F763" s="3" t="s">
        <v>2060</v>
      </c>
      <c r="G763" s="3">
        <v>10</v>
      </c>
      <c r="H763" s="3">
        <v>45</v>
      </c>
      <c r="I763" s="3">
        <v>63</v>
      </c>
      <c r="J763" s="3">
        <v>1.42</v>
      </c>
      <c r="K763" s="3">
        <v>621.07000000000005</v>
      </c>
      <c r="L763" s="3">
        <v>171.07</v>
      </c>
      <c r="M763" s="3">
        <f t="shared" si="56"/>
        <v>894.59999999999991</v>
      </c>
      <c r="N763" s="3">
        <f t="shared" si="57"/>
        <v>450</v>
      </c>
      <c r="O763" s="3">
        <f t="shared" si="58"/>
        <v>27.544399182056772</v>
      </c>
      <c r="P763" s="3" t="str">
        <f t="shared" si="59"/>
        <v>May</v>
      </c>
      <c r="Q763" s="3" t="str">
        <f t="shared" si="55"/>
        <v>good profit</v>
      </c>
    </row>
    <row r="764" spans="1:17" x14ac:dyDescent="0.25">
      <c r="A764" s="3" t="s">
        <v>951</v>
      </c>
      <c r="B764" s="4">
        <v>45793</v>
      </c>
      <c r="C764" s="3" t="s">
        <v>2020</v>
      </c>
      <c r="D764" s="3" t="s">
        <v>2040</v>
      </c>
      <c r="E764" s="3" t="s">
        <v>2053</v>
      </c>
      <c r="F764" s="3" t="s">
        <v>2059</v>
      </c>
      <c r="G764" s="3">
        <v>5</v>
      </c>
      <c r="H764" s="3">
        <v>350</v>
      </c>
      <c r="I764" s="3">
        <v>455</v>
      </c>
      <c r="J764" s="3">
        <v>9.2799999999999994</v>
      </c>
      <c r="K764" s="3">
        <v>2063.87</v>
      </c>
      <c r="L764" s="3">
        <v>313.87</v>
      </c>
      <c r="M764" s="3">
        <f t="shared" si="56"/>
        <v>21112</v>
      </c>
      <c r="N764" s="3">
        <f t="shared" si="57"/>
        <v>1750</v>
      </c>
      <c r="O764" s="3">
        <f t="shared" si="58"/>
        <v>15.207837702956098</v>
      </c>
      <c r="P764" s="3" t="str">
        <f t="shared" si="59"/>
        <v>May</v>
      </c>
      <c r="Q764" s="3" t="str">
        <f t="shared" si="55"/>
        <v>good profit</v>
      </c>
    </row>
    <row r="765" spans="1:17" x14ac:dyDescent="0.25">
      <c r="A765" s="3" t="s">
        <v>1293</v>
      </c>
      <c r="B765" s="4">
        <v>45793</v>
      </c>
      <c r="C765" s="3" t="s">
        <v>2021</v>
      </c>
      <c r="D765" s="3" t="s">
        <v>2041</v>
      </c>
      <c r="E765" s="3" t="s">
        <v>2056</v>
      </c>
      <c r="F765" s="3" t="s">
        <v>2061</v>
      </c>
      <c r="G765" s="3">
        <v>1</v>
      </c>
      <c r="H765" s="3">
        <v>300</v>
      </c>
      <c r="I765" s="3">
        <v>405</v>
      </c>
      <c r="J765" s="3">
        <v>0</v>
      </c>
      <c r="K765" s="3">
        <v>405</v>
      </c>
      <c r="L765" s="3">
        <v>105</v>
      </c>
      <c r="M765" s="3">
        <f t="shared" si="56"/>
        <v>0</v>
      </c>
      <c r="N765" s="3">
        <f t="shared" si="57"/>
        <v>300</v>
      </c>
      <c r="O765" s="3">
        <f t="shared" si="58"/>
        <v>25.925925925925924</v>
      </c>
      <c r="P765" s="3" t="str">
        <f t="shared" si="59"/>
        <v>May</v>
      </c>
      <c r="Q765" s="3" t="str">
        <f t="shared" si="55"/>
        <v>good profit</v>
      </c>
    </row>
    <row r="766" spans="1:17" x14ac:dyDescent="0.25">
      <c r="A766" s="3" t="s">
        <v>494</v>
      </c>
      <c r="B766" s="4">
        <v>45794</v>
      </c>
      <c r="C766" s="3" t="s">
        <v>2014</v>
      </c>
      <c r="D766" s="3" t="s">
        <v>2034</v>
      </c>
      <c r="E766" s="3" t="s">
        <v>2052</v>
      </c>
      <c r="F766" s="3" t="s">
        <v>2060</v>
      </c>
      <c r="G766" s="3">
        <v>3</v>
      </c>
      <c r="H766" s="3">
        <v>4500</v>
      </c>
      <c r="I766" s="3">
        <v>5220</v>
      </c>
      <c r="J766" s="3">
        <v>21.99</v>
      </c>
      <c r="K766" s="3">
        <v>12216.15</v>
      </c>
      <c r="L766" s="3">
        <v>-1283.8499999999999</v>
      </c>
      <c r="M766" s="3">
        <f t="shared" si="56"/>
        <v>344363.39999999997</v>
      </c>
      <c r="N766" s="3">
        <f t="shared" si="57"/>
        <v>13500</v>
      </c>
      <c r="O766" s="3">
        <f t="shared" si="58"/>
        <v>-10.509448557851696</v>
      </c>
      <c r="P766" s="3" t="str">
        <f t="shared" si="59"/>
        <v>May</v>
      </c>
      <c r="Q766" s="3" t="str">
        <f t="shared" si="55"/>
        <v>loss</v>
      </c>
    </row>
    <row r="767" spans="1:17" x14ac:dyDescent="0.25">
      <c r="A767" s="3" t="s">
        <v>707</v>
      </c>
      <c r="B767" s="4">
        <v>45794</v>
      </c>
      <c r="C767" s="3" t="s">
        <v>2026</v>
      </c>
      <c r="D767" s="3" t="s">
        <v>2046</v>
      </c>
      <c r="E767" s="3" t="s">
        <v>2052</v>
      </c>
      <c r="F767" s="3" t="s">
        <v>2059</v>
      </c>
      <c r="G767" s="3">
        <v>10</v>
      </c>
      <c r="H767" s="3">
        <v>3000</v>
      </c>
      <c r="I767" s="3">
        <v>3600</v>
      </c>
      <c r="J767" s="3">
        <v>11.11</v>
      </c>
      <c r="K767" s="3">
        <v>31999.21</v>
      </c>
      <c r="L767" s="3">
        <v>1999.21</v>
      </c>
      <c r="M767" s="3">
        <f t="shared" si="56"/>
        <v>399960</v>
      </c>
      <c r="N767" s="3">
        <f t="shared" si="57"/>
        <v>30000</v>
      </c>
      <c r="O767" s="3">
        <f t="shared" si="58"/>
        <v>6.2476854897355283</v>
      </c>
      <c r="P767" s="3" t="str">
        <f t="shared" si="59"/>
        <v>May</v>
      </c>
      <c r="Q767" s="3" t="str">
        <f t="shared" si="55"/>
        <v>low profit</v>
      </c>
    </row>
    <row r="768" spans="1:17" x14ac:dyDescent="0.25">
      <c r="A768" s="3" t="s">
        <v>1409</v>
      </c>
      <c r="B768" s="4">
        <v>45794</v>
      </c>
      <c r="C768" s="3" t="s">
        <v>2031</v>
      </c>
      <c r="D768" s="3" t="s">
        <v>2051</v>
      </c>
      <c r="E768" s="3" t="s">
        <v>2058</v>
      </c>
      <c r="F768" s="3" t="s">
        <v>2060</v>
      </c>
      <c r="G768" s="3">
        <v>10</v>
      </c>
      <c r="H768" s="3">
        <v>3200</v>
      </c>
      <c r="I768" s="3">
        <v>3840</v>
      </c>
      <c r="J768" s="3">
        <v>12.25</v>
      </c>
      <c r="K768" s="3">
        <v>33696.57</v>
      </c>
      <c r="L768" s="3">
        <v>1696.57</v>
      </c>
      <c r="M768" s="3">
        <f t="shared" si="56"/>
        <v>470400</v>
      </c>
      <c r="N768" s="3">
        <f t="shared" si="57"/>
        <v>32000</v>
      </c>
      <c r="O768" s="3">
        <f t="shared" si="58"/>
        <v>5.0348447928082889</v>
      </c>
      <c r="P768" s="3" t="str">
        <f t="shared" si="59"/>
        <v>May</v>
      </c>
      <c r="Q768" s="3" t="str">
        <f t="shared" si="55"/>
        <v>low profit</v>
      </c>
    </row>
    <row r="769" spans="1:17" x14ac:dyDescent="0.25">
      <c r="A769" s="3" t="s">
        <v>1463</v>
      </c>
      <c r="B769" s="4">
        <v>45794</v>
      </c>
      <c r="C769" s="3" t="s">
        <v>2014</v>
      </c>
      <c r="D769" s="3" t="s">
        <v>2034</v>
      </c>
      <c r="E769" s="3" t="s">
        <v>2052</v>
      </c>
      <c r="F769" s="3" t="s">
        <v>2060</v>
      </c>
      <c r="G769" s="3">
        <v>7</v>
      </c>
      <c r="H769" s="3">
        <v>4500</v>
      </c>
      <c r="I769" s="3">
        <v>5220</v>
      </c>
      <c r="J769" s="3">
        <v>20.329999999999998</v>
      </c>
      <c r="K769" s="3">
        <v>29112.95</v>
      </c>
      <c r="L769" s="3">
        <v>-2387.0500000000002</v>
      </c>
      <c r="M769" s="3">
        <f t="shared" si="56"/>
        <v>742858.2</v>
      </c>
      <c r="N769" s="3">
        <f t="shared" si="57"/>
        <v>31500</v>
      </c>
      <c r="O769" s="3">
        <f t="shared" si="58"/>
        <v>-8.1992721452137278</v>
      </c>
      <c r="P769" s="3" t="str">
        <f t="shared" si="59"/>
        <v>May</v>
      </c>
      <c r="Q769" s="3" t="str">
        <f t="shared" si="55"/>
        <v>loss</v>
      </c>
    </row>
    <row r="770" spans="1:17" x14ac:dyDescent="0.25">
      <c r="A770" s="3" t="s">
        <v>1703</v>
      </c>
      <c r="B770" s="4">
        <v>45794</v>
      </c>
      <c r="C770" s="3" t="s">
        <v>2031</v>
      </c>
      <c r="D770" s="3" t="s">
        <v>2051</v>
      </c>
      <c r="E770" s="3" t="s">
        <v>2058</v>
      </c>
      <c r="F770" s="3" t="s">
        <v>2061</v>
      </c>
      <c r="G770" s="3">
        <v>7</v>
      </c>
      <c r="H770" s="3">
        <v>3200</v>
      </c>
      <c r="I770" s="3">
        <v>3840</v>
      </c>
      <c r="J770" s="3">
        <v>19.39</v>
      </c>
      <c r="K770" s="3">
        <v>21667.77</v>
      </c>
      <c r="L770" s="3">
        <v>-732.23</v>
      </c>
      <c r="M770" s="3">
        <f t="shared" si="56"/>
        <v>521203.20000000001</v>
      </c>
      <c r="N770" s="3">
        <f t="shared" si="57"/>
        <v>22400</v>
      </c>
      <c r="O770" s="3">
        <f t="shared" si="58"/>
        <v>-3.3793509899726648</v>
      </c>
      <c r="P770" s="3" t="str">
        <f t="shared" si="59"/>
        <v>May</v>
      </c>
      <c r="Q770" s="3" t="str">
        <f t="shared" ref="Q770:Q833" si="60">IF(L770&lt;0,"loss",IF(O770&lt;10,"low profit","good profit"))</f>
        <v>loss</v>
      </c>
    </row>
    <row r="771" spans="1:17" x14ac:dyDescent="0.25">
      <c r="A771" s="3" t="s">
        <v>190</v>
      </c>
      <c r="B771" s="4">
        <v>45795</v>
      </c>
      <c r="C771" s="3" t="s">
        <v>2020</v>
      </c>
      <c r="D771" s="3" t="s">
        <v>2040</v>
      </c>
      <c r="E771" s="3" t="s">
        <v>2053</v>
      </c>
      <c r="F771" s="3" t="s">
        <v>2059</v>
      </c>
      <c r="G771" s="3">
        <v>7</v>
      </c>
      <c r="H771" s="3">
        <v>350</v>
      </c>
      <c r="I771" s="3">
        <v>455</v>
      </c>
      <c r="J771" s="3">
        <v>3.51</v>
      </c>
      <c r="K771" s="3">
        <v>3073.3</v>
      </c>
      <c r="L771" s="3">
        <v>623.29999999999995</v>
      </c>
      <c r="M771" s="3">
        <f t="shared" ref="M771:M834" si="61">G771*I771*J771</f>
        <v>11179.349999999999</v>
      </c>
      <c r="N771" s="3">
        <f t="shared" ref="N771:N834" si="62">G771*H771</f>
        <v>2450</v>
      </c>
      <c r="O771" s="3">
        <f t="shared" ref="O771:O834" si="63">IFERROR(L771/K771*100,0)</f>
        <v>20.281131031789933</v>
      </c>
      <c r="P771" s="3" t="str">
        <f t="shared" ref="P771:P834" si="64">TEXT(B771,"mmm")</f>
        <v>May</v>
      </c>
      <c r="Q771" s="3" t="str">
        <f t="shared" si="60"/>
        <v>good profit</v>
      </c>
    </row>
    <row r="772" spans="1:17" x14ac:dyDescent="0.25">
      <c r="A772" s="3" t="s">
        <v>276</v>
      </c>
      <c r="B772" s="4">
        <v>45795</v>
      </c>
      <c r="C772" s="3" t="s">
        <v>2024</v>
      </c>
      <c r="D772" s="3" t="s">
        <v>2044</v>
      </c>
      <c r="E772" s="3" t="s">
        <v>2055</v>
      </c>
      <c r="F772" s="3" t="s">
        <v>2061</v>
      </c>
      <c r="G772" s="3">
        <v>10</v>
      </c>
      <c r="H772" s="3">
        <v>180</v>
      </c>
      <c r="I772" s="3">
        <v>243</v>
      </c>
      <c r="J772" s="3">
        <v>7.64</v>
      </c>
      <c r="K772" s="3">
        <v>2244.31</v>
      </c>
      <c r="L772" s="3">
        <v>444.31</v>
      </c>
      <c r="M772" s="3">
        <f t="shared" si="61"/>
        <v>18565.2</v>
      </c>
      <c r="N772" s="3">
        <f t="shared" si="62"/>
        <v>1800</v>
      </c>
      <c r="O772" s="3">
        <f t="shared" si="63"/>
        <v>19.797175969451636</v>
      </c>
      <c r="P772" s="3" t="str">
        <f t="shared" si="64"/>
        <v>May</v>
      </c>
      <c r="Q772" s="3" t="str">
        <f t="shared" si="60"/>
        <v>good profit</v>
      </c>
    </row>
    <row r="773" spans="1:17" x14ac:dyDescent="0.25">
      <c r="A773" s="3" t="s">
        <v>498</v>
      </c>
      <c r="B773" s="4">
        <v>45795</v>
      </c>
      <c r="C773" s="3" t="s">
        <v>2021</v>
      </c>
      <c r="D773" s="3" t="s">
        <v>2041</v>
      </c>
      <c r="E773" s="3" t="s">
        <v>2056</v>
      </c>
      <c r="F773" s="3" t="s">
        <v>2059</v>
      </c>
      <c r="G773" s="3">
        <v>6</v>
      </c>
      <c r="H773" s="3">
        <v>300</v>
      </c>
      <c r="I773" s="3">
        <v>405</v>
      </c>
      <c r="J773" s="3">
        <v>7.29</v>
      </c>
      <c r="K773" s="3">
        <v>2252.85</v>
      </c>
      <c r="L773" s="3">
        <v>452.85</v>
      </c>
      <c r="M773" s="3">
        <f t="shared" si="61"/>
        <v>17714.7</v>
      </c>
      <c r="N773" s="3">
        <f t="shared" si="62"/>
        <v>1800</v>
      </c>
      <c r="O773" s="3">
        <f t="shared" si="63"/>
        <v>20.101205140155802</v>
      </c>
      <c r="P773" s="3" t="str">
        <f t="shared" si="64"/>
        <v>May</v>
      </c>
      <c r="Q773" s="3" t="str">
        <f t="shared" si="60"/>
        <v>good profit</v>
      </c>
    </row>
    <row r="774" spans="1:17" x14ac:dyDescent="0.25">
      <c r="A774" s="3" t="s">
        <v>634</v>
      </c>
      <c r="B774" s="4">
        <v>45795</v>
      </c>
      <c r="C774" s="3" t="s">
        <v>2022</v>
      </c>
      <c r="D774" s="3" t="s">
        <v>2042</v>
      </c>
      <c r="E774" s="3" t="s">
        <v>2053</v>
      </c>
      <c r="F774" s="3" t="s">
        <v>2060</v>
      </c>
      <c r="G774" s="3">
        <v>7</v>
      </c>
      <c r="H774" s="3">
        <v>8500</v>
      </c>
      <c r="I774" s="3">
        <v>9520</v>
      </c>
      <c r="J774" s="3">
        <v>4</v>
      </c>
      <c r="K774" s="3">
        <v>63974.400000000001</v>
      </c>
      <c r="L774" s="3">
        <v>4474.3999999999996</v>
      </c>
      <c r="M774" s="3">
        <f t="shared" si="61"/>
        <v>266560</v>
      </c>
      <c r="N774" s="3">
        <f t="shared" si="62"/>
        <v>59500</v>
      </c>
      <c r="O774" s="3">
        <f t="shared" si="63"/>
        <v>6.9940476190476177</v>
      </c>
      <c r="P774" s="3" t="str">
        <f t="shared" si="64"/>
        <v>May</v>
      </c>
      <c r="Q774" s="3" t="str">
        <f t="shared" si="60"/>
        <v>low profit</v>
      </c>
    </row>
    <row r="775" spans="1:17" x14ac:dyDescent="0.25">
      <c r="A775" s="3" t="s">
        <v>1495</v>
      </c>
      <c r="B775" s="4">
        <v>45795</v>
      </c>
      <c r="C775" s="3" t="s">
        <v>2024</v>
      </c>
      <c r="D775" s="3" t="s">
        <v>2044</v>
      </c>
      <c r="E775" s="3" t="s">
        <v>2055</v>
      </c>
      <c r="F775" s="3" t="s">
        <v>2060</v>
      </c>
      <c r="G775" s="3">
        <v>10</v>
      </c>
      <c r="H775" s="3">
        <v>180</v>
      </c>
      <c r="I775" s="3">
        <v>243</v>
      </c>
      <c r="J775" s="3">
        <v>14.02</v>
      </c>
      <c r="K775" s="3">
        <v>2089.2399999999998</v>
      </c>
      <c r="L775" s="3">
        <v>289.24</v>
      </c>
      <c r="M775" s="3">
        <f t="shared" si="61"/>
        <v>34068.6</v>
      </c>
      <c r="N775" s="3">
        <f t="shared" si="62"/>
        <v>1800</v>
      </c>
      <c r="O775" s="3">
        <f t="shared" si="63"/>
        <v>13.844268729298696</v>
      </c>
      <c r="P775" s="3" t="str">
        <f t="shared" si="64"/>
        <v>May</v>
      </c>
      <c r="Q775" s="3" t="str">
        <f t="shared" si="60"/>
        <v>good profit</v>
      </c>
    </row>
    <row r="776" spans="1:17" x14ac:dyDescent="0.25">
      <c r="A776" s="3" t="s">
        <v>1509</v>
      </c>
      <c r="B776" s="4">
        <v>45795</v>
      </c>
      <c r="C776" s="3" t="s">
        <v>2019</v>
      </c>
      <c r="D776" s="3" t="s">
        <v>2039</v>
      </c>
      <c r="E776" s="3" t="s">
        <v>2053</v>
      </c>
      <c r="F776" s="3" t="s">
        <v>2061</v>
      </c>
      <c r="G776" s="3">
        <v>6</v>
      </c>
      <c r="H776" s="3">
        <v>900</v>
      </c>
      <c r="I776" s="3">
        <v>1152</v>
      </c>
      <c r="J776" s="3">
        <v>10.28</v>
      </c>
      <c r="K776" s="3">
        <v>6201.52</v>
      </c>
      <c r="L776" s="3">
        <v>801.52</v>
      </c>
      <c r="M776" s="3">
        <f t="shared" si="61"/>
        <v>71055.360000000001</v>
      </c>
      <c r="N776" s="3">
        <f t="shared" si="62"/>
        <v>5400</v>
      </c>
      <c r="O776" s="3">
        <f t="shared" si="63"/>
        <v>12.924573330409316</v>
      </c>
      <c r="P776" s="3" t="str">
        <f t="shared" si="64"/>
        <v>May</v>
      </c>
      <c r="Q776" s="3" t="str">
        <f t="shared" si="60"/>
        <v>good profit</v>
      </c>
    </row>
    <row r="777" spans="1:17" x14ac:dyDescent="0.25">
      <c r="A777" s="3" t="s">
        <v>1834</v>
      </c>
      <c r="B777" s="4">
        <v>45795</v>
      </c>
      <c r="C777" s="3" t="s">
        <v>2014</v>
      </c>
      <c r="D777" s="3" t="s">
        <v>2034</v>
      </c>
      <c r="E777" s="3" t="s">
        <v>2052</v>
      </c>
      <c r="F777" s="3" t="s">
        <v>2059</v>
      </c>
      <c r="G777" s="3">
        <v>4</v>
      </c>
      <c r="H777" s="3">
        <v>4500</v>
      </c>
      <c r="I777" s="3">
        <v>5220</v>
      </c>
      <c r="J777" s="3">
        <v>7.83</v>
      </c>
      <c r="K777" s="3">
        <v>19245.48</v>
      </c>
      <c r="L777" s="3">
        <v>1245.48</v>
      </c>
      <c r="M777" s="3">
        <f t="shared" si="61"/>
        <v>163490.4</v>
      </c>
      <c r="N777" s="3">
        <f t="shared" si="62"/>
        <v>18000</v>
      </c>
      <c r="O777" s="3">
        <f t="shared" si="63"/>
        <v>6.4715455265340225</v>
      </c>
      <c r="P777" s="3" t="str">
        <f t="shared" si="64"/>
        <v>May</v>
      </c>
      <c r="Q777" s="3" t="str">
        <f t="shared" si="60"/>
        <v>low profit</v>
      </c>
    </row>
    <row r="778" spans="1:17" x14ac:dyDescent="0.25">
      <c r="A778" s="3" t="s">
        <v>266</v>
      </c>
      <c r="B778" s="4">
        <v>45796</v>
      </c>
      <c r="C778" s="3" t="s">
        <v>2018</v>
      </c>
      <c r="D778" s="3" t="s">
        <v>2038</v>
      </c>
      <c r="E778" s="3" t="s">
        <v>2053</v>
      </c>
      <c r="F778" s="3" t="s">
        <v>2061</v>
      </c>
      <c r="G778" s="3">
        <v>6</v>
      </c>
      <c r="H778" s="3">
        <v>500</v>
      </c>
      <c r="I778" s="3">
        <v>610</v>
      </c>
      <c r="J778" s="3">
        <v>24.79</v>
      </c>
      <c r="K778" s="3">
        <v>2752.82</v>
      </c>
      <c r="L778" s="3">
        <v>-247.18</v>
      </c>
      <c r="M778" s="3">
        <f t="shared" si="61"/>
        <v>90731.4</v>
      </c>
      <c r="N778" s="3">
        <f t="shared" si="62"/>
        <v>3000</v>
      </c>
      <c r="O778" s="3">
        <f t="shared" si="63"/>
        <v>-8.9791559201110136</v>
      </c>
      <c r="P778" s="3" t="str">
        <f t="shared" si="64"/>
        <v>May</v>
      </c>
      <c r="Q778" s="3" t="str">
        <f t="shared" si="60"/>
        <v>loss</v>
      </c>
    </row>
    <row r="779" spans="1:17" x14ac:dyDescent="0.25">
      <c r="A779" s="3" t="s">
        <v>766</v>
      </c>
      <c r="B779" s="4">
        <v>45796</v>
      </c>
      <c r="C779" s="3" t="s">
        <v>2012</v>
      </c>
      <c r="D779" s="3" t="s">
        <v>2032</v>
      </c>
      <c r="E779" s="3" t="s">
        <v>2052</v>
      </c>
      <c r="F779" s="3" t="s">
        <v>2059</v>
      </c>
      <c r="G779" s="3">
        <v>9</v>
      </c>
      <c r="H779" s="3">
        <v>6500</v>
      </c>
      <c r="I779" s="3">
        <v>8125</v>
      </c>
      <c r="J779" s="3">
        <v>31.6</v>
      </c>
      <c r="K779" s="3">
        <v>50016.72</v>
      </c>
      <c r="L779" s="3">
        <v>-8483.2800000000007</v>
      </c>
      <c r="M779" s="3">
        <f t="shared" si="61"/>
        <v>2310750</v>
      </c>
      <c r="N779" s="3">
        <f t="shared" si="62"/>
        <v>58500</v>
      </c>
      <c r="O779" s="3">
        <f t="shared" si="63"/>
        <v>-16.960888278959516</v>
      </c>
      <c r="P779" s="3" t="str">
        <f t="shared" si="64"/>
        <v>May</v>
      </c>
      <c r="Q779" s="3" t="str">
        <f t="shared" si="60"/>
        <v>loss</v>
      </c>
    </row>
    <row r="780" spans="1:17" x14ac:dyDescent="0.25">
      <c r="A780" s="3" t="s">
        <v>1163</v>
      </c>
      <c r="B780" s="4">
        <v>45796</v>
      </c>
      <c r="C780" s="3" t="s">
        <v>2030</v>
      </c>
      <c r="D780" s="3" t="s">
        <v>2050</v>
      </c>
      <c r="E780" s="3" t="s">
        <v>2058</v>
      </c>
      <c r="F780" s="3" t="s">
        <v>2060</v>
      </c>
      <c r="G780" s="3">
        <v>3</v>
      </c>
      <c r="H780" s="3">
        <v>1800</v>
      </c>
      <c r="I780" s="3">
        <v>2124</v>
      </c>
      <c r="J780" s="3">
        <v>30.47</v>
      </c>
      <c r="K780" s="3">
        <v>4430.3500000000004</v>
      </c>
      <c r="L780" s="3">
        <v>-969.65</v>
      </c>
      <c r="M780" s="3">
        <f t="shared" si="61"/>
        <v>194154.84</v>
      </c>
      <c r="N780" s="3">
        <f t="shared" si="62"/>
        <v>5400</v>
      </c>
      <c r="O780" s="3">
        <f t="shared" si="63"/>
        <v>-21.886532666719333</v>
      </c>
      <c r="P780" s="3" t="str">
        <f t="shared" si="64"/>
        <v>May</v>
      </c>
      <c r="Q780" s="3" t="str">
        <f t="shared" si="60"/>
        <v>loss</v>
      </c>
    </row>
    <row r="781" spans="1:17" x14ac:dyDescent="0.25">
      <c r="A781" s="3" t="s">
        <v>1171</v>
      </c>
      <c r="B781" s="4">
        <v>45796</v>
      </c>
      <c r="C781" s="3" t="s">
        <v>2016</v>
      </c>
      <c r="D781" s="3" t="s">
        <v>2036</v>
      </c>
      <c r="E781" s="3" t="s">
        <v>2052</v>
      </c>
      <c r="F781" s="3" t="s">
        <v>2059</v>
      </c>
      <c r="G781" s="3">
        <v>6</v>
      </c>
      <c r="H781" s="3">
        <v>900</v>
      </c>
      <c r="I781" s="3">
        <v>1170</v>
      </c>
      <c r="J781" s="3">
        <v>10.42</v>
      </c>
      <c r="K781" s="3">
        <v>6288.47</v>
      </c>
      <c r="L781" s="3">
        <v>888.47</v>
      </c>
      <c r="M781" s="3">
        <f t="shared" si="61"/>
        <v>73148.399999999994</v>
      </c>
      <c r="N781" s="3">
        <f t="shared" si="62"/>
        <v>5400</v>
      </c>
      <c r="O781" s="3">
        <f t="shared" si="63"/>
        <v>14.12855591264648</v>
      </c>
      <c r="P781" s="3" t="str">
        <f t="shared" si="64"/>
        <v>May</v>
      </c>
      <c r="Q781" s="3" t="str">
        <f t="shared" si="60"/>
        <v>good profit</v>
      </c>
    </row>
    <row r="782" spans="1:17" x14ac:dyDescent="0.25">
      <c r="A782" s="3" t="s">
        <v>1404</v>
      </c>
      <c r="B782" s="4">
        <v>45796</v>
      </c>
      <c r="C782" s="3" t="s">
        <v>2026</v>
      </c>
      <c r="D782" s="3" t="s">
        <v>2046</v>
      </c>
      <c r="E782" s="3" t="s">
        <v>2052</v>
      </c>
      <c r="F782" s="3" t="s">
        <v>2061</v>
      </c>
      <c r="G782" s="3">
        <v>6</v>
      </c>
      <c r="H782" s="3">
        <v>3000</v>
      </c>
      <c r="I782" s="3">
        <v>3600</v>
      </c>
      <c r="J782" s="3">
        <v>10.18</v>
      </c>
      <c r="K782" s="3">
        <v>19401.7</v>
      </c>
      <c r="L782" s="3">
        <v>1401.7</v>
      </c>
      <c r="M782" s="3">
        <f t="shared" si="61"/>
        <v>219888</v>
      </c>
      <c r="N782" s="3">
        <f t="shared" si="62"/>
        <v>18000</v>
      </c>
      <c r="O782" s="3">
        <f t="shared" si="63"/>
        <v>7.224624646293881</v>
      </c>
      <c r="P782" s="3" t="str">
        <f t="shared" si="64"/>
        <v>May</v>
      </c>
      <c r="Q782" s="3" t="str">
        <f t="shared" si="60"/>
        <v>low profit</v>
      </c>
    </row>
    <row r="783" spans="1:17" x14ac:dyDescent="0.25">
      <c r="A783" s="3" t="s">
        <v>1666</v>
      </c>
      <c r="B783" s="4">
        <v>45796</v>
      </c>
      <c r="C783" s="3" t="s">
        <v>2021</v>
      </c>
      <c r="D783" s="3" t="s">
        <v>2041</v>
      </c>
      <c r="E783" s="3" t="s">
        <v>2056</v>
      </c>
      <c r="F783" s="3" t="s">
        <v>2062</v>
      </c>
      <c r="G783" s="3">
        <v>8</v>
      </c>
      <c r="H783" s="3">
        <v>300</v>
      </c>
      <c r="I783" s="3">
        <v>405</v>
      </c>
      <c r="J783" s="3">
        <v>18.75</v>
      </c>
      <c r="K783" s="3">
        <v>2632.61</v>
      </c>
      <c r="L783" s="3">
        <v>232.61</v>
      </c>
      <c r="M783" s="3">
        <f t="shared" si="61"/>
        <v>60750</v>
      </c>
      <c r="N783" s="3">
        <f t="shared" si="62"/>
        <v>2400</v>
      </c>
      <c r="O783" s="3">
        <f t="shared" si="63"/>
        <v>8.8357181656227102</v>
      </c>
      <c r="P783" s="3" t="str">
        <f t="shared" si="64"/>
        <v>May</v>
      </c>
      <c r="Q783" s="3" t="str">
        <f t="shared" si="60"/>
        <v>low profit</v>
      </c>
    </row>
    <row r="784" spans="1:17" x14ac:dyDescent="0.25">
      <c r="A784" s="3" t="s">
        <v>1776</v>
      </c>
      <c r="B784" s="4">
        <v>45796</v>
      </c>
      <c r="C784" s="3" t="s">
        <v>2014</v>
      </c>
      <c r="D784" s="3" t="s">
        <v>2034</v>
      </c>
      <c r="E784" s="3" t="s">
        <v>2052</v>
      </c>
      <c r="F784" s="3" t="s">
        <v>2060</v>
      </c>
      <c r="G784" s="3">
        <v>2</v>
      </c>
      <c r="H784" s="3">
        <v>4500</v>
      </c>
      <c r="I784" s="3">
        <v>5220</v>
      </c>
      <c r="J784" s="3">
        <v>5.35</v>
      </c>
      <c r="K784" s="3">
        <v>9881.2099999999991</v>
      </c>
      <c r="L784" s="3">
        <v>881.21</v>
      </c>
      <c r="M784" s="3">
        <f t="shared" si="61"/>
        <v>55853.999999999993</v>
      </c>
      <c r="N784" s="3">
        <f t="shared" si="62"/>
        <v>9000</v>
      </c>
      <c r="O784" s="3">
        <f t="shared" si="63"/>
        <v>8.9180373658691607</v>
      </c>
      <c r="P784" s="3" t="str">
        <f t="shared" si="64"/>
        <v>May</v>
      </c>
      <c r="Q784" s="3" t="str">
        <f t="shared" si="60"/>
        <v>low profit</v>
      </c>
    </row>
    <row r="785" spans="1:17" x14ac:dyDescent="0.25">
      <c r="A785" s="3" t="s">
        <v>1876</v>
      </c>
      <c r="B785" s="4">
        <v>45796</v>
      </c>
      <c r="C785" s="3" t="s">
        <v>2014</v>
      </c>
      <c r="D785" s="3" t="s">
        <v>2034</v>
      </c>
      <c r="E785" s="3" t="s">
        <v>2052</v>
      </c>
      <c r="F785" s="3" t="s">
        <v>2060</v>
      </c>
      <c r="G785" s="3">
        <v>5</v>
      </c>
      <c r="H785" s="3">
        <v>4500</v>
      </c>
      <c r="I785" s="3">
        <v>5220</v>
      </c>
      <c r="J785" s="3">
        <v>21.21</v>
      </c>
      <c r="K785" s="3">
        <v>20563.64</v>
      </c>
      <c r="L785" s="3">
        <v>-1936.36</v>
      </c>
      <c r="M785" s="3">
        <f t="shared" si="61"/>
        <v>553581</v>
      </c>
      <c r="N785" s="3">
        <f t="shared" si="62"/>
        <v>22500</v>
      </c>
      <c r="O785" s="3">
        <f t="shared" si="63"/>
        <v>-9.4164262747256817</v>
      </c>
      <c r="P785" s="3" t="str">
        <f t="shared" si="64"/>
        <v>May</v>
      </c>
      <c r="Q785" s="3" t="str">
        <f t="shared" si="60"/>
        <v>loss</v>
      </c>
    </row>
    <row r="786" spans="1:17" x14ac:dyDescent="0.25">
      <c r="A786" s="3" t="s">
        <v>299</v>
      </c>
      <c r="B786" s="4">
        <v>45797</v>
      </c>
      <c r="C786" s="3" t="s">
        <v>2030</v>
      </c>
      <c r="D786" s="3" t="s">
        <v>2050</v>
      </c>
      <c r="E786" s="3" t="s">
        <v>2058</v>
      </c>
      <c r="F786" s="3" t="s">
        <v>2060</v>
      </c>
      <c r="G786" s="3">
        <v>5</v>
      </c>
      <c r="H786" s="3">
        <v>1800</v>
      </c>
      <c r="I786" s="3">
        <v>2124</v>
      </c>
      <c r="J786" s="3">
        <v>16.11</v>
      </c>
      <c r="K786" s="3">
        <v>8909.42</v>
      </c>
      <c r="L786" s="3">
        <v>-90.58</v>
      </c>
      <c r="M786" s="3">
        <f t="shared" si="61"/>
        <v>171088.19999999998</v>
      </c>
      <c r="N786" s="3">
        <f t="shared" si="62"/>
        <v>9000</v>
      </c>
      <c r="O786" s="3">
        <f t="shared" si="63"/>
        <v>-1.0166767309207558</v>
      </c>
      <c r="P786" s="3" t="str">
        <f t="shared" si="64"/>
        <v>May</v>
      </c>
      <c r="Q786" s="3" t="str">
        <f t="shared" si="60"/>
        <v>loss</v>
      </c>
    </row>
    <row r="787" spans="1:17" x14ac:dyDescent="0.25">
      <c r="A787" s="3" t="s">
        <v>1199</v>
      </c>
      <c r="B787" s="4">
        <v>45797</v>
      </c>
      <c r="C787" s="3" t="s">
        <v>2023</v>
      </c>
      <c r="D787" s="3" t="s">
        <v>2043</v>
      </c>
      <c r="E787" s="3" t="s">
        <v>2053</v>
      </c>
      <c r="F787" s="3" t="s">
        <v>2062</v>
      </c>
      <c r="G787" s="3">
        <v>2</v>
      </c>
      <c r="H787" s="3">
        <v>550</v>
      </c>
      <c r="I787" s="3">
        <v>742.5</v>
      </c>
      <c r="J787" s="3">
        <v>15.56</v>
      </c>
      <c r="K787" s="3">
        <v>1253.95</v>
      </c>
      <c r="L787" s="3">
        <v>153.94999999999999</v>
      </c>
      <c r="M787" s="3">
        <f t="shared" si="61"/>
        <v>23106.600000000002</v>
      </c>
      <c r="N787" s="3">
        <f t="shared" si="62"/>
        <v>1100</v>
      </c>
      <c r="O787" s="3">
        <f t="shared" si="63"/>
        <v>12.277204035248614</v>
      </c>
      <c r="P787" s="3" t="str">
        <f t="shared" si="64"/>
        <v>May</v>
      </c>
      <c r="Q787" s="3" t="str">
        <f t="shared" si="60"/>
        <v>good profit</v>
      </c>
    </row>
    <row r="788" spans="1:17" x14ac:dyDescent="0.25">
      <c r="A788" s="3" t="s">
        <v>1442</v>
      </c>
      <c r="B788" s="4">
        <v>45797</v>
      </c>
      <c r="C788" s="3" t="s">
        <v>2022</v>
      </c>
      <c r="D788" s="3" t="s">
        <v>2042</v>
      </c>
      <c r="E788" s="3" t="s">
        <v>2053</v>
      </c>
      <c r="F788" s="3" t="s">
        <v>2061</v>
      </c>
      <c r="G788" s="3">
        <v>10</v>
      </c>
      <c r="H788" s="3">
        <v>8500</v>
      </c>
      <c r="I788" s="3">
        <v>9520</v>
      </c>
      <c r="J788" s="3">
        <v>14.56</v>
      </c>
      <c r="K788" s="3">
        <v>81340.009999999995</v>
      </c>
      <c r="L788" s="3">
        <v>-3659.99</v>
      </c>
      <c r="M788" s="3">
        <f t="shared" si="61"/>
        <v>1386112</v>
      </c>
      <c r="N788" s="3">
        <f t="shared" si="62"/>
        <v>85000</v>
      </c>
      <c r="O788" s="3">
        <f t="shared" si="63"/>
        <v>-4.4996183305116384</v>
      </c>
      <c r="P788" s="3" t="str">
        <f t="shared" si="64"/>
        <v>May</v>
      </c>
      <c r="Q788" s="3" t="str">
        <f t="shared" si="60"/>
        <v>loss</v>
      </c>
    </row>
    <row r="789" spans="1:17" x14ac:dyDescent="0.25">
      <c r="A789" s="3" t="s">
        <v>1977</v>
      </c>
      <c r="B789" s="4">
        <v>45797</v>
      </c>
      <c r="C789" s="3" t="s">
        <v>2031</v>
      </c>
      <c r="D789" s="3" t="s">
        <v>2051</v>
      </c>
      <c r="E789" s="3" t="s">
        <v>2058</v>
      </c>
      <c r="F789" s="3" t="s">
        <v>2062</v>
      </c>
      <c r="G789" s="3">
        <v>2</v>
      </c>
      <c r="H789" s="3">
        <v>3200</v>
      </c>
      <c r="I789" s="3">
        <v>3840</v>
      </c>
      <c r="J789" s="3">
        <v>10.17</v>
      </c>
      <c r="K789" s="3">
        <v>6898.64</v>
      </c>
      <c r="L789" s="3">
        <v>498.64</v>
      </c>
      <c r="M789" s="3">
        <f t="shared" si="61"/>
        <v>78105.600000000006</v>
      </c>
      <c r="N789" s="3">
        <f t="shared" si="62"/>
        <v>6400</v>
      </c>
      <c r="O789" s="3">
        <f t="shared" si="63"/>
        <v>7.2280913339440813</v>
      </c>
      <c r="P789" s="3" t="str">
        <f t="shared" si="64"/>
        <v>May</v>
      </c>
      <c r="Q789" s="3" t="str">
        <f t="shared" si="60"/>
        <v>low profit</v>
      </c>
    </row>
    <row r="790" spans="1:17" x14ac:dyDescent="0.25">
      <c r="A790" s="3" t="s">
        <v>115</v>
      </c>
      <c r="B790" s="4">
        <v>45798</v>
      </c>
      <c r="C790" s="3" t="s">
        <v>2019</v>
      </c>
      <c r="D790" s="3" t="s">
        <v>2039</v>
      </c>
      <c r="E790" s="3" t="s">
        <v>2053</v>
      </c>
      <c r="F790" s="3" t="s">
        <v>2061</v>
      </c>
      <c r="G790" s="3">
        <v>7</v>
      </c>
      <c r="H790" s="3">
        <v>900</v>
      </c>
      <c r="I790" s="3">
        <v>1152</v>
      </c>
      <c r="J790" s="3">
        <v>0.47</v>
      </c>
      <c r="K790" s="3">
        <v>8026.12</v>
      </c>
      <c r="L790" s="3">
        <v>1726.12</v>
      </c>
      <c r="M790" s="3">
        <f t="shared" si="61"/>
        <v>3790.08</v>
      </c>
      <c r="N790" s="3">
        <f t="shared" si="62"/>
        <v>6300</v>
      </c>
      <c r="O790" s="3">
        <f t="shared" si="63"/>
        <v>21.506281989304917</v>
      </c>
      <c r="P790" s="3" t="str">
        <f t="shared" si="64"/>
        <v>May</v>
      </c>
      <c r="Q790" s="3" t="str">
        <f t="shared" si="60"/>
        <v>good profit</v>
      </c>
    </row>
    <row r="791" spans="1:17" x14ac:dyDescent="0.25">
      <c r="A791" s="3" t="s">
        <v>126</v>
      </c>
      <c r="B791" s="4">
        <v>45798</v>
      </c>
      <c r="C791" s="3" t="s">
        <v>2028</v>
      </c>
      <c r="D791" s="3" t="s">
        <v>2048</v>
      </c>
      <c r="E791" s="3" t="s">
        <v>2057</v>
      </c>
      <c r="F791" s="3" t="s">
        <v>2061</v>
      </c>
      <c r="G791" s="3">
        <v>2</v>
      </c>
      <c r="H791" s="3">
        <v>80</v>
      </c>
      <c r="I791" s="3">
        <v>116</v>
      </c>
      <c r="J791" s="3">
        <v>15.58</v>
      </c>
      <c r="K791" s="3">
        <v>195.86</v>
      </c>
      <c r="L791" s="3">
        <v>35.86</v>
      </c>
      <c r="M791" s="3">
        <f t="shared" si="61"/>
        <v>3614.56</v>
      </c>
      <c r="N791" s="3">
        <f t="shared" si="62"/>
        <v>160</v>
      </c>
      <c r="O791" s="3">
        <f t="shared" si="63"/>
        <v>18.308996221791073</v>
      </c>
      <c r="P791" s="3" t="str">
        <f t="shared" si="64"/>
        <v>May</v>
      </c>
      <c r="Q791" s="3" t="str">
        <f t="shared" si="60"/>
        <v>good profit</v>
      </c>
    </row>
    <row r="792" spans="1:17" x14ac:dyDescent="0.25">
      <c r="A792" s="3" t="s">
        <v>946</v>
      </c>
      <c r="B792" s="4">
        <v>45798</v>
      </c>
      <c r="C792" s="3" t="s">
        <v>2027</v>
      </c>
      <c r="D792" s="3" t="s">
        <v>2047</v>
      </c>
      <c r="E792" s="3" t="s">
        <v>2053</v>
      </c>
      <c r="F792" s="3" t="s">
        <v>2059</v>
      </c>
      <c r="G792" s="3">
        <v>9</v>
      </c>
      <c r="H792" s="3">
        <v>1100</v>
      </c>
      <c r="I792" s="3">
        <v>1298</v>
      </c>
      <c r="J792" s="3">
        <v>9.7100000000000009</v>
      </c>
      <c r="K792" s="3">
        <v>10547.2</v>
      </c>
      <c r="L792" s="3">
        <v>647.20000000000005</v>
      </c>
      <c r="M792" s="3">
        <f t="shared" si="61"/>
        <v>113432.22000000002</v>
      </c>
      <c r="N792" s="3">
        <f t="shared" si="62"/>
        <v>9900</v>
      </c>
      <c r="O792" s="3">
        <f t="shared" si="63"/>
        <v>6.1362257281553392</v>
      </c>
      <c r="P792" s="3" t="str">
        <f t="shared" si="64"/>
        <v>May</v>
      </c>
      <c r="Q792" s="3" t="str">
        <f t="shared" si="60"/>
        <v>low profit</v>
      </c>
    </row>
    <row r="793" spans="1:17" x14ac:dyDescent="0.25">
      <c r="A793" s="3" t="s">
        <v>1291</v>
      </c>
      <c r="B793" s="4">
        <v>45798</v>
      </c>
      <c r="C793" s="3" t="s">
        <v>2021</v>
      </c>
      <c r="D793" s="3" t="s">
        <v>2041</v>
      </c>
      <c r="E793" s="3" t="s">
        <v>2056</v>
      </c>
      <c r="F793" s="3" t="s">
        <v>2060</v>
      </c>
      <c r="G793" s="3">
        <v>7</v>
      </c>
      <c r="H793" s="3">
        <v>300</v>
      </c>
      <c r="I793" s="3">
        <v>405</v>
      </c>
      <c r="J793" s="3">
        <v>8.51</v>
      </c>
      <c r="K793" s="3">
        <v>2593.71</v>
      </c>
      <c r="L793" s="3">
        <v>493.71</v>
      </c>
      <c r="M793" s="3">
        <f t="shared" si="61"/>
        <v>24125.85</v>
      </c>
      <c r="N793" s="3">
        <f t="shared" si="62"/>
        <v>2100</v>
      </c>
      <c r="O793" s="3">
        <f t="shared" si="63"/>
        <v>19.034895959841307</v>
      </c>
      <c r="P793" s="3" t="str">
        <f t="shared" si="64"/>
        <v>May</v>
      </c>
      <c r="Q793" s="3" t="str">
        <f t="shared" si="60"/>
        <v>good profit</v>
      </c>
    </row>
    <row r="794" spans="1:17" x14ac:dyDescent="0.25">
      <c r="A794" s="3" t="s">
        <v>1414</v>
      </c>
      <c r="B794" s="4">
        <v>45798</v>
      </c>
      <c r="C794" s="3" t="s">
        <v>2022</v>
      </c>
      <c r="D794" s="3" t="s">
        <v>2042</v>
      </c>
      <c r="E794" s="3" t="s">
        <v>2053</v>
      </c>
      <c r="F794" s="3" t="s">
        <v>2060</v>
      </c>
      <c r="G794" s="3">
        <v>9</v>
      </c>
      <c r="H794" s="3">
        <v>8500</v>
      </c>
      <c r="I794" s="3">
        <v>9520</v>
      </c>
      <c r="J794" s="3">
        <v>11.23</v>
      </c>
      <c r="K794" s="3">
        <v>76054.990000000005</v>
      </c>
      <c r="L794" s="3">
        <v>-445.01</v>
      </c>
      <c r="M794" s="3">
        <f t="shared" si="61"/>
        <v>962186.4</v>
      </c>
      <c r="N794" s="3">
        <f t="shared" si="62"/>
        <v>76500</v>
      </c>
      <c r="O794" s="3">
        <f t="shared" si="63"/>
        <v>-0.58511611138204078</v>
      </c>
      <c r="P794" s="3" t="str">
        <f t="shared" si="64"/>
        <v>May</v>
      </c>
      <c r="Q794" s="3" t="str">
        <f t="shared" si="60"/>
        <v>loss</v>
      </c>
    </row>
    <row r="795" spans="1:17" x14ac:dyDescent="0.25">
      <c r="A795" s="3" t="s">
        <v>1687</v>
      </c>
      <c r="B795" s="4">
        <v>45798</v>
      </c>
      <c r="C795" s="3" t="s">
        <v>2014</v>
      </c>
      <c r="D795" s="3" t="s">
        <v>2034</v>
      </c>
      <c r="E795" s="3" t="s">
        <v>2052</v>
      </c>
      <c r="F795" s="3" t="s">
        <v>2062</v>
      </c>
      <c r="G795" s="3">
        <v>10</v>
      </c>
      <c r="H795" s="3">
        <v>4500</v>
      </c>
      <c r="I795" s="3">
        <v>5220</v>
      </c>
      <c r="J795" s="3">
        <v>23.59</v>
      </c>
      <c r="K795" s="3">
        <v>39887.17</v>
      </c>
      <c r="L795" s="3">
        <v>-5112.83</v>
      </c>
      <c r="M795" s="3">
        <f t="shared" si="61"/>
        <v>1231398</v>
      </c>
      <c r="N795" s="3">
        <f t="shared" si="62"/>
        <v>45000</v>
      </c>
      <c r="O795" s="3">
        <f t="shared" si="63"/>
        <v>-12.818232027992963</v>
      </c>
      <c r="P795" s="3" t="str">
        <f t="shared" si="64"/>
        <v>May</v>
      </c>
      <c r="Q795" s="3" t="str">
        <f t="shared" si="60"/>
        <v>loss</v>
      </c>
    </row>
    <row r="796" spans="1:17" x14ac:dyDescent="0.25">
      <c r="A796" s="3" t="s">
        <v>1722</v>
      </c>
      <c r="B796" s="4">
        <v>45798</v>
      </c>
      <c r="C796" s="3" t="s">
        <v>2015</v>
      </c>
      <c r="D796" s="3" t="s">
        <v>2035</v>
      </c>
      <c r="E796" s="3" t="s">
        <v>2054</v>
      </c>
      <c r="F796" s="3" t="s">
        <v>2060</v>
      </c>
      <c r="G796" s="3">
        <v>7</v>
      </c>
      <c r="H796" s="3">
        <v>900</v>
      </c>
      <c r="I796" s="3">
        <v>1170</v>
      </c>
      <c r="J796" s="3">
        <v>6.53</v>
      </c>
      <c r="K796" s="3">
        <v>7655.41</v>
      </c>
      <c r="L796" s="3">
        <v>1355.41</v>
      </c>
      <c r="M796" s="3">
        <f t="shared" si="61"/>
        <v>53480.700000000004</v>
      </c>
      <c r="N796" s="3">
        <f t="shared" si="62"/>
        <v>6300</v>
      </c>
      <c r="O796" s="3">
        <f t="shared" si="63"/>
        <v>17.705256805318072</v>
      </c>
      <c r="P796" s="3" t="str">
        <f t="shared" si="64"/>
        <v>May</v>
      </c>
      <c r="Q796" s="3" t="str">
        <f t="shared" si="60"/>
        <v>good profit</v>
      </c>
    </row>
    <row r="797" spans="1:17" x14ac:dyDescent="0.25">
      <c r="A797" s="3" t="s">
        <v>1908</v>
      </c>
      <c r="B797" s="4">
        <v>45798</v>
      </c>
      <c r="C797" s="3" t="s">
        <v>2024</v>
      </c>
      <c r="D797" s="3" t="s">
        <v>2044</v>
      </c>
      <c r="E797" s="3" t="s">
        <v>2055</v>
      </c>
      <c r="F797" s="3" t="s">
        <v>2060</v>
      </c>
      <c r="G797" s="3">
        <v>7</v>
      </c>
      <c r="H797" s="3">
        <v>180</v>
      </c>
      <c r="I797" s="3">
        <v>243</v>
      </c>
      <c r="J797" s="3">
        <v>14.7</v>
      </c>
      <c r="K797" s="3">
        <v>1451.03</v>
      </c>
      <c r="L797" s="3">
        <v>191.03</v>
      </c>
      <c r="M797" s="3">
        <f t="shared" si="61"/>
        <v>25004.699999999997</v>
      </c>
      <c r="N797" s="3">
        <f t="shared" si="62"/>
        <v>1260</v>
      </c>
      <c r="O797" s="3">
        <f t="shared" si="63"/>
        <v>13.165130975927445</v>
      </c>
      <c r="P797" s="3" t="str">
        <f t="shared" si="64"/>
        <v>May</v>
      </c>
      <c r="Q797" s="3" t="str">
        <f t="shared" si="60"/>
        <v>good profit</v>
      </c>
    </row>
    <row r="798" spans="1:17" x14ac:dyDescent="0.25">
      <c r="A798" s="3" t="s">
        <v>1994</v>
      </c>
      <c r="B798" s="4">
        <v>45798</v>
      </c>
      <c r="C798" s="3" t="s">
        <v>2020</v>
      </c>
      <c r="D798" s="3" t="s">
        <v>2040</v>
      </c>
      <c r="E798" s="3" t="s">
        <v>2053</v>
      </c>
      <c r="F798" s="3" t="s">
        <v>2060</v>
      </c>
      <c r="G798" s="3">
        <v>6</v>
      </c>
      <c r="H798" s="3">
        <v>350</v>
      </c>
      <c r="I798" s="3">
        <v>455</v>
      </c>
      <c r="J798" s="3">
        <v>11.05</v>
      </c>
      <c r="K798" s="3">
        <v>2428.35</v>
      </c>
      <c r="L798" s="3">
        <v>328.35</v>
      </c>
      <c r="M798" s="3">
        <f t="shared" si="61"/>
        <v>30166.500000000004</v>
      </c>
      <c r="N798" s="3">
        <f t="shared" si="62"/>
        <v>2100</v>
      </c>
      <c r="O798" s="3">
        <f t="shared" si="63"/>
        <v>13.521526962752487</v>
      </c>
      <c r="P798" s="3" t="str">
        <f t="shared" si="64"/>
        <v>May</v>
      </c>
      <c r="Q798" s="3" t="str">
        <f t="shared" si="60"/>
        <v>good profit</v>
      </c>
    </row>
    <row r="799" spans="1:17" x14ac:dyDescent="0.25">
      <c r="A799" s="3" t="s">
        <v>54</v>
      </c>
      <c r="B799" s="4">
        <v>45799</v>
      </c>
      <c r="C799" s="3" t="s">
        <v>2021</v>
      </c>
      <c r="D799" s="3" t="s">
        <v>2041</v>
      </c>
      <c r="E799" s="3" t="s">
        <v>2056</v>
      </c>
      <c r="F799" s="3" t="s">
        <v>2059</v>
      </c>
      <c r="G799" s="3">
        <v>10</v>
      </c>
      <c r="H799" s="3">
        <v>300</v>
      </c>
      <c r="I799" s="3">
        <v>405</v>
      </c>
      <c r="J799" s="3">
        <v>4.1100000000000003</v>
      </c>
      <c r="K799" s="3">
        <v>3883.52</v>
      </c>
      <c r="L799" s="3">
        <v>883.52</v>
      </c>
      <c r="M799" s="3">
        <f t="shared" si="61"/>
        <v>16645.5</v>
      </c>
      <c r="N799" s="3">
        <f t="shared" si="62"/>
        <v>3000</v>
      </c>
      <c r="O799" s="3">
        <f t="shared" si="63"/>
        <v>22.750494396835862</v>
      </c>
      <c r="P799" s="3" t="str">
        <f t="shared" si="64"/>
        <v>May</v>
      </c>
      <c r="Q799" s="3" t="str">
        <f t="shared" si="60"/>
        <v>good profit</v>
      </c>
    </row>
    <row r="800" spans="1:17" x14ac:dyDescent="0.25">
      <c r="A800" s="3" t="s">
        <v>581</v>
      </c>
      <c r="B800" s="4">
        <v>45799</v>
      </c>
      <c r="C800" s="3" t="s">
        <v>2019</v>
      </c>
      <c r="D800" s="3" t="s">
        <v>2039</v>
      </c>
      <c r="E800" s="3" t="s">
        <v>2053</v>
      </c>
      <c r="F800" s="3" t="s">
        <v>2059</v>
      </c>
      <c r="G800" s="3">
        <v>1</v>
      </c>
      <c r="H800" s="3">
        <v>900</v>
      </c>
      <c r="I800" s="3">
        <v>1152</v>
      </c>
      <c r="J800" s="3">
        <v>12.49</v>
      </c>
      <c r="K800" s="3">
        <v>1008.17</v>
      </c>
      <c r="L800" s="3">
        <v>108.17</v>
      </c>
      <c r="M800" s="3">
        <f t="shared" si="61"/>
        <v>14388.48</v>
      </c>
      <c r="N800" s="3">
        <f t="shared" si="62"/>
        <v>900</v>
      </c>
      <c r="O800" s="3">
        <f t="shared" si="63"/>
        <v>10.72934128172828</v>
      </c>
      <c r="P800" s="3" t="str">
        <f t="shared" si="64"/>
        <v>May</v>
      </c>
      <c r="Q800" s="3" t="str">
        <f t="shared" si="60"/>
        <v>good profit</v>
      </c>
    </row>
    <row r="801" spans="1:17" x14ac:dyDescent="0.25">
      <c r="A801" s="3" t="s">
        <v>796</v>
      </c>
      <c r="B801" s="4">
        <v>45799</v>
      </c>
      <c r="C801" s="3" t="s">
        <v>2022</v>
      </c>
      <c r="D801" s="3" t="s">
        <v>2042</v>
      </c>
      <c r="E801" s="3" t="s">
        <v>2053</v>
      </c>
      <c r="F801" s="3" t="s">
        <v>2062</v>
      </c>
      <c r="G801" s="3">
        <v>1</v>
      </c>
      <c r="H801" s="3">
        <v>8500</v>
      </c>
      <c r="I801" s="3">
        <v>9520</v>
      </c>
      <c r="J801" s="3">
        <v>20.87</v>
      </c>
      <c r="K801" s="3">
        <v>7532.94</v>
      </c>
      <c r="L801" s="3">
        <v>-967.06</v>
      </c>
      <c r="M801" s="3">
        <f t="shared" si="61"/>
        <v>198682.40000000002</v>
      </c>
      <c r="N801" s="3">
        <f t="shared" si="62"/>
        <v>8500</v>
      </c>
      <c r="O801" s="3">
        <f t="shared" si="63"/>
        <v>-12.837749935616108</v>
      </c>
      <c r="P801" s="3" t="str">
        <f t="shared" si="64"/>
        <v>May</v>
      </c>
      <c r="Q801" s="3" t="str">
        <f t="shared" si="60"/>
        <v>loss</v>
      </c>
    </row>
    <row r="802" spans="1:17" x14ac:dyDescent="0.25">
      <c r="A802" s="3" t="s">
        <v>812</v>
      </c>
      <c r="B802" s="4">
        <v>45799</v>
      </c>
      <c r="C802" s="3" t="s">
        <v>2013</v>
      </c>
      <c r="D802" s="3" t="s">
        <v>2033</v>
      </c>
      <c r="E802" s="3" t="s">
        <v>2053</v>
      </c>
      <c r="F802" s="3" t="s">
        <v>2059</v>
      </c>
      <c r="G802" s="3">
        <v>3</v>
      </c>
      <c r="H802" s="3">
        <v>6500</v>
      </c>
      <c r="I802" s="3">
        <v>7150</v>
      </c>
      <c r="J802" s="3">
        <v>13.84</v>
      </c>
      <c r="K802" s="3">
        <v>18481.57</v>
      </c>
      <c r="L802" s="3">
        <v>-1018.43</v>
      </c>
      <c r="M802" s="3">
        <f t="shared" si="61"/>
        <v>296868</v>
      </c>
      <c r="N802" s="3">
        <f t="shared" si="62"/>
        <v>19500</v>
      </c>
      <c r="O802" s="3">
        <f t="shared" si="63"/>
        <v>-5.5105166931164389</v>
      </c>
      <c r="P802" s="3" t="str">
        <f t="shared" si="64"/>
        <v>May</v>
      </c>
      <c r="Q802" s="3" t="str">
        <f t="shared" si="60"/>
        <v>loss</v>
      </c>
    </row>
    <row r="803" spans="1:17" x14ac:dyDescent="0.25">
      <c r="A803" s="3" t="s">
        <v>851</v>
      </c>
      <c r="B803" s="4">
        <v>45799</v>
      </c>
      <c r="C803" s="3" t="s">
        <v>2025</v>
      </c>
      <c r="D803" s="3" t="s">
        <v>2045</v>
      </c>
      <c r="E803" s="3" t="s">
        <v>2057</v>
      </c>
      <c r="F803" s="3" t="s">
        <v>2062</v>
      </c>
      <c r="G803" s="3">
        <v>10</v>
      </c>
      <c r="H803" s="3">
        <v>45</v>
      </c>
      <c r="I803" s="3">
        <v>63</v>
      </c>
      <c r="J803" s="3">
        <v>5.18</v>
      </c>
      <c r="K803" s="3">
        <v>597.36</v>
      </c>
      <c r="L803" s="3">
        <v>147.36000000000001</v>
      </c>
      <c r="M803" s="3">
        <f t="shared" si="61"/>
        <v>3263.3999999999996</v>
      </c>
      <c r="N803" s="3">
        <f t="shared" si="62"/>
        <v>450</v>
      </c>
      <c r="O803" s="3">
        <f t="shared" si="63"/>
        <v>24.668541582965048</v>
      </c>
      <c r="P803" s="3" t="str">
        <f t="shared" si="64"/>
        <v>May</v>
      </c>
      <c r="Q803" s="3" t="str">
        <f t="shared" si="60"/>
        <v>good profit</v>
      </c>
    </row>
    <row r="804" spans="1:17" x14ac:dyDescent="0.25">
      <c r="A804" s="3" t="s">
        <v>940</v>
      </c>
      <c r="B804" s="4">
        <v>45799</v>
      </c>
      <c r="C804" s="3" t="s">
        <v>2014</v>
      </c>
      <c r="D804" s="3" t="s">
        <v>2034</v>
      </c>
      <c r="E804" s="3" t="s">
        <v>2052</v>
      </c>
      <c r="F804" s="3" t="s">
        <v>2062</v>
      </c>
      <c r="G804" s="3">
        <v>10</v>
      </c>
      <c r="H804" s="3">
        <v>4500</v>
      </c>
      <c r="I804" s="3">
        <v>5220</v>
      </c>
      <c r="J804" s="3">
        <v>18.440000000000001</v>
      </c>
      <c r="K804" s="3">
        <v>42572.5</v>
      </c>
      <c r="L804" s="3">
        <v>-2427.5</v>
      </c>
      <c r="M804" s="3">
        <f t="shared" si="61"/>
        <v>962568.00000000012</v>
      </c>
      <c r="N804" s="3">
        <f t="shared" si="62"/>
        <v>45000</v>
      </c>
      <c r="O804" s="3">
        <f t="shared" si="63"/>
        <v>-5.702037700393447</v>
      </c>
      <c r="P804" s="3" t="str">
        <f t="shared" si="64"/>
        <v>May</v>
      </c>
      <c r="Q804" s="3" t="str">
        <f t="shared" si="60"/>
        <v>loss</v>
      </c>
    </row>
    <row r="805" spans="1:17" x14ac:dyDescent="0.25">
      <c r="A805" s="3" t="s">
        <v>72</v>
      </c>
      <c r="B805" s="4">
        <v>45800</v>
      </c>
      <c r="C805" s="3" t="s">
        <v>2018</v>
      </c>
      <c r="D805" s="3" t="s">
        <v>2038</v>
      </c>
      <c r="E805" s="3" t="s">
        <v>2053</v>
      </c>
      <c r="F805" s="3" t="s">
        <v>2062</v>
      </c>
      <c r="G805" s="3">
        <v>6</v>
      </c>
      <c r="H805" s="3">
        <v>500</v>
      </c>
      <c r="I805" s="3">
        <v>610</v>
      </c>
      <c r="J805" s="3">
        <v>12.36</v>
      </c>
      <c r="K805" s="3">
        <v>3207.77</v>
      </c>
      <c r="L805" s="3">
        <v>207.77</v>
      </c>
      <c r="M805" s="3">
        <f t="shared" si="61"/>
        <v>45237.599999999999</v>
      </c>
      <c r="N805" s="3">
        <f t="shared" si="62"/>
        <v>3000</v>
      </c>
      <c r="O805" s="3">
        <f t="shared" si="63"/>
        <v>6.4770853271899176</v>
      </c>
      <c r="P805" s="3" t="str">
        <f t="shared" si="64"/>
        <v>May</v>
      </c>
      <c r="Q805" s="3" t="str">
        <f t="shared" si="60"/>
        <v>low profit</v>
      </c>
    </row>
    <row r="806" spans="1:17" x14ac:dyDescent="0.25">
      <c r="A806" s="3" t="s">
        <v>578</v>
      </c>
      <c r="B806" s="4">
        <v>45800</v>
      </c>
      <c r="C806" s="3" t="s">
        <v>2030</v>
      </c>
      <c r="D806" s="3" t="s">
        <v>2050</v>
      </c>
      <c r="E806" s="3" t="s">
        <v>2058</v>
      </c>
      <c r="F806" s="3" t="s">
        <v>2060</v>
      </c>
      <c r="G806" s="3">
        <v>5</v>
      </c>
      <c r="H806" s="3">
        <v>1800</v>
      </c>
      <c r="I806" s="3">
        <v>2124</v>
      </c>
      <c r="J806" s="3">
        <v>15.58</v>
      </c>
      <c r="K806" s="3">
        <v>8965.89</v>
      </c>
      <c r="L806" s="3">
        <v>-34.11</v>
      </c>
      <c r="M806" s="3">
        <f t="shared" si="61"/>
        <v>165459.6</v>
      </c>
      <c r="N806" s="3">
        <f t="shared" si="62"/>
        <v>9000</v>
      </c>
      <c r="O806" s="3">
        <f t="shared" si="63"/>
        <v>-0.38044187470513247</v>
      </c>
      <c r="P806" s="3" t="str">
        <f t="shared" si="64"/>
        <v>May</v>
      </c>
      <c r="Q806" s="3" t="str">
        <f t="shared" si="60"/>
        <v>loss</v>
      </c>
    </row>
    <row r="807" spans="1:17" x14ac:dyDescent="0.25">
      <c r="A807" s="3" t="s">
        <v>646</v>
      </c>
      <c r="B807" s="4">
        <v>45800</v>
      </c>
      <c r="C807" s="3" t="s">
        <v>2017</v>
      </c>
      <c r="D807" s="3" t="s">
        <v>2037</v>
      </c>
      <c r="E807" s="3" t="s">
        <v>2055</v>
      </c>
      <c r="F807" s="3" t="s">
        <v>2060</v>
      </c>
      <c r="G807" s="3">
        <v>3</v>
      </c>
      <c r="H807" s="3">
        <v>2500</v>
      </c>
      <c r="I807" s="3">
        <v>2875</v>
      </c>
      <c r="J807" s="3">
        <v>5.67</v>
      </c>
      <c r="K807" s="3">
        <v>8135.68</v>
      </c>
      <c r="L807" s="3">
        <v>635.67999999999995</v>
      </c>
      <c r="M807" s="3">
        <f t="shared" si="61"/>
        <v>48903.75</v>
      </c>
      <c r="N807" s="3">
        <f t="shared" si="62"/>
        <v>7500</v>
      </c>
      <c r="O807" s="3">
        <f t="shared" si="63"/>
        <v>7.8134833228445553</v>
      </c>
      <c r="P807" s="3" t="str">
        <f t="shared" si="64"/>
        <v>May</v>
      </c>
      <c r="Q807" s="3" t="str">
        <f t="shared" si="60"/>
        <v>low profit</v>
      </c>
    </row>
    <row r="808" spans="1:17" x14ac:dyDescent="0.25">
      <c r="A808" s="3" t="s">
        <v>789</v>
      </c>
      <c r="B808" s="4">
        <v>45800</v>
      </c>
      <c r="C808" s="3" t="s">
        <v>2025</v>
      </c>
      <c r="D808" s="3" t="s">
        <v>2045</v>
      </c>
      <c r="E808" s="3" t="s">
        <v>2057</v>
      </c>
      <c r="F808" s="3" t="s">
        <v>2060</v>
      </c>
      <c r="G808" s="3">
        <v>6</v>
      </c>
      <c r="H808" s="3">
        <v>45</v>
      </c>
      <c r="I808" s="3">
        <v>63</v>
      </c>
      <c r="J808" s="3">
        <v>2.3199999999999998</v>
      </c>
      <c r="K808" s="3">
        <v>369.24</v>
      </c>
      <c r="L808" s="3">
        <v>99.24</v>
      </c>
      <c r="M808" s="3">
        <f t="shared" si="61"/>
        <v>876.95999999999992</v>
      </c>
      <c r="N808" s="3">
        <f t="shared" si="62"/>
        <v>270</v>
      </c>
      <c r="O808" s="3">
        <f t="shared" si="63"/>
        <v>26.876828079298015</v>
      </c>
      <c r="P808" s="3" t="str">
        <f t="shared" si="64"/>
        <v>May</v>
      </c>
      <c r="Q808" s="3" t="str">
        <f t="shared" si="60"/>
        <v>good profit</v>
      </c>
    </row>
    <row r="809" spans="1:17" x14ac:dyDescent="0.25">
      <c r="A809" s="3" t="s">
        <v>1020</v>
      </c>
      <c r="B809" s="4">
        <v>45800</v>
      </c>
      <c r="C809" s="3" t="s">
        <v>2013</v>
      </c>
      <c r="D809" s="3" t="s">
        <v>2033</v>
      </c>
      <c r="E809" s="3" t="s">
        <v>2053</v>
      </c>
      <c r="F809" s="3" t="s">
        <v>2062</v>
      </c>
      <c r="G809" s="3">
        <v>4</v>
      </c>
      <c r="H809" s="3">
        <v>6500</v>
      </c>
      <c r="I809" s="3">
        <v>7150</v>
      </c>
      <c r="J809" s="3">
        <v>15.92</v>
      </c>
      <c r="K809" s="3">
        <v>24047.74</v>
      </c>
      <c r="L809" s="3">
        <v>-1952.26</v>
      </c>
      <c r="M809" s="3">
        <f t="shared" si="61"/>
        <v>455312</v>
      </c>
      <c r="N809" s="3">
        <f t="shared" si="62"/>
        <v>26000</v>
      </c>
      <c r="O809" s="3">
        <f t="shared" si="63"/>
        <v>-8.1182680784140206</v>
      </c>
      <c r="P809" s="3" t="str">
        <f t="shared" si="64"/>
        <v>May</v>
      </c>
      <c r="Q809" s="3" t="str">
        <f t="shared" si="60"/>
        <v>loss</v>
      </c>
    </row>
    <row r="810" spans="1:17" x14ac:dyDescent="0.25">
      <c r="A810" s="3" t="s">
        <v>1583</v>
      </c>
      <c r="B810" s="4">
        <v>45800</v>
      </c>
      <c r="C810" s="3" t="s">
        <v>2030</v>
      </c>
      <c r="D810" s="3" t="s">
        <v>2050</v>
      </c>
      <c r="E810" s="3" t="s">
        <v>2058</v>
      </c>
      <c r="F810" s="3" t="s">
        <v>2060</v>
      </c>
      <c r="G810" s="3">
        <v>2</v>
      </c>
      <c r="H810" s="3">
        <v>1800</v>
      </c>
      <c r="I810" s="3">
        <v>2124</v>
      </c>
      <c r="J810" s="3">
        <v>4.7</v>
      </c>
      <c r="K810" s="3">
        <v>4048.34</v>
      </c>
      <c r="L810" s="3">
        <v>448.34</v>
      </c>
      <c r="M810" s="3">
        <f t="shared" si="61"/>
        <v>19965.600000000002</v>
      </c>
      <c r="N810" s="3">
        <f t="shared" si="62"/>
        <v>3600</v>
      </c>
      <c r="O810" s="3">
        <f t="shared" si="63"/>
        <v>11.074662701255328</v>
      </c>
      <c r="P810" s="3" t="str">
        <f t="shared" si="64"/>
        <v>May</v>
      </c>
      <c r="Q810" s="3" t="str">
        <f t="shared" si="60"/>
        <v>good profit</v>
      </c>
    </row>
    <row r="811" spans="1:17" x14ac:dyDescent="0.25">
      <c r="A811" s="3" t="s">
        <v>31</v>
      </c>
      <c r="B811" s="4">
        <v>45801</v>
      </c>
      <c r="C811" s="3" t="s">
        <v>2024</v>
      </c>
      <c r="D811" s="3" t="s">
        <v>2044</v>
      </c>
      <c r="E811" s="3" t="s">
        <v>2055</v>
      </c>
      <c r="F811" s="3" t="s">
        <v>2061</v>
      </c>
      <c r="G811" s="3">
        <v>3</v>
      </c>
      <c r="H811" s="3">
        <v>180</v>
      </c>
      <c r="I811" s="3">
        <v>243</v>
      </c>
      <c r="J811" s="3">
        <v>14.77</v>
      </c>
      <c r="K811" s="3">
        <v>621.36</v>
      </c>
      <c r="L811" s="3">
        <v>81.36</v>
      </c>
      <c r="M811" s="3">
        <f t="shared" si="61"/>
        <v>10767.33</v>
      </c>
      <c r="N811" s="3">
        <f t="shared" si="62"/>
        <v>540</v>
      </c>
      <c r="O811" s="3">
        <f t="shared" si="63"/>
        <v>13.093858632676708</v>
      </c>
      <c r="P811" s="3" t="str">
        <f t="shared" si="64"/>
        <v>May</v>
      </c>
      <c r="Q811" s="3" t="str">
        <f t="shared" si="60"/>
        <v>good profit</v>
      </c>
    </row>
    <row r="812" spans="1:17" x14ac:dyDescent="0.25">
      <c r="A812" s="3" t="s">
        <v>381</v>
      </c>
      <c r="B812" s="4">
        <v>45801</v>
      </c>
      <c r="C812" s="3" t="s">
        <v>2020</v>
      </c>
      <c r="D812" s="3" t="s">
        <v>2040</v>
      </c>
      <c r="E812" s="3" t="s">
        <v>2053</v>
      </c>
      <c r="F812" s="3" t="s">
        <v>2061</v>
      </c>
      <c r="G812" s="3">
        <v>5</v>
      </c>
      <c r="H812" s="3">
        <v>350</v>
      </c>
      <c r="I812" s="3">
        <v>455</v>
      </c>
      <c r="J812" s="3">
        <v>10.26</v>
      </c>
      <c r="K812" s="3">
        <v>2041.65</v>
      </c>
      <c r="L812" s="3">
        <v>291.64999999999998</v>
      </c>
      <c r="M812" s="3">
        <f t="shared" si="61"/>
        <v>23341.5</v>
      </c>
      <c r="N812" s="3">
        <f t="shared" si="62"/>
        <v>1750</v>
      </c>
      <c r="O812" s="3">
        <f t="shared" si="63"/>
        <v>14.285014571547523</v>
      </c>
      <c r="P812" s="3" t="str">
        <f t="shared" si="64"/>
        <v>May</v>
      </c>
      <c r="Q812" s="3" t="str">
        <f t="shared" si="60"/>
        <v>good profit</v>
      </c>
    </row>
    <row r="813" spans="1:17" x14ac:dyDescent="0.25">
      <c r="A813" s="3" t="s">
        <v>626</v>
      </c>
      <c r="B813" s="4">
        <v>45801</v>
      </c>
      <c r="C813" s="3" t="s">
        <v>2028</v>
      </c>
      <c r="D813" s="3" t="s">
        <v>2048</v>
      </c>
      <c r="E813" s="3" t="s">
        <v>2057</v>
      </c>
      <c r="F813" s="3" t="s">
        <v>2062</v>
      </c>
      <c r="G813" s="3">
        <v>6</v>
      </c>
      <c r="H813" s="3">
        <v>80</v>
      </c>
      <c r="I813" s="3">
        <v>116</v>
      </c>
      <c r="J813" s="3">
        <v>13.78</v>
      </c>
      <c r="K813" s="3">
        <v>600.11</v>
      </c>
      <c r="L813" s="3">
        <v>120.11</v>
      </c>
      <c r="M813" s="3">
        <f t="shared" si="61"/>
        <v>9590.8799999999992</v>
      </c>
      <c r="N813" s="3">
        <f t="shared" si="62"/>
        <v>480</v>
      </c>
      <c r="O813" s="3">
        <f t="shared" si="63"/>
        <v>20.014663978270651</v>
      </c>
      <c r="P813" s="3" t="str">
        <f t="shared" si="64"/>
        <v>May</v>
      </c>
      <c r="Q813" s="3" t="str">
        <f t="shared" si="60"/>
        <v>good profit</v>
      </c>
    </row>
    <row r="814" spans="1:17" x14ac:dyDescent="0.25">
      <c r="A814" s="3" t="s">
        <v>1326</v>
      </c>
      <c r="B814" s="4">
        <v>45801</v>
      </c>
      <c r="C814" s="3" t="s">
        <v>2012</v>
      </c>
      <c r="D814" s="3" t="s">
        <v>2032</v>
      </c>
      <c r="E814" s="3" t="s">
        <v>2052</v>
      </c>
      <c r="F814" s="3" t="s">
        <v>2062</v>
      </c>
      <c r="G814" s="3">
        <v>3</v>
      </c>
      <c r="H814" s="3">
        <v>6500</v>
      </c>
      <c r="I814" s="3">
        <v>8125</v>
      </c>
      <c r="J814" s="3">
        <v>4.46</v>
      </c>
      <c r="K814" s="3">
        <v>23288.73</v>
      </c>
      <c r="L814" s="3">
        <v>3788.73</v>
      </c>
      <c r="M814" s="3">
        <f t="shared" si="61"/>
        <v>108712.5</v>
      </c>
      <c r="N814" s="3">
        <f t="shared" si="62"/>
        <v>19500</v>
      </c>
      <c r="O814" s="3">
        <f t="shared" si="63"/>
        <v>16.268512709795683</v>
      </c>
      <c r="P814" s="3" t="str">
        <f t="shared" si="64"/>
        <v>May</v>
      </c>
      <c r="Q814" s="3" t="str">
        <f t="shared" si="60"/>
        <v>good profit</v>
      </c>
    </row>
    <row r="815" spans="1:17" x14ac:dyDescent="0.25">
      <c r="A815" s="3" t="s">
        <v>28</v>
      </c>
      <c r="B815" s="4">
        <v>45802</v>
      </c>
      <c r="C815" s="3" t="s">
        <v>2023</v>
      </c>
      <c r="D815" s="3" t="s">
        <v>2043</v>
      </c>
      <c r="E815" s="3" t="s">
        <v>2053</v>
      </c>
      <c r="F815" s="3" t="s">
        <v>2062</v>
      </c>
      <c r="G815" s="3">
        <v>10</v>
      </c>
      <c r="H815" s="3">
        <v>550</v>
      </c>
      <c r="I815" s="3">
        <v>742.5</v>
      </c>
      <c r="J815" s="3">
        <v>4.12</v>
      </c>
      <c r="K815" s="3">
        <v>7118.89</v>
      </c>
      <c r="L815" s="3">
        <v>1618.89</v>
      </c>
      <c r="M815" s="3">
        <f t="shared" si="61"/>
        <v>30591</v>
      </c>
      <c r="N815" s="3">
        <f t="shared" si="62"/>
        <v>5500</v>
      </c>
      <c r="O815" s="3">
        <f t="shared" si="63"/>
        <v>22.740764360736012</v>
      </c>
      <c r="P815" s="3" t="str">
        <f t="shared" si="64"/>
        <v>May</v>
      </c>
      <c r="Q815" s="3" t="str">
        <f t="shared" si="60"/>
        <v>good profit</v>
      </c>
    </row>
    <row r="816" spans="1:17" x14ac:dyDescent="0.25">
      <c r="A816" s="3" t="s">
        <v>1187</v>
      </c>
      <c r="B816" s="4">
        <v>45802</v>
      </c>
      <c r="C816" s="3" t="s">
        <v>2013</v>
      </c>
      <c r="D816" s="3" t="s">
        <v>2033</v>
      </c>
      <c r="E816" s="3" t="s">
        <v>2053</v>
      </c>
      <c r="F816" s="3" t="s">
        <v>2059</v>
      </c>
      <c r="G816" s="3">
        <v>4</v>
      </c>
      <c r="H816" s="3">
        <v>6500</v>
      </c>
      <c r="I816" s="3">
        <v>7150</v>
      </c>
      <c r="J816" s="3">
        <v>26.57</v>
      </c>
      <c r="K816" s="3">
        <v>21002.19</v>
      </c>
      <c r="L816" s="3">
        <v>-4997.8100000000004</v>
      </c>
      <c r="M816" s="3">
        <f t="shared" si="61"/>
        <v>759902</v>
      </c>
      <c r="N816" s="3">
        <f t="shared" si="62"/>
        <v>26000</v>
      </c>
      <c r="O816" s="3">
        <f t="shared" si="63"/>
        <v>-23.796613591249297</v>
      </c>
      <c r="P816" s="3" t="str">
        <f t="shared" si="64"/>
        <v>May</v>
      </c>
      <c r="Q816" s="3" t="str">
        <f t="shared" si="60"/>
        <v>loss</v>
      </c>
    </row>
    <row r="817" spans="1:17" x14ac:dyDescent="0.25">
      <c r="A817" s="3" t="s">
        <v>1323</v>
      </c>
      <c r="B817" s="4">
        <v>45802</v>
      </c>
      <c r="C817" s="3" t="s">
        <v>2015</v>
      </c>
      <c r="D817" s="3" t="s">
        <v>2035</v>
      </c>
      <c r="E817" s="3" t="s">
        <v>2054</v>
      </c>
      <c r="F817" s="3" t="s">
        <v>2059</v>
      </c>
      <c r="G817" s="3">
        <v>4</v>
      </c>
      <c r="H817" s="3">
        <v>900</v>
      </c>
      <c r="I817" s="3">
        <v>1170</v>
      </c>
      <c r="J817" s="3">
        <v>7.21</v>
      </c>
      <c r="K817" s="3">
        <v>4342.5</v>
      </c>
      <c r="L817" s="3">
        <v>742.5</v>
      </c>
      <c r="M817" s="3">
        <f t="shared" si="61"/>
        <v>33742.800000000003</v>
      </c>
      <c r="N817" s="3">
        <f t="shared" si="62"/>
        <v>3600</v>
      </c>
      <c r="O817" s="3">
        <f t="shared" si="63"/>
        <v>17.098445595854923</v>
      </c>
      <c r="P817" s="3" t="str">
        <f t="shared" si="64"/>
        <v>May</v>
      </c>
      <c r="Q817" s="3" t="str">
        <f t="shared" si="60"/>
        <v>good profit</v>
      </c>
    </row>
    <row r="818" spans="1:17" x14ac:dyDescent="0.25">
      <c r="A818" s="3" t="s">
        <v>130</v>
      </c>
      <c r="B818" s="4">
        <v>45803</v>
      </c>
      <c r="C818" s="3" t="s">
        <v>2031</v>
      </c>
      <c r="D818" s="3" t="s">
        <v>2051</v>
      </c>
      <c r="E818" s="3" t="s">
        <v>2058</v>
      </c>
      <c r="F818" s="3" t="s">
        <v>2062</v>
      </c>
      <c r="G818" s="3">
        <v>6</v>
      </c>
      <c r="H818" s="3">
        <v>3200</v>
      </c>
      <c r="I818" s="3">
        <v>3840</v>
      </c>
      <c r="J818" s="3">
        <v>23.05</v>
      </c>
      <c r="K818" s="3">
        <v>17729.009999999998</v>
      </c>
      <c r="L818" s="3">
        <v>-1470.99</v>
      </c>
      <c r="M818" s="3">
        <f t="shared" si="61"/>
        <v>531072</v>
      </c>
      <c r="N818" s="3">
        <f t="shared" si="62"/>
        <v>19200</v>
      </c>
      <c r="O818" s="3">
        <f t="shared" si="63"/>
        <v>-8.2970791939313031</v>
      </c>
      <c r="P818" s="3" t="str">
        <f t="shared" si="64"/>
        <v>May</v>
      </c>
      <c r="Q818" s="3" t="str">
        <f t="shared" si="60"/>
        <v>loss</v>
      </c>
    </row>
    <row r="819" spans="1:17" x14ac:dyDescent="0.25">
      <c r="A819" s="3" t="s">
        <v>472</v>
      </c>
      <c r="B819" s="4">
        <v>45803</v>
      </c>
      <c r="C819" s="3" t="s">
        <v>2021</v>
      </c>
      <c r="D819" s="3" t="s">
        <v>2041</v>
      </c>
      <c r="E819" s="3" t="s">
        <v>2056</v>
      </c>
      <c r="F819" s="3" t="s">
        <v>2060</v>
      </c>
      <c r="G819" s="3">
        <v>7</v>
      </c>
      <c r="H819" s="3">
        <v>300</v>
      </c>
      <c r="I819" s="3">
        <v>405</v>
      </c>
      <c r="J819" s="3">
        <v>22.5</v>
      </c>
      <c r="K819" s="3">
        <v>2197.09</v>
      </c>
      <c r="L819" s="3">
        <v>97.09</v>
      </c>
      <c r="M819" s="3">
        <f t="shared" si="61"/>
        <v>63787.5</v>
      </c>
      <c r="N819" s="3">
        <f t="shared" si="62"/>
        <v>2100</v>
      </c>
      <c r="O819" s="3">
        <f t="shared" si="63"/>
        <v>4.419026985694714</v>
      </c>
      <c r="P819" s="3" t="str">
        <f t="shared" si="64"/>
        <v>May</v>
      </c>
      <c r="Q819" s="3" t="str">
        <f t="shared" si="60"/>
        <v>low profit</v>
      </c>
    </row>
    <row r="820" spans="1:17" x14ac:dyDescent="0.25">
      <c r="A820" s="3" t="s">
        <v>1008</v>
      </c>
      <c r="B820" s="4">
        <v>45803</v>
      </c>
      <c r="C820" s="3" t="s">
        <v>2013</v>
      </c>
      <c r="D820" s="3" t="s">
        <v>2033</v>
      </c>
      <c r="E820" s="3" t="s">
        <v>2053</v>
      </c>
      <c r="F820" s="3" t="s">
        <v>2061</v>
      </c>
      <c r="G820" s="3">
        <v>10</v>
      </c>
      <c r="H820" s="3">
        <v>6500</v>
      </c>
      <c r="I820" s="3">
        <v>7150</v>
      </c>
      <c r="J820" s="3">
        <v>7.26</v>
      </c>
      <c r="K820" s="3">
        <v>66305.81</v>
      </c>
      <c r="L820" s="3">
        <v>1305.81</v>
      </c>
      <c r="M820" s="3">
        <f t="shared" si="61"/>
        <v>519090</v>
      </c>
      <c r="N820" s="3">
        <f t="shared" si="62"/>
        <v>65000</v>
      </c>
      <c r="O820" s="3">
        <f t="shared" si="63"/>
        <v>1.9693749310957818</v>
      </c>
      <c r="P820" s="3" t="str">
        <f t="shared" si="64"/>
        <v>May</v>
      </c>
      <c r="Q820" s="3" t="str">
        <f t="shared" si="60"/>
        <v>low profit</v>
      </c>
    </row>
    <row r="821" spans="1:17" x14ac:dyDescent="0.25">
      <c r="A821" s="3" t="s">
        <v>1062</v>
      </c>
      <c r="B821" s="4">
        <v>45803</v>
      </c>
      <c r="C821" s="3" t="s">
        <v>2025</v>
      </c>
      <c r="D821" s="3" t="s">
        <v>2045</v>
      </c>
      <c r="E821" s="3" t="s">
        <v>2057</v>
      </c>
      <c r="F821" s="3" t="s">
        <v>2059</v>
      </c>
      <c r="G821" s="3">
        <v>10</v>
      </c>
      <c r="H821" s="3">
        <v>45</v>
      </c>
      <c r="I821" s="3">
        <v>63</v>
      </c>
      <c r="J821" s="3">
        <v>10.8</v>
      </c>
      <c r="K821" s="3">
        <v>561.95000000000005</v>
      </c>
      <c r="L821" s="3">
        <v>111.95</v>
      </c>
      <c r="M821" s="3">
        <f t="shared" si="61"/>
        <v>6804</v>
      </c>
      <c r="N821" s="3">
        <f t="shared" si="62"/>
        <v>450</v>
      </c>
      <c r="O821" s="3">
        <f t="shared" si="63"/>
        <v>19.921701218969659</v>
      </c>
      <c r="P821" s="3" t="str">
        <f t="shared" si="64"/>
        <v>May</v>
      </c>
      <c r="Q821" s="3" t="str">
        <f t="shared" si="60"/>
        <v>good profit</v>
      </c>
    </row>
    <row r="822" spans="1:17" x14ac:dyDescent="0.25">
      <c r="A822" s="3" t="s">
        <v>1452</v>
      </c>
      <c r="B822" s="4">
        <v>45803</v>
      </c>
      <c r="C822" s="3" t="s">
        <v>2018</v>
      </c>
      <c r="D822" s="3" t="s">
        <v>2038</v>
      </c>
      <c r="E822" s="3" t="s">
        <v>2053</v>
      </c>
      <c r="F822" s="3" t="s">
        <v>2062</v>
      </c>
      <c r="G822" s="3">
        <v>6</v>
      </c>
      <c r="H822" s="3">
        <v>500</v>
      </c>
      <c r="I822" s="3">
        <v>610</v>
      </c>
      <c r="J822" s="3">
        <v>19.440000000000001</v>
      </c>
      <c r="K822" s="3">
        <v>2948.54</v>
      </c>
      <c r="L822" s="3">
        <v>-51.46</v>
      </c>
      <c r="M822" s="3">
        <f t="shared" si="61"/>
        <v>71150.400000000009</v>
      </c>
      <c r="N822" s="3">
        <f t="shared" si="62"/>
        <v>3000</v>
      </c>
      <c r="O822" s="3">
        <f t="shared" si="63"/>
        <v>-1.7452705406743676</v>
      </c>
      <c r="P822" s="3" t="str">
        <f t="shared" si="64"/>
        <v>May</v>
      </c>
      <c r="Q822" s="3" t="str">
        <f t="shared" si="60"/>
        <v>loss</v>
      </c>
    </row>
    <row r="823" spans="1:17" x14ac:dyDescent="0.25">
      <c r="A823" s="3" t="s">
        <v>817</v>
      </c>
      <c r="B823" s="4">
        <v>45804</v>
      </c>
      <c r="C823" s="3" t="s">
        <v>2024</v>
      </c>
      <c r="D823" s="3" t="s">
        <v>2044</v>
      </c>
      <c r="E823" s="3" t="s">
        <v>2055</v>
      </c>
      <c r="F823" s="3" t="s">
        <v>2062</v>
      </c>
      <c r="G823" s="3">
        <v>1</v>
      </c>
      <c r="H823" s="3">
        <v>180</v>
      </c>
      <c r="I823" s="3">
        <v>243</v>
      </c>
      <c r="J823" s="3">
        <v>8.02</v>
      </c>
      <c r="K823" s="3">
        <v>223.5</v>
      </c>
      <c r="L823" s="3">
        <v>43.5</v>
      </c>
      <c r="M823" s="3">
        <f t="shared" si="61"/>
        <v>1948.86</v>
      </c>
      <c r="N823" s="3">
        <f t="shared" si="62"/>
        <v>180</v>
      </c>
      <c r="O823" s="3">
        <f t="shared" si="63"/>
        <v>19.463087248322147</v>
      </c>
      <c r="P823" s="3" t="str">
        <f t="shared" si="64"/>
        <v>May</v>
      </c>
      <c r="Q823" s="3" t="str">
        <f t="shared" si="60"/>
        <v>good profit</v>
      </c>
    </row>
    <row r="824" spans="1:17" x14ac:dyDescent="0.25">
      <c r="A824" s="3" t="s">
        <v>899</v>
      </c>
      <c r="B824" s="4">
        <v>45804</v>
      </c>
      <c r="C824" s="3" t="s">
        <v>2017</v>
      </c>
      <c r="D824" s="3" t="s">
        <v>2037</v>
      </c>
      <c r="E824" s="3" t="s">
        <v>2055</v>
      </c>
      <c r="F824" s="3" t="s">
        <v>2060</v>
      </c>
      <c r="G824" s="3">
        <v>10</v>
      </c>
      <c r="H824" s="3">
        <v>2500</v>
      </c>
      <c r="I824" s="3">
        <v>2875</v>
      </c>
      <c r="J824" s="3">
        <v>4.32</v>
      </c>
      <c r="K824" s="3">
        <v>27508.51</v>
      </c>
      <c r="L824" s="3">
        <v>2508.5100000000002</v>
      </c>
      <c r="M824" s="3">
        <f t="shared" si="61"/>
        <v>124200.00000000001</v>
      </c>
      <c r="N824" s="3">
        <f t="shared" si="62"/>
        <v>25000</v>
      </c>
      <c r="O824" s="3">
        <f t="shared" si="63"/>
        <v>9.1190326193603379</v>
      </c>
      <c r="P824" s="3" t="str">
        <f t="shared" si="64"/>
        <v>May</v>
      </c>
      <c r="Q824" s="3" t="str">
        <f t="shared" si="60"/>
        <v>low profit</v>
      </c>
    </row>
    <row r="825" spans="1:17" x14ac:dyDescent="0.25">
      <c r="A825" s="3" t="s">
        <v>979</v>
      </c>
      <c r="B825" s="4">
        <v>45804</v>
      </c>
      <c r="C825" s="3" t="s">
        <v>2026</v>
      </c>
      <c r="D825" s="3" t="s">
        <v>2046</v>
      </c>
      <c r="E825" s="3" t="s">
        <v>2052</v>
      </c>
      <c r="F825" s="3" t="s">
        <v>2059</v>
      </c>
      <c r="G825" s="3">
        <v>6</v>
      </c>
      <c r="H825" s="3">
        <v>3000</v>
      </c>
      <c r="I825" s="3">
        <v>3600</v>
      </c>
      <c r="J825" s="3">
        <v>13.27</v>
      </c>
      <c r="K825" s="3">
        <v>18734.52</v>
      </c>
      <c r="L825" s="3">
        <v>734.52</v>
      </c>
      <c r="M825" s="3">
        <f t="shared" si="61"/>
        <v>286632</v>
      </c>
      <c r="N825" s="3">
        <f t="shared" si="62"/>
        <v>18000</v>
      </c>
      <c r="O825" s="3">
        <f t="shared" si="63"/>
        <v>3.9206769108576038</v>
      </c>
      <c r="P825" s="3" t="str">
        <f t="shared" si="64"/>
        <v>May</v>
      </c>
      <c r="Q825" s="3" t="str">
        <f t="shared" si="60"/>
        <v>low profit</v>
      </c>
    </row>
    <row r="826" spans="1:17" x14ac:dyDescent="0.25">
      <c r="A826" s="3" t="s">
        <v>1013</v>
      </c>
      <c r="B826" s="4">
        <v>45804</v>
      </c>
      <c r="C826" s="3" t="s">
        <v>2029</v>
      </c>
      <c r="D826" s="3" t="s">
        <v>2049</v>
      </c>
      <c r="E826" s="3" t="s">
        <v>2055</v>
      </c>
      <c r="F826" s="3" t="s">
        <v>2062</v>
      </c>
      <c r="G826" s="3">
        <v>2</v>
      </c>
      <c r="H826" s="3">
        <v>1200</v>
      </c>
      <c r="I826" s="3">
        <v>1464</v>
      </c>
      <c r="J826" s="3">
        <v>17.72</v>
      </c>
      <c r="K826" s="3">
        <v>2409.27</v>
      </c>
      <c r="L826" s="3">
        <v>9.27</v>
      </c>
      <c r="M826" s="3">
        <f t="shared" si="61"/>
        <v>51884.159999999996</v>
      </c>
      <c r="N826" s="3">
        <f t="shared" si="62"/>
        <v>2400</v>
      </c>
      <c r="O826" s="3">
        <f t="shared" si="63"/>
        <v>0.38476384963080101</v>
      </c>
      <c r="P826" s="3" t="str">
        <f t="shared" si="64"/>
        <v>May</v>
      </c>
      <c r="Q826" s="3" t="str">
        <f t="shared" si="60"/>
        <v>low profit</v>
      </c>
    </row>
    <row r="827" spans="1:17" x14ac:dyDescent="0.25">
      <c r="A827" s="3" t="s">
        <v>1190</v>
      </c>
      <c r="B827" s="4">
        <v>45804</v>
      </c>
      <c r="C827" s="3" t="s">
        <v>2031</v>
      </c>
      <c r="D827" s="3" t="s">
        <v>2051</v>
      </c>
      <c r="E827" s="3" t="s">
        <v>2058</v>
      </c>
      <c r="F827" s="3" t="s">
        <v>2059</v>
      </c>
      <c r="G827" s="3">
        <v>3</v>
      </c>
      <c r="H827" s="3">
        <v>3200</v>
      </c>
      <c r="I827" s="3">
        <v>3840</v>
      </c>
      <c r="J827" s="3">
        <v>4.24</v>
      </c>
      <c r="K827" s="3">
        <v>11031.46</v>
      </c>
      <c r="L827" s="3">
        <v>1431.46</v>
      </c>
      <c r="M827" s="3">
        <f t="shared" si="61"/>
        <v>48844.800000000003</v>
      </c>
      <c r="N827" s="3">
        <f t="shared" si="62"/>
        <v>9600</v>
      </c>
      <c r="O827" s="3">
        <f t="shared" si="63"/>
        <v>12.976160907078485</v>
      </c>
      <c r="P827" s="3" t="str">
        <f t="shared" si="64"/>
        <v>May</v>
      </c>
      <c r="Q827" s="3" t="str">
        <f t="shared" si="60"/>
        <v>good profit</v>
      </c>
    </row>
    <row r="828" spans="1:17" x14ac:dyDescent="0.25">
      <c r="A828" s="3" t="s">
        <v>1210</v>
      </c>
      <c r="B828" s="4">
        <v>45804</v>
      </c>
      <c r="C828" s="3" t="s">
        <v>2017</v>
      </c>
      <c r="D828" s="3" t="s">
        <v>2037</v>
      </c>
      <c r="E828" s="3" t="s">
        <v>2055</v>
      </c>
      <c r="F828" s="3" t="s">
        <v>2059</v>
      </c>
      <c r="G828" s="3">
        <v>9</v>
      </c>
      <c r="H828" s="3">
        <v>2500</v>
      </c>
      <c r="I828" s="3">
        <v>2875</v>
      </c>
      <c r="J828" s="3">
        <v>5.76</v>
      </c>
      <c r="K828" s="3">
        <v>24384.799999999999</v>
      </c>
      <c r="L828" s="3">
        <v>1884.8</v>
      </c>
      <c r="M828" s="3">
        <f t="shared" si="61"/>
        <v>149040</v>
      </c>
      <c r="N828" s="3">
        <f t="shared" si="62"/>
        <v>22500</v>
      </c>
      <c r="O828" s="3">
        <f t="shared" si="63"/>
        <v>7.7294052032413632</v>
      </c>
      <c r="P828" s="3" t="str">
        <f t="shared" si="64"/>
        <v>May</v>
      </c>
      <c r="Q828" s="3" t="str">
        <f t="shared" si="60"/>
        <v>low profit</v>
      </c>
    </row>
    <row r="829" spans="1:17" x14ac:dyDescent="0.25">
      <c r="A829" s="3" t="s">
        <v>1246</v>
      </c>
      <c r="B829" s="4">
        <v>45804</v>
      </c>
      <c r="C829" s="3" t="s">
        <v>2017</v>
      </c>
      <c r="D829" s="3" t="s">
        <v>2037</v>
      </c>
      <c r="E829" s="3" t="s">
        <v>2055</v>
      </c>
      <c r="F829" s="3" t="s">
        <v>2060</v>
      </c>
      <c r="G829" s="3">
        <v>8</v>
      </c>
      <c r="H829" s="3">
        <v>2500</v>
      </c>
      <c r="I829" s="3">
        <v>2875</v>
      </c>
      <c r="J829" s="3">
        <v>16.41</v>
      </c>
      <c r="K829" s="3">
        <v>19226.77</v>
      </c>
      <c r="L829" s="3">
        <v>-773.23</v>
      </c>
      <c r="M829" s="3">
        <f t="shared" si="61"/>
        <v>377430</v>
      </c>
      <c r="N829" s="3">
        <f t="shared" si="62"/>
        <v>20000</v>
      </c>
      <c r="O829" s="3">
        <f t="shared" si="63"/>
        <v>-4.0216323386611474</v>
      </c>
      <c r="P829" s="3" t="str">
        <f t="shared" si="64"/>
        <v>May</v>
      </c>
      <c r="Q829" s="3" t="str">
        <f t="shared" si="60"/>
        <v>loss</v>
      </c>
    </row>
    <row r="830" spans="1:17" x14ac:dyDescent="0.25">
      <c r="A830" s="3" t="s">
        <v>1408</v>
      </c>
      <c r="B830" s="4">
        <v>45804</v>
      </c>
      <c r="C830" s="3" t="s">
        <v>2028</v>
      </c>
      <c r="D830" s="3" t="s">
        <v>2048</v>
      </c>
      <c r="E830" s="3" t="s">
        <v>2057</v>
      </c>
      <c r="F830" s="3" t="s">
        <v>2060</v>
      </c>
      <c r="G830" s="3">
        <v>8</v>
      </c>
      <c r="H830" s="3">
        <v>80</v>
      </c>
      <c r="I830" s="3">
        <v>116</v>
      </c>
      <c r="J830" s="3">
        <v>10.89</v>
      </c>
      <c r="K830" s="3">
        <v>826.98</v>
      </c>
      <c r="L830" s="3">
        <v>186.98</v>
      </c>
      <c r="M830" s="3">
        <f t="shared" si="61"/>
        <v>10105.92</v>
      </c>
      <c r="N830" s="3">
        <f t="shared" si="62"/>
        <v>640</v>
      </c>
      <c r="O830" s="3">
        <f t="shared" si="63"/>
        <v>22.60997847590026</v>
      </c>
      <c r="P830" s="3" t="str">
        <f t="shared" si="64"/>
        <v>May</v>
      </c>
      <c r="Q830" s="3" t="str">
        <f t="shared" si="60"/>
        <v>good profit</v>
      </c>
    </row>
    <row r="831" spans="1:17" x14ac:dyDescent="0.25">
      <c r="A831" s="3" t="s">
        <v>1799</v>
      </c>
      <c r="B831" s="4">
        <v>45804</v>
      </c>
      <c r="C831" s="3" t="s">
        <v>2027</v>
      </c>
      <c r="D831" s="3" t="s">
        <v>2047</v>
      </c>
      <c r="E831" s="3" t="s">
        <v>2053</v>
      </c>
      <c r="F831" s="3" t="s">
        <v>2062</v>
      </c>
      <c r="G831" s="3">
        <v>1</v>
      </c>
      <c r="H831" s="3">
        <v>1100</v>
      </c>
      <c r="I831" s="3">
        <v>1298</v>
      </c>
      <c r="J831" s="3">
        <v>5.8</v>
      </c>
      <c r="K831" s="3">
        <v>1222.74</v>
      </c>
      <c r="L831" s="3">
        <v>122.74</v>
      </c>
      <c r="M831" s="3">
        <f t="shared" si="61"/>
        <v>7528.4</v>
      </c>
      <c r="N831" s="3">
        <f t="shared" si="62"/>
        <v>1100</v>
      </c>
      <c r="O831" s="3">
        <f t="shared" si="63"/>
        <v>10.038111127467818</v>
      </c>
      <c r="P831" s="3" t="str">
        <f t="shared" si="64"/>
        <v>May</v>
      </c>
      <c r="Q831" s="3" t="str">
        <f t="shared" si="60"/>
        <v>good profit</v>
      </c>
    </row>
    <row r="832" spans="1:17" x14ac:dyDescent="0.25">
      <c r="A832" s="3" t="s">
        <v>1950</v>
      </c>
      <c r="B832" s="4">
        <v>45804</v>
      </c>
      <c r="C832" s="3" t="s">
        <v>2026</v>
      </c>
      <c r="D832" s="3" t="s">
        <v>2046</v>
      </c>
      <c r="E832" s="3" t="s">
        <v>2052</v>
      </c>
      <c r="F832" s="3" t="s">
        <v>2060</v>
      </c>
      <c r="G832" s="3">
        <v>6</v>
      </c>
      <c r="H832" s="3">
        <v>3000</v>
      </c>
      <c r="I832" s="3">
        <v>3600</v>
      </c>
      <c r="J832" s="3">
        <v>14.91</v>
      </c>
      <c r="K832" s="3">
        <v>18378.490000000002</v>
      </c>
      <c r="L832" s="3">
        <v>378.49</v>
      </c>
      <c r="M832" s="3">
        <f t="shared" si="61"/>
        <v>322056</v>
      </c>
      <c r="N832" s="3">
        <f t="shared" si="62"/>
        <v>18000</v>
      </c>
      <c r="O832" s="3">
        <f t="shared" si="63"/>
        <v>2.0594183744148733</v>
      </c>
      <c r="P832" s="3" t="str">
        <f t="shared" si="64"/>
        <v>May</v>
      </c>
      <c r="Q832" s="3" t="str">
        <f t="shared" si="60"/>
        <v>low profit</v>
      </c>
    </row>
    <row r="833" spans="1:17" x14ac:dyDescent="0.25">
      <c r="A833" s="3" t="s">
        <v>261</v>
      </c>
      <c r="B833" s="4">
        <v>45805</v>
      </c>
      <c r="C833" s="3" t="s">
        <v>2029</v>
      </c>
      <c r="D833" s="3" t="s">
        <v>2049</v>
      </c>
      <c r="E833" s="3" t="s">
        <v>2055</v>
      </c>
      <c r="F833" s="3" t="s">
        <v>2059</v>
      </c>
      <c r="G833" s="3">
        <v>10</v>
      </c>
      <c r="H833" s="3">
        <v>1200</v>
      </c>
      <c r="I833" s="3">
        <v>1464</v>
      </c>
      <c r="J833" s="3">
        <v>30</v>
      </c>
      <c r="K833" s="3">
        <v>10248</v>
      </c>
      <c r="L833" s="3">
        <v>-1752</v>
      </c>
      <c r="M833" s="3">
        <f t="shared" si="61"/>
        <v>439200</v>
      </c>
      <c r="N833" s="3">
        <f t="shared" si="62"/>
        <v>12000</v>
      </c>
      <c r="O833" s="3">
        <f t="shared" si="63"/>
        <v>-17.096018735362996</v>
      </c>
      <c r="P833" s="3" t="str">
        <f t="shared" si="64"/>
        <v>May</v>
      </c>
      <c r="Q833" s="3" t="str">
        <f t="shared" si="60"/>
        <v>loss</v>
      </c>
    </row>
    <row r="834" spans="1:17" x14ac:dyDescent="0.25">
      <c r="A834" s="3" t="s">
        <v>485</v>
      </c>
      <c r="B834" s="4">
        <v>45805</v>
      </c>
      <c r="C834" s="3" t="s">
        <v>2021</v>
      </c>
      <c r="D834" s="3" t="s">
        <v>2041</v>
      </c>
      <c r="E834" s="3" t="s">
        <v>2056</v>
      </c>
      <c r="F834" s="3" t="s">
        <v>2062</v>
      </c>
      <c r="G834" s="3">
        <v>9</v>
      </c>
      <c r="H834" s="3">
        <v>300</v>
      </c>
      <c r="I834" s="3">
        <v>405</v>
      </c>
      <c r="J834" s="3">
        <v>16.52</v>
      </c>
      <c r="K834" s="3">
        <v>3042.87</v>
      </c>
      <c r="L834" s="3">
        <v>342.87</v>
      </c>
      <c r="M834" s="3">
        <f t="shared" si="61"/>
        <v>60215.4</v>
      </c>
      <c r="N834" s="3">
        <f t="shared" si="62"/>
        <v>2700</v>
      </c>
      <c r="O834" s="3">
        <f t="shared" si="63"/>
        <v>11.267980557828629</v>
      </c>
      <c r="P834" s="3" t="str">
        <f t="shared" si="64"/>
        <v>May</v>
      </c>
      <c r="Q834" s="3" t="str">
        <f t="shared" ref="Q834:Q897" si="65">IF(L834&lt;0,"loss",IF(O834&lt;10,"low profit","good profit"))</f>
        <v>good profit</v>
      </c>
    </row>
    <row r="835" spans="1:17" x14ac:dyDescent="0.25">
      <c r="A835" s="3" t="s">
        <v>577</v>
      </c>
      <c r="B835" s="4">
        <v>45805</v>
      </c>
      <c r="C835" s="3" t="s">
        <v>2024</v>
      </c>
      <c r="D835" s="3" t="s">
        <v>2044</v>
      </c>
      <c r="E835" s="3" t="s">
        <v>2055</v>
      </c>
      <c r="F835" s="3" t="s">
        <v>2061</v>
      </c>
      <c r="G835" s="3">
        <v>7</v>
      </c>
      <c r="H835" s="3">
        <v>180</v>
      </c>
      <c r="I835" s="3">
        <v>243</v>
      </c>
      <c r="J835" s="3">
        <v>10.32</v>
      </c>
      <c r="K835" s="3">
        <v>1525.49</v>
      </c>
      <c r="L835" s="3">
        <v>265.49</v>
      </c>
      <c r="M835" s="3">
        <f t="shared" ref="M835:M898" si="66">G835*I835*J835</f>
        <v>17554.32</v>
      </c>
      <c r="N835" s="3">
        <f t="shared" ref="N835:N898" si="67">G835*H835</f>
        <v>1260</v>
      </c>
      <c r="O835" s="3">
        <f t="shared" ref="O835:O898" si="68">IFERROR(L835/K835*100,0)</f>
        <v>17.403588355217011</v>
      </c>
      <c r="P835" s="3" t="str">
        <f t="shared" ref="P835:P898" si="69">TEXT(B835,"mmm")</f>
        <v>May</v>
      </c>
      <c r="Q835" s="3" t="str">
        <f t="shared" si="65"/>
        <v>good profit</v>
      </c>
    </row>
    <row r="836" spans="1:17" x14ac:dyDescent="0.25">
      <c r="A836" s="3" t="s">
        <v>778</v>
      </c>
      <c r="B836" s="4">
        <v>45805</v>
      </c>
      <c r="C836" s="3" t="s">
        <v>2029</v>
      </c>
      <c r="D836" s="3" t="s">
        <v>2049</v>
      </c>
      <c r="E836" s="3" t="s">
        <v>2055</v>
      </c>
      <c r="F836" s="3" t="s">
        <v>2059</v>
      </c>
      <c r="G836" s="3">
        <v>5</v>
      </c>
      <c r="H836" s="3">
        <v>1200</v>
      </c>
      <c r="I836" s="3">
        <v>1464</v>
      </c>
      <c r="J836" s="3">
        <v>8.84</v>
      </c>
      <c r="K836" s="3">
        <v>6673</v>
      </c>
      <c r="L836" s="3">
        <v>673</v>
      </c>
      <c r="M836" s="3">
        <f t="shared" si="66"/>
        <v>64708.799999999996</v>
      </c>
      <c r="N836" s="3">
        <f t="shared" si="67"/>
        <v>6000</v>
      </c>
      <c r="O836" s="3">
        <f t="shared" si="68"/>
        <v>10.085418852090514</v>
      </c>
      <c r="P836" s="3" t="str">
        <f t="shared" si="69"/>
        <v>May</v>
      </c>
      <c r="Q836" s="3" t="str">
        <f t="shared" si="65"/>
        <v>good profit</v>
      </c>
    </row>
    <row r="837" spans="1:17" x14ac:dyDescent="0.25">
      <c r="A837" s="3" t="s">
        <v>1094</v>
      </c>
      <c r="B837" s="4">
        <v>45805</v>
      </c>
      <c r="C837" s="3" t="s">
        <v>2012</v>
      </c>
      <c r="D837" s="3" t="s">
        <v>2032</v>
      </c>
      <c r="E837" s="3" t="s">
        <v>2052</v>
      </c>
      <c r="F837" s="3" t="s">
        <v>2062</v>
      </c>
      <c r="G837" s="3">
        <v>10</v>
      </c>
      <c r="H837" s="3">
        <v>6500</v>
      </c>
      <c r="I837" s="3">
        <v>8125</v>
      </c>
      <c r="J837" s="3">
        <v>28.97</v>
      </c>
      <c r="K837" s="3">
        <v>57713.94</v>
      </c>
      <c r="L837" s="3">
        <v>-7286.06</v>
      </c>
      <c r="M837" s="3">
        <f t="shared" si="66"/>
        <v>2353812.5</v>
      </c>
      <c r="N837" s="3">
        <f t="shared" si="67"/>
        <v>65000</v>
      </c>
      <c r="O837" s="3">
        <f t="shared" si="68"/>
        <v>-12.624437007766234</v>
      </c>
      <c r="P837" s="3" t="str">
        <f t="shared" si="69"/>
        <v>May</v>
      </c>
      <c r="Q837" s="3" t="str">
        <f t="shared" si="65"/>
        <v>loss</v>
      </c>
    </row>
    <row r="838" spans="1:17" x14ac:dyDescent="0.25">
      <c r="A838" s="3" t="s">
        <v>1363</v>
      </c>
      <c r="B838" s="4">
        <v>45805</v>
      </c>
      <c r="C838" s="3" t="s">
        <v>2020</v>
      </c>
      <c r="D838" s="3" t="s">
        <v>2040</v>
      </c>
      <c r="E838" s="3" t="s">
        <v>2053</v>
      </c>
      <c r="F838" s="3" t="s">
        <v>2062</v>
      </c>
      <c r="G838" s="3">
        <v>9</v>
      </c>
      <c r="H838" s="3">
        <v>350</v>
      </c>
      <c r="I838" s="3">
        <v>455</v>
      </c>
      <c r="J838" s="3">
        <v>12.12</v>
      </c>
      <c r="K838" s="3">
        <v>3598.83</v>
      </c>
      <c r="L838" s="3">
        <v>448.83</v>
      </c>
      <c r="M838" s="3">
        <f t="shared" si="66"/>
        <v>49631.399999999994</v>
      </c>
      <c r="N838" s="3">
        <f t="shared" si="67"/>
        <v>3150</v>
      </c>
      <c r="O838" s="3">
        <f t="shared" si="68"/>
        <v>12.471553254807812</v>
      </c>
      <c r="P838" s="3" t="str">
        <f t="shared" si="69"/>
        <v>May</v>
      </c>
      <c r="Q838" s="3" t="str">
        <f t="shared" si="65"/>
        <v>good profit</v>
      </c>
    </row>
    <row r="839" spans="1:17" x14ac:dyDescent="0.25">
      <c r="A839" s="3" t="s">
        <v>1955</v>
      </c>
      <c r="B839" s="4">
        <v>45805</v>
      </c>
      <c r="C839" s="3" t="s">
        <v>2015</v>
      </c>
      <c r="D839" s="3" t="s">
        <v>2035</v>
      </c>
      <c r="E839" s="3" t="s">
        <v>2054</v>
      </c>
      <c r="F839" s="3" t="s">
        <v>2059</v>
      </c>
      <c r="G839" s="3">
        <v>4</v>
      </c>
      <c r="H839" s="3">
        <v>900</v>
      </c>
      <c r="I839" s="3">
        <v>1170</v>
      </c>
      <c r="J839" s="3">
        <v>10.08</v>
      </c>
      <c r="K839" s="3">
        <v>4208.41</v>
      </c>
      <c r="L839" s="3">
        <v>608.41</v>
      </c>
      <c r="M839" s="3">
        <f t="shared" si="66"/>
        <v>47174.400000000001</v>
      </c>
      <c r="N839" s="3">
        <f t="shared" si="67"/>
        <v>3600</v>
      </c>
      <c r="O839" s="3">
        <f t="shared" si="68"/>
        <v>14.457003951611178</v>
      </c>
      <c r="P839" s="3" t="str">
        <f t="shared" si="69"/>
        <v>May</v>
      </c>
      <c r="Q839" s="3" t="str">
        <f t="shared" si="65"/>
        <v>good profit</v>
      </c>
    </row>
    <row r="840" spans="1:17" x14ac:dyDescent="0.25">
      <c r="A840" s="3" t="s">
        <v>46</v>
      </c>
      <c r="B840" s="4">
        <v>45806</v>
      </c>
      <c r="C840" s="3" t="s">
        <v>2018</v>
      </c>
      <c r="D840" s="3" t="s">
        <v>2038</v>
      </c>
      <c r="E840" s="3" t="s">
        <v>2053</v>
      </c>
      <c r="F840" s="3" t="s">
        <v>2059</v>
      </c>
      <c r="G840" s="3">
        <v>4</v>
      </c>
      <c r="H840" s="3">
        <v>500</v>
      </c>
      <c r="I840" s="3">
        <v>610</v>
      </c>
      <c r="J840" s="3">
        <v>10.89</v>
      </c>
      <c r="K840" s="3">
        <v>2174.2199999999998</v>
      </c>
      <c r="L840" s="3">
        <v>174.22</v>
      </c>
      <c r="M840" s="3">
        <f t="shared" si="66"/>
        <v>26571.600000000002</v>
      </c>
      <c r="N840" s="3">
        <f t="shared" si="67"/>
        <v>2000</v>
      </c>
      <c r="O840" s="3">
        <f t="shared" si="68"/>
        <v>8.0129885660144797</v>
      </c>
      <c r="P840" s="3" t="str">
        <f t="shared" si="69"/>
        <v>May</v>
      </c>
      <c r="Q840" s="3" t="str">
        <f t="shared" si="65"/>
        <v>low profit</v>
      </c>
    </row>
    <row r="841" spans="1:17" x14ac:dyDescent="0.25">
      <c r="A841" s="3" t="s">
        <v>150</v>
      </c>
      <c r="B841" s="4">
        <v>45806</v>
      </c>
      <c r="C841" s="3" t="s">
        <v>2021</v>
      </c>
      <c r="D841" s="3" t="s">
        <v>2041</v>
      </c>
      <c r="E841" s="3" t="s">
        <v>2056</v>
      </c>
      <c r="F841" s="3" t="s">
        <v>2062</v>
      </c>
      <c r="G841" s="3">
        <v>6</v>
      </c>
      <c r="H841" s="3">
        <v>300</v>
      </c>
      <c r="I841" s="3">
        <v>405</v>
      </c>
      <c r="J841" s="3">
        <v>0</v>
      </c>
      <c r="K841" s="3">
        <v>2430</v>
      </c>
      <c r="L841" s="3">
        <v>630</v>
      </c>
      <c r="M841" s="3">
        <f t="shared" si="66"/>
        <v>0</v>
      </c>
      <c r="N841" s="3">
        <f t="shared" si="67"/>
        <v>1800</v>
      </c>
      <c r="O841" s="3">
        <f t="shared" si="68"/>
        <v>25.925925925925924</v>
      </c>
      <c r="P841" s="3" t="str">
        <f t="shared" si="69"/>
        <v>May</v>
      </c>
      <c r="Q841" s="3" t="str">
        <f t="shared" si="65"/>
        <v>good profit</v>
      </c>
    </row>
    <row r="842" spans="1:17" x14ac:dyDescent="0.25">
      <c r="A842" s="3" t="s">
        <v>189</v>
      </c>
      <c r="B842" s="4">
        <v>45806</v>
      </c>
      <c r="C842" s="3" t="s">
        <v>2017</v>
      </c>
      <c r="D842" s="3" t="s">
        <v>2037</v>
      </c>
      <c r="E842" s="3" t="s">
        <v>2055</v>
      </c>
      <c r="F842" s="3" t="s">
        <v>2060</v>
      </c>
      <c r="G842" s="3">
        <v>2</v>
      </c>
      <c r="H842" s="3">
        <v>2500</v>
      </c>
      <c r="I842" s="3">
        <v>2875</v>
      </c>
      <c r="J842" s="3">
        <v>6.87</v>
      </c>
      <c r="K842" s="3">
        <v>5355.06</v>
      </c>
      <c r="L842" s="3">
        <v>355.06</v>
      </c>
      <c r="M842" s="3">
        <f t="shared" si="66"/>
        <v>39502.5</v>
      </c>
      <c r="N842" s="3">
        <f t="shared" si="67"/>
        <v>5000</v>
      </c>
      <c r="O842" s="3">
        <f t="shared" si="68"/>
        <v>6.6303645524046413</v>
      </c>
      <c r="P842" s="3" t="str">
        <f t="shared" si="69"/>
        <v>May</v>
      </c>
      <c r="Q842" s="3" t="str">
        <f t="shared" si="65"/>
        <v>low profit</v>
      </c>
    </row>
    <row r="843" spans="1:17" x14ac:dyDescent="0.25">
      <c r="A843" s="3" t="s">
        <v>297</v>
      </c>
      <c r="B843" s="4">
        <v>45806</v>
      </c>
      <c r="C843" s="3" t="s">
        <v>2024</v>
      </c>
      <c r="D843" s="3" t="s">
        <v>2044</v>
      </c>
      <c r="E843" s="3" t="s">
        <v>2055</v>
      </c>
      <c r="F843" s="3" t="s">
        <v>2059</v>
      </c>
      <c r="G843" s="3">
        <v>1</v>
      </c>
      <c r="H843" s="3">
        <v>180</v>
      </c>
      <c r="I843" s="3">
        <v>243</v>
      </c>
      <c r="J843" s="3">
        <v>3.99</v>
      </c>
      <c r="K843" s="3">
        <v>233.3</v>
      </c>
      <c r="L843" s="3">
        <v>53.3</v>
      </c>
      <c r="M843" s="3">
        <f t="shared" si="66"/>
        <v>969.57</v>
      </c>
      <c r="N843" s="3">
        <f t="shared" si="67"/>
        <v>180</v>
      </c>
      <c r="O843" s="3">
        <f t="shared" si="68"/>
        <v>22.846120874410627</v>
      </c>
      <c r="P843" s="3" t="str">
        <f t="shared" si="69"/>
        <v>May</v>
      </c>
      <c r="Q843" s="3" t="str">
        <f t="shared" si="65"/>
        <v>good profit</v>
      </c>
    </row>
    <row r="844" spans="1:17" x14ac:dyDescent="0.25">
      <c r="A844" s="3" t="s">
        <v>333</v>
      </c>
      <c r="B844" s="4">
        <v>45806</v>
      </c>
      <c r="C844" s="3" t="s">
        <v>2018</v>
      </c>
      <c r="D844" s="3" t="s">
        <v>2038</v>
      </c>
      <c r="E844" s="3" t="s">
        <v>2053</v>
      </c>
      <c r="F844" s="3" t="s">
        <v>2059</v>
      </c>
      <c r="G844" s="3">
        <v>6</v>
      </c>
      <c r="H844" s="3">
        <v>500</v>
      </c>
      <c r="I844" s="3">
        <v>610</v>
      </c>
      <c r="J844" s="3">
        <v>18.8</v>
      </c>
      <c r="K844" s="3">
        <v>2972.04</v>
      </c>
      <c r="L844" s="3">
        <v>-27.96</v>
      </c>
      <c r="M844" s="3">
        <f t="shared" si="66"/>
        <v>68808</v>
      </c>
      <c r="N844" s="3">
        <f t="shared" si="67"/>
        <v>3000</v>
      </c>
      <c r="O844" s="3">
        <f t="shared" si="68"/>
        <v>-0.94076795736261976</v>
      </c>
      <c r="P844" s="3" t="str">
        <f t="shared" si="69"/>
        <v>May</v>
      </c>
      <c r="Q844" s="3" t="str">
        <f t="shared" si="65"/>
        <v>loss</v>
      </c>
    </row>
    <row r="845" spans="1:17" x14ac:dyDescent="0.25">
      <c r="A845" s="3" t="s">
        <v>334</v>
      </c>
      <c r="B845" s="4">
        <v>45806</v>
      </c>
      <c r="C845" s="3" t="s">
        <v>2031</v>
      </c>
      <c r="D845" s="3" t="s">
        <v>2051</v>
      </c>
      <c r="E845" s="3" t="s">
        <v>2058</v>
      </c>
      <c r="F845" s="3" t="s">
        <v>2060</v>
      </c>
      <c r="G845" s="3">
        <v>6</v>
      </c>
      <c r="H845" s="3">
        <v>3200</v>
      </c>
      <c r="I845" s="3">
        <v>3840</v>
      </c>
      <c r="J845" s="3">
        <v>10.02</v>
      </c>
      <c r="K845" s="3">
        <v>20730.509999999998</v>
      </c>
      <c r="L845" s="3">
        <v>1530.51</v>
      </c>
      <c r="M845" s="3">
        <f t="shared" si="66"/>
        <v>230860.79999999999</v>
      </c>
      <c r="N845" s="3">
        <f t="shared" si="67"/>
        <v>19200</v>
      </c>
      <c r="O845" s="3">
        <f t="shared" si="68"/>
        <v>7.3828863834030134</v>
      </c>
      <c r="P845" s="3" t="str">
        <f t="shared" si="69"/>
        <v>May</v>
      </c>
      <c r="Q845" s="3" t="str">
        <f t="shared" si="65"/>
        <v>low profit</v>
      </c>
    </row>
    <row r="846" spans="1:17" x14ac:dyDescent="0.25">
      <c r="A846" s="3" t="s">
        <v>879</v>
      </c>
      <c r="B846" s="4">
        <v>45806</v>
      </c>
      <c r="C846" s="3" t="s">
        <v>2016</v>
      </c>
      <c r="D846" s="3" t="s">
        <v>2036</v>
      </c>
      <c r="E846" s="3" t="s">
        <v>2052</v>
      </c>
      <c r="F846" s="3" t="s">
        <v>2062</v>
      </c>
      <c r="G846" s="3">
        <v>2</v>
      </c>
      <c r="H846" s="3">
        <v>900</v>
      </c>
      <c r="I846" s="3">
        <v>1170</v>
      </c>
      <c r="J846" s="3">
        <v>17.309999999999999</v>
      </c>
      <c r="K846" s="3">
        <v>1934.9</v>
      </c>
      <c r="L846" s="3">
        <v>134.9</v>
      </c>
      <c r="M846" s="3">
        <f t="shared" si="66"/>
        <v>40505.399999999994</v>
      </c>
      <c r="N846" s="3">
        <f t="shared" si="67"/>
        <v>1800</v>
      </c>
      <c r="O846" s="3">
        <f t="shared" si="68"/>
        <v>6.9719365341878126</v>
      </c>
      <c r="P846" s="3" t="str">
        <f t="shared" si="69"/>
        <v>May</v>
      </c>
      <c r="Q846" s="3" t="str">
        <f t="shared" si="65"/>
        <v>low profit</v>
      </c>
    </row>
    <row r="847" spans="1:17" x14ac:dyDescent="0.25">
      <c r="A847" s="3" t="s">
        <v>1201</v>
      </c>
      <c r="B847" s="4">
        <v>45806</v>
      </c>
      <c r="C847" s="3" t="s">
        <v>2016</v>
      </c>
      <c r="D847" s="3" t="s">
        <v>2036</v>
      </c>
      <c r="E847" s="3" t="s">
        <v>2052</v>
      </c>
      <c r="F847" s="3" t="s">
        <v>2059</v>
      </c>
      <c r="G847" s="3">
        <v>5</v>
      </c>
      <c r="H847" s="3">
        <v>900</v>
      </c>
      <c r="I847" s="3">
        <v>1170</v>
      </c>
      <c r="J847" s="3">
        <v>5.37</v>
      </c>
      <c r="K847" s="3">
        <v>5535.74</v>
      </c>
      <c r="L847" s="3">
        <v>1035.74</v>
      </c>
      <c r="M847" s="3">
        <f t="shared" si="66"/>
        <v>31414.5</v>
      </c>
      <c r="N847" s="3">
        <f t="shared" si="67"/>
        <v>4500</v>
      </c>
      <c r="O847" s="3">
        <f t="shared" si="68"/>
        <v>18.710055024260534</v>
      </c>
      <c r="P847" s="3" t="str">
        <f t="shared" si="69"/>
        <v>May</v>
      </c>
      <c r="Q847" s="3" t="str">
        <f t="shared" si="65"/>
        <v>good profit</v>
      </c>
    </row>
    <row r="848" spans="1:17" x14ac:dyDescent="0.25">
      <c r="A848" s="3" t="s">
        <v>1481</v>
      </c>
      <c r="B848" s="4">
        <v>45806</v>
      </c>
      <c r="C848" s="3" t="s">
        <v>2024</v>
      </c>
      <c r="D848" s="3" t="s">
        <v>2044</v>
      </c>
      <c r="E848" s="3" t="s">
        <v>2055</v>
      </c>
      <c r="F848" s="3" t="s">
        <v>2062</v>
      </c>
      <c r="G848" s="3">
        <v>5</v>
      </c>
      <c r="H848" s="3">
        <v>180</v>
      </c>
      <c r="I848" s="3">
        <v>243</v>
      </c>
      <c r="J848" s="3">
        <v>18.489999999999998</v>
      </c>
      <c r="K848" s="3">
        <v>990.33</v>
      </c>
      <c r="L848" s="3">
        <v>90.33</v>
      </c>
      <c r="M848" s="3">
        <f t="shared" si="66"/>
        <v>22465.35</v>
      </c>
      <c r="N848" s="3">
        <f t="shared" si="67"/>
        <v>900</v>
      </c>
      <c r="O848" s="3">
        <f t="shared" si="68"/>
        <v>9.1212020235679017</v>
      </c>
      <c r="P848" s="3" t="str">
        <f t="shared" si="69"/>
        <v>May</v>
      </c>
      <c r="Q848" s="3" t="str">
        <f t="shared" si="65"/>
        <v>low profit</v>
      </c>
    </row>
    <row r="849" spans="1:17" x14ac:dyDescent="0.25">
      <c r="A849" s="3" t="s">
        <v>1778</v>
      </c>
      <c r="B849" s="4">
        <v>45806</v>
      </c>
      <c r="C849" s="3" t="s">
        <v>2020</v>
      </c>
      <c r="D849" s="3" t="s">
        <v>2040</v>
      </c>
      <c r="E849" s="3" t="s">
        <v>2053</v>
      </c>
      <c r="F849" s="3" t="s">
        <v>2060</v>
      </c>
      <c r="G849" s="3">
        <v>6</v>
      </c>
      <c r="H849" s="3">
        <v>350</v>
      </c>
      <c r="I849" s="3">
        <v>455</v>
      </c>
      <c r="J849" s="3">
        <v>15.46</v>
      </c>
      <c r="K849" s="3">
        <v>2307.9699999999998</v>
      </c>
      <c r="L849" s="3">
        <v>207.97</v>
      </c>
      <c r="M849" s="3">
        <f t="shared" si="66"/>
        <v>42205.8</v>
      </c>
      <c r="N849" s="3">
        <f t="shared" si="67"/>
        <v>2100</v>
      </c>
      <c r="O849" s="3">
        <f t="shared" si="68"/>
        <v>9.0109490158017653</v>
      </c>
      <c r="P849" s="3" t="str">
        <f t="shared" si="69"/>
        <v>May</v>
      </c>
      <c r="Q849" s="3" t="str">
        <f t="shared" si="65"/>
        <v>low profit</v>
      </c>
    </row>
    <row r="850" spans="1:17" x14ac:dyDescent="0.25">
      <c r="A850" s="3" t="s">
        <v>1865</v>
      </c>
      <c r="B850" s="4">
        <v>45806</v>
      </c>
      <c r="C850" s="3" t="s">
        <v>2015</v>
      </c>
      <c r="D850" s="3" t="s">
        <v>2035</v>
      </c>
      <c r="E850" s="3" t="s">
        <v>2054</v>
      </c>
      <c r="F850" s="3" t="s">
        <v>2061</v>
      </c>
      <c r="G850" s="3">
        <v>8</v>
      </c>
      <c r="H850" s="3">
        <v>900</v>
      </c>
      <c r="I850" s="3">
        <v>1170</v>
      </c>
      <c r="J850" s="3">
        <v>21.29</v>
      </c>
      <c r="K850" s="3">
        <v>7367.16</v>
      </c>
      <c r="L850" s="3">
        <v>167.16</v>
      </c>
      <c r="M850" s="3">
        <f t="shared" si="66"/>
        <v>199274.4</v>
      </c>
      <c r="N850" s="3">
        <f t="shared" si="67"/>
        <v>7200</v>
      </c>
      <c r="O850" s="3">
        <f t="shared" si="68"/>
        <v>2.2689883211441044</v>
      </c>
      <c r="P850" s="3" t="str">
        <f t="shared" si="69"/>
        <v>May</v>
      </c>
      <c r="Q850" s="3" t="str">
        <f t="shared" si="65"/>
        <v>low profit</v>
      </c>
    </row>
    <row r="851" spans="1:17" x14ac:dyDescent="0.25">
      <c r="A851" s="3" t="s">
        <v>15</v>
      </c>
      <c r="B851" s="4">
        <v>45807</v>
      </c>
      <c r="C851" s="3" t="s">
        <v>2015</v>
      </c>
      <c r="D851" s="3" t="s">
        <v>2035</v>
      </c>
      <c r="E851" s="3" t="s">
        <v>2054</v>
      </c>
      <c r="F851" s="3" t="s">
        <v>2059</v>
      </c>
      <c r="G851" s="3">
        <v>6</v>
      </c>
      <c r="H851" s="3">
        <v>900</v>
      </c>
      <c r="I851" s="3">
        <v>1170</v>
      </c>
      <c r="J851" s="3">
        <v>9.1</v>
      </c>
      <c r="K851" s="3">
        <v>6381.51</v>
      </c>
      <c r="L851" s="3">
        <v>981.51</v>
      </c>
      <c r="M851" s="3">
        <f t="shared" si="66"/>
        <v>63882</v>
      </c>
      <c r="N851" s="3">
        <f t="shared" si="67"/>
        <v>5400</v>
      </c>
      <c r="O851" s="3">
        <f t="shared" si="68"/>
        <v>15.380529059736645</v>
      </c>
      <c r="P851" s="3" t="str">
        <f t="shared" si="69"/>
        <v>May</v>
      </c>
      <c r="Q851" s="3" t="str">
        <f t="shared" si="65"/>
        <v>good profit</v>
      </c>
    </row>
    <row r="852" spans="1:17" x14ac:dyDescent="0.25">
      <c r="A852" s="3" t="s">
        <v>346</v>
      </c>
      <c r="B852" s="4">
        <v>45807</v>
      </c>
      <c r="C852" s="3" t="s">
        <v>2017</v>
      </c>
      <c r="D852" s="3" t="s">
        <v>2037</v>
      </c>
      <c r="E852" s="3" t="s">
        <v>2055</v>
      </c>
      <c r="F852" s="3" t="s">
        <v>2060</v>
      </c>
      <c r="G852" s="3">
        <v>3</v>
      </c>
      <c r="H852" s="3">
        <v>2500</v>
      </c>
      <c r="I852" s="3">
        <v>2875</v>
      </c>
      <c r="J852" s="3">
        <v>9.81</v>
      </c>
      <c r="K852" s="3">
        <v>7778.51</v>
      </c>
      <c r="L852" s="3">
        <v>278.51</v>
      </c>
      <c r="M852" s="3">
        <f t="shared" si="66"/>
        <v>84611.25</v>
      </c>
      <c r="N852" s="3">
        <f t="shared" si="67"/>
        <v>7500</v>
      </c>
      <c r="O852" s="3">
        <f t="shared" si="68"/>
        <v>3.5805057780988898</v>
      </c>
      <c r="P852" s="3" t="str">
        <f t="shared" si="69"/>
        <v>May</v>
      </c>
      <c r="Q852" s="3" t="str">
        <f t="shared" si="65"/>
        <v>low profit</v>
      </c>
    </row>
    <row r="853" spans="1:17" x14ac:dyDescent="0.25">
      <c r="A853" s="3" t="s">
        <v>762</v>
      </c>
      <c r="B853" s="4">
        <v>45807</v>
      </c>
      <c r="C853" s="3" t="s">
        <v>2017</v>
      </c>
      <c r="D853" s="3" t="s">
        <v>2037</v>
      </c>
      <c r="E853" s="3" t="s">
        <v>2055</v>
      </c>
      <c r="F853" s="3" t="s">
        <v>2059</v>
      </c>
      <c r="G853" s="3">
        <v>3</v>
      </c>
      <c r="H853" s="3">
        <v>2500</v>
      </c>
      <c r="I853" s="3">
        <v>2875</v>
      </c>
      <c r="J853" s="3">
        <v>10.8</v>
      </c>
      <c r="K853" s="3">
        <v>7693.35</v>
      </c>
      <c r="L853" s="3">
        <v>193.35</v>
      </c>
      <c r="M853" s="3">
        <f t="shared" si="66"/>
        <v>93150</v>
      </c>
      <c r="N853" s="3">
        <f t="shared" si="67"/>
        <v>7500</v>
      </c>
      <c r="O853" s="3">
        <f t="shared" si="68"/>
        <v>2.513209460118154</v>
      </c>
      <c r="P853" s="3" t="str">
        <f t="shared" si="69"/>
        <v>May</v>
      </c>
      <c r="Q853" s="3" t="str">
        <f t="shared" si="65"/>
        <v>low profit</v>
      </c>
    </row>
    <row r="854" spans="1:17" x14ac:dyDescent="0.25">
      <c r="A854" s="3" t="s">
        <v>827</v>
      </c>
      <c r="B854" s="4">
        <v>45807</v>
      </c>
      <c r="C854" s="3" t="s">
        <v>2027</v>
      </c>
      <c r="D854" s="3" t="s">
        <v>2047</v>
      </c>
      <c r="E854" s="3" t="s">
        <v>2053</v>
      </c>
      <c r="F854" s="3" t="s">
        <v>2059</v>
      </c>
      <c r="G854" s="3">
        <v>10</v>
      </c>
      <c r="H854" s="3">
        <v>1100</v>
      </c>
      <c r="I854" s="3">
        <v>1298</v>
      </c>
      <c r="J854" s="3">
        <v>13.81</v>
      </c>
      <c r="K854" s="3">
        <v>11187.69</v>
      </c>
      <c r="L854" s="3">
        <v>187.69</v>
      </c>
      <c r="M854" s="3">
        <f t="shared" si="66"/>
        <v>179253.80000000002</v>
      </c>
      <c r="N854" s="3">
        <f t="shared" si="67"/>
        <v>11000</v>
      </c>
      <c r="O854" s="3">
        <f t="shared" si="68"/>
        <v>1.6776474857633703</v>
      </c>
      <c r="P854" s="3" t="str">
        <f t="shared" si="69"/>
        <v>May</v>
      </c>
      <c r="Q854" s="3" t="str">
        <f t="shared" si="65"/>
        <v>low profit</v>
      </c>
    </row>
    <row r="855" spans="1:17" x14ac:dyDescent="0.25">
      <c r="A855" s="3" t="s">
        <v>56</v>
      </c>
      <c r="B855" s="4">
        <v>45808</v>
      </c>
      <c r="C855" s="3" t="s">
        <v>2014</v>
      </c>
      <c r="D855" s="3" t="s">
        <v>2034</v>
      </c>
      <c r="E855" s="3" t="s">
        <v>2052</v>
      </c>
      <c r="F855" s="3" t="s">
        <v>2062</v>
      </c>
      <c r="G855" s="3">
        <v>1</v>
      </c>
      <c r="H855" s="3">
        <v>4500</v>
      </c>
      <c r="I855" s="3">
        <v>5220</v>
      </c>
      <c r="J855" s="3">
        <v>9.08</v>
      </c>
      <c r="K855" s="3">
        <v>4746.26</v>
      </c>
      <c r="L855" s="3">
        <v>246.26</v>
      </c>
      <c r="M855" s="3">
        <f t="shared" si="66"/>
        <v>47397.599999999999</v>
      </c>
      <c r="N855" s="3">
        <f t="shared" si="67"/>
        <v>4500</v>
      </c>
      <c r="O855" s="3">
        <f t="shared" si="68"/>
        <v>5.1885063186593232</v>
      </c>
      <c r="P855" s="3" t="str">
        <f t="shared" si="69"/>
        <v>May</v>
      </c>
      <c r="Q855" s="3" t="str">
        <f t="shared" si="65"/>
        <v>low profit</v>
      </c>
    </row>
    <row r="856" spans="1:17" x14ac:dyDescent="0.25">
      <c r="A856" s="3" t="s">
        <v>138</v>
      </c>
      <c r="B856" s="4">
        <v>45808</v>
      </c>
      <c r="C856" s="3" t="s">
        <v>2031</v>
      </c>
      <c r="D856" s="3" t="s">
        <v>2051</v>
      </c>
      <c r="E856" s="3" t="s">
        <v>2058</v>
      </c>
      <c r="F856" s="3" t="s">
        <v>2060</v>
      </c>
      <c r="G856" s="3">
        <v>7</v>
      </c>
      <c r="H856" s="3">
        <v>3200</v>
      </c>
      <c r="I856" s="3">
        <v>3840</v>
      </c>
      <c r="J856" s="3">
        <v>8.51</v>
      </c>
      <c r="K856" s="3">
        <v>24591.65</v>
      </c>
      <c r="L856" s="3">
        <v>2191.65</v>
      </c>
      <c r="M856" s="3">
        <f t="shared" si="66"/>
        <v>228748.79999999999</v>
      </c>
      <c r="N856" s="3">
        <f t="shared" si="67"/>
        <v>22400</v>
      </c>
      <c r="O856" s="3">
        <f t="shared" si="68"/>
        <v>8.9121714077745899</v>
      </c>
      <c r="P856" s="3" t="str">
        <f t="shared" si="69"/>
        <v>May</v>
      </c>
      <c r="Q856" s="3" t="str">
        <f t="shared" si="65"/>
        <v>low profit</v>
      </c>
    </row>
    <row r="857" spans="1:17" x14ac:dyDescent="0.25">
      <c r="A857" s="3" t="s">
        <v>340</v>
      </c>
      <c r="B857" s="4">
        <v>45808</v>
      </c>
      <c r="C857" s="3" t="s">
        <v>2030</v>
      </c>
      <c r="D857" s="3" t="s">
        <v>2050</v>
      </c>
      <c r="E857" s="3" t="s">
        <v>2058</v>
      </c>
      <c r="F857" s="3" t="s">
        <v>2062</v>
      </c>
      <c r="G857" s="3">
        <v>1</v>
      </c>
      <c r="H857" s="3">
        <v>1800</v>
      </c>
      <c r="I857" s="3">
        <v>2124</v>
      </c>
      <c r="J857" s="3">
        <v>22.35</v>
      </c>
      <c r="K857" s="3">
        <v>1649.26</v>
      </c>
      <c r="L857" s="3">
        <v>-150.74</v>
      </c>
      <c r="M857" s="3">
        <f t="shared" si="66"/>
        <v>47471.4</v>
      </c>
      <c r="N857" s="3">
        <f t="shared" si="67"/>
        <v>1800</v>
      </c>
      <c r="O857" s="3">
        <f t="shared" si="68"/>
        <v>-9.1398566629882492</v>
      </c>
      <c r="P857" s="3" t="str">
        <f t="shared" si="69"/>
        <v>May</v>
      </c>
      <c r="Q857" s="3" t="str">
        <f t="shared" si="65"/>
        <v>loss</v>
      </c>
    </row>
    <row r="858" spans="1:17" x14ac:dyDescent="0.25">
      <c r="A858" s="3" t="s">
        <v>1957</v>
      </c>
      <c r="B858" s="4">
        <v>45808</v>
      </c>
      <c r="C858" s="3" t="s">
        <v>2028</v>
      </c>
      <c r="D858" s="3" t="s">
        <v>2048</v>
      </c>
      <c r="E858" s="3" t="s">
        <v>2057</v>
      </c>
      <c r="F858" s="3" t="s">
        <v>2060</v>
      </c>
      <c r="G858" s="3">
        <v>7</v>
      </c>
      <c r="H858" s="3">
        <v>80</v>
      </c>
      <c r="I858" s="3">
        <v>116</v>
      </c>
      <c r="J858" s="3">
        <v>0.87</v>
      </c>
      <c r="K858" s="3">
        <v>804.9</v>
      </c>
      <c r="L858" s="3">
        <v>244.9</v>
      </c>
      <c r="M858" s="3">
        <f t="shared" si="66"/>
        <v>706.43999999999994</v>
      </c>
      <c r="N858" s="3">
        <f t="shared" si="67"/>
        <v>560</v>
      </c>
      <c r="O858" s="3">
        <f t="shared" si="68"/>
        <v>30.426139893154431</v>
      </c>
      <c r="P858" s="3" t="str">
        <f t="shared" si="69"/>
        <v>May</v>
      </c>
      <c r="Q858" s="3" t="str">
        <f t="shared" si="65"/>
        <v>good profit</v>
      </c>
    </row>
    <row r="859" spans="1:17" x14ac:dyDescent="0.25">
      <c r="A859" s="3" t="s">
        <v>258</v>
      </c>
      <c r="B859" s="4">
        <v>45809</v>
      </c>
      <c r="C859" s="3" t="s">
        <v>2019</v>
      </c>
      <c r="D859" s="3" t="s">
        <v>2039</v>
      </c>
      <c r="E859" s="3" t="s">
        <v>2053</v>
      </c>
      <c r="F859" s="3" t="s">
        <v>2061</v>
      </c>
      <c r="G859" s="3">
        <v>4</v>
      </c>
      <c r="H859" s="3">
        <v>900</v>
      </c>
      <c r="I859" s="3">
        <v>1152</v>
      </c>
      <c r="J859" s="3">
        <v>12.82</v>
      </c>
      <c r="K859" s="3">
        <v>4017.47</v>
      </c>
      <c r="L859" s="3">
        <v>417.47</v>
      </c>
      <c r="M859" s="3">
        <f t="shared" si="66"/>
        <v>59074.559999999998</v>
      </c>
      <c r="N859" s="3">
        <f t="shared" si="67"/>
        <v>3600</v>
      </c>
      <c r="O859" s="3">
        <f t="shared" si="68"/>
        <v>10.391365710260439</v>
      </c>
      <c r="P859" s="3" t="str">
        <f t="shared" si="69"/>
        <v>Jun</v>
      </c>
      <c r="Q859" s="3" t="str">
        <f t="shared" si="65"/>
        <v>good profit</v>
      </c>
    </row>
    <row r="860" spans="1:17" x14ac:dyDescent="0.25">
      <c r="A860" s="3" t="s">
        <v>457</v>
      </c>
      <c r="B860" s="4">
        <v>45809</v>
      </c>
      <c r="C860" s="3" t="s">
        <v>2015</v>
      </c>
      <c r="D860" s="3" t="s">
        <v>2035</v>
      </c>
      <c r="E860" s="3" t="s">
        <v>2054</v>
      </c>
      <c r="F860" s="3" t="s">
        <v>2060</v>
      </c>
      <c r="G860" s="3">
        <v>3</v>
      </c>
      <c r="H860" s="3">
        <v>900</v>
      </c>
      <c r="I860" s="3">
        <v>1170</v>
      </c>
      <c r="J860" s="3">
        <v>17.39</v>
      </c>
      <c r="K860" s="3">
        <v>2899.5</v>
      </c>
      <c r="L860" s="3">
        <v>199.5</v>
      </c>
      <c r="M860" s="3">
        <f t="shared" si="66"/>
        <v>61038.9</v>
      </c>
      <c r="N860" s="3">
        <f t="shared" si="67"/>
        <v>2700</v>
      </c>
      <c r="O860" s="3">
        <f t="shared" si="68"/>
        <v>6.8804966373512677</v>
      </c>
      <c r="P860" s="3" t="str">
        <f t="shared" si="69"/>
        <v>Jun</v>
      </c>
      <c r="Q860" s="3" t="str">
        <f t="shared" si="65"/>
        <v>low profit</v>
      </c>
    </row>
    <row r="861" spans="1:17" x14ac:dyDescent="0.25">
      <c r="A861" s="3" t="s">
        <v>541</v>
      </c>
      <c r="B861" s="4">
        <v>45809</v>
      </c>
      <c r="C861" s="3" t="s">
        <v>2022</v>
      </c>
      <c r="D861" s="3" t="s">
        <v>2042</v>
      </c>
      <c r="E861" s="3" t="s">
        <v>2053</v>
      </c>
      <c r="F861" s="3" t="s">
        <v>2059</v>
      </c>
      <c r="G861" s="3">
        <v>2</v>
      </c>
      <c r="H861" s="3">
        <v>8500</v>
      </c>
      <c r="I861" s="3">
        <v>9520</v>
      </c>
      <c r="J861" s="3">
        <v>9.4600000000000009</v>
      </c>
      <c r="K861" s="3">
        <v>17238.61</v>
      </c>
      <c r="L861" s="3">
        <v>238.61</v>
      </c>
      <c r="M861" s="3">
        <f t="shared" si="66"/>
        <v>180118.40000000002</v>
      </c>
      <c r="N861" s="3">
        <f t="shared" si="67"/>
        <v>17000</v>
      </c>
      <c r="O861" s="3">
        <f t="shared" si="68"/>
        <v>1.3841603238312139</v>
      </c>
      <c r="P861" s="3" t="str">
        <f t="shared" si="69"/>
        <v>Jun</v>
      </c>
      <c r="Q861" s="3" t="str">
        <f t="shared" si="65"/>
        <v>low profit</v>
      </c>
    </row>
    <row r="862" spans="1:17" x14ac:dyDescent="0.25">
      <c r="A862" s="3" t="s">
        <v>602</v>
      </c>
      <c r="B862" s="4">
        <v>45809</v>
      </c>
      <c r="C862" s="3" t="s">
        <v>2026</v>
      </c>
      <c r="D862" s="3" t="s">
        <v>2046</v>
      </c>
      <c r="E862" s="3" t="s">
        <v>2052</v>
      </c>
      <c r="F862" s="3" t="s">
        <v>2060</v>
      </c>
      <c r="G862" s="3">
        <v>8</v>
      </c>
      <c r="H862" s="3">
        <v>3000</v>
      </c>
      <c r="I862" s="3">
        <v>3600</v>
      </c>
      <c r="J862" s="3">
        <v>16.89</v>
      </c>
      <c r="K862" s="3">
        <v>23936.14</v>
      </c>
      <c r="L862" s="3">
        <v>-63.86</v>
      </c>
      <c r="M862" s="3">
        <f t="shared" si="66"/>
        <v>486432</v>
      </c>
      <c r="N862" s="3">
        <f t="shared" si="67"/>
        <v>24000</v>
      </c>
      <c r="O862" s="3">
        <f t="shared" si="68"/>
        <v>-0.26679322564122704</v>
      </c>
      <c r="P862" s="3" t="str">
        <f t="shared" si="69"/>
        <v>Jun</v>
      </c>
      <c r="Q862" s="3" t="str">
        <f t="shared" si="65"/>
        <v>loss</v>
      </c>
    </row>
    <row r="863" spans="1:17" x14ac:dyDescent="0.25">
      <c r="A863" s="3" t="s">
        <v>1179</v>
      </c>
      <c r="B863" s="4">
        <v>45809</v>
      </c>
      <c r="C863" s="3" t="s">
        <v>2014</v>
      </c>
      <c r="D863" s="3" t="s">
        <v>2034</v>
      </c>
      <c r="E863" s="3" t="s">
        <v>2052</v>
      </c>
      <c r="F863" s="3" t="s">
        <v>2059</v>
      </c>
      <c r="G863" s="3">
        <v>3</v>
      </c>
      <c r="H863" s="3">
        <v>4500</v>
      </c>
      <c r="I863" s="3">
        <v>5220</v>
      </c>
      <c r="J863" s="3">
        <v>20.010000000000002</v>
      </c>
      <c r="K863" s="3">
        <v>12525.99</v>
      </c>
      <c r="L863" s="3">
        <v>-974.01</v>
      </c>
      <c r="M863" s="3">
        <f t="shared" si="66"/>
        <v>313356.60000000003</v>
      </c>
      <c r="N863" s="3">
        <f t="shared" si="67"/>
        <v>13500</v>
      </c>
      <c r="O863" s="3">
        <f t="shared" si="68"/>
        <v>-7.7759123230978151</v>
      </c>
      <c r="P863" s="3" t="str">
        <f t="shared" si="69"/>
        <v>Jun</v>
      </c>
      <c r="Q863" s="3" t="str">
        <f t="shared" si="65"/>
        <v>loss</v>
      </c>
    </row>
    <row r="864" spans="1:17" x14ac:dyDescent="0.25">
      <c r="A864" s="3" t="s">
        <v>1269</v>
      </c>
      <c r="B864" s="4">
        <v>45809</v>
      </c>
      <c r="C864" s="3" t="s">
        <v>2014</v>
      </c>
      <c r="D864" s="3" t="s">
        <v>2034</v>
      </c>
      <c r="E864" s="3" t="s">
        <v>2052</v>
      </c>
      <c r="F864" s="3" t="s">
        <v>2062</v>
      </c>
      <c r="G864" s="3">
        <v>9</v>
      </c>
      <c r="H864" s="3">
        <v>4500</v>
      </c>
      <c r="I864" s="3">
        <v>5220</v>
      </c>
      <c r="J864" s="3">
        <v>5.53</v>
      </c>
      <c r="K864" s="3">
        <v>44384.25</v>
      </c>
      <c r="L864" s="3">
        <v>3884.25</v>
      </c>
      <c r="M864" s="3">
        <f t="shared" si="66"/>
        <v>259799.40000000002</v>
      </c>
      <c r="N864" s="3">
        <f t="shared" si="67"/>
        <v>40500</v>
      </c>
      <c r="O864" s="3">
        <f t="shared" si="68"/>
        <v>8.7514151979587353</v>
      </c>
      <c r="P864" s="3" t="str">
        <f t="shared" si="69"/>
        <v>Jun</v>
      </c>
      <c r="Q864" s="3" t="str">
        <f t="shared" si="65"/>
        <v>low profit</v>
      </c>
    </row>
    <row r="865" spans="1:17" x14ac:dyDescent="0.25">
      <c r="A865" s="3" t="s">
        <v>314</v>
      </c>
      <c r="B865" s="4">
        <v>45810</v>
      </c>
      <c r="C865" s="3" t="s">
        <v>2016</v>
      </c>
      <c r="D865" s="3" t="s">
        <v>2036</v>
      </c>
      <c r="E865" s="3" t="s">
        <v>2052</v>
      </c>
      <c r="F865" s="3" t="s">
        <v>2061</v>
      </c>
      <c r="G865" s="3">
        <v>6</v>
      </c>
      <c r="H865" s="3">
        <v>900</v>
      </c>
      <c r="I865" s="3">
        <v>1170</v>
      </c>
      <c r="J865" s="3">
        <v>15.85</v>
      </c>
      <c r="K865" s="3">
        <v>5907.08</v>
      </c>
      <c r="L865" s="3">
        <v>507.08</v>
      </c>
      <c r="M865" s="3">
        <f t="shared" si="66"/>
        <v>111267</v>
      </c>
      <c r="N865" s="3">
        <f t="shared" si="67"/>
        <v>5400</v>
      </c>
      <c r="O865" s="3">
        <f t="shared" si="68"/>
        <v>8.5842751410172191</v>
      </c>
      <c r="P865" s="3" t="str">
        <f t="shared" si="69"/>
        <v>Jun</v>
      </c>
      <c r="Q865" s="3" t="str">
        <f t="shared" si="65"/>
        <v>low profit</v>
      </c>
    </row>
    <row r="866" spans="1:17" x14ac:dyDescent="0.25">
      <c r="A866" s="3" t="s">
        <v>927</v>
      </c>
      <c r="B866" s="4">
        <v>45810</v>
      </c>
      <c r="C866" s="3" t="s">
        <v>2018</v>
      </c>
      <c r="D866" s="3" t="s">
        <v>2038</v>
      </c>
      <c r="E866" s="3" t="s">
        <v>2053</v>
      </c>
      <c r="F866" s="3" t="s">
        <v>2060</v>
      </c>
      <c r="G866" s="3">
        <v>5</v>
      </c>
      <c r="H866" s="3">
        <v>500</v>
      </c>
      <c r="I866" s="3">
        <v>610</v>
      </c>
      <c r="J866" s="3">
        <v>16.04</v>
      </c>
      <c r="K866" s="3">
        <v>2560.6999999999998</v>
      </c>
      <c r="L866" s="3">
        <v>60.7</v>
      </c>
      <c r="M866" s="3">
        <f t="shared" si="66"/>
        <v>48922</v>
      </c>
      <c r="N866" s="3">
        <f t="shared" si="67"/>
        <v>2500</v>
      </c>
      <c r="O866" s="3">
        <f t="shared" si="68"/>
        <v>2.3704455812863672</v>
      </c>
      <c r="P866" s="3" t="str">
        <f t="shared" si="69"/>
        <v>Jun</v>
      </c>
      <c r="Q866" s="3" t="str">
        <f t="shared" si="65"/>
        <v>low profit</v>
      </c>
    </row>
    <row r="867" spans="1:17" x14ac:dyDescent="0.25">
      <c r="A867" s="3" t="s">
        <v>998</v>
      </c>
      <c r="B867" s="4">
        <v>45810</v>
      </c>
      <c r="C867" s="3" t="s">
        <v>2017</v>
      </c>
      <c r="D867" s="3" t="s">
        <v>2037</v>
      </c>
      <c r="E867" s="3" t="s">
        <v>2055</v>
      </c>
      <c r="F867" s="3" t="s">
        <v>2059</v>
      </c>
      <c r="G867" s="3">
        <v>7</v>
      </c>
      <c r="H867" s="3">
        <v>2500</v>
      </c>
      <c r="I867" s="3">
        <v>2875</v>
      </c>
      <c r="J867" s="3">
        <v>12.17</v>
      </c>
      <c r="K867" s="3">
        <v>17675.3</v>
      </c>
      <c r="L867" s="3">
        <v>175.3</v>
      </c>
      <c r="M867" s="3">
        <f t="shared" si="66"/>
        <v>244921.25</v>
      </c>
      <c r="N867" s="3">
        <f t="shared" si="67"/>
        <v>17500</v>
      </c>
      <c r="O867" s="3">
        <f t="shared" si="68"/>
        <v>0.99177948889127776</v>
      </c>
      <c r="P867" s="3" t="str">
        <f t="shared" si="69"/>
        <v>Jun</v>
      </c>
      <c r="Q867" s="3" t="str">
        <f t="shared" si="65"/>
        <v>low profit</v>
      </c>
    </row>
    <row r="868" spans="1:17" x14ac:dyDescent="0.25">
      <c r="A868" s="3" t="s">
        <v>1542</v>
      </c>
      <c r="B868" s="4">
        <v>45810</v>
      </c>
      <c r="C868" s="3" t="s">
        <v>2015</v>
      </c>
      <c r="D868" s="3" t="s">
        <v>2035</v>
      </c>
      <c r="E868" s="3" t="s">
        <v>2054</v>
      </c>
      <c r="F868" s="3" t="s">
        <v>2062</v>
      </c>
      <c r="G868" s="3">
        <v>10</v>
      </c>
      <c r="H868" s="3">
        <v>900</v>
      </c>
      <c r="I868" s="3">
        <v>1170</v>
      </c>
      <c r="J868" s="3">
        <v>18.27</v>
      </c>
      <c r="K868" s="3">
        <v>9562.06</v>
      </c>
      <c r="L868" s="3">
        <v>562.05999999999995</v>
      </c>
      <c r="M868" s="3">
        <f t="shared" si="66"/>
        <v>213759</v>
      </c>
      <c r="N868" s="3">
        <f t="shared" si="67"/>
        <v>9000</v>
      </c>
      <c r="O868" s="3">
        <f t="shared" si="68"/>
        <v>5.8780220998404111</v>
      </c>
      <c r="P868" s="3" t="str">
        <f t="shared" si="69"/>
        <v>Jun</v>
      </c>
      <c r="Q868" s="3" t="str">
        <f t="shared" si="65"/>
        <v>low profit</v>
      </c>
    </row>
    <row r="869" spans="1:17" x14ac:dyDescent="0.25">
      <c r="A869" s="3" t="s">
        <v>1883</v>
      </c>
      <c r="B869" s="4">
        <v>45810</v>
      </c>
      <c r="C869" s="3" t="s">
        <v>2017</v>
      </c>
      <c r="D869" s="3" t="s">
        <v>2037</v>
      </c>
      <c r="E869" s="3" t="s">
        <v>2055</v>
      </c>
      <c r="F869" s="3" t="s">
        <v>2060</v>
      </c>
      <c r="G869" s="3">
        <v>2</v>
      </c>
      <c r="H869" s="3">
        <v>2500</v>
      </c>
      <c r="I869" s="3">
        <v>2875</v>
      </c>
      <c r="J869" s="3">
        <v>0</v>
      </c>
      <c r="K869" s="3">
        <v>5750</v>
      </c>
      <c r="L869" s="3">
        <v>750</v>
      </c>
      <c r="M869" s="3">
        <f t="shared" si="66"/>
        <v>0</v>
      </c>
      <c r="N869" s="3">
        <f t="shared" si="67"/>
        <v>5000</v>
      </c>
      <c r="O869" s="3">
        <f t="shared" si="68"/>
        <v>13.043478260869565</v>
      </c>
      <c r="P869" s="3" t="str">
        <f t="shared" si="69"/>
        <v>Jun</v>
      </c>
      <c r="Q869" s="3" t="str">
        <f t="shared" si="65"/>
        <v>good profit</v>
      </c>
    </row>
    <row r="870" spans="1:17" x14ac:dyDescent="0.25">
      <c r="A870" s="3" t="s">
        <v>68</v>
      </c>
      <c r="B870" s="4">
        <v>45811</v>
      </c>
      <c r="C870" s="3" t="s">
        <v>2029</v>
      </c>
      <c r="D870" s="3" t="s">
        <v>2049</v>
      </c>
      <c r="E870" s="3" t="s">
        <v>2055</v>
      </c>
      <c r="F870" s="3" t="s">
        <v>2061</v>
      </c>
      <c r="G870" s="3">
        <v>6</v>
      </c>
      <c r="H870" s="3">
        <v>1200</v>
      </c>
      <c r="I870" s="3">
        <v>1464</v>
      </c>
      <c r="J870" s="3">
        <v>5.9</v>
      </c>
      <c r="K870" s="3">
        <v>8265.44</v>
      </c>
      <c r="L870" s="3">
        <v>1065.44</v>
      </c>
      <c r="M870" s="3">
        <f t="shared" si="66"/>
        <v>51825.600000000006</v>
      </c>
      <c r="N870" s="3">
        <f t="shared" si="67"/>
        <v>7200</v>
      </c>
      <c r="O870" s="3">
        <f t="shared" si="68"/>
        <v>12.890299850945624</v>
      </c>
      <c r="P870" s="3" t="str">
        <f t="shared" si="69"/>
        <v>Jun</v>
      </c>
      <c r="Q870" s="3" t="str">
        <f t="shared" si="65"/>
        <v>good profit</v>
      </c>
    </row>
    <row r="871" spans="1:17" x14ac:dyDescent="0.25">
      <c r="A871" s="3" t="s">
        <v>423</v>
      </c>
      <c r="B871" s="4">
        <v>45811</v>
      </c>
      <c r="C871" s="3" t="s">
        <v>2013</v>
      </c>
      <c r="D871" s="3" t="s">
        <v>2033</v>
      </c>
      <c r="E871" s="3" t="s">
        <v>2053</v>
      </c>
      <c r="F871" s="3" t="s">
        <v>2061</v>
      </c>
      <c r="G871" s="3">
        <v>6</v>
      </c>
      <c r="H871" s="3">
        <v>6500</v>
      </c>
      <c r="I871" s="3">
        <v>7150</v>
      </c>
      <c r="J871" s="3">
        <v>4.72</v>
      </c>
      <c r="K871" s="3">
        <v>40876.57</v>
      </c>
      <c r="L871" s="3">
        <v>1876.57</v>
      </c>
      <c r="M871" s="3">
        <f t="shared" si="66"/>
        <v>202488</v>
      </c>
      <c r="N871" s="3">
        <f t="shared" si="67"/>
        <v>39000</v>
      </c>
      <c r="O871" s="3">
        <f t="shared" si="68"/>
        <v>4.5908206094591595</v>
      </c>
      <c r="P871" s="3" t="str">
        <f t="shared" si="69"/>
        <v>Jun</v>
      </c>
      <c r="Q871" s="3" t="str">
        <f t="shared" si="65"/>
        <v>low profit</v>
      </c>
    </row>
    <row r="872" spans="1:17" x14ac:dyDescent="0.25">
      <c r="A872" s="3" t="s">
        <v>580</v>
      </c>
      <c r="B872" s="4">
        <v>45811</v>
      </c>
      <c r="C872" s="3" t="s">
        <v>2023</v>
      </c>
      <c r="D872" s="3" t="s">
        <v>2043</v>
      </c>
      <c r="E872" s="3" t="s">
        <v>2053</v>
      </c>
      <c r="F872" s="3" t="s">
        <v>2059</v>
      </c>
      <c r="G872" s="3">
        <v>1</v>
      </c>
      <c r="H872" s="3">
        <v>550</v>
      </c>
      <c r="I872" s="3">
        <v>742.5</v>
      </c>
      <c r="J872" s="3">
        <v>16</v>
      </c>
      <c r="K872" s="3">
        <v>623.71</v>
      </c>
      <c r="L872" s="3">
        <v>73.709999999999994</v>
      </c>
      <c r="M872" s="3">
        <f t="shared" si="66"/>
        <v>11880</v>
      </c>
      <c r="N872" s="3">
        <f t="shared" si="67"/>
        <v>550</v>
      </c>
      <c r="O872" s="3">
        <f t="shared" si="68"/>
        <v>11.817992336181877</v>
      </c>
      <c r="P872" s="3" t="str">
        <f t="shared" si="69"/>
        <v>Jun</v>
      </c>
      <c r="Q872" s="3" t="str">
        <f t="shared" si="65"/>
        <v>good profit</v>
      </c>
    </row>
    <row r="873" spans="1:17" x14ac:dyDescent="0.25">
      <c r="A873" s="3" t="s">
        <v>643</v>
      </c>
      <c r="B873" s="4">
        <v>45811</v>
      </c>
      <c r="C873" s="3" t="s">
        <v>2028</v>
      </c>
      <c r="D873" s="3" t="s">
        <v>2048</v>
      </c>
      <c r="E873" s="3" t="s">
        <v>2057</v>
      </c>
      <c r="F873" s="3" t="s">
        <v>2061</v>
      </c>
      <c r="G873" s="3">
        <v>6</v>
      </c>
      <c r="H873" s="3">
        <v>80</v>
      </c>
      <c r="I873" s="3">
        <v>116</v>
      </c>
      <c r="J873" s="3">
        <v>13.49</v>
      </c>
      <c r="K873" s="3">
        <v>602.13</v>
      </c>
      <c r="L873" s="3">
        <v>122.13</v>
      </c>
      <c r="M873" s="3">
        <f t="shared" si="66"/>
        <v>9389.0400000000009</v>
      </c>
      <c r="N873" s="3">
        <f t="shared" si="67"/>
        <v>480</v>
      </c>
      <c r="O873" s="3">
        <f t="shared" si="68"/>
        <v>20.282995366449104</v>
      </c>
      <c r="P873" s="3" t="str">
        <f t="shared" si="69"/>
        <v>Jun</v>
      </c>
      <c r="Q873" s="3" t="str">
        <f t="shared" si="65"/>
        <v>good profit</v>
      </c>
    </row>
    <row r="874" spans="1:17" x14ac:dyDescent="0.25">
      <c r="A874" s="3" t="s">
        <v>731</v>
      </c>
      <c r="B874" s="4">
        <v>45811</v>
      </c>
      <c r="C874" s="3" t="s">
        <v>2031</v>
      </c>
      <c r="D874" s="3" t="s">
        <v>2051</v>
      </c>
      <c r="E874" s="3" t="s">
        <v>2058</v>
      </c>
      <c r="F874" s="3" t="s">
        <v>2060</v>
      </c>
      <c r="G874" s="3">
        <v>7</v>
      </c>
      <c r="H874" s="3">
        <v>3200</v>
      </c>
      <c r="I874" s="3">
        <v>3840</v>
      </c>
      <c r="J874" s="3">
        <v>16.399999999999999</v>
      </c>
      <c r="K874" s="3">
        <v>22470.97</v>
      </c>
      <c r="L874" s="3">
        <v>70.97</v>
      </c>
      <c r="M874" s="3">
        <f t="shared" si="66"/>
        <v>440831.99999999994</v>
      </c>
      <c r="N874" s="3">
        <f t="shared" si="67"/>
        <v>22400</v>
      </c>
      <c r="O874" s="3">
        <f t="shared" si="68"/>
        <v>0.31582971273603228</v>
      </c>
      <c r="P874" s="3" t="str">
        <f t="shared" si="69"/>
        <v>Jun</v>
      </c>
      <c r="Q874" s="3" t="str">
        <f t="shared" si="65"/>
        <v>low profit</v>
      </c>
    </row>
    <row r="875" spans="1:17" x14ac:dyDescent="0.25">
      <c r="A875" s="3" t="s">
        <v>824</v>
      </c>
      <c r="B875" s="4">
        <v>45811</v>
      </c>
      <c r="C875" s="3" t="s">
        <v>2017</v>
      </c>
      <c r="D875" s="3" t="s">
        <v>2037</v>
      </c>
      <c r="E875" s="3" t="s">
        <v>2055</v>
      </c>
      <c r="F875" s="3" t="s">
        <v>2061</v>
      </c>
      <c r="G875" s="3">
        <v>4</v>
      </c>
      <c r="H875" s="3">
        <v>2500</v>
      </c>
      <c r="I875" s="3">
        <v>2875</v>
      </c>
      <c r="J875" s="3">
        <v>8.49</v>
      </c>
      <c r="K875" s="3">
        <v>10524.21</v>
      </c>
      <c r="L875" s="3">
        <v>524.21</v>
      </c>
      <c r="M875" s="3">
        <f t="shared" si="66"/>
        <v>97635</v>
      </c>
      <c r="N875" s="3">
        <f t="shared" si="67"/>
        <v>10000</v>
      </c>
      <c r="O875" s="3">
        <f t="shared" si="68"/>
        <v>4.9809914473390409</v>
      </c>
      <c r="P875" s="3" t="str">
        <f t="shared" si="69"/>
        <v>Jun</v>
      </c>
      <c r="Q875" s="3" t="str">
        <f t="shared" si="65"/>
        <v>low profit</v>
      </c>
    </row>
    <row r="876" spans="1:17" x14ac:dyDescent="0.25">
      <c r="A876" s="3" t="s">
        <v>1116</v>
      </c>
      <c r="B876" s="4">
        <v>45811</v>
      </c>
      <c r="C876" s="3" t="s">
        <v>2020</v>
      </c>
      <c r="D876" s="3" t="s">
        <v>2040</v>
      </c>
      <c r="E876" s="3" t="s">
        <v>2053</v>
      </c>
      <c r="F876" s="3" t="s">
        <v>2060</v>
      </c>
      <c r="G876" s="3">
        <v>5</v>
      </c>
      <c r="H876" s="3">
        <v>350</v>
      </c>
      <c r="I876" s="3">
        <v>455</v>
      </c>
      <c r="J876" s="3">
        <v>9.93</v>
      </c>
      <c r="K876" s="3">
        <v>2049.1999999999998</v>
      </c>
      <c r="L876" s="3">
        <v>299.2</v>
      </c>
      <c r="M876" s="3">
        <f t="shared" si="66"/>
        <v>22590.75</v>
      </c>
      <c r="N876" s="3">
        <f t="shared" si="67"/>
        <v>1750</v>
      </c>
      <c r="O876" s="3">
        <f t="shared" si="68"/>
        <v>14.600819832129613</v>
      </c>
      <c r="P876" s="3" t="str">
        <f t="shared" si="69"/>
        <v>Jun</v>
      </c>
      <c r="Q876" s="3" t="str">
        <f t="shared" si="65"/>
        <v>good profit</v>
      </c>
    </row>
    <row r="877" spans="1:17" x14ac:dyDescent="0.25">
      <c r="A877" s="3" t="s">
        <v>1211</v>
      </c>
      <c r="B877" s="4">
        <v>45811</v>
      </c>
      <c r="C877" s="3" t="s">
        <v>2022</v>
      </c>
      <c r="D877" s="3" t="s">
        <v>2042</v>
      </c>
      <c r="E877" s="3" t="s">
        <v>2053</v>
      </c>
      <c r="F877" s="3" t="s">
        <v>2059</v>
      </c>
      <c r="G877" s="3">
        <v>10</v>
      </c>
      <c r="H877" s="3">
        <v>8500</v>
      </c>
      <c r="I877" s="3">
        <v>9520</v>
      </c>
      <c r="J877" s="3">
        <v>22.6</v>
      </c>
      <c r="K877" s="3">
        <v>73687.09</v>
      </c>
      <c r="L877" s="3">
        <v>-11312.91</v>
      </c>
      <c r="M877" s="3">
        <f t="shared" si="66"/>
        <v>2151520</v>
      </c>
      <c r="N877" s="3">
        <f t="shared" si="67"/>
        <v>85000</v>
      </c>
      <c r="O877" s="3">
        <f t="shared" si="68"/>
        <v>-15.352635040954935</v>
      </c>
      <c r="P877" s="3" t="str">
        <f t="shared" si="69"/>
        <v>Jun</v>
      </c>
      <c r="Q877" s="3" t="str">
        <f t="shared" si="65"/>
        <v>loss</v>
      </c>
    </row>
    <row r="878" spans="1:17" x14ac:dyDescent="0.25">
      <c r="A878" s="3" t="s">
        <v>1390</v>
      </c>
      <c r="B878" s="4">
        <v>45811</v>
      </c>
      <c r="C878" s="3" t="s">
        <v>2024</v>
      </c>
      <c r="D878" s="3" t="s">
        <v>2044</v>
      </c>
      <c r="E878" s="3" t="s">
        <v>2055</v>
      </c>
      <c r="F878" s="3" t="s">
        <v>2062</v>
      </c>
      <c r="G878" s="3">
        <v>5</v>
      </c>
      <c r="H878" s="3">
        <v>180</v>
      </c>
      <c r="I878" s="3">
        <v>243</v>
      </c>
      <c r="J878" s="3">
        <v>9.57</v>
      </c>
      <c r="K878" s="3">
        <v>1098.78</v>
      </c>
      <c r="L878" s="3">
        <v>198.78</v>
      </c>
      <c r="M878" s="3">
        <f t="shared" si="66"/>
        <v>11627.550000000001</v>
      </c>
      <c r="N878" s="3">
        <f t="shared" si="67"/>
        <v>900</v>
      </c>
      <c r="O878" s="3">
        <f t="shared" si="68"/>
        <v>18.090973625293508</v>
      </c>
      <c r="P878" s="3" t="str">
        <f t="shared" si="69"/>
        <v>Jun</v>
      </c>
      <c r="Q878" s="3" t="str">
        <f t="shared" si="65"/>
        <v>good profit</v>
      </c>
    </row>
    <row r="879" spans="1:17" x14ac:dyDescent="0.25">
      <c r="A879" s="3" t="s">
        <v>1673</v>
      </c>
      <c r="B879" s="4">
        <v>45811</v>
      </c>
      <c r="C879" s="3" t="s">
        <v>2019</v>
      </c>
      <c r="D879" s="3" t="s">
        <v>2039</v>
      </c>
      <c r="E879" s="3" t="s">
        <v>2053</v>
      </c>
      <c r="F879" s="3" t="s">
        <v>2061</v>
      </c>
      <c r="G879" s="3">
        <v>2</v>
      </c>
      <c r="H879" s="3">
        <v>900</v>
      </c>
      <c r="I879" s="3">
        <v>1152</v>
      </c>
      <c r="J879" s="3">
        <v>18.010000000000002</v>
      </c>
      <c r="K879" s="3">
        <v>1889.01</v>
      </c>
      <c r="L879" s="3">
        <v>89.01</v>
      </c>
      <c r="M879" s="3">
        <f t="shared" si="66"/>
        <v>41495.040000000001</v>
      </c>
      <c r="N879" s="3">
        <f t="shared" si="67"/>
        <v>1800</v>
      </c>
      <c r="O879" s="3">
        <f t="shared" si="68"/>
        <v>4.7119919958073275</v>
      </c>
      <c r="P879" s="3" t="str">
        <f t="shared" si="69"/>
        <v>Jun</v>
      </c>
      <c r="Q879" s="3" t="str">
        <f t="shared" si="65"/>
        <v>low profit</v>
      </c>
    </row>
    <row r="880" spans="1:17" x14ac:dyDescent="0.25">
      <c r="A880" s="3" t="s">
        <v>1759</v>
      </c>
      <c r="B880" s="4">
        <v>45811</v>
      </c>
      <c r="C880" s="3" t="s">
        <v>2014</v>
      </c>
      <c r="D880" s="3" t="s">
        <v>2034</v>
      </c>
      <c r="E880" s="3" t="s">
        <v>2052</v>
      </c>
      <c r="F880" s="3" t="s">
        <v>2059</v>
      </c>
      <c r="G880" s="3">
        <v>9</v>
      </c>
      <c r="H880" s="3">
        <v>4500</v>
      </c>
      <c r="I880" s="3">
        <v>5220</v>
      </c>
      <c r="J880" s="3">
        <v>28.92</v>
      </c>
      <c r="K880" s="3">
        <v>33392.26</v>
      </c>
      <c r="L880" s="3">
        <v>-7107.74</v>
      </c>
      <c r="M880" s="3">
        <f t="shared" si="66"/>
        <v>1358661.6</v>
      </c>
      <c r="N880" s="3">
        <f t="shared" si="67"/>
        <v>40500</v>
      </c>
      <c r="O880" s="3">
        <f t="shared" si="68"/>
        <v>-21.285591331643918</v>
      </c>
      <c r="P880" s="3" t="str">
        <f t="shared" si="69"/>
        <v>Jun</v>
      </c>
      <c r="Q880" s="3" t="str">
        <f t="shared" si="65"/>
        <v>loss</v>
      </c>
    </row>
    <row r="881" spans="1:17" x14ac:dyDescent="0.25">
      <c r="A881" s="3" t="s">
        <v>1787</v>
      </c>
      <c r="B881" s="4">
        <v>45811</v>
      </c>
      <c r="C881" s="3" t="s">
        <v>2016</v>
      </c>
      <c r="D881" s="3" t="s">
        <v>2036</v>
      </c>
      <c r="E881" s="3" t="s">
        <v>2052</v>
      </c>
      <c r="F881" s="3" t="s">
        <v>2061</v>
      </c>
      <c r="G881" s="3">
        <v>3</v>
      </c>
      <c r="H881" s="3">
        <v>900</v>
      </c>
      <c r="I881" s="3">
        <v>1170</v>
      </c>
      <c r="J881" s="3">
        <v>17.23</v>
      </c>
      <c r="K881" s="3">
        <v>2905.05</v>
      </c>
      <c r="L881" s="3">
        <v>205.05</v>
      </c>
      <c r="M881" s="3">
        <f t="shared" si="66"/>
        <v>60477.3</v>
      </c>
      <c r="N881" s="3">
        <f t="shared" si="67"/>
        <v>2700</v>
      </c>
      <c r="O881" s="3">
        <f t="shared" si="68"/>
        <v>7.0583983063974802</v>
      </c>
      <c r="P881" s="3" t="str">
        <f t="shared" si="69"/>
        <v>Jun</v>
      </c>
      <c r="Q881" s="3" t="str">
        <f t="shared" si="65"/>
        <v>low profit</v>
      </c>
    </row>
    <row r="882" spans="1:17" x14ac:dyDescent="0.25">
      <c r="A882" s="3" t="s">
        <v>177</v>
      </c>
      <c r="B882" s="4">
        <v>45812</v>
      </c>
      <c r="C882" s="3" t="s">
        <v>2020</v>
      </c>
      <c r="D882" s="3" t="s">
        <v>2040</v>
      </c>
      <c r="E882" s="3" t="s">
        <v>2053</v>
      </c>
      <c r="F882" s="3" t="s">
        <v>2061</v>
      </c>
      <c r="G882" s="3">
        <v>3</v>
      </c>
      <c r="H882" s="3">
        <v>350</v>
      </c>
      <c r="I882" s="3">
        <v>455</v>
      </c>
      <c r="J882" s="3">
        <v>11.77</v>
      </c>
      <c r="K882" s="3">
        <v>1204.3900000000001</v>
      </c>
      <c r="L882" s="3">
        <v>154.38999999999999</v>
      </c>
      <c r="M882" s="3">
        <f t="shared" si="66"/>
        <v>16066.05</v>
      </c>
      <c r="N882" s="3">
        <f t="shared" si="67"/>
        <v>1050</v>
      </c>
      <c r="O882" s="3">
        <f t="shared" si="68"/>
        <v>12.818937387391124</v>
      </c>
      <c r="P882" s="3" t="str">
        <f t="shared" si="69"/>
        <v>Jun</v>
      </c>
      <c r="Q882" s="3" t="str">
        <f t="shared" si="65"/>
        <v>good profit</v>
      </c>
    </row>
    <row r="883" spans="1:17" x14ac:dyDescent="0.25">
      <c r="A883" s="3" t="s">
        <v>1037</v>
      </c>
      <c r="B883" s="4">
        <v>45812</v>
      </c>
      <c r="C883" s="3" t="s">
        <v>2031</v>
      </c>
      <c r="D883" s="3" t="s">
        <v>2051</v>
      </c>
      <c r="E883" s="3" t="s">
        <v>2058</v>
      </c>
      <c r="F883" s="3" t="s">
        <v>2060</v>
      </c>
      <c r="G883" s="3">
        <v>10</v>
      </c>
      <c r="H883" s="3">
        <v>3200</v>
      </c>
      <c r="I883" s="3">
        <v>3840</v>
      </c>
      <c r="J883" s="3">
        <v>21.12</v>
      </c>
      <c r="K883" s="3">
        <v>30290.79</v>
      </c>
      <c r="L883" s="3">
        <v>-1709.21</v>
      </c>
      <c r="M883" s="3">
        <f t="shared" si="66"/>
        <v>811008</v>
      </c>
      <c r="N883" s="3">
        <f t="shared" si="67"/>
        <v>32000</v>
      </c>
      <c r="O883" s="3">
        <f t="shared" si="68"/>
        <v>-5.642672244599761</v>
      </c>
      <c r="P883" s="3" t="str">
        <f t="shared" si="69"/>
        <v>Jun</v>
      </c>
      <c r="Q883" s="3" t="str">
        <f t="shared" si="65"/>
        <v>loss</v>
      </c>
    </row>
    <row r="884" spans="1:17" x14ac:dyDescent="0.25">
      <c r="A884" s="3" t="s">
        <v>1117</v>
      </c>
      <c r="B884" s="4">
        <v>45812</v>
      </c>
      <c r="C884" s="3" t="s">
        <v>2021</v>
      </c>
      <c r="D884" s="3" t="s">
        <v>2041</v>
      </c>
      <c r="E884" s="3" t="s">
        <v>2056</v>
      </c>
      <c r="F884" s="3" t="s">
        <v>2060</v>
      </c>
      <c r="G884" s="3">
        <v>6</v>
      </c>
      <c r="H884" s="3">
        <v>300</v>
      </c>
      <c r="I884" s="3">
        <v>405</v>
      </c>
      <c r="J884" s="3">
        <v>0.5</v>
      </c>
      <c r="K884" s="3">
        <v>2417.7800000000002</v>
      </c>
      <c r="L884" s="3">
        <v>617.78</v>
      </c>
      <c r="M884" s="3">
        <f t="shared" si="66"/>
        <v>1215</v>
      </c>
      <c r="N884" s="3">
        <f t="shared" si="67"/>
        <v>1800</v>
      </c>
      <c r="O884" s="3">
        <f t="shared" si="68"/>
        <v>25.551539015129578</v>
      </c>
      <c r="P884" s="3" t="str">
        <f t="shared" si="69"/>
        <v>Jun</v>
      </c>
      <c r="Q884" s="3" t="str">
        <f t="shared" si="65"/>
        <v>good profit</v>
      </c>
    </row>
    <row r="885" spans="1:17" x14ac:dyDescent="0.25">
      <c r="A885" s="3" t="s">
        <v>1719</v>
      </c>
      <c r="B885" s="4">
        <v>45812</v>
      </c>
      <c r="C885" s="3" t="s">
        <v>2021</v>
      </c>
      <c r="D885" s="3" t="s">
        <v>2041</v>
      </c>
      <c r="E885" s="3" t="s">
        <v>2056</v>
      </c>
      <c r="F885" s="3" t="s">
        <v>2059</v>
      </c>
      <c r="G885" s="3">
        <v>3</v>
      </c>
      <c r="H885" s="3">
        <v>300</v>
      </c>
      <c r="I885" s="3">
        <v>405</v>
      </c>
      <c r="J885" s="3">
        <v>16.04</v>
      </c>
      <c r="K885" s="3">
        <v>1020.14</v>
      </c>
      <c r="L885" s="3">
        <v>120.14</v>
      </c>
      <c r="M885" s="3">
        <f t="shared" si="66"/>
        <v>19488.599999999999</v>
      </c>
      <c r="N885" s="3">
        <f t="shared" si="67"/>
        <v>900</v>
      </c>
      <c r="O885" s="3">
        <f t="shared" si="68"/>
        <v>11.776814946968063</v>
      </c>
      <c r="P885" s="3" t="str">
        <f t="shared" si="69"/>
        <v>Jun</v>
      </c>
      <c r="Q885" s="3" t="str">
        <f t="shared" si="65"/>
        <v>good profit</v>
      </c>
    </row>
    <row r="886" spans="1:17" x14ac:dyDescent="0.25">
      <c r="A886" s="3" t="s">
        <v>1729</v>
      </c>
      <c r="B886" s="4">
        <v>45812</v>
      </c>
      <c r="C886" s="3" t="s">
        <v>2024</v>
      </c>
      <c r="D886" s="3" t="s">
        <v>2044</v>
      </c>
      <c r="E886" s="3" t="s">
        <v>2055</v>
      </c>
      <c r="F886" s="3" t="s">
        <v>2059</v>
      </c>
      <c r="G886" s="3">
        <v>6</v>
      </c>
      <c r="H886" s="3">
        <v>180</v>
      </c>
      <c r="I886" s="3">
        <v>243</v>
      </c>
      <c r="J886" s="3">
        <v>3.5</v>
      </c>
      <c r="K886" s="3">
        <v>1407</v>
      </c>
      <c r="L886" s="3">
        <v>327</v>
      </c>
      <c r="M886" s="3">
        <f t="shared" si="66"/>
        <v>5103</v>
      </c>
      <c r="N886" s="3">
        <f t="shared" si="67"/>
        <v>1080</v>
      </c>
      <c r="O886" s="3">
        <f t="shared" si="68"/>
        <v>23.240938166311302</v>
      </c>
      <c r="P886" s="3" t="str">
        <f t="shared" si="69"/>
        <v>Jun</v>
      </c>
      <c r="Q886" s="3" t="str">
        <f t="shared" si="65"/>
        <v>good profit</v>
      </c>
    </row>
    <row r="887" spans="1:17" x14ac:dyDescent="0.25">
      <c r="A887" s="3" t="s">
        <v>152</v>
      </c>
      <c r="B887" s="4">
        <v>45813</v>
      </c>
      <c r="C887" s="3" t="s">
        <v>2015</v>
      </c>
      <c r="D887" s="3" t="s">
        <v>2035</v>
      </c>
      <c r="E887" s="3" t="s">
        <v>2054</v>
      </c>
      <c r="F887" s="3" t="s">
        <v>2060</v>
      </c>
      <c r="G887" s="3">
        <v>9</v>
      </c>
      <c r="H887" s="3">
        <v>900</v>
      </c>
      <c r="I887" s="3">
        <v>1170</v>
      </c>
      <c r="J887" s="3">
        <v>13.22</v>
      </c>
      <c r="K887" s="3">
        <v>9137.61</v>
      </c>
      <c r="L887" s="3">
        <v>1037.6099999999999</v>
      </c>
      <c r="M887" s="3">
        <f t="shared" si="66"/>
        <v>139206.6</v>
      </c>
      <c r="N887" s="3">
        <f t="shared" si="67"/>
        <v>8100</v>
      </c>
      <c r="O887" s="3">
        <f t="shared" si="68"/>
        <v>11.35537629642762</v>
      </c>
      <c r="P887" s="3" t="str">
        <f t="shared" si="69"/>
        <v>Jun</v>
      </c>
      <c r="Q887" s="3" t="str">
        <f t="shared" si="65"/>
        <v>good profit</v>
      </c>
    </row>
    <row r="888" spans="1:17" x14ac:dyDescent="0.25">
      <c r="A888" s="3" t="s">
        <v>748</v>
      </c>
      <c r="B888" s="4">
        <v>45813</v>
      </c>
      <c r="C888" s="3" t="s">
        <v>2020</v>
      </c>
      <c r="D888" s="3" t="s">
        <v>2040</v>
      </c>
      <c r="E888" s="3" t="s">
        <v>2053</v>
      </c>
      <c r="F888" s="3" t="s">
        <v>2061</v>
      </c>
      <c r="G888" s="3">
        <v>3</v>
      </c>
      <c r="H888" s="3">
        <v>350</v>
      </c>
      <c r="I888" s="3">
        <v>455</v>
      </c>
      <c r="J888" s="3">
        <v>17.7</v>
      </c>
      <c r="K888" s="3">
        <v>1123.3699999999999</v>
      </c>
      <c r="L888" s="3">
        <v>73.37</v>
      </c>
      <c r="M888" s="3">
        <f t="shared" si="66"/>
        <v>24160.5</v>
      </c>
      <c r="N888" s="3">
        <f t="shared" si="67"/>
        <v>1050</v>
      </c>
      <c r="O888" s="3">
        <f t="shared" si="68"/>
        <v>6.5312408200325818</v>
      </c>
      <c r="P888" s="3" t="str">
        <f t="shared" si="69"/>
        <v>Jun</v>
      </c>
      <c r="Q888" s="3" t="str">
        <f t="shared" si="65"/>
        <v>low profit</v>
      </c>
    </row>
    <row r="889" spans="1:17" x14ac:dyDescent="0.25">
      <c r="A889" s="3" t="s">
        <v>775</v>
      </c>
      <c r="B889" s="4">
        <v>45813</v>
      </c>
      <c r="C889" s="3" t="s">
        <v>2019</v>
      </c>
      <c r="D889" s="3" t="s">
        <v>2039</v>
      </c>
      <c r="E889" s="3" t="s">
        <v>2053</v>
      </c>
      <c r="F889" s="3" t="s">
        <v>2059</v>
      </c>
      <c r="G889" s="3">
        <v>1</v>
      </c>
      <c r="H889" s="3">
        <v>900</v>
      </c>
      <c r="I889" s="3">
        <v>1152</v>
      </c>
      <c r="J889" s="3">
        <v>13.96</v>
      </c>
      <c r="K889" s="3">
        <v>991.18</v>
      </c>
      <c r="L889" s="3">
        <v>91.18</v>
      </c>
      <c r="M889" s="3">
        <f t="shared" si="66"/>
        <v>16081.920000000002</v>
      </c>
      <c r="N889" s="3">
        <f t="shared" si="67"/>
        <v>900</v>
      </c>
      <c r="O889" s="3">
        <f t="shared" si="68"/>
        <v>9.1991363828971533</v>
      </c>
      <c r="P889" s="3" t="str">
        <f t="shared" si="69"/>
        <v>Jun</v>
      </c>
      <c r="Q889" s="3" t="str">
        <f t="shared" si="65"/>
        <v>low profit</v>
      </c>
    </row>
    <row r="890" spans="1:17" x14ac:dyDescent="0.25">
      <c r="A890" s="3" t="s">
        <v>1072</v>
      </c>
      <c r="B890" s="4">
        <v>45813</v>
      </c>
      <c r="C890" s="3" t="s">
        <v>2016</v>
      </c>
      <c r="D890" s="3" t="s">
        <v>2036</v>
      </c>
      <c r="E890" s="3" t="s">
        <v>2052</v>
      </c>
      <c r="F890" s="3" t="s">
        <v>2062</v>
      </c>
      <c r="G890" s="3">
        <v>9</v>
      </c>
      <c r="H890" s="3">
        <v>900</v>
      </c>
      <c r="I890" s="3">
        <v>1170</v>
      </c>
      <c r="J890" s="3">
        <v>17.75</v>
      </c>
      <c r="K890" s="3">
        <v>8660.61</v>
      </c>
      <c r="L890" s="3">
        <v>560.61</v>
      </c>
      <c r="M890" s="3">
        <f t="shared" si="66"/>
        <v>186907.5</v>
      </c>
      <c r="N890" s="3">
        <f t="shared" si="67"/>
        <v>8100</v>
      </c>
      <c r="O890" s="3">
        <f t="shared" si="68"/>
        <v>6.4731006245518499</v>
      </c>
      <c r="P890" s="3" t="str">
        <f t="shared" si="69"/>
        <v>Jun</v>
      </c>
      <c r="Q890" s="3" t="str">
        <f t="shared" si="65"/>
        <v>low profit</v>
      </c>
    </row>
    <row r="891" spans="1:17" x14ac:dyDescent="0.25">
      <c r="A891" s="3" t="s">
        <v>1087</v>
      </c>
      <c r="B891" s="4">
        <v>45813</v>
      </c>
      <c r="C891" s="3" t="s">
        <v>2013</v>
      </c>
      <c r="D891" s="3" t="s">
        <v>2033</v>
      </c>
      <c r="E891" s="3" t="s">
        <v>2053</v>
      </c>
      <c r="F891" s="3" t="s">
        <v>2061</v>
      </c>
      <c r="G891" s="3">
        <v>7</v>
      </c>
      <c r="H891" s="3">
        <v>6500</v>
      </c>
      <c r="I891" s="3">
        <v>7150</v>
      </c>
      <c r="J891" s="3">
        <v>4</v>
      </c>
      <c r="K891" s="3">
        <v>48048</v>
      </c>
      <c r="L891" s="3">
        <v>2548</v>
      </c>
      <c r="M891" s="3">
        <f t="shared" si="66"/>
        <v>200200</v>
      </c>
      <c r="N891" s="3">
        <f t="shared" si="67"/>
        <v>45500</v>
      </c>
      <c r="O891" s="3">
        <f t="shared" si="68"/>
        <v>5.3030303030303028</v>
      </c>
      <c r="P891" s="3" t="str">
        <f t="shared" si="69"/>
        <v>Jun</v>
      </c>
      <c r="Q891" s="3" t="str">
        <f t="shared" si="65"/>
        <v>low profit</v>
      </c>
    </row>
    <row r="892" spans="1:17" x14ac:dyDescent="0.25">
      <c r="A892" s="3" t="s">
        <v>1403</v>
      </c>
      <c r="B892" s="4">
        <v>45813</v>
      </c>
      <c r="C892" s="3" t="s">
        <v>2017</v>
      </c>
      <c r="D892" s="3" t="s">
        <v>2037</v>
      </c>
      <c r="E892" s="3" t="s">
        <v>2055</v>
      </c>
      <c r="F892" s="3" t="s">
        <v>2060</v>
      </c>
      <c r="G892" s="3">
        <v>5</v>
      </c>
      <c r="H892" s="3">
        <v>2500</v>
      </c>
      <c r="I892" s="3">
        <v>2875</v>
      </c>
      <c r="J892" s="3">
        <v>6.1</v>
      </c>
      <c r="K892" s="3">
        <v>13497.98</v>
      </c>
      <c r="L892" s="3">
        <v>997.98</v>
      </c>
      <c r="M892" s="3">
        <f t="shared" si="66"/>
        <v>87687.5</v>
      </c>
      <c r="N892" s="3">
        <f t="shared" si="67"/>
        <v>12500</v>
      </c>
      <c r="O892" s="3">
        <f t="shared" si="68"/>
        <v>7.3935507387031247</v>
      </c>
      <c r="P892" s="3" t="str">
        <f t="shared" si="69"/>
        <v>Jun</v>
      </c>
      <c r="Q892" s="3" t="str">
        <f t="shared" si="65"/>
        <v>low profit</v>
      </c>
    </row>
    <row r="893" spans="1:17" x14ac:dyDescent="0.25">
      <c r="A893" s="3" t="s">
        <v>1526</v>
      </c>
      <c r="B893" s="4">
        <v>45813</v>
      </c>
      <c r="C893" s="3" t="s">
        <v>2021</v>
      </c>
      <c r="D893" s="3" t="s">
        <v>2041</v>
      </c>
      <c r="E893" s="3" t="s">
        <v>2056</v>
      </c>
      <c r="F893" s="3" t="s">
        <v>2059</v>
      </c>
      <c r="G893" s="3">
        <v>4</v>
      </c>
      <c r="H893" s="3">
        <v>300</v>
      </c>
      <c r="I893" s="3">
        <v>405</v>
      </c>
      <c r="J893" s="3">
        <v>0</v>
      </c>
      <c r="K893" s="3">
        <v>1620</v>
      </c>
      <c r="L893" s="3">
        <v>420</v>
      </c>
      <c r="M893" s="3">
        <f t="shared" si="66"/>
        <v>0</v>
      </c>
      <c r="N893" s="3">
        <f t="shared" si="67"/>
        <v>1200</v>
      </c>
      <c r="O893" s="3">
        <f t="shared" si="68"/>
        <v>25.925925925925924</v>
      </c>
      <c r="P893" s="3" t="str">
        <f t="shared" si="69"/>
        <v>Jun</v>
      </c>
      <c r="Q893" s="3" t="str">
        <f t="shared" si="65"/>
        <v>good profit</v>
      </c>
    </row>
    <row r="894" spans="1:17" x14ac:dyDescent="0.25">
      <c r="A894" s="3" t="s">
        <v>1653</v>
      </c>
      <c r="B894" s="4">
        <v>45813</v>
      </c>
      <c r="C894" s="3" t="s">
        <v>2028</v>
      </c>
      <c r="D894" s="3" t="s">
        <v>2048</v>
      </c>
      <c r="E894" s="3" t="s">
        <v>2057</v>
      </c>
      <c r="F894" s="3" t="s">
        <v>2061</v>
      </c>
      <c r="G894" s="3">
        <v>1</v>
      </c>
      <c r="H894" s="3">
        <v>80</v>
      </c>
      <c r="I894" s="3">
        <v>116</v>
      </c>
      <c r="J894" s="3">
        <v>15.96</v>
      </c>
      <c r="K894" s="3">
        <v>97.49</v>
      </c>
      <c r="L894" s="3">
        <v>17.489999999999998</v>
      </c>
      <c r="M894" s="3">
        <f t="shared" si="66"/>
        <v>1851.3600000000001</v>
      </c>
      <c r="N894" s="3">
        <f t="shared" si="67"/>
        <v>80</v>
      </c>
      <c r="O894" s="3">
        <f t="shared" si="68"/>
        <v>17.940301569391732</v>
      </c>
      <c r="P894" s="3" t="str">
        <f t="shared" si="69"/>
        <v>Jun</v>
      </c>
      <c r="Q894" s="3" t="str">
        <f t="shared" si="65"/>
        <v>good profit</v>
      </c>
    </row>
    <row r="895" spans="1:17" x14ac:dyDescent="0.25">
      <c r="A895" s="3" t="s">
        <v>1707</v>
      </c>
      <c r="B895" s="4">
        <v>45813</v>
      </c>
      <c r="C895" s="3" t="s">
        <v>2019</v>
      </c>
      <c r="D895" s="3" t="s">
        <v>2039</v>
      </c>
      <c r="E895" s="3" t="s">
        <v>2053</v>
      </c>
      <c r="F895" s="3" t="s">
        <v>2061</v>
      </c>
      <c r="G895" s="3">
        <v>6</v>
      </c>
      <c r="H895" s="3">
        <v>900</v>
      </c>
      <c r="I895" s="3">
        <v>1152</v>
      </c>
      <c r="J895" s="3">
        <v>6.82</v>
      </c>
      <c r="K895" s="3">
        <v>6440.29</v>
      </c>
      <c r="L895" s="3">
        <v>1040.29</v>
      </c>
      <c r="M895" s="3">
        <f t="shared" si="66"/>
        <v>47139.840000000004</v>
      </c>
      <c r="N895" s="3">
        <f t="shared" si="67"/>
        <v>5400</v>
      </c>
      <c r="O895" s="3">
        <f t="shared" si="68"/>
        <v>16.152844048948108</v>
      </c>
      <c r="P895" s="3" t="str">
        <f t="shared" si="69"/>
        <v>Jun</v>
      </c>
      <c r="Q895" s="3" t="str">
        <f t="shared" si="65"/>
        <v>good profit</v>
      </c>
    </row>
    <row r="896" spans="1:17" x14ac:dyDescent="0.25">
      <c r="A896" s="3" t="s">
        <v>908</v>
      </c>
      <c r="B896" s="4">
        <v>45814</v>
      </c>
      <c r="C896" s="3" t="s">
        <v>2030</v>
      </c>
      <c r="D896" s="3" t="s">
        <v>2050</v>
      </c>
      <c r="E896" s="3" t="s">
        <v>2058</v>
      </c>
      <c r="F896" s="3" t="s">
        <v>2061</v>
      </c>
      <c r="G896" s="3">
        <v>6</v>
      </c>
      <c r="H896" s="3">
        <v>1800</v>
      </c>
      <c r="I896" s="3">
        <v>2124</v>
      </c>
      <c r="J896" s="3">
        <v>9.2100000000000009</v>
      </c>
      <c r="K896" s="3">
        <v>11569.75</v>
      </c>
      <c r="L896" s="3">
        <v>769.75</v>
      </c>
      <c r="M896" s="3">
        <f t="shared" si="66"/>
        <v>117372.24</v>
      </c>
      <c r="N896" s="3">
        <f t="shared" si="67"/>
        <v>10800</v>
      </c>
      <c r="O896" s="3">
        <f t="shared" si="68"/>
        <v>6.6531256077270466</v>
      </c>
      <c r="P896" s="3" t="str">
        <f t="shared" si="69"/>
        <v>Jun</v>
      </c>
      <c r="Q896" s="3" t="str">
        <f t="shared" si="65"/>
        <v>low profit</v>
      </c>
    </row>
    <row r="897" spans="1:17" x14ac:dyDescent="0.25">
      <c r="A897" s="3" t="s">
        <v>1096</v>
      </c>
      <c r="B897" s="4">
        <v>45814</v>
      </c>
      <c r="C897" s="3" t="s">
        <v>2017</v>
      </c>
      <c r="D897" s="3" t="s">
        <v>2037</v>
      </c>
      <c r="E897" s="3" t="s">
        <v>2055</v>
      </c>
      <c r="F897" s="3" t="s">
        <v>2061</v>
      </c>
      <c r="G897" s="3">
        <v>5</v>
      </c>
      <c r="H897" s="3">
        <v>2500</v>
      </c>
      <c r="I897" s="3">
        <v>2875</v>
      </c>
      <c r="J897" s="3">
        <v>10.93</v>
      </c>
      <c r="K897" s="3">
        <v>12804.33</v>
      </c>
      <c r="L897" s="3">
        <v>304.33</v>
      </c>
      <c r="M897" s="3">
        <f t="shared" si="66"/>
        <v>157118.75</v>
      </c>
      <c r="N897" s="3">
        <f t="shared" si="67"/>
        <v>12500</v>
      </c>
      <c r="O897" s="3">
        <f t="shared" si="68"/>
        <v>2.3767741068841555</v>
      </c>
      <c r="P897" s="3" t="str">
        <f t="shared" si="69"/>
        <v>Jun</v>
      </c>
      <c r="Q897" s="3" t="str">
        <f t="shared" si="65"/>
        <v>low profit</v>
      </c>
    </row>
    <row r="898" spans="1:17" x14ac:dyDescent="0.25">
      <c r="A898" s="3" t="s">
        <v>1402</v>
      </c>
      <c r="B898" s="4">
        <v>45814</v>
      </c>
      <c r="C898" s="3" t="s">
        <v>2022</v>
      </c>
      <c r="D898" s="3" t="s">
        <v>2042</v>
      </c>
      <c r="E898" s="3" t="s">
        <v>2053</v>
      </c>
      <c r="F898" s="3" t="s">
        <v>2059</v>
      </c>
      <c r="G898" s="3">
        <v>4</v>
      </c>
      <c r="H898" s="3">
        <v>8500</v>
      </c>
      <c r="I898" s="3">
        <v>9520</v>
      </c>
      <c r="J898" s="3">
        <v>4</v>
      </c>
      <c r="K898" s="3">
        <v>36556.800000000003</v>
      </c>
      <c r="L898" s="3">
        <v>2556.8000000000002</v>
      </c>
      <c r="M898" s="3">
        <f t="shared" si="66"/>
        <v>152320</v>
      </c>
      <c r="N898" s="3">
        <f t="shared" si="67"/>
        <v>34000</v>
      </c>
      <c r="O898" s="3">
        <f t="shared" si="68"/>
        <v>6.9940476190476195</v>
      </c>
      <c r="P898" s="3" t="str">
        <f t="shared" si="69"/>
        <v>Jun</v>
      </c>
      <c r="Q898" s="3" t="str">
        <f t="shared" ref="Q898:Q961" si="70">IF(L898&lt;0,"loss",IF(O898&lt;10,"low profit","good profit"))</f>
        <v>low profit</v>
      </c>
    </row>
    <row r="899" spans="1:17" x14ac:dyDescent="0.25">
      <c r="A899" s="3" t="s">
        <v>1568</v>
      </c>
      <c r="B899" s="4">
        <v>45814</v>
      </c>
      <c r="C899" s="3" t="s">
        <v>2016</v>
      </c>
      <c r="D899" s="3" t="s">
        <v>2036</v>
      </c>
      <c r="E899" s="3" t="s">
        <v>2052</v>
      </c>
      <c r="F899" s="3" t="s">
        <v>2059</v>
      </c>
      <c r="G899" s="3">
        <v>2</v>
      </c>
      <c r="H899" s="3">
        <v>900</v>
      </c>
      <c r="I899" s="3">
        <v>1170</v>
      </c>
      <c r="J899" s="3">
        <v>23.2</v>
      </c>
      <c r="K899" s="3">
        <v>1797.07</v>
      </c>
      <c r="L899" s="3">
        <v>-2.93</v>
      </c>
      <c r="M899" s="3">
        <f t="shared" ref="M899:M962" si="71">G899*I899*J899</f>
        <v>54288</v>
      </c>
      <c r="N899" s="3">
        <f t="shared" ref="N899:N962" si="72">G899*H899</f>
        <v>1800</v>
      </c>
      <c r="O899" s="3">
        <f t="shared" ref="O899:O962" si="73">IFERROR(L899/K899*100,0)</f>
        <v>-0.16304317583622233</v>
      </c>
      <c r="P899" s="3" t="str">
        <f t="shared" ref="P899:P962" si="74">TEXT(B899,"mmm")</f>
        <v>Jun</v>
      </c>
      <c r="Q899" s="3" t="str">
        <f t="shared" si="70"/>
        <v>loss</v>
      </c>
    </row>
    <row r="900" spans="1:17" x14ac:dyDescent="0.25">
      <c r="A900" s="3" t="s">
        <v>24</v>
      </c>
      <c r="B900" s="4">
        <v>45815</v>
      </c>
      <c r="C900" s="3" t="s">
        <v>2020</v>
      </c>
      <c r="D900" s="3" t="s">
        <v>2040</v>
      </c>
      <c r="E900" s="3" t="s">
        <v>2053</v>
      </c>
      <c r="F900" s="3" t="s">
        <v>2061</v>
      </c>
      <c r="G900" s="3">
        <v>1</v>
      </c>
      <c r="H900" s="3">
        <v>350</v>
      </c>
      <c r="I900" s="3">
        <v>455</v>
      </c>
      <c r="J900" s="3">
        <v>4.0999999999999996</v>
      </c>
      <c r="K900" s="3">
        <v>436.33</v>
      </c>
      <c r="L900" s="3">
        <v>86.33</v>
      </c>
      <c r="M900" s="3">
        <f t="shared" si="71"/>
        <v>1865.4999999999998</v>
      </c>
      <c r="N900" s="3">
        <f t="shared" si="72"/>
        <v>350</v>
      </c>
      <c r="O900" s="3">
        <f t="shared" si="73"/>
        <v>19.785483464350378</v>
      </c>
      <c r="P900" s="3" t="str">
        <f t="shared" si="74"/>
        <v>Jun</v>
      </c>
      <c r="Q900" s="3" t="str">
        <f t="shared" si="70"/>
        <v>good profit</v>
      </c>
    </row>
    <row r="901" spans="1:17" x14ac:dyDescent="0.25">
      <c r="A901" s="3" t="s">
        <v>84</v>
      </c>
      <c r="B901" s="4">
        <v>45815</v>
      </c>
      <c r="C901" s="3" t="s">
        <v>2028</v>
      </c>
      <c r="D901" s="3" t="s">
        <v>2048</v>
      </c>
      <c r="E901" s="3" t="s">
        <v>2057</v>
      </c>
      <c r="F901" s="3" t="s">
        <v>2060</v>
      </c>
      <c r="G901" s="3">
        <v>1</v>
      </c>
      <c r="H901" s="3">
        <v>80</v>
      </c>
      <c r="I901" s="3">
        <v>116</v>
      </c>
      <c r="J901" s="3">
        <v>5.68</v>
      </c>
      <c r="K901" s="3">
        <v>109.42</v>
      </c>
      <c r="L901" s="3">
        <v>29.42</v>
      </c>
      <c r="M901" s="3">
        <f t="shared" si="71"/>
        <v>658.88</v>
      </c>
      <c r="N901" s="3">
        <f t="shared" si="72"/>
        <v>80</v>
      </c>
      <c r="O901" s="3">
        <f t="shared" si="73"/>
        <v>26.887223542314022</v>
      </c>
      <c r="P901" s="3" t="str">
        <f t="shared" si="74"/>
        <v>Jun</v>
      </c>
      <c r="Q901" s="3" t="str">
        <f t="shared" si="70"/>
        <v>good profit</v>
      </c>
    </row>
    <row r="902" spans="1:17" x14ac:dyDescent="0.25">
      <c r="A902" s="3" t="s">
        <v>86</v>
      </c>
      <c r="B902" s="4">
        <v>45815</v>
      </c>
      <c r="C902" s="3" t="s">
        <v>2031</v>
      </c>
      <c r="D902" s="3" t="s">
        <v>2051</v>
      </c>
      <c r="E902" s="3" t="s">
        <v>2058</v>
      </c>
      <c r="F902" s="3" t="s">
        <v>2061</v>
      </c>
      <c r="G902" s="3">
        <v>4</v>
      </c>
      <c r="H902" s="3">
        <v>3200</v>
      </c>
      <c r="I902" s="3">
        <v>3840</v>
      </c>
      <c r="J902" s="3">
        <v>16.7</v>
      </c>
      <c r="K902" s="3">
        <v>12794.57</v>
      </c>
      <c r="L902" s="3">
        <v>-5.43</v>
      </c>
      <c r="M902" s="3">
        <f t="shared" si="71"/>
        <v>256512</v>
      </c>
      <c r="N902" s="3">
        <f t="shared" si="72"/>
        <v>12800</v>
      </c>
      <c r="O902" s="3">
        <f t="shared" si="73"/>
        <v>-4.243987879233143E-2</v>
      </c>
      <c r="P902" s="3" t="str">
        <f t="shared" si="74"/>
        <v>Jun</v>
      </c>
      <c r="Q902" s="3" t="str">
        <f t="shared" si="70"/>
        <v>loss</v>
      </c>
    </row>
    <row r="903" spans="1:17" x14ac:dyDescent="0.25">
      <c r="A903" s="3" t="s">
        <v>449</v>
      </c>
      <c r="B903" s="4">
        <v>45815</v>
      </c>
      <c r="C903" s="3" t="s">
        <v>2025</v>
      </c>
      <c r="D903" s="3" t="s">
        <v>2045</v>
      </c>
      <c r="E903" s="3" t="s">
        <v>2057</v>
      </c>
      <c r="F903" s="3" t="s">
        <v>2062</v>
      </c>
      <c r="G903" s="3">
        <v>2</v>
      </c>
      <c r="H903" s="3">
        <v>45</v>
      </c>
      <c r="I903" s="3">
        <v>63</v>
      </c>
      <c r="J903" s="3">
        <v>6.2</v>
      </c>
      <c r="K903" s="3">
        <v>118.18</v>
      </c>
      <c r="L903" s="3">
        <v>28.18</v>
      </c>
      <c r="M903" s="3">
        <f t="shared" si="71"/>
        <v>781.2</v>
      </c>
      <c r="N903" s="3">
        <f t="shared" si="72"/>
        <v>90</v>
      </c>
      <c r="O903" s="3">
        <f t="shared" si="73"/>
        <v>23.844982230495852</v>
      </c>
      <c r="P903" s="3" t="str">
        <f t="shared" si="74"/>
        <v>Jun</v>
      </c>
      <c r="Q903" s="3" t="str">
        <f t="shared" si="70"/>
        <v>good profit</v>
      </c>
    </row>
    <row r="904" spans="1:17" x14ac:dyDescent="0.25">
      <c r="A904" s="3" t="s">
        <v>715</v>
      </c>
      <c r="B904" s="4">
        <v>45815</v>
      </c>
      <c r="C904" s="3" t="s">
        <v>2019</v>
      </c>
      <c r="D904" s="3" t="s">
        <v>2039</v>
      </c>
      <c r="E904" s="3" t="s">
        <v>2053</v>
      </c>
      <c r="F904" s="3" t="s">
        <v>2059</v>
      </c>
      <c r="G904" s="3">
        <v>4</v>
      </c>
      <c r="H904" s="3">
        <v>900</v>
      </c>
      <c r="I904" s="3">
        <v>1152</v>
      </c>
      <c r="J904" s="3">
        <v>8.73</v>
      </c>
      <c r="K904" s="3">
        <v>4205.79</v>
      </c>
      <c r="L904" s="3">
        <v>605.79</v>
      </c>
      <c r="M904" s="3">
        <f t="shared" si="71"/>
        <v>40227.840000000004</v>
      </c>
      <c r="N904" s="3">
        <f t="shared" si="72"/>
        <v>3600</v>
      </c>
      <c r="O904" s="3">
        <f t="shared" si="73"/>
        <v>14.403714878774259</v>
      </c>
      <c r="P904" s="3" t="str">
        <f t="shared" si="74"/>
        <v>Jun</v>
      </c>
      <c r="Q904" s="3" t="str">
        <f t="shared" si="70"/>
        <v>good profit</v>
      </c>
    </row>
    <row r="905" spans="1:17" x14ac:dyDescent="0.25">
      <c r="A905" s="3" t="s">
        <v>872</v>
      </c>
      <c r="B905" s="4">
        <v>45815</v>
      </c>
      <c r="C905" s="3" t="s">
        <v>2015</v>
      </c>
      <c r="D905" s="3" t="s">
        <v>2035</v>
      </c>
      <c r="E905" s="3" t="s">
        <v>2054</v>
      </c>
      <c r="F905" s="3" t="s">
        <v>2061</v>
      </c>
      <c r="G905" s="3">
        <v>7</v>
      </c>
      <c r="H905" s="3">
        <v>900</v>
      </c>
      <c r="I905" s="3">
        <v>1170</v>
      </c>
      <c r="J905" s="3">
        <v>6.65</v>
      </c>
      <c r="K905" s="3">
        <v>7645.6</v>
      </c>
      <c r="L905" s="3">
        <v>1345.6</v>
      </c>
      <c r="M905" s="3">
        <f t="shared" si="71"/>
        <v>54463.5</v>
      </c>
      <c r="N905" s="3">
        <f t="shared" si="72"/>
        <v>6300</v>
      </c>
      <c r="O905" s="3">
        <f t="shared" si="73"/>
        <v>17.599665166893374</v>
      </c>
      <c r="P905" s="3" t="str">
        <f t="shared" si="74"/>
        <v>Jun</v>
      </c>
      <c r="Q905" s="3" t="str">
        <f t="shared" si="70"/>
        <v>good profit</v>
      </c>
    </row>
    <row r="906" spans="1:17" x14ac:dyDescent="0.25">
      <c r="A906" s="3" t="s">
        <v>1002</v>
      </c>
      <c r="B906" s="4">
        <v>45815</v>
      </c>
      <c r="C906" s="3" t="s">
        <v>2028</v>
      </c>
      <c r="D906" s="3" t="s">
        <v>2048</v>
      </c>
      <c r="E906" s="3" t="s">
        <v>2057</v>
      </c>
      <c r="F906" s="3" t="s">
        <v>2061</v>
      </c>
      <c r="G906" s="3">
        <v>1</v>
      </c>
      <c r="H906" s="3">
        <v>80</v>
      </c>
      <c r="I906" s="3">
        <v>116</v>
      </c>
      <c r="J906" s="3">
        <v>12.05</v>
      </c>
      <c r="K906" s="3">
        <v>102.02</v>
      </c>
      <c r="L906" s="3">
        <v>22.02</v>
      </c>
      <c r="M906" s="3">
        <f t="shared" si="71"/>
        <v>1397.8000000000002</v>
      </c>
      <c r="N906" s="3">
        <f t="shared" si="72"/>
        <v>80</v>
      </c>
      <c r="O906" s="3">
        <f t="shared" si="73"/>
        <v>21.584003136639875</v>
      </c>
      <c r="P906" s="3" t="str">
        <f t="shared" si="74"/>
        <v>Jun</v>
      </c>
      <c r="Q906" s="3" t="str">
        <f t="shared" si="70"/>
        <v>good profit</v>
      </c>
    </row>
    <row r="907" spans="1:17" x14ac:dyDescent="0.25">
      <c r="A907" s="3" t="s">
        <v>1346</v>
      </c>
      <c r="B907" s="4">
        <v>45815</v>
      </c>
      <c r="C907" s="3" t="s">
        <v>2019</v>
      </c>
      <c r="D907" s="3" t="s">
        <v>2039</v>
      </c>
      <c r="E907" s="3" t="s">
        <v>2053</v>
      </c>
      <c r="F907" s="3" t="s">
        <v>2060</v>
      </c>
      <c r="G907" s="3">
        <v>1</v>
      </c>
      <c r="H907" s="3">
        <v>900</v>
      </c>
      <c r="I907" s="3">
        <v>1152</v>
      </c>
      <c r="J907" s="3">
        <v>15.2</v>
      </c>
      <c r="K907" s="3">
        <v>976.95</v>
      </c>
      <c r="L907" s="3">
        <v>76.95</v>
      </c>
      <c r="M907" s="3">
        <f t="shared" si="71"/>
        <v>17510.399999999998</v>
      </c>
      <c r="N907" s="3">
        <f t="shared" si="72"/>
        <v>900</v>
      </c>
      <c r="O907" s="3">
        <f t="shared" si="73"/>
        <v>7.8765545831414094</v>
      </c>
      <c r="P907" s="3" t="str">
        <f t="shared" si="74"/>
        <v>Jun</v>
      </c>
      <c r="Q907" s="3" t="str">
        <f t="shared" si="70"/>
        <v>low profit</v>
      </c>
    </row>
    <row r="908" spans="1:17" x14ac:dyDescent="0.25">
      <c r="A908" s="3" t="s">
        <v>451</v>
      </c>
      <c r="B908" s="4">
        <v>45816</v>
      </c>
      <c r="C908" s="3" t="s">
        <v>2017</v>
      </c>
      <c r="D908" s="3" t="s">
        <v>2037</v>
      </c>
      <c r="E908" s="3" t="s">
        <v>2055</v>
      </c>
      <c r="F908" s="3" t="s">
        <v>2060</v>
      </c>
      <c r="G908" s="3">
        <v>1</v>
      </c>
      <c r="H908" s="3">
        <v>2500</v>
      </c>
      <c r="I908" s="3">
        <v>2875</v>
      </c>
      <c r="J908" s="3">
        <v>8.5399999999999991</v>
      </c>
      <c r="K908" s="3">
        <v>2629.54</v>
      </c>
      <c r="L908" s="3">
        <v>129.54</v>
      </c>
      <c r="M908" s="3">
        <f t="shared" si="71"/>
        <v>24552.499999999996</v>
      </c>
      <c r="N908" s="3">
        <f t="shared" si="72"/>
        <v>2500</v>
      </c>
      <c r="O908" s="3">
        <f t="shared" si="73"/>
        <v>4.9263369258501486</v>
      </c>
      <c r="P908" s="3" t="str">
        <f t="shared" si="74"/>
        <v>Jun</v>
      </c>
      <c r="Q908" s="3" t="str">
        <f t="shared" si="70"/>
        <v>low profit</v>
      </c>
    </row>
    <row r="909" spans="1:17" x14ac:dyDescent="0.25">
      <c r="A909" s="3" t="s">
        <v>1611</v>
      </c>
      <c r="B909" s="4">
        <v>45816</v>
      </c>
      <c r="C909" s="3" t="s">
        <v>2022</v>
      </c>
      <c r="D909" s="3" t="s">
        <v>2042</v>
      </c>
      <c r="E909" s="3" t="s">
        <v>2053</v>
      </c>
      <c r="F909" s="3" t="s">
        <v>2060</v>
      </c>
      <c r="G909" s="3">
        <v>10</v>
      </c>
      <c r="H909" s="3">
        <v>8500</v>
      </c>
      <c r="I909" s="3">
        <v>9520</v>
      </c>
      <c r="J909" s="3">
        <v>8.83</v>
      </c>
      <c r="K909" s="3">
        <v>86790.02</v>
      </c>
      <c r="L909" s="3">
        <v>1790.02</v>
      </c>
      <c r="M909" s="3">
        <f t="shared" si="71"/>
        <v>840616</v>
      </c>
      <c r="N909" s="3">
        <f t="shared" si="72"/>
        <v>85000</v>
      </c>
      <c r="O909" s="3">
        <f t="shared" si="73"/>
        <v>2.0624721598174536</v>
      </c>
      <c r="P909" s="3" t="str">
        <f t="shared" si="74"/>
        <v>Jun</v>
      </c>
      <c r="Q909" s="3" t="str">
        <f t="shared" si="70"/>
        <v>low profit</v>
      </c>
    </row>
    <row r="910" spans="1:17" x14ac:dyDescent="0.25">
      <c r="A910" s="3" t="s">
        <v>132</v>
      </c>
      <c r="B910" s="4">
        <v>45817</v>
      </c>
      <c r="C910" s="3" t="s">
        <v>2012</v>
      </c>
      <c r="D910" s="3" t="s">
        <v>2032</v>
      </c>
      <c r="E910" s="3" t="s">
        <v>2052</v>
      </c>
      <c r="F910" s="3" t="s">
        <v>2061</v>
      </c>
      <c r="G910" s="3">
        <v>4</v>
      </c>
      <c r="H910" s="3">
        <v>6500</v>
      </c>
      <c r="I910" s="3">
        <v>8125</v>
      </c>
      <c r="J910" s="3">
        <v>30.66</v>
      </c>
      <c r="K910" s="3">
        <v>22535.07</v>
      </c>
      <c r="L910" s="3">
        <v>-3464.93</v>
      </c>
      <c r="M910" s="3">
        <f t="shared" si="71"/>
        <v>996450</v>
      </c>
      <c r="N910" s="3">
        <f t="shared" si="72"/>
        <v>26000</v>
      </c>
      <c r="O910" s="3">
        <f t="shared" si="73"/>
        <v>-15.375723261565197</v>
      </c>
      <c r="P910" s="3" t="str">
        <f t="shared" si="74"/>
        <v>Jun</v>
      </c>
      <c r="Q910" s="3" t="str">
        <f t="shared" si="70"/>
        <v>loss</v>
      </c>
    </row>
    <row r="911" spans="1:17" x14ac:dyDescent="0.25">
      <c r="A911" s="3" t="s">
        <v>200</v>
      </c>
      <c r="B911" s="4">
        <v>45817</v>
      </c>
      <c r="C911" s="3" t="s">
        <v>2022</v>
      </c>
      <c r="D911" s="3" t="s">
        <v>2042</v>
      </c>
      <c r="E911" s="3" t="s">
        <v>2053</v>
      </c>
      <c r="F911" s="3" t="s">
        <v>2062</v>
      </c>
      <c r="G911" s="3">
        <v>10</v>
      </c>
      <c r="H911" s="3">
        <v>8500</v>
      </c>
      <c r="I911" s="3">
        <v>9520</v>
      </c>
      <c r="J911" s="3">
        <v>4</v>
      </c>
      <c r="K911" s="3">
        <v>91392</v>
      </c>
      <c r="L911" s="3">
        <v>6392</v>
      </c>
      <c r="M911" s="3">
        <f t="shared" si="71"/>
        <v>380800</v>
      </c>
      <c r="N911" s="3">
        <f t="shared" si="72"/>
        <v>85000</v>
      </c>
      <c r="O911" s="3">
        <f t="shared" si="73"/>
        <v>6.9940476190476195</v>
      </c>
      <c r="P911" s="3" t="str">
        <f t="shared" si="74"/>
        <v>Jun</v>
      </c>
      <c r="Q911" s="3" t="str">
        <f t="shared" si="70"/>
        <v>low profit</v>
      </c>
    </row>
    <row r="912" spans="1:17" x14ac:dyDescent="0.25">
      <c r="A912" s="3" t="s">
        <v>304</v>
      </c>
      <c r="B912" s="4">
        <v>45817</v>
      </c>
      <c r="C912" s="3" t="s">
        <v>2024</v>
      </c>
      <c r="D912" s="3" t="s">
        <v>2044</v>
      </c>
      <c r="E912" s="3" t="s">
        <v>2055</v>
      </c>
      <c r="F912" s="3" t="s">
        <v>2061</v>
      </c>
      <c r="G912" s="3">
        <v>3</v>
      </c>
      <c r="H912" s="3">
        <v>180</v>
      </c>
      <c r="I912" s="3">
        <v>243</v>
      </c>
      <c r="J912" s="3">
        <v>6.17</v>
      </c>
      <c r="K912" s="3">
        <v>684.03</v>
      </c>
      <c r="L912" s="3">
        <v>144.03</v>
      </c>
      <c r="M912" s="3">
        <f t="shared" si="71"/>
        <v>4497.93</v>
      </c>
      <c r="N912" s="3">
        <f t="shared" si="72"/>
        <v>540</v>
      </c>
      <c r="O912" s="3">
        <f t="shared" si="73"/>
        <v>21.056094030963553</v>
      </c>
      <c r="P912" s="3" t="str">
        <f t="shared" si="74"/>
        <v>Jun</v>
      </c>
      <c r="Q912" s="3" t="str">
        <f t="shared" si="70"/>
        <v>good profit</v>
      </c>
    </row>
    <row r="913" spans="1:17" x14ac:dyDescent="0.25">
      <c r="A913" s="3" t="s">
        <v>574</v>
      </c>
      <c r="B913" s="4">
        <v>45817</v>
      </c>
      <c r="C913" s="3" t="s">
        <v>2029</v>
      </c>
      <c r="D913" s="3" t="s">
        <v>2049</v>
      </c>
      <c r="E913" s="3" t="s">
        <v>2055</v>
      </c>
      <c r="F913" s="3" t="s">
        <v>2059</v>
      </c>
      <c r="G913" s="3">
        <v>8</v>
      </c>
      <c r="H913" s="3">
        <v>1200</v>
      </c>
      <c r="I913" s="3">
        <v>1464</v>
      </c>
      <c r="J913" s="3">
        <v>6.68</v>
      </c>
      <c r="K913" s="3">
        <v>10929.9</v>
      </c>
      <c r="L913" s="3">
        <v>1329.9</v>
      </c>
      <c r="M913" s="3">
        <f t="shared" si="71"/>
        <v>78236.160000000003</v>
      </c>
      <c r="N913" s="3">
        <f t="shared" si="72"/>
        <v>9600</v>
      </c>
      <c r="O913" s="3">
        <f t="shared" si="73"/>
        <v>12.167540416655232</v>
      </c>
      <c r="P913" s="3" t="str">
        <f t="shared" si="74"/>
        <v>Jun</v>
      </c>
      <c r="Q913" s="3" t="str">
        <f t="shared" si="70"/>
        <v>good profit</v>
      </c>
    </row>
    <row r="914" spans="1:17" x14ac:dyDescent="0.25">
      <c r="A914" s="3" t="s">
        <v>1081</v>
      </c>
      <c r="B914" s="4">
        <v>45817</v>
      </c>
      <c r="C914" s="3" t="s">
        <v>2019</v>
      </c>
      <c r="D914" s="3" t="s">
        <v>2039</v>
      </c>
      <c r="E914" s="3" t="s">
        <v>2053</v>
      </c>
      <c r="F914" s="3" t="s">
        <v>2059</v>
      </c>
      <c r="G914" s="3">
        <v>4</v>
      </c>
      <c r="H914" s="3">
        <v>900</v>
      </c>
      <c r="I914" s="3">
        <v>1152</v>
      </c>
      <c r="J914" s="3">
        <v>2.93</v>
      </c>
      <c r="K914" s="3">
        <v>4473.1899999999996</v>
      </c>
      <c r="L914" s="3">
        <v>873.19</v>
      </c>
      <c r="M914" s="3">
        <f t="shared" si="71"/>
        <v>13501.44</v>
      </c>
      <c r="N914" s="3">
        <f t="shared" si="72"/>
        <v>3600</v>
      </c>
      <c r="O914" s="3">
        <f t="shared" si="73"/>
        <v>19.520521149336385</v>
      </c>
      <c r="P914" s="3" t="str">
        <f t="shared" si="74"/>
        <v>Jun</v>
      </c>
      <c r="Q914" s="3" t="str">
        <f t="shared" si="70"/>
        <v>good profit</v>
      </c>
    </row>
    <row r="915" spans="1:17" x14ac:dyDescent="0.25">
      <c r="A915" s="3" t="s">
        <v>1364</v>
      </c>
      <c r="B915" s="4">
        <v>45817</v>
      </c>
      <c r="C915" s="3" t="s">
        <v>2015</v>
      </c>
      <c r="D915" s="3" t="s">
        <v>2035</v>
      </c>
      <c r="E915" s="3" t="s">
        <v>2054</v>
      </c>
      <c r="F915" s="3" t="s">
        <v>2059</v>
      </c>
      <c r="G915" s="3">
        <v>8</v>
      </c>
      <c r="H915" s="3">
        <v>900</v>
      </c>
      <c r="I915" s="3">
        <v>1170</v>
      </c>
      <c r="J915" s="3">
        <v>6.96</v>
      </c>
      <c r="K915" s="3">
        <v>8708.36</v>
      </c>
      <c r="L915" s="3">
        <v>1508.36</v>
      </c>
      <c r="M915" s="3">
        <f t="shared" si="71"/>
        <v>65145.599999999999</v>
      </c>
      <c r="N915" s="3">
        <f t="shared" si="72"/>
        <v>7200</v>
      </c>
      <c r="O915" s="3">
        <f t="shared" si="73"/>
        <v>17.320827342921053</v>
      </c>
      <c r="P915" s="3" t="str">
        <f t="shared" si="74"/>
        <v>Jun</v>
      </c>
      <c r="Q915" s="3" t="str">
        <f t="shared" si="70"/>
        <v>good profit</v>
      </c>
    </row>
    <row r="916" spans="1:17" x14ac:dyDescent="0.25">
      <c r="A916" s="3" t="s">
        <v>1557</v>
      </c>
      <c r="B916" s="4">
        <v>45817</v>
      </c>
      <c r="C916" s="3" t="s">
        <v>2015</v>
      </c>
      <c r="D916" s="3" t="s">
        <v>2035</v>
      </c>
      <c r="E916" s="3" t="s">
        <v>2054</v>
      </c>
      <c r="F916" s="3" t="s">
        <v>2062</v>
      </c>
      <c r="G916" s="3">
        <v>1</v>
      </c>
      <c r="H916" s="3">
        <v>900</v>
      </c>
      <c r="I916" s="3">
        <v>1170</v>
      </c>
      <c r="J916" s="3">
        <v>14.99</v>
      </c>
      <c r="K916" s="3">
        <v>994.59</v>
      </c>
      <c r="L916" s="3">
        <v>94.59</v>
      </c>
      <c r="M916" s="3">
        <f t="shared" si="71"/>
        <v>17538.3</v>
      </c>
      <c r="N916" s="3">
        <f t="shared" si="72"/>
        <v>900</v>
      </c>
      <c r="O916" s="3">
        <f t="shared" si="73"/>
        <v>9.5104515428468019</v>
      </c>
      <c r="P916" s="3" t="str">
        <f t="shared" si="74"/>
        <v>Jun</v>
      </c>
      <c r="Q916" s="3" t="str">
        <f t="shared" si="70"/>
        <v>low profit</v>
      </c>
    </row>
    <row r="917" spans="1:17" x14ac:dyDescent="0.25">
      <c r="A917" s="3" t="s">
        <v>1732</v>
      </c>
      <c r="B917" s="4">
        <v>45817</v>
      </c>
      <c r="C917" s="3" t="s">
        <v>2014</v>
      </c>
      <c r="D917" s="3" t="s">
        <v>2034</v>
      </c>
      <c r="E917" s="3" t="s">
        <v>2052</v>
      </c>
      <c r="F917" s="3" t="s">
        <v>2062</v>
      </c>
      <c r="G917" s="3">
        <v>8</v>
      </c>
      <c r="H917" s="3">
        <v>4500</v>
      </c>
      <c r="I917" s="3">
        <v>5220</v>
      </c>
      <c r="J917" s="3">
        <v>26.14</v>
      </c>
      <c r="K917" s="3">
        <v>30845.46</v>
      </c>
      <c r="L917" s="3">
        <v>-5154.54</v>
      </c>
      <c r="M917" s="3">
        <f t="shared" si="71"/>
        <v>1091606.4000000001</v>
      </c>
      <c r="N917" s="3">
        <f t="shared" si="72"/>
        <v>36000</v>
      </c>
      <c r="O917" s="3">
        <f t="shared" si="73"/>
        <v>-16.710854693040726</v>
      </c>
      <c r="P917" s="3" t="str">
        <f t="shared" si="74"/>
        <v>Jun</v>
      </c>
      <c r="Q917" s="3" t="str">
        <f t="shared" si="70"/>
        <v>loss</v>
      </c>
    </row>
    <row r="918" spans="1:17" x14ac:dyDescent="0.25">
      <c r="A918" s="3" t="s">
        <v>50</v>
      </c>
      <c r="B918" s="4">
        <v>45818</v>
      </c>
      <c r="C918" s="3" t="s">
        <v>2020</v>
      </c>
      <c r="D918" s="3" t="s">
        <v>2040</v>
      </c>
      <c r="E918" s="3" t="s">
        <v>2053</v>
      </c>
      <c r="F918" s="3" t="s">
        <v>2061</v>
      </c>
      <c r="G918" s="3">
        <v>2</v>
      </c>
      <c r="H918" s="3">
        <v>350</v>
      </c>
      <c r="I918" s="3">
        <v>455</v>
      </c>
      <c r="J918" s="3">
        <v>11.98</v>
      </c>
      <c r="K918" s="3">
        <v>800.97</v>
      </c>
      <c r="L918" s="3">
        <v>100.97</v>
      </c>
      <c r="M918" s="3">
        <f t="shared" si="71"/>
        <v>10901.800000000001</v>
      </c>
      <c r="N918" s="3">
        <f t="shared" si="72"/>
        <v>700</v>
      </c>
      <c r="O918" s="3">
        <f t="shared" si="73"/>
        <v>12.605965267113625</v>
      </c>
      <c r="P918" s="3" t="str">
        <f t="shared" si="74"/>
        <v>Jun</v>
      </c>
      <c r="Q918" s="3" t="str">
        <f t="shared" si="70"/>
        <v>good profit</v>
      </c>
    </row>
    <row r="919" spans="1:17" x14ac:dyDescent="0.25">
      <c r="A919" s="3" t="s">
        <v>482</v>
      </c>
      <c r="B919" s="4">
        <v>45818</v>
      </c>
      <c r="C919" s="3" t="s">
        <v>2017</v>
      </c>
      <c r="D919" s="3" t="s">
        <v>2037</v>
      </c>
      <c r="E919" s="3" t="s">
        <v>2055</v>
      </c>
      <c r="F919" s="3" t="s">
        <v>2062</v>
      </c>
      <c r="G919" s="3">
        <v>3</v>
      </c>
      <c r="H919" s="3">
        <v>2500</v>
      </c>
      <c r="I919" s="3">
        <v>2875</v>
      </c>
      <c r="J919" s="3">
        <v>7.8</v>
      </c>
      <c r="K919" s="3">
        <v>7951.92</v>
      </c>
      <c r="L919" s="3">
        <v>451.92</v>
      </c>
      <c r="M919" s="3">
        <f t="shared" si="71"/>
        <v>67275</v>
      </c>
      <c r="N919" s="3">
        <f t="shared" si="72"/>
        <v>7500</v>
      </c>
      <c r="O919" s="3">
        <f t="shared" si="73"/>
        <v>5.6831557661545888</v>
      </c>
      <c r="P919" s="3" t="str">
        <f t="shared" si="74"/>
        <v>Jun</v>
      </c>
      <c r="Q919" s="3" t="str">
        <f t="shared" si="70"/>
        <v>low profit</v>
      </c>
    </row>
    <row r="920" spans="1:17" x14ac:dyDescent="0.25">
      <c r="A920" s="3" t="s">
        <v>594</v>
      </c>
      <c r="B920" s="4">
        <v>45818</v>
      </c>
      <c r="C920" s="3" t="s">
        <v>2027</v>
      </c>
      <c r="D920" s="3" t="s">
        <v>2047</v>
      </c>
      <c r="E920" s="3" t="s">
        <v>2053</v>
      </c>
      <c r="F920" s="3" t="s">
        <v>2059</v>
      </c>
      <c r="G920" s="3">
        <v>4</v>
      </c>
      <c r="H920" s="3">
        <v>1100</v>
      </c>
      <c r="I920" s="3">
        <v>1298</v>
      </c>
      <c r="J920" s="3">
        <v>23.71</v>
      </c>
      <c r="K920" s="3">
        <v>3960.95</v>
      </c>
      <c r="L920" s="3">
        <v>-439.05</v>
      </c>
      <c r="M920" s="3">
        <f t="shared" si="71"/>
        <v>123102.32</v>
      </c>
      <c r="N920" s="3">
        <f t="shared" si="72"/>
        <v>4400</v>
      </c>
      <c r="O920" s="3">
        <f t="shared" si="73"/>
        <v>-11.084462060869237</v>
      </c>
      <c r="P920" s="3" t="str">
        <f t="shared" si="74"/>
        <v>Jun</v>
      </c>
      <c r="Q920" s="3" t="str">
        <f t="shared" si="70"/>
        <v>loss</v>
      </c>
    </row>
    <row r="921" spans="1:17" x14ac:dyDescent="0.25">
      <c r="A921" s="3" t="s">
        <v>848</v>
      </c>
      <c r="B921" s="4">
        <v>45818</v>
      </c>
      <c r="C921" s="3" t="s">
        <v>2029</v>
      </c>
      <c r="D921" s="3" t="s">
        <v>2049</v>
      </c>
      <c r="E921" s="3" t="s">
        <v>2055</v>
      </c>
      <c r="F921" s="3" t="s">
        <v>2060</v>
      </c>
      <c r="G921" s="3">
        <v>10</v>
      </c>
      <c r="H921" s="3">
        <v>1200</v>
      </c>
      <c r="I921" s="3">
        <v>1464</v>
      </c>
      <c r="J921" s="3">
        <v>7.76</v>
      </c>
      <c r="K921" s="3">
        <v>13504.23</v>
      </c>
      <c r="L921" s="3">
        <v>1504.23</v>
      </c>
      <c r="M921" s="3">
        <f t="shared" si="71"/>
        <v>113606.39999999999</v>
      </c>
      <c r="N921" s="3">
        <f t="shared" si="72"/>
        <v>12000</v>
      </c>
      <c r="O921" s="3">
        <f t="shared" si="73"/>
        <v>11.13895423878296</v>
      </c>
      <c r="P921" s="3" t="str">
        <f t="shared" si="74"/>
        <v>Jun</v>
      </c>
      <c r="Q921" s="3" t="str">
        <f t="shared" si="70"/>
        <v>good profit</v>
      </c>
    </row>
    <row r="922" spans="1:17" x14ac:dyDescent="0.25">
      <c r="A922" s="3" t="s">
        <v>1010</v>
      </c>
      <c r="B922" s="4">
        <v>45818</v>
      </c>
      <c r="C922" s="3" t="s">
        <v>2022</v>
      </c>
      <c r="D922" s="3" t="s">
        <v>2042</v>
      </c>
      <c r="E922" s="3" t="s">
        <v>2053</v>
      </c>
      <c r="F922" s="3" t="s">
        <v>2061</v>
      </c>
      <c r="G922" s="3">
        <v>8</v>
      </c>
      <c r="H922" s="3">
        <v>8500</v>
      </c>
      <c r="I922" s="3">
        <v>9520</v>
      </c>
      <c r="J922" s="3">
        <v>14.45</v>
      </c>
      <c r="K922" s="3">
        <v>65157.19</v>
      </c>
      <c r="L922" s="3">
        <v>-2842.81</v>
      </c>
      <c r="M922" s="3">
        <f t="shared" si="71"/>
        <v>1100512</v>
      </c>
      <c r="N922" s="3">
        <f t="shared" si="72"/>
        <v>68000</v>
      </c>
      <c r="O922" s="3">
        <f t="shared" si="73"/>
        <v>-4.3630027630104973</v>
      </c>
      <c r="P922" s="3" t="str">
        <f t="shared" si="74"/>
        <v>Jun</v>
      </c>
      <c r="Q922" s="3" t="str">
        <f t="shared" si="70"/>
        <v>loss</v>
      </c>
    </row>
    <row r="923" spans="1:17" x14ac:dyDescent="0.25">
      <c r="A923" s="3" t="s">
        <v>1622</v>
      </c>
      <c r="B923" s="4">
        <v>45818</v>
      </c>
      <c r="C923" s="3" t="s">
        <v>2017</v>
      </c>
      <c r="D923" s="3" t="s">
        <v>2037</v>
      </c>
      <c r="E923" s="3" t="s">
        <v>2055</v>
      </c>
      <c r="F923" s="3" t="s">
        <v>2060</v>
      </c>
      <c r="G923" s="3">
        <v>8</v>
      </c>
      <c r="H923" s="3">
        <v>2500</v>
      </c>
      <c r="I923" s="3">
        <v>2875</v>
      </c>
      <c r="J923" s="3">
        <v>12.16</v>
      </c>
      <c r="K923" s="3">
        <v>20203.240000000002</v>
      </c>
      <c r="L923" s="3">
        <v>203.24</v>
      </c>
      <c r="M923" s="3">
        <f t="shared" si="71"/>
        <v>279680</v>
      </c>
      <c r="N923" s="3">
        <f t="shared" si="72"/>
        <v>20000</v>
      </c>
      <c r="O923" s="3">
        <f t="shared" si="73"/>
        <v>1.0059772590930958</v>
      </c>
      <c r="P923" s="3" t="str">
        <f t="shared" si="74"/>
        <v>Jun</v>
      </c>
      <c r="Q923" s="3" t="str">
        <f t="shared" si="70"/>
        <v>low profit</v>
      </c>
    </row>
    <row r="924" spans="1:17" x14ac:dyDescent="0.25">
      <c r="A924" s="3" t="s">
        <v>1645</v>
      </c>
      <c r="B924" s="4">
        <v>45818</v>
      </c>
      <c r="C924" s="3" t="s">
        <v>2013</v>
      </c>
      <c r="D924" s="3" t="s">
        <v>2033</v>
      </c>
      <c r="E924" s="3" t="s">
        <v>2053</v>
      </c>
      <c r="F924" s="3" t="s">
        <v>2059</v>
      </c>
      <c r="G924" s="3">
        <v>1</v>
      </c>
      <c r="H924" s="3">
        <v>6500</v>
      </c>
      <c r="I924" s="3">
        <v>7150</v>
      </c>
      <c r="J924" s="3">
        <v>20.95</v>
      </c>
      <c r="K924" s="3">
        <v>5651.98</v>
      </c>
      <c r="L924" s="3">
        <v>-848.02</v>
      </c>
      <c r="M924" s="3">
        <f t="shared" si="71"/>
        <v>149792.5</v>
      </c>
      <c r="N924" s="3">
        <f t="shared" si="72"/>
        <v>6500</v>
      </c>
      <c r="O924" s="3">
        <f t="shared" si="73"/>
        <v>-15.003945519977071</v>
      </c>
      <c r="P924" s="3" t="str">
        <f t="shared" si="74"/>
        <v>Jun</v>
      </c>
      <c r="Q924" s="3" t="str">
        <f t="shared" si="70"/>
        <v>loss</v>
      </c>
    </row>
    <row r="925" spans="1:17" x14ac:dyDescent="0.25">
      <c r="A925" s="3" t="s">
        <v>448</v>
      </c>
      <c r="B925" s="4">
        <v>45819</v>
      </c>
      <c r="C925" s="3" t="s">
        <v>2016</v>
      </c>
      <c r="D925" s="3" t="s">
        <v>2036</v>
      </c>
      <c r="E925" s="3" t="s">
        <v>2052</v>
      </c>
      <c r="F925" s="3" t="s">
        <v>2060</v>
      </c>
      <c r="G925" s="3">
        <v>2</v>
      </c>
      <c r="H925" s="3">
        <v>900</v>
      </c>
      <c r="I925" s="3">
        <v>1170</v>
      </c>
      <c r="J925" s="3">
        <v>7.33</v>
      </c>
      <c r="K925" s="3">
        <v>2168.37</v>
      </c>
      <c r="L925" s="3">
        <v>368.37</v>
      </c>
      <c r="M925" s="3">
        <f t="shared" si="71"/>
        <v>17152.2</v>
      </c>
      <c r="N925" s="3">
        <f t="shared" si="72"/>
        <v>1800</v>
      </c>
      <c r="O925" s="3">
        <f t="shared" si="73"/>
        <v>16.988336861329017</v>
      </c>
      <c r="P925" s="3" t="str">
        <f t="shared" si="74"/>
        <v>Jun</v>
      </c>
      <c r="Q925" s="3" t="str">
        <f t="shared" si="70"/>
        <v>good profit</v>
      </c>
    </row>
    <row r="926" spans="1:17" x14ac:dyDescent="0.25">
      <c r="A926" s="3" t="s">
        <v>717</v>
      </c>
      <c r="B926" s="4">
        <v>45819</v>
      </c>
      <c r="C926" s="3" t="s">
        <v>2017</v>
      </c>
      <c r="D926" s="3" t="s">
        <v>2037</v>
      </c>
      <c r="E926" s="3" t="s">
        <v>2055</v>
      </c>
      <c r="F926" s="3" t="s">
        <v>2062</v>
      </c>
      <c r="G926" s="3">
        <v>1</v>
      </c>
      <c r="H926" s="3">
        <v>2500</v>
      </c>
      <c r="I926" s="3">
        <v>2875</v>
      </c>
      <c r="J926" s="3">
        <v>17.739999999999998</v>
      </c>
      <c r="K926" s="3">
        <v>2365</v>
      </c>
      <c r="L926" s="3">
        <v>-135</v>
      </c>
      <c r="M926" s="3">
        <f t="shared" si="71"/>
        <v>51002.499999999993</v>
      </c>
      <c r="N926" s="3">
        <f t="shared" si="72"/>
        <v>2500</v>
      </c>
      <c r="O926" s="3">
        <f t="shared" si="73"/>
        <v>-5.7082452431289639</v>
      </c>
      <c r="P926" s="3" t="str">
        <f t="shared" si="74"/>
        <v>Jun</v>
      </c>
      <c r="Q926" s="3" t="str">
        <f t="shared" si="70"/>
        <v>loss</v>
      </c>
    </row>
    <row r="927" spans="1:17" x14ac:dyDescent="0.25">
      <c r="A927" s="3" t="s">
        <v>919</v>
      </c>
      <c r="B927" s="4">
        <v>45819</v>
      </c>
      <c r="C927" s="3" t="s">
        <v>2016</v>
      </c>
      <c r="D927" s="3" t="s">
        <v>2036</v>
      </c>
      <c r="E927" s="3" t="s">
        <v>2052</v>
      </c>
      <c r="F927" s="3" t="s">
        <v>2062</v>
      </c>
      <c r="G927" s="3">
        <v>7</v>
      </c>
      <c r="H927" s="3">
        <v>900</v>
      </c>
      <c r="I927" s="3">
        <v>1170</v>
      </c>
      <c r="J927" s="3">
        <v>12.54</v>
      </c>
      <c r="K927" s="3">
        <v>7163.15</v>
      </c>
      <c r="L927" s="3">
        <v>863.15</v>
      </c>
      <c r="M927" s="3">
        <f t="shared" si="71"/>
        <v>102702.59999999999</v>
      </c>
      <c r="N927" s="3">
        <f t="shared" si="72"/>
        <v>6300</v>
      </c>
      <c r="O927" s="3">
        <f t="shared" si="73"/>
        <v>12.04986632975716</v>
      </c>
      <c r="P927" s="3" t="str">
        <f t="shared" si="74"/>
        <v>Jun</v>
      </c>
      <c r="Q927" s="3" t="str">
        <f t="shared" si="70"/>
        <v>good profit</v>
      </c>
    </row>
    <row r="928" spans="1:17" x14ac:dyDescent="0.25">
      <c r="A928" s="3" t="s">
        <v>1150</v>
      </c>
      <c r="B928" s="4">
        <v>45819</v>
      </c>
      <c r="C928" s="3" t="s">
        <v>2027</v>
      </c>
      <c r="D928" s="3" t="s">
        <v>2047</v>
      </c>
      <c r="E928" s="3" t="s">
        <v>2053</v>
      </c>
      <c r="F928" s="3" t="s">
        <v>2061</v>
      </c>
      <c r="G928" s="3">
        <v>5</v>
      </c>
      <c r="H928" s="3">
        <v>1100</v>
      </c>
      <c r="I928" s="3">
        <v>1298</v>
      </c>
      <c r="J928" s="3">
        <v>20.63</v>
      </c>
      <c r="K928" s="3">
        <v>5151.09</v>
      </c>
      <c r="L928" s="3">
        <v>-348.91</v>
      </c>
      <c r="M928" s="3">
        <f t="shared" si="71"/>
        <v>133888.69999999998</v>
      </c>
      <c r="N928" s="3">
        <f t="shared" si="72"/>
        <v>5500</v>
      </c>
      <c r="O928" s="3">
        <f t="shared" si="73"/>
        <v>-6.7735178379721583</v>
      </c>
      <c r="P928" s="3" t="str">
        <f t="shared" si="74"/>
        <v>Jun</v>
      </c>
      <c r="Q928" s="3" t="str">
        <f t="shared" si="70"/>
        <v>loss</v>
      </c>
    </row>
    <row r="929" spans="1:17" x14ac:dyDescent="0.25">
      <c r="A929" s="3" t="s">
        <v>1324</v>
      </c>
      <c r="B929" s="4">
        <v>45819</v>
      </c>
      <c r="C929" s="3" t="s">
        <v>2031</v>
      </c>
      <c r="D929" s="3" t="s">
        <v>2051</v>
      </c>
      <c r="E929" s="3" t="s">
        <v>2058</v>
      </c>
      <c r="F929" s="3" t="s">
        <v>2060</v>
      </c>
      <c r="G929" s="3">
        <v>2</v>
      </c>
      <c r="H929" s="3">
        <v>3200</v>
      </c>
      <c r="I929" s="3">
        <v>3840</v>
      </c>
      <c r="J929" s="3">
        <v>14.64</v>
      </c>
      <c r="K929" s="3">
        <v>6555.43</v>
      </c>
      <c r="L929" s="3">
        <v>155.43</v>
      </c>
      <c r="M929" s="3">
        <f t="shared" si="71"/>
        <v>112435.20000000001</v>
      </c>
      <c r="N929" s="3">
        <f t="shared" si="72"/>
        <v>6400</v>
      </c>
      <c r="O929" s="3">
        <f t="shared" si="73"/>
        <v>2.3710115125933768</v>
      </c>
      <c r="P929" s="3" t="str">
        <f t="shared" si="74"/>
        <v>Jun</v>
      </c>
      <c r="Q929" s="3" t="str">
        <f t="shared" si="70"/>
        <v>low profit</v>
      </c>
    </row>
    <row r="930" spans="1:17" x14ac:dyDescent="0.25">
      <c r="A930" s="3" t="s">
        <v>1410</v>
      </c>
      <c r="B930" s="4">
        <v>45819</v>
      </c>
      <c r="C930" s="3" t="s">
        <v>2015</v>
      </c>
      <c r="D930" s="3" t="s">
        <v>2035</v>
      </c>
      <c r="E930" s="3" t="s">
        <v>2054</v>
      </c>
      <c r="F930" s="3" t="s">
        <v>2062</v>
      </c>
      <c r="G930" s="3">
        <v>10</v>
      </c>
      <c r="H930" s="3">
        <v>900</v>
      </c>
      <c r="I930" s="3">
        <v>1170</v>
      </c>
      <c r="J930" s="3">
        <v>15.16</v>
      </c>
      <c r="K930" s="3">
        <v>9925.81</v>
      </c>
      <c r="L930" s="3">
        <v>925.81</v>
      </c>
      <c r="M930" s="3">
        <f t="shared" si="71"/>
        <v>177372</v>
      </c>
      <c r="N930" s="3">
        <f t="shared" si="72"/>
        <v>9000</v>
      </c>
      <c r="O930" s="3">
        <f t="shared" si="73"/>
        <v>9.3272992330096987</v>
      </c>
      <c r="P930" s="3" t="str">
        <f t="shared" si="74"/>
        <v>Jun</v>
      </c>
      <c r="Q930" s="3" t="str">
        <f t="shared" si="70"/>
        <v>low profit</v>
      </c>
    </row>
    <row r="931" spans="1:17" x14ac:dyDescent="0.25">
      <c r="A931" s="3" t="s">
        <v>1472</v>
      </c>
      <c r="B931" s="4">
        <v>45819</v>
      </c>
      <c r="C931" s="3" t="s">
        <v>2022</v>
      </c>
      <c r="D931" s="3" t="s">
        <v>2042</v>
      </c>
      <c r="E931" s="3" t="s">
        <v>2053</v>
      </c>
      <c r="F931" s="3" t="s">
        <v>2061</v>
      </c>
      <c r="G931" s="3">
        <v>3</v>
      </c>
      <c r="H931" s="3">
        <v>8500</v>
      </c>
      <c r="I931" s="3">
        <v>9520</v>
      </c>
      <c r="J931" s="3">
        <v>14.95</v>
      </c>
      <c r="K931" s="3">
        <v>24291.49</v>
      </c>
      <c r="L931" s="3">
        <v>-1208.51</v>
      </c>
      <c r="M931" s="3">
        <f t="shared" si="71"/>
        <v>426972</v>
      </c>
      <c r="N931" s="3">
        <f t="shared" si="72"/>
        <v>25500</v>
      </c>
      <c r="O931" s="3">
        <f t="shared" si="73"/>
        <v>-4.9750344668029829</v>
      </c>
      <c r="P931" s="3" t="str">
        <f t="shared" si="74"/>
        <v>Jun</v>
      </c>
      <c r="Q931" s="3" t="str">
        <f t="shared" si="70"/>
        <v>loss</v>
      </c>
    </row>
    <row r="932" spans="1:17" x14ac:dyDescent="0.25">
      <c r="A932" s="3" t="s">
        <v>1539</v>
      </c>
      <c r="B932" s="4">
        <v>45819</v>
      </c>
      <c r="C932" s="3" t="s">
        <v>2026</v>
      </c>
      <c r="D932" s="3" t="s">
        <v>2046</v>
      </c>
      <c r="E932" s="3" t="s">
        <v>2052</v>
      </c>
      <c r="F932" s="3" t="s">
        <v>2061</v>
      </c>
      <c r="G932" s="3">
        <v>5</v>
      </c>
      <c r="H932" s="3">
        <v>3000</v>
      </c>
      <c r="I932" s="3">
        <v>3600</v>
      </c>
      <c r="J932" s="3">
        <v>11.57</v>
      </c>
      <c r="K932" s="3">
        <v>15917.47</v>
      </c>
      <c r="L932" s="3">
        <v>917.47</v>
      </c>
      <c r="M932" s="3">
        <f t="shared" si="71"/>
        <v>208260</v>
      </c>
      <c r="N932" s="3">
        <f t="shared" si="72"/>
        <v>15000</v>
      </c>
      <c r="O932" s="3">
        <f t="shared" si="73"/>
        <v>5.763918512175616</v>
      </c>
      <c r="P932" s="3" t="str">
        <f t="shared" si="74"/>
        <v>Jun</v>
      </c>
      <c r="Q932" s="3" t="str">
        <f t="shared" si="70"/>
        <v>low profit</v>
      </c>
    </row>
    <row r="933" spans="1:17" x14ac:dyDescent="0.25">
      <c r="A933" s="3" t="s">
        <v>1872</v>
      </c>
      <c r="B933" s="4">
        <v>45819</v>
      </c>
      <c r="C933" s="3" t="s">
        <v>2031</v>
      </c>
      <c r="D933" s="3" t="s">
        <v>2051</v>
      </c>
      <c r="E933" s="3" t="s">
        <v>2058</v>
      </c>
      <c r="F933" s="3" t="s">
        <v>2061</v>
      </c>
      <c r="G933" s="3">
        <v>7</v>
      </c>
      <c r="H933" s="3">
        <v>3200</v>
      </c>
      <c r="I933" s="3">
        <v>3840</v>
      </c>
      <c r="J933" s="3">
        <v>18.21</v>
      </c>
      <c r="K933" s="3">
        <v>21986.36</v>
      </c>
      <c r="L933" s="3">
        <v>-413.64</v>
      </c>
      <c r="M933" s="3">
        <f t="shared" si="71"/>
        <v>489484.80000000005</v>
      </c>
      <c r="N933" s="3">
        <f t="shared" si="72"/>
        <v>22400</v>
      </c>
      <c r="O933" s="3">
        <f t="shared" si="73"/>
        <v>-1.8813482540993596</v>
      </c>
      <c r="P933" s="3" t="str">
        <f t="shared" si="74"/>
        <v>Jun</v>
      </c>
      <c r="Q933" s="3" t="str">
        <f t="shared" si="70"/>
        <v>loss</v>
      </c>
    </row>
    <row r="934" spans="1:17" x14ac:dyDescent="0.25">
      <c r="A934" s="3" t="s">
        <v>1936</v>
      </c>
      <c r="B934" s="4">
        <v>45819</v>
      </c>
      <c r="C934" s="3" t="s">
        <v>2029</v>
      </c>
      <c r="D934" s="3" t="s">
        <v>2049</v>
      </c>
      <c r="E934" s="3" t="s">
        <v>2055</v>
      </c>
      <c r="F934" s="3" t="s">
        <v>2059</v>
      </c>
      <c r="G934" s="3">
        <v>7</v>
      </c>
      <c r="H934" s="3">
        <v>1200</v>
      </c>
      <c r="I934" s="3">
        <v>1464</v>
      </c>
      <c r="J934" s="3">
        <v>20.51</v>
      </c>
      <c r="K934" s="3">
        <v>8145.94</v>
      </c>
      <c r="L934" s="3">
        <v>-254.06</v>
      </c>
      <c r="M934" s="3">
        <f t="shared" si="71"/>
        <v>210186.48</v>
      </c>
      <c r="N934" s="3">
        <f t="shared" si="72"/>
        <v>8400</v>
      </c>
      <c r="O934" s="3">
        <f t="shared" si="73"/>
        <v>-3.1188543004245064</v>
      </c>
      <c r="P934" s="3" t="str">
        <f t="shared" si="74"/>
        <v>Jun</v>
      </c>
      <c r="Q934" s="3" t="str">
        <f t="shared" si="70"/>
        <v>loss</v>
      </c>
    </row>
    <row r="935" spans="1:17" x14ac:dyDescent="0.25">
      <c r="A935" s="3" t="s">
        <v>93</v>
      </c>
      <c r="B935" s="4">
        <v>45820</v>
      </c>
      <c r="C935" s="3" t="s">
        <v>2015</v>
      </c>
      <c r="D935" s="3" t="s">
        <v>2035</v>
      </c>
      <c r="E935" s="3" t="s">
        <v>2054</v>
      </c>
      <c r="F935" s="3" t="s">
        <v>2059</v>
      </c>
      <c r="G935" s="3">
        <v>2</v>
      </c>
      <c r="H935" s="3">
        <v>900</v>
      </c>
      <c r="I935" s="3">
        <v>1170</v>
      </c>
      <c r="J935" s="3">
        <v>3.17</v>
      </c>
      <c r="K935" s="3">
        <v>2265.83</v>
      </c>
      <c r="L935" s="3">
        <v>465.83</v>
      </c>
      <c r="M935" s="3">
        <f t="shared" si="71"/>
        <v>7417.8</v>
      </c>
      <c r="N935" s="3">
        <f t="shared" si="72"/>
        <v>1800</v>
      </c>
      <c r="O935" s="3">
        <f t="shared" si="73"/>
        <v>20.558912186704209</v>
      </c>
      <c r="P935" s="3" t="str">
        <f t="shared" si="74"/>
        <v>Jun</v>
      </c>
      <c r="Q935" s="3" t="str">
        <f t="shared" si="70"/>
        <v>good profit</v>
      </c>
    </row>
    <row r="936" spans="1:17" x14ac:dyDescent="0.25">
      <c r="A936" s="3" t="s">
        <v>548</v>
      </c>
      <c r="B936" s="4">
        <v>45820</v>
      </c>
      <c r="C936" s="3" t="s">
        <v>2019</v>
      </c>
      <c r="D936" s="3" t="s">
        <v>2039</v>
      </c>
      <c r="E936" s="3" t="s">
        <v>2053</v>
      </c>
      <c r="F936" s="3" t="s">
        <v>2060</v>
      </c>
      <c r="G936" s="3">
        <v>10</v>
      </c>
      <c r="H936" s="3">
        <v>900</v>
      </c>
      <c r="I936" s="3">
        <v>1152</v>
      </c>
      <c r="J936" s="3">
        <v>14.13</v>
      </c>
      <c r="K936" s="3">
        <v>9892.4</v>
      </c>
      <c r="L936" s="3">
        <v>892.4</v>
      </c>
      <c r="M936" s="3">
        <f t="shared" si="71"/>
        <v>162777.60000000001</v>
      </c>
      <c r="N936" s="3">
        <f t="shared" si="72"/>
        <v>9000</v>
      </c>
      <c r="O936" s="3">
        <f t="shared" si="73"/>
        <v>9.0210666774493546</v>
      </c>
      <c r="P936" s="3" t="str">
        <f t="shared" si="74"/>
        <v>Jun</v>
      </c>
      <c r="Q936" s="3" t="str">
        <f t="shared" si="70"/>
        <v>low profit</v>
      </c>
    </row>
    <row r="937" spans="1:17" x14ac:dyDescent="0.25">
      <c r="A937" s="3" t="s">
        <v>752</v>
      </c>
      <c r="B937" s="4">
        <v>45820</v>
      </c>
      <c r="C937" s="3" t="s">
        <v>2012</v>
      </c>
      <c r="D937" s="3" t="s">
        <v>2032</v>
      </c>
      <c r="E937" s="3" t="s">
        <v>2052</v>
      </c>
      <c r="F937" s="3" t="s">
        <v>2059</v>
      </c>
      <c r="G937" s="3">
        <v>10</v>
      </c>
      <c r="H937" s="3">
        <v>6500</v>
      </c>
      <c r="I937" s="3">
        <v>8125</v>
      </c>
      <c r="J937" s="3">
        <v>6.47</v>
      </c>
      <c r="K937" s="3">
        <v>75994.990000000005</v>
      </c>
      <c r="L937" s="3">
        <v>10994.99</v>
      </c>
      <c r="M937" s="3">
        <f t="shared" si="71"/>
        <v>525687.5</v>
      </c>
      <c r="N937" s="3">
        <f t="shared" si="72"/>
        <v>65000</v>
      </c>
      <c r="O937" s="3">
        <f t="shared" si="73"/>
        <v>14.468045854075379</v>
      </c>
      <c r="P937" s="3" t="str">
        <f t="shared" si="74"/>
        <v>Jun</v>
      </c>
      <c r="Q937" s="3" t="str">
        <f t="shared" si="70"/>
        <v>good profit</v>
      </c>
    </row>
    <row r="938" spans="1:17" x14ac:dyDescent="0.25">
      <c r="A938" s="3" t="s">
        <v>1236</v>
      </c>
      <c r="B938" s="4">
        <v>45820</v>
      </c>
      <c r="C938" s="3" t="s">
        <v>2014</v>
      </c>
      <c r="D938" s="3" t="s">
        <v>2034</v>
      </c>
      <c r="E938" s="3" t="s">
        <v>2052</v>
      </c>
      <c r="F938" s="3" t="s">
        <v>2059</v>
      </c>
      <c r="G938" s="3">
        <v>10</v>
      </c>
      <c r="H938" s="3">
        <v>4500</v>
      </c>
      <c r="I938" s="3">
        <v>5220</v>
      </c>
      <c r="J938" s="3">
        <v>20.69</v>
      </c>
      <c r="K938" s="3">
        <v>41399</v>
      </c>
      <c r="L938" s="3">
        <v>-3601</v>
      </c>
      <c r="M938" s="3">
        <f t="shared" si="71"/>
        <v>1080018</v>
      </c>
      <c r="N938" s="3">
        <f t="shared" si="72"/>
        <v>45000</v>
      </c>
      <c r="O938" s="3">
        <f t="shared" si="73"/>
        <v>-8.6982777361772019</v>
      </c>
      <c r="P938" s="3" t="str">
        <f t="shared" si="74"/>
        <v>Jun</v>
      </c>
      <c r="Q938" s="3" t="str">
        <f t="shared" si="70"/>
        <v>loss</v>
      </c>
    </row>
    <row r="939" spans="1:17" x14ac:dyDescent="0.25">
      <c r="A939" s="3" t="s">
        <v>1276</v>
      </c>
      <c r="B939" s="4">
        <v>45820</v>
      </c>
      <c r="C939" s="3" t="s">
        <v>2031</v>
      </c>
      <c r="D939" s="3" t="s">
        <v>2051</v>
      </c>
      <c r="E939" s="3" t="s">
        <v>2058</v>
      </c>
      <c r="F939" s="3" t="s">
        <v>2062</v>
      </c>
      <c r="G939" s="3">
        <v>4</v>
      </c>
      <c r="H939" s="3">
        <v>3200</v>
      </c>
      <c r="I939" s="3">
        <v>3840</v>
      </c>
      <c r="J939" s="3">
        <v>11.68</v>
      </c>
      <c r="K939" s="3">
        <v>13565.33</v>
      </c>
      <c r="L939" s="3">
        <v>765.33</v>
      </c>
      <c r="M939" s="3">
        <f t="shared" si="71"/>
        <v>179404.79999999999</v>
      </c>
      <c r="N939" s="3">
        <f t="shared" si="72"/>
        <v>12800</v>
      </c>
      <c r="O939" s="3">
        <f t="shared" si="73"/>
        <v>5.641808934983521</v>
      </c>
      <c r="P939" s="3" t="str">
        <f t="shared" si="74"/>
        <v>Jun</v>
      </c>
      <c r="Q939" s="3" t="str">
        <f t="shared" si="70"/>
        <v>low profit</v>
      </c>
    </row>
    <row r="940" spans="1:17" x14ac:dyDescent="0.25">
      <c r="A940" s="3" t="s">
        <v>1510</v>
      </c>
      <c r="B940" s="4">
        <v>45820</v>
      </c>
      <c r="C940" s="3" t="s">
        <v>2024</v>
      </c>
      <c r="D940" s="3" t="s">
        <v>2044</v>
      </c>
      <c r="E940" s="3" t="s">
        <v>2055</v>
      </c>
      <c r="F940" s="3" t="s">
        <v>2061</v>
      </c>
      <c r="G940" s="3">
        <v>10</v>
      </c>
      <c r="H940" s="3">
        <v>180</v>
      </c>
      <c r="I940" s="3">
        <v>243</v>
      </c>
      <c r="J940" s="3">
        <v>0</v>
      </c>
      <c r="K940" s="3">
        <v>2430</v>
      </c>
      <c r="L940" s="3">
        <v>630</v>
      </c>
      <c r="M940" s="3">
        <f t="shared" si="71"/>
        <v>0</v>
      </c>
      <c r="N940" s="3">
        <f t="shared" si="72"/>
        <v>1800</v>
      </c>
      <c r="O940" s="3">
        <f t="shared" si="73"/>
        <v>25.925925925925924</v>
      </c>
      <c r="P940" s="3" t="str">
        <f t="shared" si="74"/>
        <v>Jun</v>
      </c>
      <c r="Q940" s="3" t="str">
        <f t="shared" si="70"/>
        <v>good profit</v>
      </c>
    </row>
    <row r="941" spans="1:17" x14ac:dyDescent="0.25">
      <c r="A941" s="3" t="s">
        <v>1740</v>
      </c>
      <c r="B941" s="4">
        <v>45820</v>
      </c>
      <c r="C941" s="3" t="s">
        <v>2027</v>
      </c>
      <c r="D941" s="3" t="s">
        <v>2047</v>
      </c>
      <c r="E941" s="3" t="s">
        <v>2053</v>
      </c>
      <c r="F941" s="3" t="s">
        <v>2059</v>
      </c>
      <c r="G941" s="3">
        <v>7</v>
      </c>
      <c r="H941" s="3">
        <v>1100</v>
      </c>
      <c r="I941" s="3">
        <v>1298</v>
      </c>
      <c r="J941" s="3">
        <v>3.13</v>
      </c>
      <c r="K941" s="3">
        <v>8801.7000000000007</v>
      </c>
      <c r="L941" s="3">
        <v>1101.7</v>
      </c>
      <c r="M941" s="3">
        <f t="shared" si="71"/>
        <v>28439.18</v>
      </c>
      <c r="N941" s="3">
        <f t="shared" si="72"/>
        <v>7700</v>
      </c>
      <c r="O941" s="3">
        <f t="shared" si="73"/>
        <v>12.516900144290307</v>
      </c>
      <c r="P941" s="3" t="str">
        <f t="shared" si="74"/>
        <v>Jun</v>
      </c>
      <c r="Q941" s="3" t="str">
        <f t="shared" si="70"/>
        <v>good profit</v>
      </c>
    </row>
    <row r="942" spans="1:17" x14ac:dyDescent="0.25">
      <c r="A942" s="3" t="s">
        <v>106</v>
      </c>
      <c r="B942" s="4">
        <v>45821</v>
      </c>
      <c r="C942" s="3" t="s">
        <v>2016</v>
      </c>
      <c r="D942" s="3" t="s">
        <v>2036</v>
      </c>
      <c r="E942" s="3" t="s">
        <v>2052</v>
      </c>
      <c r="F942" s="3" t="s">
        <v>2061</v>
      </c>
      <c r="G942" s="3">
        <v>9</v>
      </c>
      <c r="H942" s="3">
        <v>900</v>
      </c>
      <c r="I942" s="3">
        <v>1170</v>
      </c>
      <c r="J942" s="3">
        <v>7.61</v>
      </c>
      <c r="K942" s="3">
        <v>9728.7800000000007</v>
      </c>
      <c r="L942" s="3">
        <v>1628.78</v>
      </c>
      <c r="M942" s="3">
        <f t="shared" si="71"/>
        <v>80133.3</v>
      </c>
      <c r="N942" s="3">
        <f t="shared" si="72"/>
        <v>8100</v>
      </c>
      <c r="O942" s="3">
        <f t="shared" si="73"/>
        <v>16.741873081722474</v>
      </c>
      <c r="P942" s="3" t="str">
        <f t="shared" si="74"/>
        <v>Jun</v>
      </c>
      <c r="Q942" s="3" t="str">
        <f t="shared" si="70"/>
        <v>good profit</v>
      </c>
    </row>
    <row r="943" spans="1:17" x14ac:dyDescent="0.25">
      <c r="A943" s="3" t="s">
        <v>201</v>
      </c>
      <c r="B943" s="4">
        <v>45821</v>
      </c>
      <c r="C943" s="3" t="s">
        <v>2015</v>
      </c>
      <c r="D943" s="3" t="s">
        <v>2035</v>
      </c>
      <c r="E943" s="3" t="s">
        <v>2054</v>
      </c>
      <c r="F943" s="3" t="s">
        <v>2059</v>
      </c>
      <c r="G943" s="3">
        <v>7</v>
      </c>
      <c r="H943" s="3">
        <v>900</v>
      </c>
      <c r="I943" s="3">
        <v>1170</v>
      </c>
      <c r="J943" s="3">
        <v>9.9700000000000006</v>
      </c>
      <c r="K943" s="3">
        <v>7373.44</v>
      </c>
      <c r="L943" s="3">
        <v>1073.44</v>
      </c>
      <c r="M943" s="3">
        <f t="shared" si="71"/>
        <v>81654.3</v>
      </c>
      <c r="N943" s="3">
        <f t="shared" si="72"/>
        <v>6300</v>
      </c>
      <c r="O943" s="3">
        <f t="shared" si="73"/>
        <v>14.558198073083936</v>
      </c>
      <c r="P943" s="3" t="str">
        <f t="shared" si="74"/>
        <v>Jun</v>
      </c>
      <c r="Q943" s="3" t="str">
        <f t="shared" si="70"/>
        <v>good profit</v>
      </c>
    </row>
    <row r="944" spans="1:17" x14ac:dyDescent="0.25">
      <c r="A944" s="3" t="s">
        <v>298</v>
      </c>
      <c r="B944" s="4">
        <v>45821</v>
      </c>
      <c r="C944" s="3" t="s">
        <v>2021</v>
      </c>
      <c r="D944" s="3" t="s">
        <v>2041</v>
      </c>
      <c r="E944" s="3" t="s">
        <v>2056</v>
      </c>
      <c r="F944" s="3" t="s">
        <v>2061</v>
      </c>
      <c r="G944" s="3">
        <v>7</v>
      </c>
      <c r="H944" s="3">
        <v>300</v>
      </c>
      <c r="I944" s="3">
        <v>405</v>
      </c>
      <c r="J944" s="3">
        <v>13.96</v>
      </c>
      <c r="K944" s="3">
        <v>2439.13</v>
      </c>
      <c r="L944" s="3">
        <v>339.13</v>
      </c>
      <c r="M944" s="3">
        <f t="shared" si="71"/>
        <v>39576.600000000006</v>
      </c>
      <c r="N944" s="3">
        <f t="shared" si="72"/>
        <v>2100</v>
      </c>
      <c r="O944" s="3">
        <f t="shared" si="73"/>
        <v>13.903727968578961</v>
      </c>
      <c r="P944" s="3" t="str">
        <f t="shared" si="74"/>
        <v>Jun</v>
      </c>
      <c r="Q944" s="3" t="str">
        <f t="shared" si="70"/>
        <v>good profit</v>
      </c>
    </row>
    <row r="945" spans="1:17" x14ac:dyDescent="0.25">
      <c r="A945" s="3" t="s">
        <v>677</v>
      </c>
      <c r="B945" s="4">
        <v>45821</v>
      </c>
      <c r="C945" s="3" t="s">
        <v>2020</v>
      </c>
      <c r="D945" s="3" t="s">
        <v>2040</v>
      </c>
      <c r="E945" s="3" t="s">
        <v>2053</v>
      </c>
      <c r="F945" s="3" t="s">
        <v>2059</v>
      </c>
      <c r="G945" s="3">
        <v>10</v>
      </c>
      <c r="H945" s="3">
        <v>350</v>
      </c>
      <c r="I945" s="3">
        <v>455</v>
      </c>
      <c r="J945" s="3">
        <v>7.9</v>
      </c>
      <c r="K945" s="3">
        <v>4190.49</v>
      </c>
      <c r="L945" s="3">
        <v>690.49</v>
      </c>
      <c r="M945" s="3">
        <f t="shared" si="71"/>
        <v>35945</v>
      </c>
      <c r="N945" s="3">
        <f t="shared" si="72"/>
        <v>3500</v>
      </c>
      <c r="O945" s="3">
        <f t="shared" si="73"/>
        <v>16.477547971716913</v>
      </c>
      <c r="P945" s="3" t="str">
        <f t="shared" si="74"/>
        <v>Jun</v>
      </c>
      <c r="Q945" s="3" t="str">
        <f t="shared" si="70"/>
        <v>good profit</v>
      </c>
    </row>
    <row r="946" spans="1:17" x14ac:dyDescent="0.25">
      <c r="A946" s="3" t="s">
        <v>844</v>
      </c>
      <c r="B946" s="4">
        <v>45821</v>
      </c>
      <c r="C946" s="3" t="s">
        <v>2015</v>
      </c>
      <c r="D946" s="3" t="s">
        <v>2035</v>
      </c>
      <c r="E946" s="3" t="s">
        <v>2054</v>
      </c>
      <c r="F946" s="3" t="s">
        <v>2060</v>
      </c>
      <c r="G946" s="3">
        <v>7</v>
      </c>
      <c r="H946" s="3">
        <v>900</v>
      </c>
      <c r="I946" s="3">
        <v>1170</v>
      </c>
      <c r="J946" s="3">
        <v>4.0199999999999996</v>
      </c>
      <c r="K946" s="3">
        <v>7860.94</v>
      </c>
      <c r="L946" s="3">
        <v>1560.94</v>
      </c>
      <c r="M946" s="3">
        <f t="shared" si="71"/>
        <v>32923.799999999996</v>
      </c>
      <c r="N946" s="3">
        <f t="shared" si="72"/>
        <v>6300</v>
      </c>
      <c r="O946" s="3">
        <f t="shared" si="73"/>
        <v>19.856912786511536</v>
      </c>
      <c r="P946" s="3" t="str">
        <f t="shared" si="74"/>
        <v>Jun</v>
      </c>
      <c r="Q946" s="3" t="str">
        <f t="shared" si="70"/>
        <v>good profit</v>
      </c>
    </row>
    <row r="947" spans="1:17" x14ac:dyDescent="0.25">
      <c r="A947" s="3" t="s">
        <v>1189</v>
      </c>
      <c r="B947" s="4">
        <v>45821</v>
      </c>
      <c r="C947" s="3" t="s">
        <v>2024</v>
      </c>
      <c r="D947" s="3" t="s">
        <v>2044</v>
      </c>
      <c r="E947" s="3" t="s">
        <v>2055</v>
      </c>
      <c r="F947" s="3" t="s">
        <v>2061</v>
      </c>
      <c r="G947" s="3">
        <v>7</v>
      </c>
      <c r="H947" s="3">
        <v>180</v>
      </c>
      <c r="I947" s="3">
        <v>243</v>
      </c>
      <c r="J947" s="3">
        <v>9.98</v>
      </c>
      <c r="K947" s="3">
        <v>1531.17</v>
      </c>
      <c r="L947" s="3">
        <v>271.17</v>
      </c>
      <c r="M947" s="3">
        <f t="shared" si="71"/>
        <v>16975.98</v>
      </c>
      <c r="N947" s="3">
        <f t="shared" si="72"/>
        <v>1260</v>
      </c>
      <c r="O947" s="3">
        <f t="shared" si="73"/>
        <v>17.70998648092635</v>
      </c>
      <c r="P947" s="3" t="str">
        <f t="shared" si="74"/>
        <v>Jun</v>
      </c>
      <c r="Q947" s="3" t="str">
        <f t="shared" si="70"/>
        <v>good profit</v>
      </c>
    </row>
    <row r="948" spans="1:17" x14ac:dyDescent="0.25">
      <c r="A948" s="3" t="s">
        <v>1299</v>
      </c>
      <c r="B948" s="4">
        <v>45821</v>
      </c>
      <c r="C948" s="3" t="s">
        <v>2023</v>
      </c>
      <c r="D948" s="3" t="s">
        <v>2043</v>
      </c>
      <c r="E948" s="3" t="s">
        <v>2053</v>
      </c>
      <c r="F948" s="3" t="s">
        <v>2061</v>
      </c>
      <c r="G948" s="3">
        <v>9</v>
      </c>
      <c r="H948" s="3">
        <v>550</v>
      </c>
      <c r="I948" s="3">
        <v>742.5</v>
      </c>
      <c r="J948" s="3">
        <v>5.0199999999999996</v>
      </c>
      <c r="K948" s="3">
        <v>6347.15</v>
      </c>
      <c r="L948" s="3">
        <v>1397.15</v>
      </c>
      <c r="M948" s="3">
        <f t="shared" si="71"/>
        <v>33546.149999999994</v>
      </c>
      <c r="N948" s="3">
        <f t="shared" si="72"/>
        <v>4950</v>
      </c>
      <c r="O948" s="3">
        <f t="shared" si="73"/>
        <v>22.012241714785379</v>
      </c>
      <c r="P948" s="3" t="str">
        <f t="shared" si="74"/>
        <v>Jun</v>
      </c>
      <c r="Q948" s="3" t="str">
        <f t="shared" si="70"/>
        <v>good profit</v>
      </c>
    </row>
    <row r="949" spans="1:17" x14ac:dyDescent="0.25">
      <c r="A949" s="3" t="s">
        <v>1810</v>
      </c>
      <c r="B949" s="4">
        <v>45821</v>
      </c>
      <c r="C949" s="3" t="s">
        <v>2031</v>
      </c>
      <c r="D949" s="3" t="s">
        <v>2051</v>
      </c>
      <c r="E949" s="3" t="s">
        <v>2058</v>
      </c>
      <c r="F949" s="3" t="s">
        <v>2060</v>
      </c>
      <c r="G949" s="3">
        <v>1</v>
      </c>
      <c r="H949" s="3">
        <v>3200</v>
      </c>
      <c r="I949" s="3">
        <v>3840</v>
      </c>
      <c r="J949" s="3">
        <v>21</v>
      </c>
      <c r="K949" s="3">
        <v>3033.75</v>
      </c>
      <c r="L949" s="3">
        <v>-166.25</v>
      </c>
      <c r="M949" s="3">
        <f t="shared" si="71"/>
        <v>80640</v>
      </c>
      <c r="N949" s="3">
        <f t="shared" si="72"/>
        <v>3200</v>
      </c>
      <c r="O949" s="3">
        <f t="shared" si="73"/>
        <v>-5.4800164812525756</v>
      </c>
      <c r="P949" s="3" t="str">
        <f t="shared" si="74"/>
        <v>Jun</v>
      </c>
      <c r="Q949" s="3" t="str">
        <f t="shared" si="70"/>
        <v>loss</v>
      </c>
    </row>
    <row r="950" spans="1:17" x14ac:dyDescent="0.25">
      <c r="A950" s="3" t="s">
        <v>583</v>
      </c>
      <c r="B950" s="4">
        <v>45822</v>
      </c>
      <c r="C950" s="3" t="s">
        <v>2015</v>
      </c>
      <c r="D950" s="3" t="s">
        <v>2035</v>
      </c>
      <c r="E950" s="3" t="s">
        <v>2054</v>
      </c>
      <c r="F950" s="3" t="s">
        <v>2060</v>
      </c>
      <c r="G950" s="3">
        <v>3</v>
      </c>
      <c r="H950" s="3">
        <v>900</v>
      </c>
      <c r="I950" s="3">
        <v>1170</v>
      </c>
      <c r="J950" s="3">
        <v>0</v>
      </c>
      <c r="K950" s="3">
        <v>3510</v>
      </c>
      <c r="L950" s="3">
        <v>810</v>
      </c>
      <c r="M950" s="3">
        <f t="shared" si="71"/>
        <v>0</v>
      </c>
      <c r="N950" s="3">
        <f t="shared" si="72"/>
        <v>2700</v>
      </c>
      <c r="O950" s="3">
        <f t="shared" si="73"/>
        <v>23.076923076923077</v>
      </c>
      <c r="P950" s="3" t="str">
        <f t="shared" si="74"/>
        <v>Jun</v>
      </c>
      <c r="Q950" s="3" t="str">
        <f t="shared" si="70"/>
        <v>good profit</v>
      </c>
    </row>
    <row r="951" spans="1:17" x14ac:dyDescent="0.25">
      <c r="A951" s="3" t="s">
        <v>1148</v>
      </c>
      <c r="B951" s="4">
        <v>45822</v>
      </c>
      <c r="C951" s="3" t="s">
        <v>2020</v>
      </c>
      <c r="D951" s="3" t="s">
        <v>2040</v>
      </c>
      <c r="E951" s="3" t="s">
        <v>2053</v>
      </c>
      <c r="F951" s="3" t="s">
        <v>2059</v>
      </c>
      <c r="G951" s="3">
        <v>5</v>
      </c>
      <c r="H951" s="3">
        <v>350</v>
      </c>
      <c r="I951" s="3">
        <v>455</v>
      </c>
      <c r="J951" s="3">
        <v>10.78</v>
      </c>
      <c r="K951" s="3">
        <v>2029.68</v>
      </c>
      <c r="L951" s="3">
        <v>279.68</v>
      </c>
      <c r="M951" s="3">
        <f t="shared" si="71"/>
        <v>24524.5</v>
      </c>
      <c r="N951" s="3">
        <f t="shared" si="72"/>
        <v>1750</v>
      </c>
      <c r="O951" s="3">
        <f t="shared" si="73"/>
        <v>13.779512041307004</v>
      </c>
      <c r="P951" s="3" t="str">
        <f t="shared" si="74"/>
        <v>Jun</v>
      </c>
      <c r="Q951" s="3" t="str">
        <f t="shared" si="70"/>
        <v>good profit</v>
      </c>
    </row>
    <row r="952" spans="1:17" x14ac:dyDescent="0.25">
      <c r="A952" s="3" t="s">
        <v>1182</v>
      </c>
      <c r="B952" s="4">
        <v>45822</v>
      </c>
      <c r="C952" s="3" t="s">
        <v>2018</v>
      </c>
      <c r="D952" s="3" t="s">
        <v>2038</v>
      </c>
      <c r="E952" s="3" t="s">
        <v>2053</v>
      </c>
      <c r="F952" s="3" t="s">
        <v>2061</v>
      </c>
      <c r="G952" s="3">
        <v>6</v>
      </c>
      <c r="H952" s="3">
        <v>500</v>
      </c>
      <c r="I952" s="3">
        <v>610</v>
      </c>
      <c r="J952" s="3">
        <v>4.17</v>
      </c>
      <c r="K952" s="3">
        <v>3507.28</v>
      </c>
      <c r="L952" s="3">
        <v>507.28</v>
      </c>
      <c r="M952" s="3">
        <f t="shared" si="71"/>
        <v>15262.199999999999</v>
      </c>
      <c r="N952" s="3">
        <f t="shared" si="72"/>
        <v>3000</v>
      </c>
      <c r="O952" s="3">
        <f t="shared" si="73"/>
        <v>14.463629935448552</v>
      </c>
      <c r="P952" s="3" t="str">
        <f t="shared" si="74"/>
        <v>Jun</v>
      </c>
      <c r="Q952" s="3" t="str">
        <f t="shared" si="70"/>
        <v>good profit</v>
      </c>
    </row>
    <row r="953" spans="1:17" x14ac:dyDescent="0.25">
      <c r="A953" s="3" t="s">
        <v>1503</v>
      </c>
      <c r="B953" s="4">
        <v>45822</v>
      </c>
      <c r="C953" s="3" t="s">
        <v>2027</v>
      </c>
      <c r="D953" s="3" t="s">
        <v>2047</v>
      </c>
      <c r="E953" s="3" t="s">
        <v>2053</v>
      </c>
      <c r="F953" s="3" t="s">
        <v>2061</v>
      </c>
      <c r="G953" s="3">
        <v>1</v>
      </c>
      <c r="H953" s="3">
        <v>1100</v>
      </c>
      <c r="I953" s="3">
        <v>1298</v>
      </c>
      <c r="J953" s="3">
        <v>8.73</v>
      </c>
      <c r="K953" s="3">
        <v>1184.67</v>
      </c>
      <c r="L953" s="3">
        <v>84.67</v>
      </c>
      <c r="M953" s="3">
        <f t="shared" si="71"/>
        <v>11331.54</v>
      </c>
      <c r="N953" s="3">
        <f t="shared" si="72"/>
        <v>1100</v>
      </c>
      <c r="O953" s="3">
        <f t="shared" si="73"/>
        <v>7.1471380215587468</v>
      </c>
      <c r="P953" s="3" t="str">
        <f t="shared" si="74"/>
        <v>Jun</v>
      </c>
      <c r="Q953" s="3" t="str">
        <f t="shared" si="70"/>
        <v>low profit</v>
      </c>
    </row>
    <row r="954" spans="1:17" x14ac:dyDescent="0.25">
      <c r="A954" s="3" t="s">
        <v>81</v>
      </c>
      <c r="B954" s="4">
        <v>45823</v>
      </c>
      <c r="C954" s="3" t="s">
        <v>2029</v>
      </c>
      <c r="D954" s="3" t="s">
        <v>2049</v>
      </c>
      <c r="E954" s="3" t="s">
        <v>2055</v>
      </c>
      <c r="F954" s="3" t="s">
        <v>2061</v>
      </c>
      <c r="G954" s="3">
        <v>9</v>
      </c>
      <c r="H954" s="3">
        <v>1200</v>
      </c>
      <c r="I954" s="3">
        <v>1464</v>
      </c>
      <c r="J954" s="3">
        <v>11.12</v>
      </c>
      <c r="K954" s="3">
        <v>11711.07</v>
      </c>
      <c r="L954" s="3">
        <v>911.07</v>
      </c>
      <c r="M954" s="3">
        <f t="shared" si="71"/>
        <v>146517.12</v>
      </c>
      <c r="N954" s="3">
        <f t="shared" si="72"/>
        <v>10800</v>
      </c>
      <c r="O954" s="3">
        <f t="shared" si="73"/>
        <v>7.7795624140236548</v>
      </c>
      <c r="P954" s="3" t="str">
        <f t="shared" si="74"/>
        <v>Jun</v>
      </c>
      <c r="Q954" s="3" t="str">
        <f t="shared" si="70"/>
        <v>low profit</v>
      </c>
    </row>
    <row r="955" spans="1:17" x14ac:dyDescent="0.25">
      <c r="A955" s="3" t="s">
        <v>1041</v>
      </c>
      <c r="B955" s="4">
        <v>45823</v>
      </c>
      <c r="C955" s="3" t="s">
        <v>2031</v>
      </c>
      <c r="D955" s="3" t="s">
        <v>2051</v>
      </c>
      <c r="E955" s="3" t="s">
        <v>2058</v>
      </c>
      <c r="F955" s="3" t="s">
        <v>2061</v>
      </c>
      <c r="G955" s="3">
        <v>6</v>
      </c>
      <c r="H955" s="3">
        <v>3200</v>
      </c>
      <c r="I955" s="3">
        <v>3840</v>
      </c>
      <c r="J955" s="3">
        <v>6.56</v>
      </c>
      <c r="K955" s="3">
        <v>21529.3</v>
      </c>
      <c r="L955" s="3">
        <v>2329.3000000000002</v>
      </c>
      <c r="M955" s="3">
        <f t="shared" si="71"/>
        <v>151142.39999999999</v>
      </c>
      <c r="N955" s="3">
        <f t="shared" si="72"/>
        <v>19200</v>
      </c>
      <c r="O955" s="3">
        <f t="shared" si="73"/>
        <v>10.819209170757992</v>
      </c>
      <c r="P955" s="3" t="str">
        <f t="shared" si="74"/>
        <v>Jun</v>
      </c>
      <c r="Q955" s="3" t="str">
        <f t="shared" si="70"/>
        <v>good profit</v>
      </c>
    </row>
    <row r="956" spans="1:17" x14ac:dyDescent="0.25">
      <c r="A956" s="3" t="s">
        <v>1465</v>
      </c>
      <c r="B956" s="4">
        <v>45823</v>
      </c>
      <c r="C956" s="3" t="s">
        <v>2018</v>
      </c>
      <c r="D956" s="3" t="s">
        <v>2038</v>
      </c>
      <c r="E956" s="3" t="s">
        <v>2053</v>
      </c>
      <c r="F956" s="3" t="s">
        <v>2062</v>
      </c>
      <c r="G956" s="3">
        <v>9</v>
      </c>
      <c r="H956" s="3">
        <v>500</v>
      </c>
      <c r="I956" s="3">
        <v>610</v>
      </c>
      <c r="J956" s="3">
        <v>5.38</v>
      </c>
      <c r="K956" s="3">
        <v>5194.88</v>
      </c>
      <c r="L956" s="3">
        <v>694.88</v>
      </c>
      <c r="M956" s="3">
        <f t="shared" si="71"/>
        <v>29536.2</v>
      </c>
      <c r="N956" s="3">
        <f t="shared" si="72"/>
        <v>4500</v>
      </c>
      <c r="O956" s="3">
        <f t="shared" si="73"/>
        <v>13.376247382037699</v>
      </c>
      <c r="P956" s="3" t="str">
        <f t="shared" si="74"/>
        <v>Jun</v>
      </c>
      <c r="Q956" s="3" t="str">
        <f t="shared" si="70"/>
        <v>good profit</v>
      </c>
    </row>
    <row r="957" spans="1:17" x14ac:dyDescent="0.25">
      <c r="A957" s="3" t="s">
        <v>628</v>
      </c>
      <c r="B957" s="4">
        <v>45824</v>
      </c>
      <c r="C957" s="3" t="s">
        <v>2023</v>
      </c>
      <c r="D957" s="3" t="s">
        <v>2043</v>
      </c>
      <c r="E957" s="3" t="s">
        <v>2053</v>
      </c>
      <c r="F957" s="3" t="s">
        <v>2061</v>
      </c>
      <c r="G957" s="3">
        <v>8</v>
      </c>
      <c r="H957" s="3">
        <v>550</v>
      </c>
      <c r="I957" s="3">
        <v>742.5</v>
      </c>
      <c r="J957" s="3">
        <v>11.79</v>
      </c>
      <c r="K957" s="3">
        <v>5239.63</v>
      </c>
      <c r="L957" s="3">
        <v>839.63</v>
      </c>
      <c r="M957" s="3">
        <f t="shared" si="71"/>
        <v>70032.599999999991</v>
      </c>
      <c r="N957" s="3">
        <f t="shared" si="72"/>
        <v>4400</v>
      </c>
      <c r="O957" s="3">
        <f t="shared" si="73"/>
        <v>16.024604790796296</v>
      </c>
      <c r="P957" s="3" t="str">
        <f t="shared" si="74"/>
        <v>Jun</v>
      </c>
      <c r="Q957" s="3" t="str">
        <f t="shared" si="70"/>
        <v>good profit</v>
      </c>
    </row>
    <row r="958" spans="1:17" x14ac:dyDescent="0.25">
      <c r="A958" s="3" t="s">
        <v>666</v>
      </c>
      <c r="B958" s="4">
        <v>45824</v>
      </c>
      <c r="C958" s="3" t="s">
        <v>2014</v>
      </c>
      <c r="D958" s="3" t="s">
        <v>2034</v>
      </c>
      <c r="E958" s="3" t="s">
        <v>2052</v>
      </c>
      <c r="F958" s="3" t="s">
        <v>2062</v>
      </c>
      <c r="G958" s="3">
        <v>7</v>
      </c>
      <c r="H958" s="3">
        <v>4500</v>
      </c>
      <c r="I958" s="3">
        <v>5220</v>
      </c>
      <c r="J958" s="3">
        <v>16.420000000000002</v>
      </c>
      <c r="K958" s="3">
        <v>30541.57</v>
      </c>
      <c r="L958" s="3">
        <v>-958.43</v>
      </c>
      <c r="M958" s="3">
        <f t="shared" si="71"/>
        <v>599986.80000000005</v>
      </c>
      <c r="N958" s="3">
        <f t="shared" si="72"/>
        <v>31500</v>
      </c>
      <c r="O958" s="3">
        <f t="shared" si="73"/>
        <v>-3.1381163443791529</v>
      </c>
      <c r="P958" s="3" t="str">
        <f t="shared" si="74"/>
        <v>Jun</v>
      </c>
      <c r="Q958" s="3" t="str">
        <f t="shared" si="70"/>
        <v>loss</v>
      </c>
    </row>
    <row r="959" spans="1:17" x14ac:dyDescent="0.25">
      <c r="A959" s="3" t="s">
        <v>1085</v>
      </c>
      <c r="B959" s="4">
        <v>45824</v>
      </c>
      <c r="C959" s="3" t="s">
        <v>2026</v>
      </c>
      <c r="D959" s="3" t="s">
        <v>2046</v>
      </c>
      <c r="E959" s="3" t="s">
        <v>2052</v>
      </c>
      <c r="F959" s="3" t="s">
        <v>2061</v>
      </c>
      <c r="G959" s="3">
        <v>3</v>
      </c>
      <c r="H959" s="3">
        <v>3000</v>
      </c>
      <c r="I959" s="3">
        <v>3600</v>
      </c>
      <c r="J959" s="3">
        <v>11.15</v>
      </c>
      <c r="K959" s="3">
        <v>9595.6299999999992</v>
      </c>
      <c r="L959" s="3">
        <v>595.63</v>
      </c>
      <c r="M959" s="3">
        <f t="shared" si="71"/>
        <v>120420</v>
      </c>
      <c r="N959" s="3">
        <f t="shared" si="72"/>
        <v>9000</v>
      </c>
      <c r="O959" s="3">
        <f t="shared" si="73"/>
        <v>6.2073047835316704</v>
      </c>
      <c r="P959" s="3" t="str">
        <f t="shared" si="74"/>
        <v>Jun</v>
      </c>
      <c r="Q959" s="3" t="str">
        <f t="shared" si="70"/>
        <v>low profit</v>
      </c>
    </row>
    <row r="960" spans="1:17" x14ac:dyDescent="0.25">
      <c r="A960" s="3" t="s">
        <v>1901</v>
      </c>
      <c r="B960" s="4">
        <v>45824</v>
      </c>
      <c r="C960" s="3" t="s">
        <v>2015</v>
      </c>
      <c r="D960" s="3" t="s">
        <v>2035</v>
      </c>
      <c r="E960" s="3" t="s">
        <v>2054</v>
      </c>
      <c r="F960" s="3" t="s">
        <v>2060</v>
      </c>
      <c r="G960" s="3">
        <v>3</v>
      </c>
      <c r="H960" s="3">
        <v>900</v>
      </c>
      <c r="I960" s="3">
        <v>1170</v>
      </c>
      <c r="J960" s="3">
        <v>10.1</v>
      </c>
      <c r="K960" s="3">
        <v>3155.45</v>
      </c>
      <c r="L960" s="3">
        <v>455.45</v>
      </c>
      <c r="M960" s="3">
        <f t="shared" si="71"/>
        <v>35451</v>
      </c>
      <c r="N960" s="3">
        <f t="shared" si="72"/>
        <v>2700</v>
      </c>
      <c r="O960" s="3">
        <f t="shared" si="73"/>
        <v>14.433757467239221</v>
      </c>
      <c r="P960" s="3" t="str">
        <f t="shared" si="74"/>
        <v>Jun</v>
      </c>
      <c r="Q960" s="3" t="str">
        <f t="shared" si="70"/>
        <v>good profit</v>
      </c>
    </row>
    <row r="961" spans="1:17" x14ac:dyDescent="0.25">
      <c r="A961" s="3" t="s">
        <v>1992</v>
      </c>
      <c r="B961" s="4">
        <v>45824</v>
      </c>
      <c r="C961" s="3" t="s">
        <v>2031</v>
      </c>
      <c r="D961" s="3" t="s">
        <v>2051</v>
      </c>
      <c r="E961" s="3" t="s">
        <v>2058</v>
      </c>
      <c r="F961" s="3" t="s">
        <v>2062</v>
      </c>
      <c r="G961" s="3">
        <v>2</v>
      </c>
      <c r="H961" s="3">
        <v>3200</v>
      </c>
      <c r="I961" s="3">
        <v>3840</v>
      </c>
      <c r="J961" s="3">
        <v>19.579999999999998</v>
      </c>
      <c r="K961" s="3">
        <v>6176.59</v>
      </c>
      <c r="L961" s="3">
        <v>-223.41</v>
      </c>
      <c r="M961" s="3">
        <f t="shared" si="71"/>
        <v>150374.39999999999</v>
      </c>
      <c r="N961" s="3">
        <f t="shared" si="72"/>
        <v>6400</v>
      </c>
      <c r="O961" s="3">
        <f t="shared" si="73"/>
        <v>-3.6170443561900663</v>
      </c>
      <c r="P961" s="3" t="str">
        <f t="shared" si="74"/>
        <v>Jun</v>
      </c>
      <c r="Q961" s="3" t="str">
        <f t="shared" si="70"/>
        <v>loss</v>
      </c>
    </row>
    <row r="962" spans="1:17" x14ac:dyDescent="0.25">
      <c r="A962" s="3" t="s">
        <v>654</v>
      </c>
      <c r="B962" s="4">
        <v>45825</v>
      </c>
      <c r="C962" s="3" t="s">
        <v>2016</v>
      </c>
      <c r="D962" s="3" t="s">
        <v>2036</v>
      </c>
      <c r="E962" s="3" t="s">
        <v>2052</v>
      </c>
      <c r="F962" s="3" t="s">
        <v>2059</v>
      </c>
      <c r="G962" s="3">
        <v>8</v>
      </c>
      <c r="H962" s="3">
        <v>900</v>
      </c>
      <c r="I962" s="3">
        <v>1170</v>
      </c>
      <c r="J962" s="3">
        <v>22.7</v>
      </c>
      <c r="K962" s="3">
        <v>7235.46</v>
      </c>
      <c r="L962" s="3">
        <v>35.46</v>
      </c>
      <c r="M962" s="3">
        <f t="shared" si="71"/>
        <v>212472</v>
      </c>
      <c r="N962" s="3">
        <f t="shared" si="72"/>
        <v>7200</v>
      </c>
      <c r="O962" s="3">
        <f t="shared" si="73"/>
        <v>0.49008632485011322</v>
      </c>
      <c r="P962" s="3" t="str">
        <f t="shared" si="74"/>
        <v>Jun</v>
      </c>
      <c r="Q962" s="3" t="str">
        <f t="shared" ref="Q962:Q1025" si="75">IF(L962&lt;0,"loss",IF(O962&lt;10,"low profit","good profit"))</f>
        <v>low profit</v>
      </c>
    </row>
    <row r="963" spans="1:17" x14ac:dyDescent="0.25">
      <c r="A963" s="3" t="s">
        <v>985</v>
      </c>
      <c r="B963" s="4">
        <v>45825</v>
      </c>
      <c r="C963" s="3" t="s">
        <v>2024</v>
      </c>
      <c r="D963" s="3" t="s">
        <v>2044</v>
      </c>
      <c r="E963" s="3" t="s">
        <v>2055</v>
      </c>
      <c r="F963" s="3" t="s">
        <v>2059</v>
      </c>
      <c r="G963" s="3">
        <v>9</v>
      </c>
      <c r="H963" s="3">
        <v>180</v>
      </c>
      <c r="I963" s="3">
        <v>243</v>
      </c>
      <c r="J963" s="3">
        <v>21.86</v>
      </c>
      <c r="K963" s="3">
        <v>1708.98</v>
      </c>
      <c r="L963" s="3">
        <v>88.98</v>
      </c>
      <c r="M963" s="3">
        <f t="shared" ref="M963:M1026" si="76">G963*I963*J963</f>
        <v>47807.82</v>
      </c>
      <c r="N963" s="3">
        <f t="shared" ref="N963:N1026" si="77">G963*H963</f>
        <v>1620</v>
      </c>
      <c r="O963" s="3">
        <f t="shared" ref="O963:O1026" si="78">IFERROR(L963/K963*100,0)</f>
        <v>5.206614471790191</v>
      </c>
      <c r="P963" s="3" t="str">
        <f t="shared" ref="P963:P1026" si="79">TEXT(B963,"mmm")</f>
        <v>Jun</v>
      </c>
      <c r="Q963" s="3" t="str">
        <f t="shared" si="75"/>
        <v>low profit</v>
      </c>
    </row>
    <row r="964" spans="1:17" x14ac:dyDescent="0.25">
      <c r="A964" s="3" t="s">
        <v>1835</v>
      </c>
      <c r="B964" s="4">
        <v>45825</v>
      </c>
      <c r="C964" s="3" t="s">
        <v>2017</v>
      </c>
      <c r="D964" s="3" t="s">
        <v>2037</v>
      </c>
      <c r="E964" s="3" t="s">
        <v>2055</v>
      </c>
      <c r="F964" s="3" t="s">
        <v>2060</v>
      </c>
      <c r="G964" s="3">
        <v>8</v>
      </c>
      <c r="H964" s="3">
        <v>2500</v>
      </c>
      <c r="I964" s="3">
        <v>2875</v>
      </c>
      <c r="J964" s="3">
        <v>19.260000000000002</v>
      </c>
      <c r="K964" s="3">
        <v>18569.18</v>
      </c>
      <c r="L964" s="3">
        <v>-1430.82</v>
      </c>
      <c r="M964" s="3">
        <f t="shared" si="76"/>
        <v>442980.00000000006</v>
      </c>
      <c r="N964" s="3">
        <f t="shared" si="77"/>
        <v>20000</v>
      </c>
      <c r="O964" s="3">
        <f t="shared" si="78"/>
        <v>-7.705348324481748</v>
      </c>
      <c r="P964" s="3" t="str">
        <f t="shared" si="79"/>
        <v>Jun</v>
      </c>
      <c r="Q964" s="3" t="str">
        <f t="shared" si="75"/>
        <v>loss</v>
      </c>
    </row>
    <row r="965" spans="1:17" x14ac:dyDescent="0.25">
      <c r="A965" s="3" t="s">
        <v>1942</v>
      </c>
      <c r="B965" s="4">
        <v>45825</v>
      </c>
      <c r="C965" s="3" t="s">
        <v>2027</v>
      </c>
      <c r="D965" s="3" t="s">
        <v>2047</v>
      </c>
      <c r="E965" s="3" t="s">
        <v>2053</v>
      </c>
      <c r="F965" s="3" t="s">
        <v>2060</v>
      </c>
      <c r="G965" s="3">
        <v>10</v>
      </c>
      <c r="H965" s="3">
        <v>1100</v>
      </c>
      <c r="I965" s="3">
        <v>1298</v>
      </c>
      <c r="J965" s="3">
        <v>12.23</v>
      </c>
      <c r="K965" s="3">
        <v>11392.01</v>
      </c>
      <c r="L965" s="3">
        <v>392.01</v>
      </c>
      <c r="M965" s="3">
        <f t="shared" si="76"/>
        <v>158745.4</v>
      </c>
      <c r="N965" s="3">
        <f t="shared" si="77"/>
        <v>11000</v>
      </c>
      <c r="O965" s="3">
        <f t="shared" si="78"/>
        <v>3.4410959962289356</v>
      </c>
      <c r="P965" s="3" t="str">
        <f t="shared" si="79"/>
        <v>Jun</v>
      </c>
      <c r="Q965" s="3" t="str">
        <f t="shared" si="75"/>
        <v>low profit</v>
      </c>
    </row>
    <row r="966" spans="1:17" x14ac:dyDescent="0.25">
      <c r="A966" s="3" t="s">
        <v>291</v>
      </c>
      <c r="B966" s="4">
        <v>45826</v>
      </c>
      <c r="C966" s="3" t="s">
        <v>2027</v>
      </c>
      <c r="D966" s="3" t="s">
        <v>2047</v>
      </c>
      <c r="E966" s="3" t="s">
        <v>2053</v>
      </c>
      <c r="F966" s="3" t="s">
        <v>2060</v>
      </c>
      <c r="G966" s="3">
        <v>5</v>
      </c>
      <c r="H966" s="3">
        <v>1100</v>
      </c>
      <c r="I966" s="3">
        <v>1298</v>
      </c>
      <c r="J966" s="3">
        <v>3.73</v>
      </c>
      <c r="K966" s="3">
        <v>6248.07</v>
      </c>
      <c r="L966" s="3">
        <v>748.07</v>
      </c>
      <c r="M966" s="3">
        <f t="shared" si="76"/>
        <v>24207.7</v>
      </c>
      <c r="N966" s="3">
        <f t="shared" si="77"/>
        <v>5500</v>
      </c>
      <c r="O966" s="3">
        <f t="shared" si="78"/>
        <v>11.9728172059532</v>
      </c>
      <c r="P966" s="3" t="str">
        <f t="shared" si="79"/>
        <v>Jun</v>
      </c>
      <c r="Q966" s="3" t="str">
        <f t="shared" si="75"/>
        <v>good profit</v>
      </c>
    </row>
    <row r="967" spans="1:17" x14ac:dyDescent="0.25">
      <c r="A967" s="3" t="s">
        <v>608</v>
      </c>
      <c r="B967" s="4">
        <v>45826</v>
      </c>
      <c r="C967" s="3" t="s">
        <v>2017</v>
      </c>
      <c r="D967" s="3" t="s">
        <v>2037</v>
      </c>
      <c r="E967" s="3" t="s">
        <v>2055</v>
      </c>
      <c r="F967" s="3" t="s">
        <v>2060</v>
      </c>
      <c r="G967" s="3">
        <v>10</v>
      </c>
      <c r="H967" s="3">
        <v>2500</v>
      </c>
      <c r="I967" s="3">
        <v>2875</v>
      </c>
      <c r="J967" s="3">
        <v>18.41</v>
      </c>
      <c r="K967" s="3">
        <v>23455.86</v>
      </c>
      <c r="L967" s="3">
        <v>-1544.14</v>
      </c>
      <c r="M967" s="3">
        <f t="shared" si="76"/>
        <v>529287.5</v>
      </c>
      <c r="N967" s="3">
        <f t="shared" si="77"/>
        <v>25000</v>
      </c>
      <c r="O967" s="3">
        <f t="shared" si="78"/>
        <v>-6.5831736717391731</v>
      </c>
      <c r="P967" s="3" t="str">
        <f t="shared" si="79"/>
        <v>Jun</v>
      </c>
      <c r="Q967" s="3" t="str">
        <f t="shared" si="75"/>
        <v>loss</v>
      </c>
    </row>
    <row r="968" spans="1:17" x14ac:dyDescent="0.25">
      <c r="A968" s="3" t="s">
        <v>1268</v>
      </c>
      <c r="B968" s="4">
        <v>45826</v>
      </c>
      <c r="C968" s="3" t="s">
        <v>2012</v>
      </c>
      <c r="D968" s="3" t="s">
        <v>2032</v>
      </c>
      <c r="E968" s="3" t="s">
        <v>2052</v>
      </c>
      <c r="F968" s="3" t="s">
        <v>2061</v>
      </c>
      <c r="G968" s="3">
        <v>8</v>
      </c>
      <c r="H968" s="3">
        <v>6500</v>
      </c>
      <c r="I968" s="3">
        <v>8125</v>
      </c>
      <c r="J968" s="3">
        <v>21.07</v>
      </c>
      <c r="K968" s="3">
        <v>51303.76</v>
      </c>
      <c r="L968" s="3">
        <v>-696.24</v>
      </c>
      <c r="M968" s="3">
        <f t="shared" si="76"/>
        <v>1369550</v>
      </c>
      <c r="N968" s="3">
        <f t="shared" si="77"/>
        <v>52000</v>
      </c>
      <c r="O968" s="3">
        <f t="shared" si="78"/>
        <v>-1.3570935151731569</v>
      </c>
      <c r="P968" s="3" t="str">
        <f t="shared" si="79"/>
        <v>Jun</v>
      </c>
      <c r="Q968" s="3" t="str">
        <f t="shared" si="75"/>
        <v>loss</v>
      </c>
    </row>
    <row r="969" spans="1:17" x14ac:dyDescent="0.25">
      <c r="A969" s="3" t="s">
        <v>1655</v>
      </c>
      <c r="B969" s="4">
        <v>45826</v>
      </c>
      <c r="C969" s="3" t="s">
        <v>2020</v>
      </c>
      <c r="D969" s="3" t="s">
        <v>2040</v>
      </c>
      <c r="E969" s="3" t="s">
        <v>2053</v>
      </c>
      <c r="F969" s="3" t="s">
        <v>2060</v>
      </c>
      <c r="G969" s="3">
        <v>9</v>
      </c>
      <c r="H969" s="3">
        <v>350</v>
      </c>
      <c r="I969" s="3">
        <v>455</v>
      </c>
      <c r="J969" s="3">
        <v>5.46</v>
      </c>
      <c r="K969" s="3">
        <v>3871.4</v>
      </c>
      <c r="L969" s="3">
        <v>721.4</v>
      </c>
      <c r="M969" s="3">
        <f t="shared" si="76"/>
        <v>22358.7</v>
      </c>
      <c r="N969" s="3">
        <f t="shared" si="77"/>
        <v>3150</v>
      </c>
      <c r="O969" s="3">
        <f t="shared" si="78"/>
        <v>18.634085860412252</v>
      </c>
      <c r="P969" s="3" t="str">
        <f t="shared" si="79"/>
        <v>Jun</v>
      </c>
      <c r="Q969" s="3" t="str">
        <f t="shared" si="75"/>
        <v>good profit</v>
      </c>
    </row>
    <row r="970" spans="1:17" x14ac:dyDescent="0.25">
      <c r="A970" s="3" t="s">
        <v>1826</v>
      </c>
      <c r="B970" s="4">
        <v>45826</v>
      </c>
      <c r="C970" s="3" t="s">
        <v>2031</v>
      </c>
      <c r="D970" s="3" t="s">
        <v>2051</v>
      </c>
      <c r="E970" s="3" t="s">
        <v>2058</v>
      </c>
      <c r="F970" s="3" t="s">
        <v>2059</v>
      </c>
      <c r="G970" s="3">
        <v>10</v>
      </c>
      <c r="H970" s="3">
        <v>3200</v>
      </c>
      <c r="I970" s="3">
        <v>3840</v>
      </c>
      <c r="J970" s="3">
        <v>10.76</v>
      </c>
      <c r="K970" s="3">
        <v>34269.97</v>
      </c>
      <c r="L970" s="3">
        <v>2269.9699999999998</v>
      </c>
      <c r="M970" s="3">
        <f t="shared" si="76"/>
        <v>413184</v>
      </c>
      <c r="N970" s="3">
        <f t="shared" si="77"/>
        <v>32000</v>
      </c>
      <c r="O970" s="3">
        <f t="shared" si="78"/>
        <v>6.6237875317661494</v>
      </c>
      <c r="P970" s="3" t="str">
        <f t="shared" si="79"/>
        <v>Jun</v>
      </c>
      <c r="Q970" s="3" t="str">
        <f t="shared" si="75"/>
        <v>low profit</v>
      </c>
    </row>
    <row r="971" spans="1:17" x14ac:dyDescent="0.25">
      <c r="A971" s="3" t="s">
        <v>1847</v>
      </c>
      <c r="B971" s="4">
        <v>45826</v>
      </c>
      <c r="C971" s="3" t="s">
        <v>2025</v>
      </c>
      <c r="D971" s="3" t="s">
        <v>2045</v>
      </c>
      <c r="E971" s="3" t="s">
        <v>2057</v>
      </c>
      <c r="F971" s="3" t="s">
        <v>2061</v>
      </c>
      <c r="G971" s="3">
        <v>4</v>
      </c>
      <c r="H971" s="3">
        <v>45</v>
      </c>
      <c r="I971" s="3">
        <v>63</v>
      </c>
      <c r="J971" s="3">
        <v>13.94</v>
      </c>
      <c r="K971" s="3">
        <v>216.88</v>
      </c>
      <c r="L971" s="3">
        <v>36.880000000000003</v>
      </c>
      <c r="M971" s="3">
        <f t="shared" si="76"/>
        <v>3512.8799999999997</v>
      </c>
      <c r="N971" s="3">
        <f t="shared" si="77"/>
        <v>180</v>
      </c>
      <c r="O971" s="3">
        <f t="shared" si="78"/>
        <v>17.00479527849502</v>
      </c>
      <c r="P971" s="3" t="str">
        <f t="shared" si="79"/>
        <v>Jun</v>
      </c>
      <c r="Q971" s="3" t="str">
        <f t="shared" si="75"/>
        <v>good profit</v>
      </c>
    </row>
    <row r="972" spans="1:17" x14ac:dyDescent="0.25">
      <c r="A972" s="3" t="s">
        <v>1906</v>
      </c>
      <c r="B972" s="4">
        <v>45826</v>
      </c>
      <c r="C972" s="3" t="s">
        <v>2031</v>
      </c>
      <c r="D972" s="3" t="s">
        <v>2051</v>
      </c>
      <c r="E972" s="3" t="s">
        <v>2058</v>
      </c>
      <c r="F972" s="3" t="s">
        <v>2060</v>
      </c>
      <c r="G972" s="3">
        <v>4</v>
      </c>
      <c r="H972" s="3">
        <v>3200</v>
      </c>
      <c r="I972" s="3">
        <v>3840</v>
      </c>
      <c r="J972" s="3">
        <v>7.03</v>
      </c>
      <c r="K972" s="3">
        <v>14279.73</v>
      </c>
      <c r="L972" s="3">
        <v>1479.73</v>
      </c>
      <c r="M972" s="3">
        <f t="shared" si="76"/>
        <v>107980.8</v>
      </c>
      <c r="N972" s="3">
        <f t="shared" si="77"/>
        <v>12800</v>
      </c>
      <c r="O972" s="3">
        <f t="shared" si="78"/>
        <v>10.362450830652961</v>
      </c>
      <c r="P972" s="3" t="str">
        <f t="shared" si="79"/>
        <v>Jun</v>
      </c>
      <c r="Q972" s="3" t="str">
        <f t="shared" si="75"/>
        <v>good profit</v>
      </c>
    </row>
    <row r="973" spans="1:17" x14ac:dyDescent="0.25">
      <c r="A973" s="3" t="s">
        <v>1130</v>
      </c>
      <c r="B973" s="4">
        <v>45827</v>
      </c>
      <c r="C973" s="3" t="s">
        <v>2016</v>
      </c>
      <c r="D973" s="3" t="s">
        <v>2036</v>
      </c>
      <c r="E973" s="3" t="s">
        <v>2052</v>
      </c>
      <c r="F973" s="3" t="s">
        <v>2060</v>
      </c>
      <c r="G973" s="3">
        <v>5</v>
      </c>
      <c r="H973" s="3">
        <v>900</v>
      </c>
      <c r="I973" s="3">
        <v>1170</v>
      </c>
      <c r="J973" s="3">
        <v>13.21</v>
      </c>
      <c r="K973" s="3">
        <v>5077.08</v>
      </c>
      <c r="L973" s="3">
        <v>577.08000000000004</v>
      </c>
      <c r="M973" s="3">
        <f t="shared" si="76"/>
        <v>77278.5</v>
      </c>
      <c r="N973" s="3">
        <f t="shared" si="77"/>
        <v>4500</v>
      </c>
      <c r="O973" s="3">
        <f t="shared" si="78"/>
        <v>11.366375948379778</v>
      </c>
      <c r="P973" s="3" t="str">
        <f t="shared" si="79"/>
        <v>Jun</v>
      </c>
      <c r="Q973" s="3" t="str">
        <f t="shared" si="75"/>
        <v>good profit</v>
      </c>
    </row>
    <row r="974" spans="1:17" x14ac:dyDescent="0.25">
      <c r="A974" s="3" t="s">
        <v>1534</v>
      </c>
      <c r="B974" s="4">
        <v>45827</v>
      </c>
      <c r="C974" s="3" t="s">
        <v>2021</v>
      </c>
      <c r="D974" s="3" t="s">
        <v>2041</v>
      </c>
      <c r="E974" s="3" t="s">
        <v>2056</v>
      </c>
      <c r="F974" s="3" t="s">
        <v>2060</v>
      </c>
      <c r="G974" s="3">
        <v>6</v>
      </c>
      <c r="H974" s="3">
        <v>300</v>
      </c>
      <c r="I974" s="3">
        <v>405</v>
      </c>
      <c r="J974" s="3">
        <v>12.48</v>
      </c>
      <c r="K974" s="3">
        <v>2126.65</v>
      </c>
      <c r="L974" s="3">
        <v>326.64999999999998</v>
      </c>
      <c r="M974" s="3">
        <f t="shared" si="76"/>
        <v>30326.400000000001</v>
      </c>
      <c r="N974" s="3">
        <f t="shared" si="77"/>
        <v>1800</v>
      </c>
      <c r="O974" s="3">
        <f t="shared" si="78"/>
        <v>15.359838243246418</v>
      </c>
      <c r="P974" s="3" t="str">
        <f t="shared" si="79"/>
        <v>Jun</v>
      </c>
      <c r="Q974" s="3" t="str">
        <f t="shared" si="75"/>
        <v>good profit</v>
      </c>
    </row>
    <row r="975" spans="1:17" x14ac:dyDescent="0.25">
      <c r="A975" s="3" t="s">
        <v>1711</v>
      </c>
      <c r="B975" s="4">
        <v>45827</v>
      </c>
      <c r="C975" s="3" t="s">
        <v>2025</v>
      </c>
      <c r="D975" s="3" t="s">
        <v>2045</v>
      </c>
      <c r="E975" s="3" t="s">
        <v>2057</v>
      </c>
      <c r="F975" s="3" t="s">
        <v>2061</v>
      </c>
      <c r="G975" s="3">
        <v>1</v>
      </c>
      <c r="H975" s="3">
        <v>45</v>
      </c>
      <c r="I975" s="3">
        <v>63</v>
      </c>
      <c r="J975" s="3">
        <v>14.05</v>
      </c>
      <c r="K975" s="3">
        <v>54.15</v>
      </c>
      <c r="L975" s="3">
        <v>9.15</v>
      </c>
      <c r="M975" s="3">
        <f t="shared" si="76"/>
        <v>885.15000000000009</v>
      </c>
      <c r="N975" s="3">
        <f t="shared" si="77"/>
        <v>45</v>
      </c>
      <c r="O975" s="3">
        <f t="shared" si="78"/>
        <v>16.897506925207757</v>
      </c>
      <c r="P975" s="3" t="str">
        <f t="shared" si="79"/>
        <v>Jun</v>
      </c>
      <c r="Q975" s="3" t="str">
        <f t="shared" si="75"/>
        <v>good profit</v>
      </c>
    </row>
    <row r="976" spans="1:17" x14ac:dyDescent="0.25">
      <c r="A976" s="3" t="s">
        <v>362</v>
      </c>
      <c r="B976" s="4">
        <v>45828</v>
      </c>
      <c r="C976" s="3" t="s">
        <v>2031</v>
      </c>
      <c r="D976" s="3" t="s">
        <v>2051</v>
      </c>
      <c r="E976" s="3" t="s">
        <v>2058</v>
      </c>
      <c r="F976" s="3" t="s">
        <v>2060</v>
      </c>
      <c r="G976" s="3">
        <v>8</v>
      </c>
      <c r="H976" s="3">
        <v>3200</v>
      </c>
      <c r="I976" s="3">
        <v>3840</v>
      </c>
      <c r="J976" s="3">
        <v>11.98</v>
      </c>
      <c r="K976" s="3">
        <v>27038.89</v>
      </c>
      <c r="L976" s="3">
        <v>1438.89</v>
      </c>
      <c r="M976" s="3">
        <f t="shared" si="76"/>
        <v>368025.60000000003</v>
      </c>
      <c r="N976" s="3">
        <f t="shared" si="77"/>
        <v>25600</v>
      </c>
      <c r="O976" s="3">
        <f t="shared" si="78"/>
        <v>5.3215572088943013</v>
      </c>
      <c r="P976" s="3" t="str">
        <f t="shared" si="79"/>
        <v>Jun</v>
      </c>
      <c r="Q976" s="3" t="str">
        <f t="shared" si="75"/>
        <v>low profit</v>
      </c>
    </row>
    <row r="977" spans="1:17" x14ac:dyDescent="0.25">
      <c r="A977" s="3" t="s">
        <v>1259</v>
      </c>
      <c r="B977" s="4">
        <v>45828</v>
      </c>
      <c r="C977" s="3" t="s">
        <v>2019</v>
      </c>
      <c r="D977" s="3" t="s">
        <v>2039</v>
      </c>
      <c r="E977" s="3" t="s">
        <v>2053</v>
      </c>
      <c r="F977" s="3" t="s">
        <v>2061</v>
      </c>
      <c r="G977" s="3">
        <v>2</v>
      </c>
      <c r="H977" s="3">
        <v>900</v>
      </c>
      <c r="I977" s="3">
        <v>1152</v>
      </c>
      <c r="J977" s="3">
        <v>11.32</v>
      </c>
      <c r="K977" s="3">
        <v>2043.29</v>
      </c>
      <c r="L977" s="3">
        <v>243.29</v>
      </c>
      <c r="M977" s="3">
        <f t="shared" si="76"/>
        <v>26081.279999999999</v>
      </c>
      <c r="N977" s="3">
        <f t="shared" si="77"/>
        <v>1800</v>
      </c>
      <c r="O977" s="3">
        <f t="shared" si="78"/>
        <v>11.906777794635122</v>
      </c>
      <c r="P977" s="3" t="str">
        <f t="shared" si="79"/>
        <v>Jun</v>
      </c>
      <c r="Q977" s="3" t="str">
        <f t="shared" si="75"/>
        <v>good profit</v>
      </c>
    </row>
    <row r="978" spans="1:17" x14ac:dyDescent="0.25">
      <c r="A978" s="3" t="s">
        <v>1518</v>
      </c>
      <c r="B978" s="4">
        <v>45828</v>
      </c>
      <c r="C978" s="3" t="s">
        <v>2024</v>
      </c>
      <c r="D978" s="3" t="s">
        <v>2044</v>
      </c>
      <c r="E978" s="3" t="s">
        <v>2055</v>
      </c>
      <c r="F978" s="3" t="s">
        <v>2062</v>
      </c>
      <c r="G978" s="3">
        <v>8</v>
      </c>
      <c r="H978" s="3">
        <v>180</v>
      </c>
      <c r="I978" s="3">
        <v>243</v>
      </c>
      <c r="J978" s="3">
        <v>16.37</v>
      </c>
      <c r="K978" s="3">
        <v>1625.86</v>
      </c>
      <c r="L978" s="3">
        <v>185.86</v>
      </c>
      <c r="M978" s="3">
        <f t="shared" si="76"/>
        <v>31823.280000000002</v>
      </c>
      <c r="N978" s="3">
        <f t="shared" si="77"/>
        <v>1440</v>
      </c>
      <c r="O978" s="3">
        <f t="shared" si="78"/>
        <v>11.4314885660512</v>
      </c>
      <c r="P978" s="3" t="str">
        <f t="shared" si="79"/>
        <v>Jun</v>
      </c>
      <c r="Q978" s="3" t="str">
        <f t="shared" si="75"/>
        <v>good profit</v>
      </c>
    </row>
    <row r="979" spans="1:17" x14ac:dyDescent="0.25">
      <c r="A979" s="3" t="s">
        <v>1709</v>
      </c>
      <c r="B979" s="4">
        <v>45828</v>
      </c>
      <c r="C979" s="3" t="s">
        <v>2026</v>
      </c>
      <c r="D979" s="3" t="s">
        <v>2046</v>
      </c>
      <c r="E979" s="3" t="s">
        <v>2052</v>
      </c>
      <c r="F979" s="3" t="s">
        <v>2060</v>
      </c>
      <c r="G979" s="3">
        <v>2</v>
      </c>
      <c r="H979" s="3">
        <v>3000</v>
      </c>
      <c r="I979" s="3">
        <v>3600</v>
      </c>
      <c r="J979" s="3">
        <v>7</v>
      </c>
      <c r="K979" s="3">
        <v>6696.3</v>
      </c>
      <c r="L979" s="3">
        <v>696.3</v>
      </c>
      <c r="M979" s="3">
        <f t="shared" si="76"/>
        <v>50400</v>
      </c>
      <c r="N979" s="3">
        <f t="shared" si="77"/>
        <v>6000</v>
      </c>
      <c r="O979" s="3">
        <f t="shared" si="78"/>
        <v>10.39827964696922</v>
      </c>
      <c r="P979" s="3" t="str">
        <f t="shared" si="79"/>
        <v>Jun</v>
      </c>
      <c r="Q979" s="3" t="str">
        <f t="shared" si="75"/>
        <v>good profit</v>
      </c>
    </row>
    <row r="980" spans="1:17" x14ac:dyDescent="0.25">
      <c r="A980" s="3" t="s">
        <v>321</v>
      </c>
      <c r="B980" s="4">
        <v>45829</v>
      </c>
      <c r="C980" s="3" t="s">
        <v>2024</v>
      </c>
      <c r="D980" s="3" t="s">
        <v>2044</v>
      </c>
      <c r="E980" s="3" t="s">
        <v>2055</v>
      </c>
      <c r="F980" s="3" t="s">
        <v>2059</v>
      </c>
      <c r="G980" s="3">
        <v>3</v>
      </c>
      <c r="H980" s="3">
        <v>180</v>
      </c>
      <c r="I980" s="3">
        <v>243</v>
      </c>
      <c r="J980" s="3">
        <v>12.07</v>
      </c>
      <c r="K980" s="3">
        <v>641.02</v>
      </c>
      <c r="L980" s="3">
        <v>101.02</v>
      </c>
      <c r="M980" s="3">
        <f t="shared" si="76"/>
        <v>8799.0300000000007</v>
      </c>
      <c r="N980" s="3">
        <f t="shared" si="77"/>
        <v>540</v>
      </c>
      <c r="O980" s="3">
        <f t="shared" si="78"/>
        <v>15.759258681476396</v>
      </c>
      <c r="P980" s="3" t="str">
        <f t="shared" si="79"/>
        <v>Jun</v>
      </c>
      <c r="Q980" s="3" t="str">
        <f t="shared" si="75"/>
        <v>good profit</v>
      </c>
    </row>
    <row r="981" spans="1:17" x14ac:dyDescent="0.25">
      <c r="A981" s="3" t="s">
        <v>884</v>
      </c>
      <c r="B981" s="4">
        <v>45829</v>
      </c>
      <c r="C981" s="3" t="s">
        <v>2030</v>
      </c>
      <c r="D981" s="3" t="s">
        <v>2050</v>
      </c>
      <c r="E981" s="3" t="s">
        <v>2058</v>
      </c>
      <c r="F981" s="3" t="s">
        <v>2062</v>
      </c>
      <c r="G981" s="3">
        <v>4</v>
      </c>
      <c r="H981" s="3">
        <v>1800</v>
      </c>
      <c r="I981" s="3">
        <v>2124</v>
      </c>
      <c r="J981" s="3">
        <v>14.69</v>
      </c>
      <c r="K981" s="3">
        <v>7247.79</v>
      </c>
      <c r="L981" s="3">
        <v>47.79</v>
      </c>
      <c r="M981" s="3">
        <f t="shared" si="76"/>
        <v>124806.23999999999</v>
      </c>
      <c r="N981" s="3">
        <f t="shared" si="77"/>
        <v>7200</v>
      </c>
      <c r="O981" s="3">
        <f t="shared" si="78"/>
        <v>0.65937340899777719</v>
      </c>
      <c r="P981" s="3" t="str">
        <f t="shared" si="79"/>
        <v>Jun</v>
      </c>
      <c r="Q981" s="3" t="str">
        <f t="shared" si="75"/>
        <v>low profit</v>
      </c>
    </row>
    <row r="982" spans="1:17" x14ac:dyDescent="0.25">
      <c r="A982" s="3" t="s">
        <v>1073</v>
      </c>
      <c r="B982" s="4">
        <v>45829</v>
      </c>
      <c r="C982" s="3" t="s">
        <v>2014</v>
      </c>
      <c r="D982" s="3" t="s">
        <v>2034</v>
      </c>
      <c r="E982" s="3" t="s">
        <v>2052</v>
      </c>
      <c r="F982" s="3" t="s">
        <v>2060</v>
      </c>
      <c r="G982" s="3">
        <v>3</v>
      </c>
      <c r="H982" s="3">
        <v>4500</v>
      </c>
      <c r="I982" s="3">
        <v>5220</v>
      </c>
      <c r="J982" s="3">
        <v>8.6999999999999993</v>
      </c>
      <c r="K982" s="3">
        <v>14297.82</v>
      </c>
      <c r="L982" s="3">
        <v>797.82</v>
      </c>
      <c r="M982" s="3">
        <f t="shared" si="76"/>
        <v>136242</v>
      </c>
      <c r="N982" s="3">
        <f t="shared" si="77"/>
        <v>13500</v>
      </c>
      <c r="O982" s="3">
        <f t="shared" si="78"/>
        <v>5.5800114982563782</v>
      </c>
      <c r="P982" s="3" t="str">
        <f t="shared" si="79"/>
        <v>Jun</v>
      </c>
      <c r="Q982" s="3" t="str">
        <f t="shared" si="75"/>
        <v>low profit</v>
      </c>
    </row>
    <row r="983" spans="1:17" x14ac:dyDescent="0.25">
      <c r="A983" s="3" t="s">
        <v>120</v>
      </c>
      <c r="B983" s="4">
        <v>45830</v>
      </c>
      <c r="C983" s="3" t="s">
        <v>2030</v>
      </c>
      <c r="D983" s="3" t="s">
        <v>2050</v>
      </c>
      <c r="E983" s="3" t="s">
        <v>2058</v>
      </c>
      <c r="F983" s="3" t="s">
        <v>2060</v>
      </c>
      <c r="G983" s="3">
        <v>2</v>
      </c>
      <c r="H983" s="3">
        <v>1800</v>
      </c>
      <c r="I983" s="3">
        <v>2124</v>
      </c>
      <c r="J983" s="3">
        <v>12.3</v>
      </c>
      <c r="K983" s="3">
        <v>3725.7</v>
      </c>
      <c r="L983" s="3">
        <v>125.7</v>
      </c>
      <c r="M983" s="3">
        <f t="shared" si="76"/>
        <v>52250.400000000001</v>
      </c>
      <c r="N983" s="3">
        <f t="shared" si="77"/>
        <v>3600</v>
      </c>
      <c r="O983" s="3">
        <f t="shared" si="78"/>
        <v>3.3738626298413723</v>
      </c>
      <c r="P983" s="3" t="str">
        <f t="shared" si="79"/>
        <v>Jun</v>
      </c>
      <c r="Q983" s="3" t="str">
        <f t="shared" si="75"/>
        <v>low profit</v>
      </c>
    </row>
    <row r="984" spans="1:17" x14ac:dyDescent="0.25">
      <c r="A984" s="3" t="s">
        <v>199</v>
      </c>
      <c r="B984" s="4">
        <v>45830</v>
      </c>
      <c r="C984" s="3" t="s">
        <v>2020</v>
      </c>
      <c r="D984" s="3" t="s">
        <v>2040</v>
      </c>
      <c r="E984" s="3" t="s">
        <v>2053</v>
      </c>
      <c r="F984" s="3" t="s">
        <v>2062</v>
      </c>
      <c r="G984" s="3">
        <v>8</v>
      </c>
      <c r="H984" s="3">
        <v>350</v>
      </c>
      <c r="I984" s="3">
        <v>455</v>
      </c>
      <c r="J984" s="3">
        <v>7.58</v>
      </c>
      <c r="K984" s="3">
        <v>3364.14</v>
      </c>
      <c r="L984" s="3">
        <v>564.14</v>
      </c>
      <c r="M984" s="3">
        <f t="shared" si="76"/>
        <v>27591.200000000001</v>
      </c>
      <c r="N984" s="3">
        <f t="shared" si="77"/>
        <v>2800</v>
      </c>
      <c r="O984" s="3">
        <f t="shared" si="78"/>
        <v>16.76921887911918</v>
      </c>
      <c r="P984" s="3" t="str">
        <f t="shared" si="79"/>
        <v>Jun</v>
      </c>
      <c r="Q984" s="3" t="str">
        <f t="shared" si="75"/>
        <v>good profit</v>
      </c>
    </row>
    <row r="985" spans="1:17" x14ac:dyDescent="0.25">
      <c r="A985" s="3" t="s">
        <v>248</v>
      </c>
      <c r="B985" s="4">
        <v>45830</v>
      </c>
      <c r="C985" s="3" t="s">
        <v>2013</v>
      </c>
      <c r="D985" s="3" t="s">
        <v>2033</v>
      </c>
      <c r="E985" s="3" t="s">
        <v>2053</v>
      </c>
      <c r="F985" s="3" t="s">
        <v>2061</v>
      </c>
      <c r="G985" s="3">
        <v>2</v>
      </c>
      <c r="H985" s="3">
        <v>6500</v>
      </c>
      <c r="I985" s="3">
        <v>7150</v>
      </c>
      <c r="J985" s="3">
        <v>13.79</v>
      </c>
      <c r="K985" s="3">
        <v>12328.47</v>
      </c>
      <c r="L985" s="3">
        <v>-671.53</v>
      </c>
      <c r="M985" s="3">
        <f t="shared" si="76"/>
        <v>197197</v>
      </c>
      <c r="N985" s="3">
        <f t="shared" si="77"/>
        <v>13000</v>
      </c>
      <c r="O985" s="3">
        <f t="shared" si="78"/>
        <v>-5.4469857168002189</v>
      </c>
      <c r="P985" s="3" t="str">
        <f t="shared" si="79"/>
        <v>Jun</v>
      </c>
      <c r="Q985" s="3" t="str">
        <f t="shared" si="75"/>
        <v>loss</v>
      </c>
    </row>
    <row r="986" spans="1:17" x14ac:dyDescent="0.25">
      <c r="A986" s="3" t="s">
        <v>466</v>
      </c>
      <c r="B986" s="4">
        <v>45830</v>
      </c>
      <c r="C986" s="3" t="s">
        <v>2026</v>
      </c>
      <c r="D986" s="3" t="s">
        <v>2046</v>
      </c>
      <c r="E986" s="3" t="s">
        <v>2052</v>
      </c>
      <c r="F986" s="3" t="s">
        <v>2061</v>
      </c>
      <c r="G986" s="3">
        <v>6</v>
      </c>
      <c r="H986" s="3">
        <v>3000</v>
      </c>
      <c r="I986" s="3">
        <v>3600</v>
      </c>
      <c r="J986" s="3">
        <v>8.24</v>
      </c>
      <c r="K986" s="3">
        <v>19820.689999999999</v>
      </c>
      <c r="L986" s="3">
        <v>1820.69</v>
      </c>
      <c r="M986" s="3">
        <f t="shared" si="76"/>
        <v>177984</v>
      </c>
      <c r="N986" s="3">
        <f t="shared" si="77"/>
        <v>18000</v>
      </c>
      <c r="O986" s="3">
        <f t="shared" si="78"/>
        <v>9.1858053377556494</v>
      </c>
      <c r="P986" s="3" t="str">
        <f t="shared" si="79"/>
        <v>Jun</v>
      </c>
      <c r="Q986" s="3" t="str">
        <f t="shared" si="75"/>
        <v>low profit</v>
      </c>
    </row>
    <row r="987" spans="1:17" x14ac:dyDescent="0.25">
      <c r="A987" s="3" t="s">
        <v>833</v>
      </c>
      <c r="B987" s="4">
        <v>45830</v>
      </c>
      <c r="C987" s="3" t="s">
        <v>2013</v>
      </c>
      <c r="D987" s="3" t="s">
        <v>2033</v>
      </c>
      <c r="E987" s="3" t="s">
        <v>2053</v>
      </c>
      <c r="F987" s="3" t="s">
        <v>2061</v>
      </c>
      <c r="G987" s="3">
        <v>2</v>
      </c>
      <c r="H987" s="3">
        <v>6500</v>
      </c>
      <c r="I987" s="3">
        <v>7150</v>
      </c>
      <c r="J987" s="3">
        <v>13.61</v>
      </c>
      <c r="K987" s="3">
        <v>12353.9</v>
      </c>
      <c r="L987" s="3">
        <v>-646.1</v>
      </c>
      <c r="M987" s="3">
        <f t="shared" si="76"/>
        <v>194623</v>
      </c>
      <c r="N987" s="3">
        <f t="shared" si="77"/>
        <v>13000</v>
      </c>
      <c r="O987" s="3">
        <f t="shared" si="78"/>
        <v>-5.2299273913501008</v>
      </c>
      <c r="P987" s="3" t="str">
        <f t="shared" si="79"/>
        <v>Jun</v>
      </c>
      <c r="Q987" s="3" t="str">
        <f t="shared" si="75"/>
        <v>loss</v>
      </c>
    </row>
    <row r="988" spans="1:17" x14ac:dyDescent="0.25">
      <c r="A988" s="3" t="s">
        <v>1197</v>
      </c>
      <c r="B988" s="4">
        <v>45830</v>
      </c>
      <c r="C988" s="3" t="s">
        <v>2016</v>
      </c>
      <c r="D988" s="3" t="s">
        <v>2036</v>
      </c>
      <c r="E988" s="3" t="s">
        <v>2052</v>
      </c>
      <c r="F988" s="3" t="s">
        <v>2059</v>
      </c>
      <c r="G988" s="3">
        <v>9</v>
      </c>
      <c r="H988" s="3">
        <v>900</v>
      </c>
      <c r="I988" s="3">
        <v>1170</v>
      </c>
      <c r="J988" s="3">
        <v>4.6100000000000003</v>
      </c>
      <c r="K988" s="3">
        <v>10044.08</v>
      </c>
      <c r="L988" s="3">
        <v>1944.08</v>
      </c>
      <c r="M988" s="3">
        <f t="shared" si="76"/>
        <v>48543.3</v>
      </c>
      <c r="N988" s="3">
        <f t="shared" si="77"/>
        <v>8100</v>
      </c>
      <c r="O988" s="3">
        <f t="shared" si="78"/>
        <v>19.355481039577541</v>
      </c>
      <c r="P988" s="3" t="str">
        <f t="shared" si="79"/>
        <v>Jun</v>
      </c>
      <c r="Q988" s="3" t="str">
        <f t="shared" si="75"/>
        <v>good profit</v>
      </c>
    </row>
    <row r="989" spans="1:17" x14ac:dyDescent="0.25">
      <c r="A989" s="3" t="s">
        <v>1314</v>
      </c>
      <c r="B989" s="4">
        <v>45830</v>
      </c>
      <c r="C989" s="3" t="s">
        <v>2024</v>
      </c>
      <c r="D989" s="3" t="s">
        <v>2044</v>
      </c>
      <c r="E989" s="3" t="s">
        <v>2055</v>
      </c>
      <c r="F989" s="3" t="s">
        <v>2062</v>
      </c>
      <c r="G989" s="3">
        <v>6</v>
      </c>
      <c r="H989" s="3">
        <v>180</v>
      </c>
      <c r="I989" s="3">
        <v>243</v>
      </c>
      <c r="J989" s="3">
        <v>2.5099999999999998</v>
      </c>
      <c r="K989" s="3">
        <v>1421.44</v>
      </c>
      <c r="L989" s="3">
        <v>341.44</v>
      </c>
      <c r="M989" s="3">
        <f t="shared" si="76"/>
        <v>3659.5799999999995</v>
      </c>
      <c r="N989" s="3">
        <f t="shared" si="77"/>
        <v>1080</v>
      </c>
      <c r="O989" s="3">
        <f t="shared" si="78"/>
        <v>24.020711391265195</v>
      </c>
      <c r="P989" s="3" t="str">
        <f t="shared" si="79"/>
        <v>Jun</v>
      </c>
      <c r="Q989" s="3" t="str">
        <f t="shared" si="75"/>
        <v>good profit</v>
      </c>
    </row>
    <row r="990" spans="1:17" x14ac:dyDescent="0.25">
      <c r="A990" s="3" t="s">
        <v>1470</v>
      </c>
      <c r="B990" s="4">
        <v>45830</v>
      </c>
      <c r="C990" s="3" t="s">
        <v>2015</v>
      </c>
      <c r="D990" s="3" t="s">
        <v>2035</v>
      </c>
      <c r="E990" s="3" t="s">
        <v>2054</v>
      </c>
      <c r="F990" s="3" t="s">
        <v>2061</v>
      </c>
      <c r="G990" s="3">
        <v>1</v>
      </c>
      <c r="H990" s="3">
        <v>900</v>
      </c>
      <c r="I990" s="3">
        <v>1170</v>
      </c>
      <c r="J990" s="3">
        <v>9.99</v>
      </c>
      <c r="K990" s="3">
        <v>1053.08</v>
      </c>
      <c r="L990" s="3">
        <v>153.08000000000001</v>
      </c>
      <c r="M990" s="3">
        <f t="shared" si="76"/>
        <v>11688.300000000001</v>
      </c>
      <c r="N990" s="3">
        <f t="shared" si="77"/>
        <v>900</v>
      </c>
      <c r="O990" s="3">
        <f t="shared" si="78"/>
        <v>14.536407490409086</v>
      </c>
      <c r="P990" s="3" t="str">
        <f t="shared" si="79"/>
        <v>Jun</v>
      </c>
      <c r="Q990" s="3" t="str">
        <f t="shared" si="75"/>
        <v>good profit</v>
      </c>
    </row>
    <row r="991" spans="1:17" x14ac:dyDescent="0.25">
      <c r="A991" s="3" t="s">
        <v>1723</v>
      </c>
      <c r="B991" s="4">
        <v>45830</v>
      </c>
      <c r="C991" s="3" t="s">
        <v>2027</v>
      </c>
      <c r="D991" s="3" t="s">
        <v>2047</v>
      </c>
      <c r="E991" s="3" t="s">
        <v>2053</v>
      </c>
      <c r="F991" s="3" t="s">
        <v>2062</v>
      </c>
      <c r="G991" s="3">
        <v>6</v>
      </c>
      <c r="H991" s="3">
        <v>1100</v>
      </c>
      <c r="I991" s="3">
        <v>1298</v>
      </c>
      <c r="J991" s="3">
        <v>16.16</v>
      </c>
      <c r="K991" s="3">
        <v>6529.2</v>
      </c>
      <c r="L991" s="3">
        <v>-70.8</v>
      </c>
      <c r="M991" s="3">
        <f t="shared" si="76"/>
        <v>125854.08</v>
      </c>
      <c r="N991" s="3">
        <f t="shared" si="77"/>
        <v>6600</v>
      </c>
      <c r="O991" s="3">
        <f t="shared" si="78"/>
        <v>-1.0843594927403051</v>
      </c>
      <c r="P991" s="3" t="str">
        <f t="shared" si="79"/>
        <v>Jun</v>
      </c>
      <c r="Q991" s="3" t="str">
        <f t="shared" si="75"/>
        <v>loss</v>
      </c>
    </row>
    <row r="992" spans="1:17" x14ac:dyDescent="0.25">
      <c r="A992" s="3" t="s">
        <v>1749</v>
      </c>
      <c r="B992" s="4">
        <v>45830</v>
      </c>
      <c r="C992" s="3" t="s">
        <v>2017</v>
      </c>
      <c r="D992" s="3" t="s">
        <v>2037</v>
      </c>
      <c r="E992" s="3" t="s">
        <v>2055</v>
      </c>
      <c r="F992" s="3" t="s">
        <v>2059</v>
      </c>
      <c r="G992" s="3">
        <v>2</v>
      </c>
      <c r="H992" s="3">
        <v>2500</v>
      </c>
      <c r="I992" s="3">
        <v>2875</v>
      </c>
      <c r="J992" s="3">
        <v>3.25</v>
      </c>
      <c r="K992" s="3">
        <v>5562.87</v>
      </c>
      <c r="L992" s="3">
        <v>562.87</v>
      </c>
      <c r="M992" s="3">
        <f t="shared" si="76"/>
        <v>18687.5</v>
      </c>
      <c r="N992" s="3">
        <f t="shared" si="77"/>
        <v>5000</v>
      </c>
      <c r="O992" s="3">
        <f t="shared" si="78"/>
        <v>10.118338195931237</v>
      </c>
      <c r="P992" s="3" t="str">
        <f t="shared" si="79"/>
        <v>Jun</v>
      </c>
      <c r="Q992" s="3" t="str">
        <f t="shared" si="75"/>
        <v>good profit</v>
      </c>
    </row>
    <row r="993" spans="1:17" x14ac:dyDescent="0.25">
      <c r="A993" s="3" t="s">
        <v>323</v>
      </c>
      <c r="B993" s="4">
        <v>45831</v>
      </c>
      <c r="C993" s="3" t="s">
        <v>2023</v>
      </c>
      <c r="D993" s="3" t="s">
        <v>2043</v>
      </c>
      <c r="E993" s="3" t="s">
        <v>2053</v>
      </c>
      <c r="F993" s="3" t="s">
        <v>2062</v>
      </c>
      <c r="G993" s="3">
        <v>2</v>
      </c>
      <c r="H993" s="3">
        <v>550</v>
      </c>
      <c r="I993" s="3">
        <v>742.5</v>
      </c>
      <c r="J993" s="3">
        <v>4.3899999999999997</v>
      </c>
      <c r="K993" s="3">
        <v>1419.77</v>
      </c>
      <c r="L993" s="3">
        <v>319.77</v>
      </c>
      <c r="M993" s="3">
        <f t="shared" si="76"/>
        <v>6519.15</v>
      </c>
      <c r="N993" s="3">
        <f t="shared" si="77"/>
        <v>1100</v>
      </c>
      <c r="O993" s="3">
        <f t="shared" si="78"/>
        <v>22.52266212132951</v>
      </c>
      <c r="P993" s="3" t="str">
        <f t="shared" si="79"/>
        <v>Jun</v>
      </c>
      <c r="Q993" s="3" t="str">
        <f t="shared" si="75"/>
        <v>good profit</v>
      </c>
    </row>
    <row r="994" spans="1:17" x14ac:dyDescent="0.25">
      <c r="A994" s="3" t="s">
        <v>534</v>
      </c>
      <c r="B994" s="4">
        <v>45831</v>
      </c>
      <c r="C994" s="3" t="s">
        <v>2023</v>
      </c>
      <c r="D994" s="3" t="s">
        <v>2043</v>
      </c>
      <c r="E994" s="3" t="s">
        <v>2053</v>
      </c>
      <c r="F994" s="3" t="s">
        <v>2061</v>
      </c>
      <c r="G994" s="3">
        <v>8</v>
      </c>
      <c r="H994" s="3">
        <v>550</v>
      </c>
      <c r="I994" s="3">
        <v>742.5</v>
      </c>
      <c r="J994" s="3">
        <v>2.68</v>
      </c>
      <c r="K994" s="3">
        <v>5781.08</v>
      </c>
      <c r="L994" s="3">
        <v>1381.08</v>
      </c>
      <c r="M994" s="3">
        <f t="shared" si="76"/>
        <v>15919.2</v>
      </c>
      <c r="N994" s="3">
        <f t="shared" si="77"/>
        <v>4400</v>
      </c>
      <c r="O994" s="3">
        <f t="shared" si="78"/>
        <v>23.889653836307399</v>
      </c>
      <c r="P994" s="3" t="str">
        <f t="shared" si="79"/>
        <v>Jun</v>
      </c>
      <c r="Q994" s="3" t="str">
        <f t="shared" si="75"/>
        <v>good profit</v>
      </c>
    </row>
    <row r="995" spans="1:17" x14ac:dyDescent="0.25">
      <c r="A995" s="3" t="s">
        <v>895</v>
      </c>
      <c r="B995" s="4">
        <v>45831</v>
      </c>
      <c r="C995" s="3" t="s">
        <v>2016</v>
      </c>
      <c r="D995" s="3" t="s">
        <v>2036</v>
      </c>
      <c r="E995" s="3" t="s">
        <v>2052</v>
      </c>
      <c r="F995" s="3" t="s">
        <v>2061</v>
      </c>
      <c r="G995" s="3">
        <v>9</v>
      </c>
      <c r="H995" s="3">
        <v>900</v>
      </c>
      <c r="I995" s="3">
        <v>1170</v>
      </c>
      <c r="J995" s="3">
        <v>22.1</v>
      </c>
      <c r="K995" s="3">
        <v>8202.7900000000009</v>
      </c>
      <c r="L995" s="3">
        <v>102.79</v>
      </c>
      <c r="M995" s="3">
        <f t="shared" si="76"/>
        <v>232713.00000000003</v>
      </c>
      <c r="N995" s="3">
        <f t="shared" si="77"/>
        <v>8100</v>
      </c>
      <c r="O995" s="3">
        <f t="shared" si="78"/>
        <v>1.2531102222536479</v>
      </c>
      <c r="P995" s="3" t="str">
        <f t="shared" si="79"/>
        <v>Jun</v>
      </c>
      <c r="Q995" s="3" t="str">
        <f t="shared" si="75"/>
        <v>low profit</v>
      </c>
    </row>
    <row r="996" spans="1:17" x14ac:dyDescent="0.25">
      <c r="A996" s="3" t="s">
        <v>1000</v>
      </c>
      <c r="B996" s="4">
        <v>45831</v>
      </c>
      <c r="C996" s="3" t="s">
        <v>2014</v>
      </c>
      <c r="D996" s="3" t="s">
        <v>2034</v>
      </c>
      <c r="E996" s="3" t="s">
        <v>2052</v>
      </c>
      <c r="F996" s="3" t="s">
        <v>2061</v>
      </c>
      <c r="G996" s="3">
        <v>3</v>
      </c>
      <c r="H996" s="3">
        <v>4500</v>
      </c>
      <c r="I996" s="3">
        <v>5220</v>
      </c>
      <c r="J996" s="3">
        <v>6.59</v>
      </c>
      <c r="K996" s="3">
        <v>14627.96</v>
      </c>
      <c r="L996" s="3">
        <v>1127.96</v>
      </c>
      <c r="M996" s="3">
        <f t="shared" si="76"/>
        <v>103199.4</v>
      </c>
      <c r="N996" s="3">
        <f t="shared" si="77"/>
        <v>13500</v>
      </c>
      <c r="O996" s="3">
        <f t="shared" si="78"/>
        <v>7.7109863576329181</v>
      </c>
      <c r="P996" s="3" t="str">
        <f t="shared" si="79"/>
        <v>Jun</v>
      </c>
      <c r="Q996" s="3" t="str">
        <f t="shared" si="75"/>
        <v>low profit</v>
      </c>
    </row>
    <row r="997" spans="1:17" x14ac:dyDescent="0.25">
      <c r="A997" s="3" t="s">
        <v>1612</v>
      </c>
      <c r="B997" s="4">
        <v>45831</v>
      </c>
      <c r="C997" s="3" t="s">
        <v>2019</v>
      </c>
      <c r="D997" s="3" t="s">
        <v>2039</v>
      </c>
      <c r="E997" s="3" t="s">
        <v>2053</v>
      </c>
      <c r="F997" s="3" t="s">
        <v>2059</v>
      </c>
      <c r="G997" s="3">
        <v>7</v>
      </c>
      <c r="H997" s="3">
        <v>900</v>
      </c>
      <c r="I997" s="3">
        <v>1152</v>
      </c>
      <c r="J997" s="3">
        <v>9.83</v>
      </c>
      <c r="K997" s="3">
        <v>7271.07</v>
      </c>
      <c r="L997" s="3">
        <v>971.07</v>
      </c>
      <c r="M997" s="3">
        <f t="shared" si="76"/>
        <v>79269.119999999995</v>
      </c>
      <c r="N997" s="3">
        <f t="shared" si="77"/>
        <v>6300</v>
      </c>
      <c r="O997" s="3">
        <f t="shared" si="78"/>
        <v>13.355255828922017</v>
      </c>
      <c r="P997" s="3" t="str">
        <f t="shared" si="79"/>
        <v>Jun</v>
      </c>
      <c r="Q997" s="3" t="str">
        <f t="shared" si="75"/>
        <v>good profit</v>
      </c>
    </row>
    <row r="998" spans="1:17" x14ac:dyDescent="0.25">
      <c r="A998" s="3" t="s">
        <v>1005</v>
      </c>
      <c r="B998" s="4">
        <v>45832</v>
      </c>
      <c r="C998" s="3" t="s">
        <v>2013</v>
      </c>
      <c r="D998" s="3" t="s">
        <v>2033</v>
      </c>
      <c r="E998" s="3" t="s">
        <v>2053</v>
      </c>
      <c r="F998" s="3" t="s">
        <v>2059</v>
      </c>
      <c r="G998" s="3">
        <v>4</v>
      </c>
      <c r="H998" s="3">
        <v>6500</v>
      </c>
      <c r="I998" s="3">
        <v>7150</v>
      </c>
      <c r="J998" s="3">
        <v>19.54</v>
      </c>
      <c r="K998" s="3">
        <v>23012.68</v>
      </c>
      <c r="L998" s="3">
        <v>-2987.32</v>
      </c>
      <c r="M998" s="3">
        <f t="shared" si="76"/>
        <v>558844</v>
      </c>
      <c r="N998" s="3">
        <f t="shared" si="77"/>
        <v>26000</v>
      </c>
      <c r="O998" s="3">
        <f t="shared" si="78"/>
        <v>-12.981191238916981</v>
      </c>
      <c r="P998" s="3" t="str">
        <f t="shared" si="79"/>
        <v>Jun</v>
      </c>
      <c r="Q998" s="3" t="str">
        <f t="shared" si="75"/>
        <v>loss</v>
      </c>
    </row>
    <row r="999" spans="1:17" x14ac:dyDescent="0.25">
      <c r="A999" s="3" t="s">
        <v>1232</v>
      </c>
      <c r="B999" s="4">
        <v>45832</v>
      </c>
      <c r="C999" s="3" t="s">
        <v>2021</v>
      </c>
      <c r="D999" s="3" t="s">
        <v>2041</v>
      </c>
      <c r="E999" s="3" t="s">
        <v>2056</v>
      </c>
      <c r="F999" s="3" t="s">
        <v>2062</v>
      </c>
      <c r="G999" s="3">
        <v>7</v>
      </c>
      <c r="H999" s="3">
        <v>300</v>
      </c>
      <c r="I999" s="3">
        <v>405</v>
      </c>
      <c r="J999" s="3">
        <v>0</v>
      </c>
      <c r="K999" s="3">
        <v>2835</v>
      </c>
      <c r="L999" s="3">
        <v>735</v>
      </c>
      <c r="M999" s="3">
        <f t="shared" si="76"/>
        <v>0</v>
      </c>
      <c r="N999" s="3">
        <f t="shared" si="77"/>
        <v>2100</v>
      </c>
      <c r="O999" s="3">
        <f t="shared" si="78"/>
        <v>25.925925925925924</v>
      </c>
      <c r="P999" s="3" t="str">
        <f t="shared" si="79"/>
        <v>Jun</v>
      </c>
      <c r="Q999" s="3" t="str">
        <f t="shared" si="75"/>
        <v>good profit</v>
      </c>
    </row>
    <row r="1000" spans="1:17" x14ac:dyDescent="0.25">
      <c r="A1000" s="3" t="s">
        <v>1426</v>
      </c>
      <c r="B1000" s="4">
        <v>45832</v>
      </c>
      <c r="C1000" s="3" t="s">
        <v>2020</v>
      </c>
      <c r="D1000" s="3" t="s">
        <v>2040</v>
      </c>
      <c r="E1000" s="3" t="s">
        <v>2053</v>
      </c>
      <c r="F1000" s="3" t="s">
        <v>2060</v>
      </c>
      <c r="G1000" s="3">
        <v>6</v>
      </c>
      <c r="H1000" s="3">
        <v>350</v>
      </c>
      <c r="I1000" s="3">
        <v>455</v>
      </c>
      <c r="J1000" s="3">
        <v>15.58</v>
      </c>
      <c r="K1000" s="3">
        <v>2304.71</v>
      </c>
      <c r="L1000" s="3">
        <v>204.71</v>
      </c>
      <c r="M1000" s="3">
        <f t="shared" si="76"/>
        <v>42533.4</v>
      </c>
      <c r="N1000" s="3">
        <f t="shared" si="77"/>
        <v>2100</v>
      </c>
      <c r="O1000" s="3">
        <f t="shared" si="78"/>
        <v>8.8822454885864168</v>
      </c>
      <c r="P1000" s="3" t="str">
        <f t="shared" si="79"/>
        <v>Jun</v>
      </c>
      <c r="Q1000" s="3" t="str">
        <f t="shared" si="75"/>
        <v>low profit</v>
      </c>
    </row>
    <row r="1001" spans="1:17" x14ac:dyDescent="0.25">
      <c r="A1001" s="3" t="s">
        <v>1528</v>
      </c>
      <c r="B1001" s="4">
        <v>45832</v>
      </c>
      <c r="C1001" s="3" t="s">
        <v>2013</v>
      </c>
      <c r="D1001" s="3" t="s">
        <v>2033</v>
      </c>
      <c r="E1001" s="3" t="s">
        <v>2053</v>
      </c>
      <c r="F1001" s="3" t="s">
        <v>2062</v>
      </c>
      <c r="G1001" s="3">
        <v>1</v>
      </c>
      <c r="H1001" s="3">
        <v>6500</v>
      </c>
      <c r="I1001" s="3">
        <v>7150</v>
      </c>
      <c r="J1001" s="3">
        <v>19.27</v>
      </c>
      <c r="K1001" s="3">
        <v>5771.91</v>
      </c>
      <c r="L1001" s="3">
        <v>-728.09</v>
      </c>
      <c r="M1001" s="3">
        <f t="shared" si="76"/>
        <v>137780.5</v>
      </c>
      <c r="N1001" s="3">
        <f t="shared" si="77"/>
        <v>6500</v>
      </c>
      <c r="O1001" s="3">
        <f t="shared" si="78"/>
        <v>-12.614368553910232</v>
      </c>
      <c r="P1001" s="3" t="str">
        <f t="shared" si="79"/>
        <v>Jun</v>
      </c>
      <c r="Q1001" s="3" t="str">
        <f t="shared" si="75"/>
        <v>loss</v>
      </c>
    </row>
    <row r="1002" spans="1:17" x14ac:dyDescent="0.25">
      <c r="A1002" s="3" t="s">
        <v>1536</v>
      </c>
      <c r="B1002" s="4">
        <v>45832</v>
      </c>
      <c r="C1002" s="3" t="s">
        <v>2018</v>
      </c>
      <c r="D1002" s="3" t="s">
        <v>2038</v>
      </c>
      <c r="E1002" s="3" t="s">
        <v>2053</v>
      </c>
      <c r="F1002" s="3" t="s">
        <v>2060</v>
      </c>
      <c r="G1002" s="3">
        <v>4</v>
      </c>
      <c r="H1002" s="3">
        <v>500</v>
      </c>
      <c r="I1002" s="3">
        <v>610</v>
      </c>
      <c r="J1002" s="3">
        <v>16.739999999999998</v>
      </c>
      <c r="K1002" s="3">
        <v>2031.44</v>
      </c>
      <c r="L1002" s="3">
        <v>31.44</v>
      </c>
      <c r="M1002" s="3">
        <f t="shared" si="76"/>
        <v>40845.599999999999</v>
      </c>
      <c r="N1002" s="3">
        <f t="shared" si="77"/>
        <v>2000</v>
      </c>
      <c r="O1002" s="3">
        <f t="shared" si="78"/>
        <v>1.5476706178868194</v>
      </c>
      <c r="P1002" s="3" t="str">
        <f t="shared" si="79"/>
        <v>Jun</v>
      </c>
      <c r="Q1002" s="3" t="str">
        <f t="shared" si="75"/>
        <v>low profit</v>
      </c>
    </row>
    <row r="1003" spans="1:17" x14ac:dyDescent="0.25">
      <c r="A1003" s="3" t="s">
        <v>1604</v>
      </c>
      <c r="B1003" s="4">
        <v>45832</v>
      </c>
      <c r="C1003" s="3" t="s">
        <v>2013</v>
      </c>
      <c r="D1003" s="3" t="s">
        <v>2033</v>
      </c>
      <c r="E1003" s="3" t="s">
        <v>2053</v>
      </c>
      <c r="F1003" s="3" t="s">
        <v>2060</v>
      </c>
      <c r="G1003" s="3">
        <v>5</v>
      </c>
      <c r="H1003" s="3">
        <v>6500</v>
      </c>
      <c r="I1003" s="3">
        <v>7150</v>
      </c>
      <c r="J1003" s="3">
        <v>4</v>
      </c>
      <c r="K1003" s="3">
        <v>34320</v>
      </c>
      <c r="L1003" s="3">
        <v>1820</v>
      </c>
      <c r="M1003" s="3">
        <f t="shared" si="76"/>
        <v>143000</v>
      </c>
      <c r="N1003" s="3">
        <f t="shared" si="77"/>
        <v>32500</v>
      </c>
      <c r="O1003" s="3">
        <f t="shared" si="78"/>
        <v>5.3030303030303028</v>
      </c>
      <c r="P1003" s="3" t="str">
        <f t="shared" si="79"/>
        <v>Jun</v>
      </c>
      <c r="Q1003" s="3" t="str">
        <f t="shared" si="75"/>
        <v>low profit</v>
      </c>
    </row>
    <row r="1004" spans="1:17" x14ac:dyDescent="0.25">
      <c r="A1004" s="3" t="s">
        <v>1919</v>
      </c>
      <c r="B1004" s="4">
        <v>45832</v>
      </c>
      <c r="C1004" s="3" t="s">
        <v>2014</v>
      </c>
      <c r="D1004" s="3" t="s">
        <v>2034</v>
      </c>
      <c r="E1004" s="3" t="s">
        <v>2052</v>
      </c>
      <c r="F1004" s="3" t="s">
        <v>2061</v>
      </c>
      <c r="G1004" s="3">
        <v>6</v>
      </c>
      <c r="H1004" s="3">
        <v>4500</v>
      </c>
      <c r="I1004" s="3">
        <v>5220</v>
      </c>
      <c r="J1004" s="3">
        <v>20.18</v>
      </c>
      <c r="K1004" s="3">
        <v>25000.84</v>
      </c>
      <c r="L1004" s="3">
        <v>-1999.16</v>
      </c>
      <c r="M1004" s="3">
        <f t="shared" si="76"/>
        <v>632037.6</v>
      </c>
      <c r="N1004" s="3">
        <f t="shared" si="77"/>
        <v>27000</v>
      </c>
      <c r="O1004" s="3">
        <f t="shared" si="78"/>
        <v>-7.9963713219235828</v>
      </c>
      <c r="P1004" s="3" t="str">
        <f t="shared" si="79"/>
        <v>Jun</v>
      </c>
      <c r="Q1004" s="3" t="str">
        <f t="shared" si="75"/>
        <v>loss</v>
      </c>
    </row>
    <row r="1005" spans="1:17" x14ac:dyDescent="0.25">
      <c r="A1005" s="3" t="s">
        <v>700</v>
      </c>
      <c r="B1005" s="4">
        <v>45833</v>
      </c>
      <c r="C1005" s="3" t="s">
        <v>2031</v>
      </c>
      <c r="D1005" s="3" t="s">
        <v>2051</v>
      </c>
      <c r="E1005" s="3" t="s">
        <v>2058</v>
      </c>
      <c r="F1005" s="3" t="s">
        <v>2061</v>
      </c>
      <c r="G1005" s="3">
        <v>3</v>
      </c>
      <c r="H1005" s="3">
        <v>3200</v>
      </c>
      <c r="I1005" s="3">
        <v>3840</v>
      </c>
      <c r="J1005" s="3">
        <v>19.399999999999999</v>
      </c>
      <c r="K1005" s="3">
        <v>9285.3700000000008</v>
      </c>
      <c r="L1005" s="3">
        <v>-314.63</v>
      </c>
      <c r="M1005" s="3">
        <f t="shared" si="76"/>
        <v>223487.99999999997</v>
      </c>
      <c r="N1005" s="3">
        <f t="shared" si="77"/>
        <v>9600</v>
      </c>
      <c r="O1005" s="3">
        <f t="shared" si="78"/>
        <v>-3.3884487101752541</v>
      </c>
      <c r="P1005" s="3" t="str">
        <f t="shared" si="79"/>
        <v>Jun</v>
      </c>
      <c r="Q1005" s="3" t="str">
        <f t="shared" si="75"/>
        <v>loss</v>
      </c>
    </row>
    <row r="1006" spans="1:17" x14ac:dyDescent="0.25">
      <c r="A1006" s="3" t="s">
        <v>761</v>
      </c>
      <c r="B1006" s="4">
        <v>45833</v>
      </c>
      <c r="C1006" s="3" t="s">
        <v>2019</v>
      </c>
      <c r="D1006" s="3" t="s">
        <v>2039</v>
      </c>
      <c r="E1006" s="3" t="s">
        <v>2053</v>
      </c>
      <c r="F1006" s="3" t="s">
        <v>2062</v>
      </c>
      <c r="G1006" s="3">
        <v>1</v>
      </c>
      <c r="H1006" s="3">
        <v>900</v>
      </c>
      <c r="I1006" s="3">
        <v>1152</v>
      </c>
      <c r="J1006" s="3">
        <v>10.45</v>
      </c>
      <c r="K1006" s="3">
        <v>1031.6199999999999</v>
      </c>
      <c r="L1006" s="3">
        <v>131.62</v>
      </c>
      <c r="M1006" s="3">
        <f t="shared" si="76"/>
        <v>12038.4</v>
      </c>
      <c r="N1006" s="3">
        <f t="shared" si="77"/>
        <v>900</v>
      </c>
      <c r="O1006" s="3">
        <f t="shared" si="78"/>
        <v>12.758573893487915</v>
      </c>
      <c r="P1006" s="3" t="str">
        <f t="shared" si="79"/>
        <v>Jun</v>
      </c>
      <c r="Q1006" s="3" t="str">
        <f t="shared" si="75"/>
        <v>good profit</v>
      </c>
    </row>
    <row r="1007" spans="1:17" x14ac:dyDescent="0.25">
      <c r="A1007" s="3" t="s">
        <v>1103</v>
      </c>
      <c r="B1007" s="4">
        <v>45833</v>
      </c>
      <c r="C1007" s="3" t="s">
        <v>2014</v>
      </c>
      <c r="D1007" s="3" t="s">
        <v>2034</v>
      </c>
      <c r="E1007" s="3" t="s">
        <v>2052</v>
      </c>
      <c r="F1007" s="3" t="s">
        <v>2061</v>
      </c>
      <c r="G1007" s="3">
        <v>10</v>
      </c>
      <c r="H1007" s="3">
        <v>4500</v>
      </c>
      <c r="I1007" s="3">
        <v>5220</v>
      </c>
      <c r="J1007" s="3">
        <v>15.64</v>
      </c>
      <c r="K1007" s="3">
        <v>44033.62</v>
      </c>
      <c r="L1007" s="3">
        <v>-966.38</v>
      </c>
      <c r="M1007" s="3">
        <f t="shared" si="76"/>
        <v>816408</v>
      </c>
      <c r="N1007" s="3">
        <f t="shared" si="77"/>
        <v>45000</v>
      </c>
      <c r="O1007" s="3">
        <f t="shared" si="78"/>
        <v>-2.1946412763701915</v>
      </c>
      <c r="P1007" s="3" t="str">
        <f t="shared" si="79"/>
        <v>Jun</v>
      </c>
      <c r="Q1007" s="3" t="str">
        <f t="shared" si="75"/>
        <v>loss</v>
      </c>
    </row>
    <row r="1008" spans="1:17" x14ac:dyDescent="0.25">
      <c r="A1008" s="3" t="s">
        <v>610</v>
      </c>
      <c r="B1008" s="4">
        <v>45834</v>
      </c>
      <c r="C1008" s="3" t="s">
        <v>2014</v>
      </c>
      <c r="D1008" s="3" t="s">
        <v>2034</v>
      </c>
      <c r="E1008" s="3" t="s">
        <v>2052</v>
      </c>
      <c r="F1008" s="3" t="s">
        <v>2060</v>
      </c>
      <c r="G1008" s="3">
        <v>1</v>
      </c>
      <c r="H1008" s="3">
        <v>4500</v>
      </c>
      <c r="I1008" s="3">
        <v>5220</v>
      </c>
      <c r="J1008" s="3">
        <v>11.52</v>
      </c>
      <c r="K1008" s="3">
        <v>4618.6099999999997</v>
      </c>
      <c r="L1008" s="3">
        <v>118.61</v>
      </c>
      <c r="M1008" s="3">
        <f t="shared" si="76"/>
        <v>60134.399999999994</v>
      </c>
      <c r="N1008" s="3">
        <f t="shared" si="77"/>
        <v>4500</v>
      </c>
      <c r="O1008" s="3">
        <f t="shared" si="78"/>
        <v>2.5680886673696199</v>
      </c>
      <c r="P1008" s="3" t="str">
        <f t="shared" si="79"/>
        <v>Jun</v>
      </c>
      <c r="Q1008" s="3" t="str">
        <f t="shared" si="75"/>
        <v>low profit</v>
      </c>
    </row>
    <row r="1009" spans="1:17" x14ac:dyDescent="0.25">
      <c r="A1009" s="3" t="s">
        <v>945</v>
      </c>
      <c r="B1009" s="4">
        <v>45834</v>
      </c>
      <c r="C1009" s="3" t="s">
        <v>2016</v>
      </c>
      <c r="D1009" s="3" t="s">
        <v>2036</v>
      </c>
      <c r="E1009" s="3" t="s">
        <v>2052</v>
      </c>
      <c r="F1009" s="3" t="s">
        <v>2060</v>
      </c>
      <c r="G1009" s="3">
        <v>4</v>
      </c>
      <c r="H1009" s="3">
        <v>900</v>
      </c>
      <c r="I1009" s="3">
        <v>1170</v>
      </c>
      <c r="J1009" s="3">
        <v>14.16</v>
      </c>
      <c r="K1009" s="3">
        <v>4017.23</v>
      </c>
      <c r="L1009" s="3">
        <v>417.23</v>
      </c>
      <c r="M1009" s="3">
        <f t="shared" si="76"/>
        <v>66268.800000000003</v>
      </c>
      <c r="N1009" s="3">
        <f t="shared" si="77"/>
        <v>3600</v>
      </c>
      <c r="O1009" s="3">
        <f t="shared" si="78"/>
        <v>10.386012252223548</v>
      </c>
      <c r="P1009" s="3" t="str">
        <f t="shared" si="79"/>
        <v>Jun</v>
      </c>
      <c r="Q1009" s="3" t="str">
        <f t="shared" si="75"/>
        <v>good profit</v>
      </c>
    </row>
    <row r="1010" spans="1:17" x14ac:dyDescent="0.25">
      <c r="A1010" s="3" t="s">
        <v>1004</v>
      </c>
      <c r="B1010" s="4">
        <v>45834</v>
      </c>
      <c r="C1010" s="3" t="s">
        <v>2025</v>
      </c>
      <c r="D1010" s="3" t="s">
        <v>2045</v>
      </c>
      <c r="E1010" s="3" t="s">
        <v>2057</v>
      </c>
      <c r="F1010" s="3" t="s">
        <v>2060</v>
      </c>
      <c r="G1010" s="3">
        <v>3</v>
      </c>
      <c r="H1010" s="3">
        <v>45</v>
      </c>
      <c r="I1010" s="3">
        <v>63</v>
      </c>
      <c r="J1010" s="3">
        <v>18.93</v>
      </c>
      <c r="K1010" s="3">
        <v>153.22999999999999</v>
      </c>
      <c r="L1010" s="3">
        <v>18.23</v>
      </c>
      <c r="M1010" s="3">
        <f t="shared" si="76"/>
        <v>3577.77</v>
      </c>
      <c r="N1010" s="3">
        <f t="shared" si="77"/>
        <v>135</v>
      </c>
      <c r="O1010" s="3">
        <f t="shared" si="78"/>
        <v>11.897148078052602</v>
      </c>
      <c r="P1010" s="3" t="str">
        <f t="shared" si="79"/>
        <v>Jun</v>
      </c>
      <c r="Q1010" s="3" t="str">
        <f t="shared" si="75"/>
        <v>good profit</v>
      </c>
    </row>
    <row r="1011" spans="1:17" x14ac:dyDescent="0.25">
      <c r="A1011" s="3" t="s">
        <v>1416</v>
      </c>
      <c r="B1011" s="4">
        <v>45834</v>
      </c>
      <c r="C1011" s="3" t="s">
        <v>2027</v>
      </c>
      <c r="D1011" s="3" t="s">
        <v>2047</v>
      </c>
      <c r="E1011" s="3" t="s">
        <v>2053</v>
      </c>
      <c r="F1011" s="3" t="s">
        <v>2061</v>
      </c>
      <c r="G1011" s="3">
        <v>8</v>
      </c>
      <c r="H1011" s="3">
        <v>1100</v>
      </c>
      <c r="I1011" s="3">
        <v>1298</v>
      </c>
      <c r="J1011" s="3">
        <v>3.76</v>
      </c>
      <c r="K1011" s="3">
        <v>9993.19</v>
      </c>
      <c r="L1011" s="3">
        <v>1193.19</v>
      </c>
      <c r="M1011" s="3">
        <f t="shared" si="76"/>
        <v>39043.839999999997</v>
      </c>
      <c r="N1011" s="3">
        <f t="shared" si="77"/>
        <v>8800</v>
      </c>
      <c r="O1011" s="3">
        <f t="shared" si="78"/>
        <v>11.940031161220793</v>
      </c>
      <c r="P1011" s="3" t="str">
        <f t="shared" si="79"/>
        <v>Jun</v>
      </c>
      <c r="Q1011" s="3" t="str">
        <f t="shared" si="75"/>
        <v>good profit</v>
      </c>
    </row>
    <row r="1012" spans="1:17" x14ac:dyDescent="0.25">
      <c r="A1012" s="3" t="s">
        <v>145</v>
      </c>
      <c r="B1012" s="4">
        <v>45835</v>
      </c>
      <c r="C1012" s="3" t="s">
        <v>2020</v>
      </c>
      <c r="D1012" s="3" t="s">
        <v>2040</v>
      </c>
      <c r="E1012" s="3" t="s">
        <v>2053</v>
      </c>
      <c r="F1012" s="3" t="s">
        <v>2062</v>
      </c>
      <c r="G1012" s="3">
        <v>6</v>
      </c>
      <c r="H1012" s="3">
        <v>350</v>
      </c>
      <c r="I1012" s="3">
        <v>455</v>
      </c>
      <c r="J1012" s="3">
        <v>14.77</v>
      </c>
      <c r="K1012" s="3">
        <v>2326.64</v>
      </c>
      <c r="L1012" s="3">
        <v>226.64</v>
      </c>
      <c r="M1012" s="3">
        <f t="shared" si="76"/>
        <v>40322.1</v>
      </c>
      <c r="N1012" s="3">
        <f t="shared" si="77"/>
        <v>2100</v>
      </c>
      <c r="O1012" s="3">
        <f t="shared" si="78"/>
        <v>9.7410858577175663</v>
      </c>
      <c r="P1012" s="3" t="str">
        <f t="shared" si="79"/>
        <v>Jun</v>
      </c>
      <c r="Q1012" s="3" t="str">
        <f t="shared" si="75"/>
        <v>low profit</v>
      </c>
    </row>
    <row r="1013" spans="1:17" x14ac:dyDescent="0.25">
      <c r="A1013" s="3" t="s">
        <v>170</v>
      </c>
      <c r="B1013" s="4">
        <v>45835</v>
      </c>
      <c r="C1013" s="3" t="s">
        <v>2028</v>
      </c>
      <c r="D1013" s="3" t="s">
        <v>2048</v>
      </c>
      <c r="E1013" s="3" t="s">
        <v>2057</v>
      </c>
      <c r="F1013" s="3" t="s">
        <v>2060</v>
      </c>
      <c r="G1013" s="3">
        <v>6</v>
      </c>
      <c r="H1013" s="3">
        <v>80</v>
      </c>
      <c r="I1013" s="3">
        <v>116</v>
      </c>
      <c r="J1013" s="3">
        <v>17.79</v>
      </c>
      <c r="K1013" s="3">
        <v>572.17999999999995</v>
      </c>
      <c r="L1013" s="3">
        <v>92.18</v>
      </c>
      <c r="M1013" s="3">
        <f t="shared" si="76"/>
        <v>12381.84</v>
      </c>
      <c r="N1013" s="3">
        <f t="shared" si="77"/>
        <v>480</v>
      </c>
      <c r="O1013" s="3">
        <f t="shared" si="78"/>
        <v>16.11031493585935</v>
      </c>
      <c r="P1013" s="3" t="str">
        <f t="shared" si="79"/>
        <v>Jun</v>
      </c>
      <c r="Q1013" s="3" t="str">
        <f t="shared" si="75"/>
        <v>good profit</v>
      </c>
    </row>
    <row r="1014" spans="1:17" x14ac:dyDescent="0.25">
      <c r="A1014" s="3" t="s">
        <v>570</v>
      </c>
      <c r="B1014" s="4">
        <v>45835</v>
      </c>
      <c r="C1014" s="3" t="s">
        <v>2018</v>
      </c>
      <c r="D1014" s="3" t="s">
        <v>2038</v>
      </c>
      <c r="E1014" s="3" t="s">
        <v>2053</v>
      </c>
      <c r="F1014" s="3" t="s">
        <v>2061</v>
      </c>
      <c r="G1014" s="3">
        <v>10</v>
      </c>
      <c r="H1014" s="3">
        <v>500</v>
      </c>
      <c r="I1014" s="3">
        <v>610</v>
      </c>
      <c r="J1014" s="3">
        <v>14.12</v>
      </c>
      <c r="K1014" s="3">
        <v>5238.42</v>
      </c>
      <c r="L1014" s="3">
        <v>238.42</v>
      </c>
      <c r="M1014" s="3">
        <f t="shared" si="76"/>
        <v>86132</v>
      </c>
      <c r="N1014" s="3">
        <f t="shared" si="77"/>
        <v>5000</v>
      </c>
      <c r="O1014" s="3">
        <f t="shared" si="78"/>
        <v>4.5513723603682017</v>
      </c>
      <c r="P1014" s="3" t="str">
        <f t="shared" si="79"/>
        <v>Jun</v>
      </c>
      <c r="Q1014" s="3" t="str">
        <f t="shared" si="75"/>
        <v>low profit</v>
      </c>
    </row>
    <row r="1015" spans="1:17" x14ac:dyDescent="0.25">
      <c r="A1015" s="3" t="s">
        <v>595</v>
      </c>
      <c r="B1015" s="4">
        <v>45835</v>
      </c>
      <c r="C1015" s="3" t="s">
        <v>2028</v>
      </c>
      <c r="D1015" s="3" t="s">
        <v>2048</v>
      </c>
      <c r="E1015" s="3" t="s">
        <v>2057</v>
      </c>
      <c r="F1015" s="3" t="s">
        <v>2059</v>
      </c>
      <c r="G1015" s="3">
        <v>5</v>
      </c>
      <c r="H1015" s="3">
        <v>80</v>
      </c>
      <c r="I1015" s="3">
        <v>116</v>
      </c>
      <c r="J1015" s="3">
        <v>11.01</v>
      </c>
      <c r="K1015" s="3">
        <v>516.16</v>
      </c>
      <c r="L1015" s="3">
        <v>116.16</v>
      </c>
      <c r="M1015" s="3">
        <f t="shared" si="76"/>
        <v>6385.8</v>
      </c>
      <c r="N1015" s="3">
        <f t="shared" si="77"/>
        <v>400</v>
      </c>
      <c r="O1015" s="3">
        <f t="shared" si="78"/>
        <v>22.50464972101674</v>
      </c>
      <c r="P1015" s="3" t="str">
        <f t="shared" si="79"/>
        <v>Jun</v>
      </c>
      <c r="Q1015" s="3" t="str">
        <f t="shared" si="75"/>
        <v>good profit</v>
      </c>
    </row>
    <row r="1016" spans="1:17" x14ac:dyDescent="0.25">
      <c r="A1016" s="3" t="s">
        <v>669</v>
      </c>
      <c r="B1016" s="4">
        <v>45835</v>
      </c>
      <c r="C1016" s="3" t="s">
        <v>2020</v>
      </c>
      <c r="D1016" s="3" t="s">
        <v>2040</v>
      </c>
      <c r="E1016" s="3" t="s">
        <v>2053</v>
      </c>
      <c r="F1016" s="3" t="s">
        <v>2059</v>
      </c>
      <c r="G1016" s="3">
        <v>9</v>
      </c>
      <c r="H1016" s="3">
        <v>350</v>
      </c>
      <c r="I1016" s="3">
        <v>455</v>
      </c>
      <c r="J1016" s="3">
        <v>5.51</v>
      </c>
      <c r="K1016" s="3">
        <v>3869.26</v>
      </c>
      <c r="L1016" s="3">
        <v>719.26</v>
      </c>
      <c r="M1016" s="3">
        <f t="shared" si="76"/>
        <v>22563.45</v>
      </c>
      <c r="N1016" s="3">
        <f t="shared" si="77"/>
        <v>3150</v>
      </c>
      <c r="O1016" s="3">
        <f t="shared" si="78"/>
        <v>18.589084217654019</v>
      </c>
      <c r="P1016" s="3" t="str">
        <f t="shared" si="79"/>
        <v>Jun</v>
      </c>
      <c r="Q1016" s="3" t="str">
        <f t="shared" si="75"/>
        <v>good profit</v>
      </c>
    </row>
    <row r="1017" spans="1:17" x14ac:dyDescent="0.25">
      <c r="A1017" s="3" t="s">
        <v>1366</v>
      </c>
      <c r="B1017" s="4">
        <v>45835</v>
      </c>
      <c r="C1017" s="3" t="s">
        <v>2019</v>
      </c>
      <c r="D1017" s="3" t="s">
        <v>2039</v>
      </c>
      <c r="E1017" s="3" t="s">
        <v>2053</v>
      </c>
      <c r="F1017" s="3" t="s">
        <v>2059</v>
      </c>
      <c r="G1017" s="3">
        <v>1</v>
      </c>
      <c r="H1017" s="3">
        <v>900</v>
      </c>
      <c r="I1017" s="3">
        <v>1152</v>
      </c>
      <c r="J1017" s="3">
        <v>0</v>
      </c>
      <c r="K1017" s="3">
        <v>1152</v>
      </c>
      <c r="L1017" s="3">
        <v>252</v>
      </c>
      <c r="M1017" s="3">
        <f t="shared" si="76"/>
        <v>0</v>
      </c>
      <c r="N1017" s="3">
        <f t="shared" si="77"/>
        <v>900</v>
      </c>
      <c r="O1017" s="3">
        <f t="shared" si="78"/>
        <v>21.875</v>
      </c>
      <c r="P1017" s="3" t="str">
        <f t="shared" si="79"/>
        <v>Jun</v>
      </c>
      <c r="Q1017" s="3" t="str">
        <f t="shared" si="75"/>
        <v>good profit</v>
      </c>
    </row>
    <row r="1018" spans="1:17" x14ac:dyDescent="0.25">
      <c r="A1018" s="3" t="s">
        <v>909</v>
      </c>
      <c r="B1018" s="4">
        <v>45836</v>
      </c>
      <c r="C1018" s="3" t="s">
        <v>2016</v>
      </c>
      <c r="D1018" s="3" t="s">
        <v>2036</v>
      </c>
      <c r="E1018" s="3" t="s">
        <v>2052</v>
      </c>
      <c r="F1018" s="3" t="s">
        <v>2060</v>
      </c>
      <c r="G1018" s="3">
        <v>8</v>
      </c>
      <c r="H1018" s="3">
        <v>900</v>
      </c>
      <c r="I1018" s="3">
        <v>1170</v>
      </c>
      <c r="J1018" s="3">
        <v>15.35</v>
      </c>
      <c r="K1018" s="3">
        <v>7923.23</v>
      </c>
      <c r="L1018" s="3">
        <v>723.23</v>
      </c>
      <c r="M1018" s="3">
        <f t="shared" si="76"/>
        <v>143676</v>
      </c>
      <c r="N1018" s="3">
        <f t="shared" si="77"/>
        <v>7200</v>
      </c>
      <c r="O1018" s="3">
        <f t="shared" si="78"/>
        <v>9.1279692751567243</v>
      </c>
      <c r="P1018" s="3" t="str">
        <f t="shared" si="79"/>
        <v>Jun</v>
      </c>
      <c r="Q1018" s="3" t="str">
        <f t="shared" si="75"/>
        <v>low profit</v>
      </c>
    </row>
    <row r="1019" spans="1:17" x14ac:dyDescent="0.25">
      <c r="A1019" s="3" t="s">
        <v>1228</v>
      </c>
      <c r="B1019" s="4">
        <v>45836</v>
      </c>
      <c r="C1019" s="3" t="s">
        <v>2026</v>
      </c>
      <c r="D1019" s="3" t="s">
        <v>2046</v>
      </c>
      <c r="E1019" s="3" t="s">
        <v>2052</v>
      </c>
      <c r="F1019" s="3" t="s">
        <v>2060</v>
      </c>
      <c r="G1019" s="3">
        <v>7</v>
      </c>
      <c r="H1019" s="3">
        <v>3000</v>
      </c>
      <c r="I1019" s="3">
        <v>3600</v>
      </c>
      <c r="J1019" s="3">
        <v>6.18</v>
      </c>
      <c r="K1019" s="3">
        <v>23641.81</v>
      </c>
      <c r="L1019" s="3">
        <v>2641.81</v>
      </c>
      <c r="M1019" s="3">
        <f t="shared" si="76"/>
        <v>155736</v>
      </c>
      <c r="N1019" s="3">
        <f t="shared" si="77"/>
        <v>21000</v>
      </c>
      <c r="O1019" s="3">
        <f t="shared" si="78"/>
        <v>11.174313641806611</v>
      </c>
      <c r="P1019" s="3" t="str">
        <f t="shared" si="79"/>
        <v>Jun</v>
      </c>
      <c r="Q1019" s="3" t="str">
        <f t="shared" si="75"/>
        <v>good profit</v>
      </c>
    </row>
    <row r="1020" spans="1:17" x14ac:dyDescent="0.25">
      <c r="A1020" s="3" t="s">
        <v>1420</v>
      </c>
      <c r="B1020" s="4">
        <v>45836</v>
      </c>
      <c r="C1020" s="3" t="s">
        <v>2025</v>
      </c>
      <c r="D1020" s="3" t="s">
        <v>2045</v>
      </c>
      <c r="E1020" s="3" t="s">
        <v>2057</v>
      </c>
      <c r="F1020" s="3" t="s">
        <v>2059</v>
      </c>
      <c r="G1020" s="3">
        <v>7</v>
      </c>
      <c r="H1020" s="3">
        <v>45</v>
      </c>
      <c r="I1020" s="3">
        <v>63</v>
      </c>
      <c r="J1020" s="3">
        <v>24.37</v>
      </c>
      <c r="K1020" s="3">
        <v>333.53</v>
      </c>
      <c r="L1020" s="3">
        <v>18.53</v>
      </c>
      <c r="M1020" s="3">
        <f t="shared" si="76"/>
        <v>10747.17</v>
      </c>
      <c r="N1020" s="3">
        <f t="shared" si="77"/>
        <v>315</v>
      </c>
      <c r="O1020" s="3">
        <f t="shared" si="78"/>
        <v>5.5557221239468717</v>
      </c>
      <c r="P1020" s="3" t="str">
        <f t="shared" si="79"/>
        <v>Jun</v>
      </c>
      <c r="Q1020" s="3" t="str">
        <f t="shared" si="75"/>
        <v>low profit</v>
      </c>
    </row>
    <row r="1021" spans="1:17" x14ac:dyDescent="0.25">
      <c r="A1021" s="3" t="s">
        <v>1841</v>
      </c>
      <c r="B1021" s="4">
        <v>45836</v>
      </c>
      <c r="C1021" s="3" t="s">
        <v>2022</v>
      </c>
      <c r="D1021" s="3" t="s">
        <v>2042</v>
      </c>
      <c r="E1021" s="3" t="s">
        <v>2053</v>
      </c>
      <c r="F1021" s="3" t="s">
        <v>2059</v>
      </c>
      <c r="G1021" s="3">
        <v>3</v>
      </c>
      <c r="H1021" s="3">
        <v>8500</v>
      </c>
      <c r="I1021" s="3">
        <v>9520</v>
      </c>
      <c r="J1021" s="3">
        <v>16.829999999999998</v>
      </c>
      <c r="K1021" s="3">
        <v>23753.02</v>
      </c>
      <c r="L1021" s="3">
        <v>-1746.98</v>
      </c>
      <c r="M1021" s="3">
        <f t="shared" si="76"/>
        <v>480664.79999999993</v>
      </c>
      <c r="N1021" s="3">
        <f t="shared" si="77"/>
        <v>25500</v>
      </c>
      <c r="O1021" s="3">
        <f t="shared" si="78"/>
        <v>-7.3547700460825611</v>
      </c>
      <c r="P1021" s="3" t="str">
        <f t="shared" si="79"/>
        <v>Jun</v>
      </c>
      <c r="Q1021" s="3" t="str">
        <f t="shared" si="75"/>
        <v>loss</v>
      </c>
    </row>
    <row r="1022" spans="1:17" x14ac:dyDescent="0.25">
      <c r="A1022" s="3" t="s">
        <v>1967</v>
      </c>
      <c r="B1022" s="4">
        <v>45836</v>
      </c>
      <c r="C1022" s="3" t="s">
        <v>2028</v>
      </c>
      <c r="D1022" s="3" t="s">
        <v>2048</v>
      </c>
      <c r="E1022" s="3" t="s">
        <v>2057</v>
      </c>
      <c r="F1022" s="3" t="s">
        <v>2060</v>
      </c>
      <c r="G1022" s="3">
        <v>8</v>
      </c>
      <c r="H1022" s="3">
        <v>80</v>
      </c>
      <c r="I1022" s="3">
        <v>116</v>
      </c>
      <c r="J1022" s="3">
        <v>10.91</v>
      </c>
      <c r="K1022" s="3">
        <v>826.71</v>
      </c>
      <c r="L1022" s="3">
        <v>186.71</v>
      </c>
      <c r="M1022" s="3">
        <f t="shared" si="76"/>
        <v>10124.48</v>
      </c>
      <c r="N1022" s="3">
        <f t="shared" si="77"/>
        <v>640</v>
      </c>
      <c r="O1022" s="3">
        <f t="shared" si="78"/>
        <v>22.584703221202115</v>
      </c>
      <c r="P1022" s="3" t="str">
        <f t="shared" si="79"/>
        <v>Jun</v>
      </c>
      <c r="Q1022" s="3" t="str">
        <f t="shared" si="75"/>
        <v>good profit</v>
      </c>
    </row>
    <row r="1023" spans="1:17" x14ac:dyDescent="0.25">
      <c r="A1023" s="3" t="s">
        <v>66</v>
      </c>
      <c r="B1023" s="4">
        <v>45837</v>
      </c>
      <c r="C1023" s="3" t="s">
        <v>2025</v>
      </c>
      <c r="D1023" s="3" t="s">
        <v>2045</v>
      </c>
      <c r="E1023" s="3" t="s">
        <v>2057</v>
      </c>
      <c r="F1023" s="3" t="s">
        <v>2060</v>
      </c>
      <c r="G1023" s="3">
        <v>10</v>
      </c>
      <c r="H1023" s="3">
        <v>45</v>
      </c>
      <c r="I1023" s="3">
        <v>63</v>
      </c>
      <c r="J1023" s="3">
        <v>6.16</v>
      </c>
      <c r="K1023" s="3">
        <v>591.16999999999996</v>
      </c>
      <c r="L1023" s="3">
        <v>141.16999999999999</v>
      </c>
      <c r="M1023" s="3">
        <f t="shared" si="76"/>
        <v>3880.8</v>
      </c>
      <c r="N1023" s="3">
        <f t="shared" si="77"/>
        <v>450</v>
      </c>
      <c r="O1023" s="3">
        <f t="shared" si="78"/>
        <v>23.879763858111879</v>
      </c>
      <c r="P1023" s="3" t="str">
        <f t="shared" si="79"/>
        <v>Jun</v>
      </c>
      <c r="Q1023" s="3" t="str">
        <f t="shared" si="75"/>
        <v>good profit</v>
      </c>
    </row>
    <row r="1024" spans="1:17" x14ac:dyDescent="0.25">
      <c r="A1024" s="3" t="s">
        <v>753</v>
      </c>
      <c r="B1024" s="4">
        <v>45837</v>
      </c>
      <c r="C1024" s="3" t="s">
        <v>2019</v>
      </c>
      <c r="D1024" s="3" t="s">
        <v>2039</v>
      </c>
      <c r="E1024" s="3" t="s">
        <v>2053</v>
      </c>
      <c r="F1024" s="3" t="s">
        <v>2061</v>
      </c>
      <c r="G1024" s="3">
        <v>5</v>
      </c>
      <c r="H1024" s="3">
        <v>900</v>
      </c>
      <c r="I1024" s="3">
        <v>1152</v>
      </c>
      <c r="J1024" s="3">
        <v>11.51</v>
      </c>
      <c r="K1024" s="3">
        <v>5096.9799999999996</v>
      </c>
      <c r="L1024" s="3">
        <v>596.98</v>
      </c>
      <c r="M1024" s="3">
        <f t="shared" si="76"/>
        <v>66297.600000000006</v>
      </c>
      <c r="N1024" s="3">
        <f t="shared" si="77"/>
        <v>4500</v>
      </c>
      <c r="O1024" s="3">
        <f t="shared" si="78"/>
        <v>11.712425789389012</v>
      </c>
      <c r="P1024" s="3" t="str">
        <f t="shared" si="79"/>
        <v>Jun</v>
      </c>
      <c r="Q1024" s="3" t="str">
        <f t="shared" si="75"/>
        <v>good profit</v>
      </c>
    </row>
    <row r="1025" spans="1:17" x14ac:dyDescent="0.25">
      <c r="A1025" s="3" t="s">
        <v>197</v>
      </c>
      <c r="B1025" s="4">
        <v>45838</v>
      </c>
      <c r="C1025" s="3" t="s">
        <v>2027</v>
      </c>
      <c r="D1025" s="3" t="s">
        <v>2047</v>
      </c>
      <c r="E1025" s="3" t="s">
        <v>2053</v>
      </c>
      <c r="F1025" s="3" t="s">
        <v>2059</v>
      </c>
      <c r="G1025" s="3">
        <v>1</v>
      </c>
      <c r="H1025" s="3">
        <v>1100</v>
      </c>
      <c r="I1025" s="3">
        <v>1298</v>
      </c>
      <c r="J1025" s="3">
        <v>22.32</v>
      </c>
      <c r="K1025" s="3">
        <v>1008.31</v>
      </c>
      <c r="L1025" s="3">
        <v>-91.69</v>
      </c>
      <c r="M1025" s="3">
        <f t="shared" si="76"/>
        <v>28971.360000000001</v>
      </c>
      <c r="N1025" s="3">
        <f t="shared" si="77"/>
        <v>1100</v>
      </c>
      <c r="O1025" s="3">
        <f t="shared" si="78"/>
        <v>-9.0934335670577493</v>
      </c>
      <c r="P1025" s="3" t="str">
        <f t="shared" si="79"/>
        <v>Jun</v>
      </c>
      <c r="Q1025" s="3" t="str">
        <f t="shared" si="75"/>
        <v>loss</v>
      </c>
    </row>
    <row r="1026" spans="1:17" x14ac:dyDescent="0.25">
      <c r="A1026" s="3" t="s">
        <v>303</v>
      </c>
      <c r="B1026" s="4">
        <v>45838</v>
      </c>
      <c r="C1026" s="3" t="s">
        <v>2027</v>
      </c>
      <c r="D1026" s="3" t="s">
        <v>2047</v>
      </c>
      <c r="E1026" s="3" t="s">
        <v>2053</v>
      </c>
      <c r="F1026" s="3" t="s">
        <v>2061</v>
      </c>
      <c r="G1026" s="3">
        <v>9</v>
      </c>
      <c r="H1026" s="3">
        <v>1100</v>
      </c>
      <c r="I1026" s="3">
        <v>1298</v>
      </c>
      <c r="J1026" s="3">
        <v>5.62</v>
      </c>
      <c r="K1026" s="3">
        <v>11025.71</v>
      </c>
      <c r="L1026" s="3">
        <v>1125.71</v>
      </c>
      <c r="M1026" s="3">
        <f t="shared" si="76"/>
        <v>65652.84</v>
      </c>
      <c r="N1026" s="3">
        <f t="shared" si="77"/>
        <v>9900</v>
      </c>
      <c r="O1026" s="3">
        <f t="shared" si="78"/>
        <v>10.209864035966845</v>
      </c>
      <c r="P1026" s="3" t="str">
        <f t="shared" si="79"/>
        <v>Jun</v>
      </c>
      <c r="Q1026" s="3" t="str">
        <f t="shared" ref="Q1026:Q1089" si="80">IF(L1026&lt;0,"loss",IF(O1026&lt;10,"low profit","good profit"))</f>
        <v>good profit</v>
      </c>
    </row>
    <row r="1027" spans="1:17" x14ac:dyDescent="0.25">
      <c r="A1027" s="3" t="s">
        <v>1533</v>
      </c>
      <c r="B1027" s="4">
        <v>45838</v>
      </c>
      <c r="C1027" s="3" t="s">
        <v>2024</v>
      </c>
      <c r="D1027" s="3" t="s">
        <v>2044</v>
      </c>
      <c r="E1027" s="3" t="s">
        <v>2055</v>
      </c>
      <c r="F1027" s="3" t="s">
        <v>2062</v>
      </c>
      <c r="G1027" s="3">
        <v>4</v>
      </c>
      <c r="H1027" s="3">
        <v>180</v>
      </c>
      <c r="I1027" s="3">
        <v>243</v>
      </c>
      <c r="J1027" s="3">
        <v>10.99</v>
      </c>
      <c r="K1027" s="3">
        <v>865.15</v>
      </c>
      <c r="L1027" s="3">
        <v>145.15</v>
      </c>
      <c r="M1027" s="3">
        <f t="shared" ref="M1027:M1090" si="81">G1027*I1027*J1027</f>
        <v>10682.28</v>
      </c>
      <c r="N1027" s="3">
        <f t="shared" ref="N1027:N1090" si="82">G1027*H1027</f>
        <v>720</v>
      </c>
      <c r="O1027" s="3">
        <f t="shared" ref="O1027:O1090" si="83">IFERROR(L1027/K1027*100,0)</f>
        <v>16.777437438594465</v>
      </c>
      <c r="P1027" s="3" t="str">
        <f t="shared" ref="P1027:P1090" si="84">TEXT(B1027,"mmm")</f>
        <v>Jun</v>
      </c>
      <c r="Q1027" s="3" t="str">
        <f t="shared" si="80"/>
        <v>good profit</v>
      </c>
    </row>
    <row r="1028" spans="1:17" x14ac:dyDescent="0.25">
      <c r="A1028" s="3" t="s">
        <v>1598</v>
      </c>
      <c r="B1028" s="4">
        <v>45838</v>
      </c>
      <c r="C1028" s="3" t="s">
        <v>2028</v>
      </c>
      <c r="D1028" s="3" t="s">
        <v>2048</v>
      </c>
      <c r="E1028" s="3" t="s">
        <v>2057</v>
      </c>
      <c r="F1028" s="3" t="s">
        <v>2060</v>
      </c>
      <c r="G1028" s="3">
        <v>3</v>
      </c>
      <c r="H1028" s="3">
        <v>80</v>
      </c>
      <c r="I1028" s="3">
        <v>116</v>
      </c>
      <c r="J1028" s="3">
        <v>0</v>
      </c>
      <c r="K1028" s="3">
        <v>348</v>
      </c>
      <c r="L1028" s="3">
        <v>108</v>
      </c>
      <c r="M1028" s="3">
        <f t="shared" si="81"/>
        <v>0</v>
      </c>
      <c r="N1028" s="3">
        <f t="shared" si="82"/>
        <v>240</v>
      </c>
      <c r="O1028" s="3">
        <f t="shared" si="83"/>
        <v>31.03448275862069</v>
      </c>
      <c r="P1028" s="3" t="str">
        <f t="shared" si="84"/>
        <v>Jun</v>
      </c>
      <c r="Q1028" s="3" t="str">
        <f t="shared" si="80"/>
        <v>good profit</v>
      </c>
    </row>
    <row r="1029" spans="1:17" x14ac:dyDescent="0.25">
      <c r="A1029" s="3" t="s">
        <v>1752</v>
      </c>
      <c r="B1029" s="4">
        <v>45838</v>
      </c>
      <c r="C1029" s="3" t="s">
        <v>2025</v>
      </c>
      <c r="D1029" s="3" t="s">
        <v>2045</v>
      </c>
      <c r="E1029" s="3" t="s">
        <v>2057</v>
      </c>
      <c r="F1029" s="3" t="s">
        <v>2060</v>
      </c>
      <c r="G1029" s="3">
        <v>8</v>
      </c>
      <c r="H1029" s="3">
        <v>45</v>
      </c>
      <c r="I1029" s="3">
        <v>63</v>
      </c>
      <c r="J1029" s="3">
        <v>23.2</v>
      </c>
      <c r="K1029" s="3">
        <v>387.08</v>
      </c>
      <c r="L1029" s="3">
        <v>27.08</v>
      </c>
      <c r="M1029" s="3">
        <f t="shared" si="81"/>
        <v>11692.8</v>
      </c>
      <c r="N1029" s="3">
        <f t="shared" si="82"/>
        <v>360</v>
      </c>
      <c r="O1029" s="3">
        <f t="shared" si="83"/>
        <v>6.9959698253590981</v>
      </c>
      <c r="P1029" s="3" t="str">
        <f t="shared" si="84"/>
        <v>Jun</v>
      </c>
      <c r="Q1029" s="3" t="str">
        <f t="shared" si="80"/>
        <v>low profit</v>
      </c>
    </row>
    <row r="1030" spans="1:17" x14ac:dyDescent="0.25">
      <c r="A1030" s="3" t="s">
        <v>1816</v>
      </c>
      <c r="B1030" s="4">
        <v>45838</v>
      </c>
      <c r="C1030" s="3" t="s">
        <v>2030</v>
      </c>
      <c r="D1030" s="3" t="s">
        <v>2050</v>
      </c>
      <c r="E1030" s="3" t="s">
        <v>2058</v>
      </c>
      <c r="F1030" s="3" t="s">
        <v>2060</v>
      </c>
      <c r="G1030" s="3">
        <v>7</v>
      </c>
      <c r="H1030" s="3">
        <v>1800</v>
      </c>
      <c r="I1030" s="3">
        <v>2124</v>
      </c>
      <c r="J1030" s="3">
        <v>4</v>
      </c>
      <c r="K1030" s="3">
        <v>14273.28</v>
      </c>
      <c r="L1030" s="3">
        <v>1673.28</v>
      </c>
      <c r="M1030" s="3">
        <f t="shared" si="81"/>
        <v>59472</v>
      </c>
      <c r="N1030" s="3">
        <f t="shared" si="82"/>
        <v>12600</v>
      </c>
      <c r="O1030" s="3">
        <f t="shared" si="83"/>
        <v>11.723163841807908</v>
      </c>
      <c r="P1030" s="3" t="str">
        <f t="shared" si="84"/>
        <v>Jun</v>
      </c>
      <c r="Q1030" s="3" t="str">
        <f t="shared" si="80"/>
        <v>good profit</v>
      </c>
    </row>
    <row r="1031" spans="1:17" x14ac:dyDescent="0.25">
      <c r="A1031" s="3" t="s">
        <v>1824</v>
      </c>
      <c r="B1031" s="4">
        <v>45838</v>
      </c>
      <c r="C1031" s="3" t="s">
        <v>2028</v>
      </c>
      <c r="D1031" s="3" t="s">
        <v>2048</v>
      </c>
      <c r="E1031" s="3" t="s">
        <v>2057</v>
      </c>
      <c r="F1031" s="3" t="s">
        <v>2062</v>
      </c>
      <c r="G1031" s="3">
        <v>9</v>
      </c>
      <c r="H1031" s="3">
        <v>80</v>
      </c>
      <c r="I1031" s="3">
        <v>116</v>
      </c>
      <c r="J1031" s="3">
        <v>23.07</v>
      </c>
      <c r="K1031" s="3">
        <v>803.13</v>
      </c>
      <c r="L1031" s="3">
        <v>83.13</v>
      </c>
      <c r="M1031" s="3">
        <f t="shared" si="81"/>
        <v>24085.08</v>
      </c>
      <c r="N1031" s="3">
        <f t="shared" si="82"/>
        <v>720</v>
      </c>
      <c r="O1031" s="3">
        <f t="shared" si="83"/>
        <v>10.350752680138955</v>
      </c>
      <c r="P1031" s="3" t="str">
        <f t="shared" si="84"/>
        <v>Jun</v>
      </c>
      <c r="Q1031" s="3" t="str">
        <f t="shared" si="80"/>
        <v>good profit</v>
      </c>
    </row>
    <row r="1032" spans="1:17" x14ac:dyDescent="0.25">
      <c r="A1032" s="3" t="s">
        <v>533</v>
      </c>
      <c r="B1032" s="4">
        <v>45839</v>
      </c>
      <c r="C1032" s="3" t="s">
        <v>2031</v>
      </c>
      <c r="D1032" s="3" t="s">
        <v>2051</v>
      </c>
      <c r="E1032" s="3" t="s">
        <v>2058</v>
      </c>
      <c r="F1032" s="3" t="s">
        <v>2061</v>
      </c>
      <c r="G1032" s="3">
        <v>7</v>
      </c>
      <c r="H1032" s="3">
        <v>3200</v>
      </c>
      <c r="I1032" s="3">
        <v>3840</v>
      </c>
      <c r="J1032" s="3">
        <v>16.36</v>
      </c>
      <c r="K1032" s="3">
        <v>22482.71</v>
      </c>
      <c r="L1032" s="3">
        <v>82.71</v>
      </c>
      <c r="M1032" s="3">
        <f t="shared" si="81"/>
        <v>439756.79999999999</v>
      </c>
      <c r="N1032" s="3">
        <f t="shared" si="82"/>
        <v>22400</v>
      </c>
      <c r="O1032" s="3">
        <f t="shared" si="83"/>
        <v>0.36788269741503582</v>
      </c>
      <c r="P1032" s="3" t="str">
        <f t="shared" si="84"/>
        <v>Jul</v>
      </c>
      <c r="Q1032" s="3" t="str">
        <f t="shared" si="80"/>
        <v>low profit</v>
      </c>
    </row>
    <row r="1033" spans="1:17" x14ac:dyDescent="0.25">
      <c r="A1033" s="3" t="s">
        <v>553</v>
      </c>
      <c r="B1033" s="4">
        <v>45839</v>
      </c>
      <c r="C1033" s="3" t="s">
        <v>2016</v>
      </c>
      <c r="D1033" s="3" t="s">
        <v>2036</v>
      </c>
      <c r="E1033" s="3" t="s">
        <v>2052</v>
      </c>
      <c r="F1033" s="3" t="s">
        <v>2061</v>
      </c>
      <c r="G1033" s="3">
        <v>8</v>
      </c>
      <c r="H1033" s="3">
        <v>900</v>
      </c>
      <c r="I1033" s="3">
        <v>1170</v>
      </c>
      <c r="J1033" s="3">
        <v>14.81</v>
      </c>
      <c r="K1033" s="3">
        <v>7973.57</v>
      </c>
      <c r="L1033" s="3">
        <v>773.57</v>
      </c>
      <c r="M1033" s="3">
        <f t="shared" si="81"/>
        <v>138621.6</v>
      </c>
      <c r="N1033" s="3">
        <f t="shared" si="82"/>
        <v>7200</v>
      </c>
      <c r="O1033" s="3">
        <f t="shared" si="83"/>
        <v>9.7016769151082904</v>
      </c>
      <c r="P1033" s="3" t="str">
        <f t="shared" si="84"/>
        <v>Jul</v>
      </c>
      <c r="Q1033" s="3" t="str">
        <f t="shared" si="80"/>
        <v>low profit</v>
      </c>
    </row>
    <row r="1034" spans="1:17" x14ac:dyDescent="0.25">
      <c r="A1034" s="3" t="s">
        <v>1515</v>
      </c>
      <c r="B1034" s="4">
        <v>45839</v>
      </c>
      <c r="C1034" s="3" t="s">
        <v>2026</v>
      </c>
      <c r="D1034" s="3" t="s">
        <v>2046</v>
      </c>
      <c r="E1034" s="3" t="s">
        <v>2052</v>
      </c>
      <c r="F1034" s="3" t="s">
        <v>2061</v>
      </c>
      <c r="G1034" s="3">
        <v>9</v>
      </c>
      <c r="H1034" s="3">
        <v>3000</v>
      </c>
      <c r="I1034" s="3">
        <v>3600</v>
      </c>
      <c r="J1034" s="3">
        <v>8.1199999999999992</v>
      </c>
      <c r="K1034" s="3">
        <v>29770</v>
      </c>
      <c r="L1034" s="3">
        <v>2770</v>
      </c>
      <c r="M1034" s="3">
        <f t="shared" si="81"/>
        <v>263088</v>
      </c>
      <c r="N1034" s="3">
        <f t="shared" si="82"/>
        <v>27000</v>
      </c>
      <c r="O1034" s="3">
        <f t="shared" si="83"/>
        <v>9.3046691299966415</v>
      </c>
      <c r="P1034" s="3" t="str">
        <f t="shared" si="84"/>
        <v>Jul</v>
      </c>
      <c r="Q1034" s="3" t="str">
        <f t="shared" si="80"/>
        <v>low profit</v>
      </c>
    </row>
    <row r="1035" spans="1:17" x14ac:dyDescent="0.25">
      <c r="A1035" s="3" t="s">
        <v>1996</v>
      </c>
      <c r="B1035" s="4">
        <v>45839</v>
      </c>
      <c r="C1035" s="3" t="s">
        <v>2021</v>
      </c>
      <c r="D1035" s="3" t="s">
        <v>2041</v>
      </c>
      <c r="E1035" s="3" t="s">
        <v>2056</v>
      </c>
      <c r="F1035" s="3" t="s">
        <v>2062</v>
      </c>
      <c r="G1035" s="3">
        <v>6</v>
      </c>
      <c r="H1035" s="3">
        <v>300</v>
      </c>
      <c r="I1035" s="3">
        <v>405</v>
      </c>
      <c r="J1035" s="3">
        <v>4</v>
      </c>
      <c r="K1035" s="3">
        <v>2332.7199999999998</v>
      </c>
      <c r="L1035" s="3">
        <v>532.72</v>
      </c>
      <c r="M1035" s="3">
        <f t="shared" si="81"/>
        <v>9720</v>
      </c>
      <c r="N1035" s="3">
        <f t="shared" si="82"/>
        <v>1800</v>
      </c>
      <c r="O1035" s="3">
        <f t="shared" si="83"/>
        <v>22.836859974621902</v>
      </c>
      <c r="P1035" s="3" t="str">
        <f t="shared" si="84"/>
        <v>Jul</v>
      </c>
      <c r="Q1035" s="3" t="str">
        <f t="shared" si="80"/>
        <v>good profit</v>
      </c>
    </row>
    <row r="1036" spans="1:17" x14ac:dyDescent="0.25">
      <c r="A1036" s="3" t="s">
        <v>183</v>
      </c>
      <c r="B1036" s="4">
        <v>45840</v>
      </c>
      <c r="C1036" s="3" t="s">
        <v>2024</v>
      </c>
      <c r="D1036" s="3" t="s">
        <v>2044</v>
      </c>
      <c r="E1036" s="3" t="s">
        <v>2055</v>
      </c>
      <c r="F1036" s="3" t="s">
        <v>2060</v>
      </c>
      <c r="G1036" s="3">
        <v>6</v>
      </c>
      <c r="H1036" s="3">
        <v>180</v>
      </c>
      <c r="I1036" s="3">
        <v>243</v>
      </c>
      <c r="J1036" s="3">
        <v>7.79</v>
      </c>
      <c r="K1036" s="3">
        <v>1344.36</v>
      </c>
      <c r="L1036" s="3">
        <v>264.36</v>
      </c>
      <c r="M1036" s="3">
        <f t="shared" si="81"/>
        <v>11357.82</v>
      </c>
      <c r="N1036" s="3">
        <f t="shared" si="82"/>
        <v>1080</v>
      </c>
      <c r="O1036" s="3">
        <f t="shared" si="83"/>
        <v>19.664375613674913</v>
      </c>
      <c r="P1036" s="3" t="str">
        <f t="shared" si="84"/>
        <v>Jul</v>
      </c>
      <c r="Q1036" s="3" t="str">
        <f t="shared" si="80"/>
        <v>good profit</v>
      </c>
    </row>
    <row r="1037" spans="1:17" x14ac:dyDescent="0.25">
      <c r="A1037" s="3" t="s">
        <v>206</v>
      </c>
      <c r="B1037" s="4">
        <v>45840</v>
      </c>
      <c r="C1037" s="3" t="s">
        <v>2022</v>
      </c>
      <c r="D1037" s="3" t="s">
        <v>2042</v>
      </c>
      <c r="E1037" s="3" t="s">
        <v>2053</v>
      </c>
      <c r="F1037" s="3" t="s">
        <v>2061</v>
      </c>
      <c r="G1037" s="3">
        <v>8</v>
      </c>
      <c r="H1037" s="3">
        <v>8500</v>
      </c>
      <c r="I1037" s="3">
        <v>9520</v>
      </c>
      <c r="J1037" s="3">
        <v>10.96</v>
      </c>
      <c r="K1037" s="3">
        <v>67815.47</v>
      </c>
      <c r="L1037" s="3">
        <v>-184.53</v>
      </c>
      <c r="M1037" s="3">
        <f t="shared" si="81"/>
        <v>834713.60000000009</v>
      </c>
      <c r="N1037" s="3">
        <f t="shared" si="82"/>
        <v>68000</v>
      </c>
      <c r="O1037" s="3">
        <f t="shared" si="83"/>
        <v>-0.27210605485739464</v>
      </c>
      <c r="P1037" s="3" t="str">
        <f t="shared" si="84"/>
        <v>Jul</v>
      </c>
      <c r="Q1037" s="3" t="str">
        <f t="shared" si="80"/>
        <v>loss</v>
      </c>
    </row>
    <row r="1038" spans="1:17" x14ac:dyDescent="0.25">
      <c r="A1038" s="3" t="s">
        <v>313</v>
      </c>
      <c r="B1038" s="4">
        <v>45840</v>
      </c>
      <c r="C1038" s="3" t="s">
        <v>2019</v>
      </c>
      <c r="D1038" s="3" t="s">
        <v>2039</v>
      </c>
      <c r="E1038" s="3" t="s">
        <v>2053</v>
      </c>
      <c r="F1038" s="3" t="s">
        <v>2061</v>
      </c>
      <c r="G1038" s="3">
        <v>9</v>
      </c>
      <c r="H1038" s="3">
        <v>900</v>
      </c>
      <c r="I1038" s="3">
        <v>1152</v>
      </c>
      <c r="J1038" s="3">
        <v>14.16</v>
      </c>
      <c r="K1038" s="3">
        <v>8899.5400000000009</v>
      </c>
      <c r="L1038" s="3">
        <v>799.54</v>
      </c>
      <c r="M1038" s="3">
        <f t="shared" si="81"/>
        <v>146810.88</v>
      </c>
      <c r="N1038" s="3">
        <f t="shared" si="82"/>
        <v>8100</v>
      </c>
      <c r="O1038" s="3">
        <f t="shared" si="83"/>
        <v>8.984059850284396</v>
      </c>
      <c r="P1038" s="3" t="str">
        <f t="shared" si="84"/>
        <v>Jul</v>
      </c>
      <c r="Q1038" s="3" t="str">
        <f t="shared" si="80"/>
        <v>low profit</v>
      </c>
    </row>
    <row r="1039" spans="1:17" x14ac:dyDescent="0.25">
      <c r="A1039" s="3" t="s">
        <v>469</v>
      </c>
      <c r="B1039" s="4">
        <v>45840</v>
      </c>
      <c r="C1039" s="3" t="s">
        <v>2024</v>
      </c>
      <c r="D1039" s="3" t="s">
        <v>2044</v>
      </c>
      <c r="E1039" s="3" t="s">
        <v>2055</v>
      </c>
      <c r="F1039" s="3" t="s">
        <v>2059</v>
      </c>
      <c r="G1039" s="3">
        <v>2</v>
      </c>
      <c r="H1039" s="3">
        <v>180</v>
      </c>
      <c r="I1039" s="3">
        <v>243</v>
      </c>
      <c r="J1039" s="3">
        <v>10.33</v>
      </c>
      <c r="K1039" s="3">
        <v>435.8</v>
      </c>
      <c r="L1039" s="3">
        <v>75.8</v>
      </c>
      <c r="M1039" s="3">
        <f t="shared" si="81"/>
        <v>5020.38</v>
      </c>
      <c r="N1039" s="3">
        <f t="shared" si="82"/>
        <v>360</v>
      </c>
      <c r="O1039" s="3">
        <f t="shared" si="83"/>
        <v>17.39329967875172</v>
      </c>
      <c r="P1039" s="3" t="str">
        <f t="shared" si="84"/>
        <v>Jul</v>
      </c>
      <c r="Q1039" s="3" t="str">
        <f t="shared" si="80"/>
        <v>good profit</v>
      </c>
    </row>
    <row r="1040" spans="1:17" x14ac:dyDescent="0.25">
      <c r="A1040" s="3" t="s">
        <v>471</v>
      </c>
      <c r="B1040" s="4">
        <v>45840</v>
      </c>
      <c r="C1040" s="3" t="s">
        <v>2027</v>
      </c>
      <c r="D1040" s="3" t="s">
        <v>2047</v>
      </c>
      <c r="E1040" s="3" t="s">
        <v>2053</v>
      </c>
      <c r="F1040" s="3" t="s">
        <v>2062</v>
      </c>
      <c r="G1040" s="3">
        <v>4</v>
      </c>
      <c r="H1040" s="3">
        <v>1100</v>
      </c>
      <c r="I1040" s="3">
        <v>1298</v>
      </c>
      <c r="J1040" s="3">
        <v>6.41</v>
      </c>
      <c r="K1040" s="3">
        <v>4859.09</v>
      </c>
      <c r="L1040" s="3">
        <v>459.09</v>
      </c>
      <c r="M1040" s="3">
        <f t="shared" si="81"/>
        <v>33280.720000000001</v>
      </c>
      <c r="N1040" s="3">
        <f t="shared" si="82"/>
        <v>4400</v>
      </c>
      <c r="O1040" s="3">
        <f t="shared" si="83"/>
        <v>9.4480653784967963</v>
      </c>
      <c r="P1040" s="3" t="str">
        <f t="shared" si="84"/>
        <v>Jul</v>
      </c>
      <c r="Q1040" s="3" t="str">
        <f t="shared" si="80"/>
        <v>low profit</v>
      </c>
    </row>
    <row r="1041" spans="1:17" x14ac:dyDescent="0.25">
      <c r="A1041" s="3" t="s">
        <v>869</v>
      </c>
      <c r="B1041" s="4">
        <v>45840</v>
      </c>
      <c r="C1041" s="3" t="s">
        <v>2021</v>
      </c>
      <c r="D1041" s="3" t="s">
        <v>2041</v>
      </c>
      <c r="E1041" s="3" t="s">
        <v>2056</v>
      </c>
      <c r="F1041" s="3" t="s">
        <v>2061</v>
      </c>
      <c r="G1041" s="3">
        <v>7</v>
      </c>
      <c r="H1041" s="3">
        <v>300</v>
      </c>
      <c r="I1041" s="3">
        <v>405</v>
      </c>
      <c r="J1041" s="3">
        <v>11.13</v>
      </c>
      <c r="K1041" s="3">
        <v>2519.37</v>
      </c>
      <c r="L1041" s="3">
        <v>419.37</v>
      </c>
      <c r="M1041" s="3">
        <f t="shared" si="81"/>
        <v>31553.550000000003</v>
      </c>
      <c r="N1041" s="3">
        <f t="shared" si="82"/>
        <v>2100</v>
      </c>
      <c r="O1041" s="3">
        <f t="shared" si="83"/>
        <v>16.645828123697591</v>
      </c>
      <c r="P1041" s="3" t="str">
        <f t="shared" si="84"/>
        <v>Jul</v>
      </c>
      <c r="Q1041" s="3" t="str">
        <f t="shared" si="80"/>
        <v>good profit</v>
      </c>
    </row>
    <row r="1042" spans="1:17" x14ac:dyDescent="0.25">
      <c r="A1042" s="3" t="s">
        <v>974</v>
      </c>
      <c r="B1042" s="4">
        <v>45840</v>
      </c>
      <c r="C1042" s="3" t="s">
        <v>2016</v>
      </c>
      <c r="D1042" s="3" t="s">
        <v>2036</v>
      </c>
      <c r="E1042" s="3" t="s">
        <v>2052</v>
      </c>
      <c r="F1042" s="3" t="s">
        <v>2059</v>
      </c>
      <c r="G1042" s="3">
        <v>6</v>
      </c>
      <c r="H1042" s="3">
        <v>900</v>
      </c>
      <c r="I1042" s="3">
        <v>1170</v>
      </c>
      <c r="J1042" s="3">
        <v>0.76</v>
      </c>
      <c r="K1042" s="3">
        <v>6966.74</v>
      </c>
      <c r="L1042" s="3">
        <v>1566.74</v>
      </c>
      <c r="M1042" s="3">
        <f t="shared" si="81"/>
        <v>5335.2</v>
      </c>
      <c r="N1042" s="3">
        <f t="shared" si="82"/>
        <v>5400</v>
      </c>
      <c r="O1042" s="3">
        <f t="shared" si="83"/>
        <v>22.488854184310021</v>
      </c>
      <c r="P1042" s="3" t="str">
        <f t="shared" si="84"/>
        <v>Jul</v>
      </c>
      <c r="Q1042" s="3" t="str">
        <f t="shared" si="80"/>
        <v>good profit</v>
      </c>
    </row>
    <row r="1043" spans="1:17" x14ac:dyDescent="0.25">
      <c r="A1043" s="3" t="s">
        <v>1218</v>
      </c>
      <c r="B1043" s="4">
        <v>45840</v>
      </c>
      <c r="C1043" s="3" t="s">
        <v>2024</v>
      </c>
      <c r="D1043" s="3" t="s">
        <v>2044</v>
      </c>
      <c r="E1043" s="3" t="s">
        <v>2055</v>
      </c>
      <c r="F1043" s="3" t="s">
        <v>2062</v>
      </c>
      <c r="G1043" s="3">
        <v>5</v>
      </c>
      <c r="H1043" s="3">
        <v>180</v>
      </c>
      <c r="I1043" s="3">
        <v>243</v>
      </c>
      <c r="J1043" s="3">
        <v>0</v>
      </c>
      <c r="K1043" s="3">
        <v>1215</v>
      </c>
      <c r="L1043" s="3">
        <v>315</v>
      </c>
      <c r="M1043" s="3">
        <f t="shared" si="81"/>
        <v>0</v>
      </c>
      <c r="N1043" s="3">
        <f t="shared" si="82"/>
        <v>900</v>
      </c>
      <c r="O1043" s="3">
        <f t="shared" si="83"/>
        <v>25.925925925925924</v>
      </c>
      <c r="P1043" s="3" t="str">
        <f t="shared" si="84"/>
        <v>Jul</v>
      </c>
      <c r="Q1043" s="3" t="str">
        <f t="shared" si="80"/>
        <v>good profit</v>
      </c>
    </row>
    <row r="1044" spans="1:17" x14ac:dyDescent="0.25">
      <c r="A1044" s="3" t="s">
        <v>1356</v>
      </c>
      <c r="B1044" s="4">
        <v>45840</v>
      </c>
      <c r="C1044" s="3" t="s">
        <v>2022</v>
      </c>
      <c r="D1044" s="3" t="s">
        <v>2042</v>
      </c>
      <c r="E1044" s="3" t="s">
        <v>2053</v>
      </c>
      <c r="F1044" s="3" t="s">
        <v>2062</v>
      </c>
      <c r="G1044" s="3">
        <v>5</v>
      </c>
      <c r="H1044" s="3">
        <v>8500</v>
      </c>
      <c r="I1044" s="3">
        <v>9520</v>
      </c>
      <c r="J1044" s="3">
        <v>19.690000000000001</v>
      </c>
      <c r="K1044" s="3">
        <v>38226.03</v>
      </c>
      <c r="L1044" s="3">
        <v>-4273.97</v>
      </c>
      <c r="M1044" s="3">
        <f t="shared" si="81"/>
        <v>937244.00000000012</v>
      </c>
      <c r="N1044" s="3">
        <f t="shared" si="82"/>
        <v>42500</v>
      </c>
      <c r="O1044" s="3">
        <f t="shared" si="83"/>
        <v>-11.180784402670119</v>
      </c>
      <c r="P1044" s="3" t="str">
        <f t="shared" si="84"/>
        <v>Jul</v>
      </c>
      <c r="Q1044" s="3" t="str">
        <f t="shared" si="80"/>
        <v>loss</v>
      </c>
    </row>
    <row r="1045" spans="1:17" x14ac:dyDescent="0.25">
      <c r="A1045" s="3" t="s">
        <v>1921</v>
      </c>
      <c r="B1045" s="4">
        <v>45840</v>
      </c>
      <c r="C1045" s="3" t="s">
        <v>2028</v>
      </c>
      <c r="D1045" s="3" t="s">
        <v>2048</v>
      </c>
      <c r="E1045" s="3" t="s">
        <v>2057</v>
      </c>
      <c r="F1045" s="3" t="s">
        <v>2060</v>
      </c>
      <c r="G1045" s="3">
        <v>3</v>
      </c>
      <c r="H1045" s="3">
        <v>80</v>
      </c>
      <c r="I1045" s="3">
        <v>116</v>
      </c>
      <c r="J1045" s="3">
        <v>3.17</v>
      </c>
      <c r="K1045" s="3">
        <v>336.96</v>
      </c>
      <c r="L1045" s="3">
        <v>96.96</v>
      </c>
      <c r="M1045" s="3">
        <f t="shared" si="81"/>
        <v>1103.1600000000001</v>
      </c>
      <c r="N1045" s="3">
        <f t="shared" si="82"/>
        <v>240</v>
      </c>
      <c r="O1045" s="3">
        <f t="shared" si="83"/>
        <v>28.774928774928775</v>
      </c>
      <c r="P1045" s="3" t="str">
        <f t="shared" si="84"/>
        <v>Jul</v>
      </c>
      <c r="Q1045" s="3" t="str">
        <f t="shared" si="80"/>
        <v>good profit</v>
      </c>
    </row>
    <row r="1046" spans="1:17" x14ac:dyDescent="0.25">
      <c r="A1046" s="3" t="s">
        <v>365</v>
      </c>
      <c r="B1046" s="4">
        <v>45841</v>
      </c>
      <c r="C1046" s="3" t="s">
        <v>2019</v>
      </c>
      <c r="D1046" s="3" t="s">
        <v>2039</v>
      </c>
      <c r="E1046" s="3" t="s">
        <v>2053</v>
      </c>
      <c r="F1046" s="3" t="s">
        <v>2059</v>
      </c>
      <c r="G1046" s="3">
        <v>10</v>
      </c>
      <c r="H1046" s="3">
        <v>900</v>
      </c>
      <c r="I1046" s="3">
        <v>1152</v>
      </c>
      <c r="J1046" s="3">
        <v>17.420000000000002</v>
      </c>
      <c r="K1046" s="3">
        <v>9512.74</v>
      </c>
      <c r="L1046" s="3">
        <v>512.74</v>
      </c>
      <c r="M1046" s="3">
        <f t="shared" si="81"/>
        <v>200678.40000000002</v>
      </c>
      <c r="N1046" s="3">
        <f t="shared" si="82"/>
        <v>9000</v>
      </c>
      <c r="O1046" s="3">
        <f t="shared" si="83"/>
        <v>5.3900348374916165</v>
      </c>
      <c r="P1046" s="3" t="str">
        <f t="shared" si="84"/>
        <v>Jul</v>
      </c>
      <c r="Q1046" s="3" t="str">
        <f t="shared" si="80"/>
        <v>low profit</v>
      </c>
    </row>
    <row r="1047" spans="1:17" x14ac:dyDescent="0.25">
      <c r="A1047" s="3" t="s">
        <v>562</v>
      </c>
      <c r="B1047" s="4">
        <v>45841</v>
      </c>
      <c r="C1047" s="3" t="s">
        <v>2022</v>
      </c>
      <c r="D1047" s="3" t="s">
        <v>2042</v>
      </c>
      <c r="E1047" s="3" t="s">
        <v>2053</v>
      </c>
      <c r="F1047" s="3" t="s">
        <v>2061</v>
      </c>
      <c r="G1047" s="3">
        <v>5</v>
      </c>
      <c r="H1047" s="3">
        <v>8500</v>
      </c>
      <c r="I1047" s="3">
        <v>9520</v>
      </c>
      <c r="J1047" s="3">
        <v>16.18</v>
      </c>
      <c r="K1047" s="3">
        <v>39899.08</v>
      </c>
      <c r="L1047" s="3">
        <v>-2600.92</v>
      </c>
      <c r="M1047" s="3">
        <f t="shared" si="81"/>
        <v>770168</v>
      </c>
      <c r="N1047" s="3">
        <f t="shared" si="82"/>
        <v>42500</v>
      </c>
      <c r="O1047" s="3">
        <f t="shared" si="83"/>
        <v>-6.5187467981717875</v>
      </c>
      <c r="P1047" s="3" t="str">
        <f t="shared" si="84"/>
        <v>Jul</v>
      </c>
      <c r="Q1047" s="3" t="str">
        <f t="shared" si="80"/>
        <v>loss</v>
      </c>
    </row>
    <row r="1048" spans="1:17" x14ac:dyDescent="0.25">
      <c r="A1048" s="3" t="s">
        <v>1204</v>
      </c>
      <c r="B1048" s="4">
        <v>45841</v>
      </c>
      <c r="C1048" s="3" t="s">
        <v>2019</v>
      </c>
      <c r="D1048" s="3" t="s">
        <v>2039</v>
      </c>
      <c r="E1048" s="3" t="s">
        <v>2053</v>
      </c>
      <c r="F1048" s="3" t="s">
        <v>2061</v>
      </c>
      <c r="G1048" s="3">
        <v>5</v>
      </c>
      <c r="H1048" s="3">
        <v>900</v>
      </c>
      <c r="I1048" s="3">
        <v>1152</v>
      </c>
      <c r="J1048" s="3">
        <v>2.54</v>
      </c>
      <c r="K1048" s="3">
        <v>5613.81</v>
      </c>
      <c r="L1048" s="3">
        <v>1113.81</v>
      </c>
      <c r="M1048" s="3">
        <f t="shared" si="81"/>
        <v>14630.4</v>
      </c>
      <c r="N1048" s="3">
        <f t="shared" si="82"/>
        <v>4500</v>
      </c>
      <c r="O1048" s="3">
        <f t="shared" si="83"/>
        <v>19.840536106494515</v>
      </c>
      <c r="P1048" s="3" t="str">
        <f t="shared" si="84"/>
        <v>Jul</v>
      </c>
      <c r="Q1048" s="3" t="str">
        <f t="shared" si="80"/>
        <v>good profit</v>
      </c>
    </row>
    <row r="1049" spans="1:17" x14ac:dyDescent="0.25">
      <c r="A1049" s="3" t="s">
        <v>1271</v>
      </c>
      <c r="B1049" s="4">
        <v>45841</v>
      </c>
      <c r="C1049" s="3" t="s">
        <v>2018</v>
      </c>
      <c r="D1049" s="3" t="s">
        <v>2038</v>
      </c>
      <c r="E1049" s="3" t="s">
        <v>2053</v>
      </c>
      <c r="F1049" s="3" t="s">
        <v>2059</v>
      </c>
      <c r="G1049" s="3">
        <v>10</v>
      </c>
      <c r="H1049" s="3">
        <v>500</v>
      </c>
      <c r="I1049" s="3">
        <v>610</v>
      </c>
      <c r="J1049" s="3">
        <v>20.14</v>
      </c>
      <c r="K1049" s="3">
        <v>4871.21</v>
      </c>
      <c r="L1049" s="3">
        <v>-128.79</v>
      </c>
      <c r="M1049" s="3">
        <f t="shared" si="81"/>
        <v>122854</v>
      </c>
      <c r="N1049" s="3">
        <f t="shared" si="82"/>
        <v>5000</v>
      </c>
      <c r="O1049" s="3">
        <f t="shared" si="83"/>
        <v>-2.6439016178731771</v>
      </c>
      <c r="P1049" s="3" t="str">
        <f t="shared" si="84"/>
        <v>Jul</v>
      </c>
      <c r="Q1049" s="3" t="str">
        <f t="shared" si="80"/>
        <v>loss</v>
      </c>
    </row>
    <row r="1050" spans="1:17" x14ac:dyDescent="0.25">
      <c r="A1050" s="3" t="s">
        <v>1331</v>
      </c>
      <c r="B1050" s="4">
        <v>45841</v>
      </c>
      <c r="C1050" s="3" t="s">
        <v>2017</v>
      </c>
      <c r="D1050" s="3" t="s">
        <v>2037</v>
      </c>
      <c r="E1050" s="3" t="s">
        <v>2055</v>
      </c>
      <c r="F1050" s="3" t="s">
        <v>2061</v>
      </c>
      <c r="G1050" s="3">
        <v>8</v>
      </c>
      <c r="H1050" s="3">
        <v>2500</v>
      </c>
      <c r="I1050" s="3">
        <v>2875</v>
      </c>
      <c r="J1050" s="3">
        <v>10.039999999999999</v>
      </c>
      <c r="K1050" s="3">
        <v>20690.8</v>
      </c>
      <c r="L1050" s="3">
        <v>690.8</v>
      </c>
      <c r="M1050" s="3">
        <f t="shared" si="81"/>
        <v>230919.99999999997</v>
      </c>
      <c r="N1050" s="3">
        <f t="shared" si="82"/>
        <v>20000</v>
      </c>
      <c r="O1050" s="3">
        <f t="shared" si="83"/>
        <v>3.3386819262667462</v>
      </c>
      <c r="P1050" s="3" t="str">
        <f t="shared" si="84"/>
        <v>Jul</v>
      </c>
      <c r="Q1050" s="3" t="str">
        <f t="shared" si="80"/>
        <v>low profit</v>
      </c>
    </row>
    <row r="1051" spans="1:17" x14ac:dyDescent="0.25">
      <c r="A1051" s="3" t="s">
        <v>1661</v>
      </c>
      <c r="B1051" s="4">
        <v>45841</v>
      </c>
      <c r="C1051" s="3" t="s">
        <v>2022</v>
      </c>
      <c r="D1051" s="3" t="s">
        <v>2042</v>
      </c>
      <c r="E1051" s="3" t="s">
        <v>2053</v>
      </c>
      <c r="F1051" s="3" t="s">
        <v>2060</v>
      </c>
      <c r="G1051" s="3">
        <v>9</v>
      </c>
      <c r="H1051" s="3">
        <v>8500</v>
      </c>
      <c r="I1051" s="3">
        <v>9520</v>
      </c>
      <c r="J1051" s="3">
        <v>33.090000000000003</v>
      </c>
      <c r="K1051" s="3">
        <v>57327.19</v>
      </c>
      <c r="L1051" s="3">
        <v>-19172.810000000001</v>
      </c>
      <c r="M1051" s="3">
        <f t="shared" si="81"/>
        <v>2835151.2</v>
      </c>
      <c r="N1051" s="3">
        <f t="shared" si="82"/>
        <v>76500</v>
      </c>
      <c r="O1051" s="3">
        <f t="shared" si="83"/>
        <v>-33.444531294835841</v>
      </c>
      <c r="P1051" s="3" t="str">
        <f t="shared" si="84"/>
        <v>Jul</v>
      </c>
      <c r="Q1051" s="3" t="str">
        <f t="shared" si="80"/>
        <v>loss</v>
      </c>
    </row>
    <row r="1052" spans="1:17" x14ac:dyDescent="0.25">
      <c r="A1052" s="3" t="s">
        <v>1857</v>
      </c>
      <c r="B1052" s="4">
        <v>45842</v>
      </c>
      <c r="C1052" s="3" t="s">
        <v>2027</v>
      </c>
      <c r="D1052" s="3" t="s">
        <v>2047</v>
      </c>
      <c r="E1052" s="3" t="s">
        <v>2053</v>
      </c>
      <c r="F1052" s="3" t="s">
        <v>2059</v>
      </c>
      <c r="G1052" s="3">
        <v>5</v>
      </c>
      <c r="H1052" s="3">
        <v>1100</v>
      </c>
      <c r="I1052" s="3">
        <v>1298</v>
      </c>
      <c r="J1052" s="3">
        <v>5.25</v>
      </c>
      <c r="K1052" s="3">
        <v>6149.18</v>
      </c>
      <c r="L1052" s="3">
        <v>649.17999999999995</v>
      </c>
      <c r="M1052" s="3">
        <f t="shared" si="81"/>
        <v>34072.5</v>
      </c>
      <c r="N1052" s="3">
        <f t="shared" si="82"/>
        <v>5500</v>
      </c>
      <c r="O1052" s="3">
        <f t="shared" si="83"/>
        <v>10.55717998172114</v>
      </c>
      <c r="P1052" s="3" t="str">
        <f t="shared" si="84"/>
        <v>Jul</v>
      </c>
      <c r="Q1052" s="3" t="str">
        <f t="shared" si="80"/>
        <v>good profit</v>
      </c>
    </row>
    <row r="1053" spans="1:17" x14ac:dyDescent="0.25">
      <c r="A1053" s="3" t="s">
        <v>380</v>
      </c>
      <c r="B1053" s="4">
        <v>45843</v>
      </c>
      <c r="C1053" s="3" t="s">
        <v>2014</v>
      </c>
      <c r="D1053" s="3" t="s">
        <v>2034</v>
      </c>
      <c r="E1053" s="3" t="s">
        <v>2052</v>
      </c>
      <c r="F1053" s="3" t="s">
        <v>2059</v>
      </c>
      <c r="G1053" s="3">
        <v>3</v>
      </c>
      <c r="H1053" s="3">
        <v>4500</v>
      </c>
      <c r="I1053" s="3">
        <v>5220</v>
      </c>
      <c r="J1053" s="3">
        <v>7.32</v>
      </c>
      <c r="K1053" s="3">
        <v>14514.46</v>
      </c>
      <c r="L1053" s="3">
        <v>1014.46</v>
      </c>
      <c r="M1053" s="3">
        <f t="shared" si="81"/>
        <v>114631.20000000001</v>
      </c>
      <c r="N1053" s="3">
        <f t="shared" si="82"/>
        <v>13500</v>
      </c>
      <c r="O1053" s="3">
        <f t="shared" si="83"/>
        <v>6.9893058370755794</v>
      </c>
      <c r="P1053" s="3" t="str">
        <f t="shared" si="84"/>
        <v>Jul</v>
      </c>
      <c r="Q1053" s="3" t="str">
        <f t="shared" si="80"/>
        <v>low profit</v>
      </c>
    </row>
    <row r="1054" spans="1:17" x14ac:dyDescent="0.25">
      <c r="A1054" s="3" t="s">
        <v>416</v>
      </c>
      <c r="B1054" s="4">
        <v>45843</v>
      </c>
      <c r="C1054" s="3" t="s">
        <v>2027</v>
      </c>
      <c r="D1054" s="3" t="s">
        <v>2047</v>
      </c>
      <c r="E1054" s="3" t="s">
        <v>2053</v>
      </c>
      <c r="F1054" s="3" t="s">
        <v>2059</v>
      </c>
      <c r="G1054" s="3">
        <v>6</v>
      </c>
      <c r="H1054" s="3">
        <v>1100</v>
      </c>
      <c r="I1054" s="3">
        <v>1298</v>
      </c>
      <c r="J1054" s="3">
        <v>5.89</v>
      </c>
      <c r="K1054" s="3">
        <v>7329.09</v>
      </c>
      <c r="L1054" s="3">
        <v>729.09</v>
      </c>
      <c r="M1054" s="3">
        <f t="shared" si="81"/>
        <v>45871.32</v>
      </c>
      <c r="N1054" s="3">
        <f t="shared" si="82"/>
        <v>6600</v>
      </c>
      <c r="O1054" s="3">
        <f t="shared" si="83"/>
        <v>9.9478925760223991</v>
      </c>
      <c r="P1054" s="3" t="str">
        <f t="shared" si="84"/>
        <v>Jul</v>
      </c>
      <c r="Q1054" s="3" t="str">
        <f t="shared" si="80"/>
        <v>low profit</v>
      </c>
    </row>
    <row r="1055" spans="1:17" x14ac:dyDescent="0.25">
      <c r="A1055" s="3" t="s">
        <v>444</v>
      </c>
      <c r="B1055" s="4">
        <v>45843</v>
      </c>
      <c r="C1055" s="3" t="s">
        <v>2017</v>
      </c>
      <c r="D1055" s="3" t="s">
        <v>2037</v>
      </c>
      <c r="E1055" s="3" t="s">
        <v>2055</v>
      </c>
      <c r="F1055" s="3" t="s">
        <v>2061</v>
      </c>
      <c r="G1055" s="3">
        <v>8</v>
      </c>
      <c r="H1055" s="3">
        <v>2500</v>
      </c>
      <c r="I1055" s="3">
        <v>2875</v>
      </c>
      <c r="J1055" s="3">
        <v>1</v>
      </c>
      <c r="K1055" s="3">
        <v>22770.14</v>
      </c>
      <c r="L1055" s="3">
        <v>2770.14</v>
      </c>
      <c r="M1055" s="3">
        <f t="shared" si="81"/>
        <v>23000</v>
      </c>
      <c r="N1055" s="3">
        <f t="shared" si="82"/>
        <v>20000</v>
      </c>
      <c r="O1055" s="3">
        <f t="shared" si="83"/>
        <v>12.165669600626083</v>
      </c>
      <c r="P1055" s="3" t="str">
        <f t="shared" si="84"/>
        <v>Jul</v>
      </c>
      <c r="Q1055" s="3" t="str">
        <f t="shared" si="80"/>
        <v>good profit</v>
      </c>
    </row>
    <row r="1056" spans="1:17" x14ac:dyDescent="0.25">
      <c r="A1056" s="3" t="s">
        <v>1421</v>
      </c>
      <c r="B1056" s="4">
        <v>45843</v>
      </c>
      <c r="C1056" s="3" t="s">
        <v>2025</v>
      </c>
      <c r="D1056" s="3" t="s">
        <v>2045</v>
      </c>
      <c r="E1056" s="3" t="s">
        <v>2057</v>
      </c>
      <c r="F1056" s="3" t="s">
        <v>2062</v>
      </c>
      <c r="G1056" s="3">
        <v>10</v>
      </c>
      <c r="H1056" s="3">
        <v>45</v>
      </c>
      <c r="I1056" s="3">
        <v>63</v>
      </c>
      <c r="J1056" s="3">
        <v>14.51</v>
      </c>
      <c r="K1056" s="3">
        <v>538.59</v>
      </c>
      <c r="L1056" s="3">
        <v>88.59</v>
      </c>
      <c r="M1056" s="3">
        <f t="shared" si="81"/>
        <v>9141.2999999999993</v>
      </c>
      <c r="N1056" s="3">
        <f t="shared" si="82"/>
        <v>450</v>
      </c>
      <c r="O1056" s="3">
        <f t="shared" si="83"/>
        <v>16.448504428229267</v>
      </c>
      <c r="P1056" s="3" t="str">
        <f t="shared" si="84"/>
        <v>Jul</v>
      </c>
      <c r="Q1056" s="3" t="str">
        <f t="shared" si="80"/>
        <v>good profit</v>
      </c>
    </row>
    <row r="1057" spans="1:17" x14ac:dyDescent="0.25">
      <c r="A1057" s="3" t="s">
        <v>1531</v>
      </c>
      <c r="B1057" s="4">
        <v>45843</v>
      </c>
      <c r="C1057" s="3" t="s">
        <v>2030</v>
      </c>
      <c r="D1057" s="3" t="s">
        <v>2050</v>
      </c>
      <c r="E1057" s="3" t="s">
        <v>2058</v>
      </c>
      <c r="F1057" s="3" t="s">
        <v>2062</v>
      </c>
      <c r="G1057" s="3">
        <v>7</v>
      </c>
      <c r="H1057" s="3">
        <v>1800</v>
      </c>
      <c r="I1057" s="3">
        <v>2124</v>
      </c>
      <c r="J1057" s="3">
        <v>15.7</v>
      </c>
      <c r="K1057" s="3">
        <v>12533.35</v>
      </c>
      <c r="L1057" s="3">
        <v>-66.650000000000006</v>
      </c>
      <c r="M1057" s="3">
        <f t="shared" si="81"/>
        <v>233427.59999999998</v>
      </c>
      <c r="N1057" s="3">
        <f t="shared" si="82"/>
        <v>12600</v>
      </c>
      <c r="O1057" s="3">
        <f t="shared" si="83"/>
        <v>-0.53178120773775572</v>
      </c>
      <c r="P1057" s="3" t="str">
        <f t="shared" si="84"/>
        <v>Jul</v>
      </c>
      <c r="Q1057" s="3" t="str">
        <f t="shared" si="80"/>
        <v>loss</v>
      </c>
    </row>
    <row r="1058" spans="1:17" x14ac:dyDescent="0.25">
      <c r="A1058" s="3" t="s">
        <v>1535</v>
      </c>
      <c r="B1058" s="4">
        <v>45844</v>
      </c>
      <c r="C1058" s="3" t="s">
        <v>2013</v>
      </c>
      <c r="D1058" s="3" t="s">
        <v>2033</v>
      </c>
      <c r="E1058" s="3" t="s">
        <v>2053</v>
      </c>
      <c r="F1058" s="3" t="s">
        <v>2062</v>
      </c>
      <c r="G1058" s="3">
        <v>2</v>
      </c>
      <c r="H1058" s="3">
        <v>6500</v>
      </c>
      <c r="I1058" s="3">
        <v>7150</v>
      </c>
      <c r="J1058" s="3">
        <v>28.11</v>
      </c>
      <c r="K1058" s="3">
        <v>10280.450000000001</v>
      </c>
      <c r="L1058" s="3">
        <v>-2719.55</v>
      </c>
      <c r="M1058" s="3">
        <f t="shared" si="81"/>
        <v>401973</v>
      </c>
      <c r="N1058" s="3">
        <f t="shared" si="82"/>
        <v>13000</v>
      </c>
      <c r="O1058" s="3">
        <f t="shared" si="83"/>
        <v>-26.45360854826394</v>
      </c>
      <c r="P1058" s="3" t="str">
        <f t="shared" si="84"/>
        <v>Jul</v>
      </c>
      <c r="Q1058" s="3" t="str">
        <f t="shared" si="80"/>
        <v>loss</v>
      </c>
    </row>
    <row r="1059" spans="1:17" x14ac:dyDescent="0.25">
      <c r="A1059" s="3" t="s">
        <v>1663</v>
      </c>
      <c r="B1059" s="4">
        <v>45844</v>
      </c>
      <c r="C1059" s="3" t="s">
        <v>2025</v>
      </c>
      <c r="D1059" s="3" t="s">
        <v>2045</v>
      </c>
      <c r="E1059" s="3" t="s">
        <v>2057</v>
      </c>
      <c r="F1059" s="3" t="s">
        <v>2062</v>
      </c>
      <c r="G1059" s="3">
        <v>2</v>
      </c>
      <c r="H1059" s="3">
        <v>45</v>
      </c>
      <c r="I1059" s="3">
        <v>63</v>
      </c>
      <c r="J1059" s="3">
        <v>14.81</v>
      </c>
      <c r="K1059" s="3">
        <v>107.34</v>
      </c>
      <c r="L1059" s="3">
        <v>17.34</v>
      </c>
      <c r="M1059" s="3">
        <f t="shared" si="81"/>
        <v>1866.0600000000002</v>
      </c>
      <c r="N1059" s="3">
        <f t="shared" si="82"/>
        <v>90</v>
      </c>
      <c r="O1059" s="3">
        <f t="shared" si="83"/>
        <v>16.154276131917271</v>
      </c>
      <c r="P1059" s="3" t="str">
        <f t="shared" si="84"/>
        <v>Jul</v>
      </c>
      <c r="Q1059" s="3" t="str">
        <f t="shared" si="80"/>
        <v>good profit</v>
      </c>
    </row>
    <row r="1060" spans="1:17" x14ac:dyDescent="0.25">
      <c r="A1060" s="3" t="s">
        <v>1695</v>
      </c>
      <c r="B1060" s="4">
        <v>45844</v>
      </c>
      <c r="C1060" s="3" t="s">
        <v>2020</v>
      </c>
      <c r="D1060" s="3" t="s">
        <v>2040</v>
      </c>
      <c r="E1060" s="3" t="s">
        <v>2053</v>
      </c>
      <c r="F1060" s="3" t="s">
        <v>2060</v>
      </c>
      <c r="G1060" s="3">
        <v>7</v>
      </c>
      <c r="H1060" s="3">
        <v>350</v>
      </c>
      <c r="I1060" s="3">
        <v>455</v>
      </c>
      <c r="J1060" s="3">
        <v>19.75</v>
      </c>
      <c r="K1060" s="3">
        <v>2555.89</v>
      </c>
      <c r="L1060" s="3">
        <v>105.89</v>
      </c>
      <c r="M1060" s="3">
        <f t="shared" si="81"/>
        <v>62903.75</v>
      </c>
      <c r="N1060" s="3">
        <f t="shared" si="82"/>
        <v>2450</v>
      </c>
      <c r="O1060" s="3">
        <f t="shared" si="83"/>
        <v>4.1429795491981265</v>
      </c>
      <c r="P1060" s="3" t="str">
        <f t="shared" si="84"/>
        <v>Jul</v>
      </c>
      <c r="Q1060" s="3" t="str">
        <f t="shared" si="80"/>
        <v>low profit</v>
      </c>
    </row>
    <row r="1061" spans="1:17" x14ac:dyDescent="0.25">
      <c r="A1061" s="3" t="s">
        <v>202</v>
      </c>
      <c r="B1061" s="4">
        <v>45845</v>
      </c>
      <c r="C1061" s="3" t="s">
        <v>2026</v>
      </c>
      <c r="D1061" s="3" t="s">
        <v>2046</v>
      </c>
      <c r="E1061" s="3" t="s">
        <v>2052</v>
      </c>
      <c r="F1061" s="3" t="s">
        <v>2059</v>
      </c>
      <c r="G1061" s="3">
        <v>9</v>
      </c>
      <c r="H1061" s="3">
        <v>3000</v>
      </c>
      <c r="I1061" s="3">
        <v>3600</v>
      </c>
      <c r="J1061" s="3">
        <v>27.67</v>
      </c>
      <c r="K1061" s="3">
        <v>23433.91</v>
      </c>
      <c r="L1061" s="3">
        <v>-3566.09</v>
      </c>
      <c r="M1061" s="3">
        <f t="shared" si="81"/>
        <v>896508</v>
      </c>
      <c r="N1061" s="3">
        <f t="shared" si="82"/>
        <v>27000</v>
      </c>
      <c r="O1061" s="3">
        <f t="shared" si="83"/>
        <v>-15.217648271244535</v>
      </c>
      <c r="P1061" s="3" t="str">
        <f t="shared" si="84"/>
        <v>Jul</v>
      </c>
      <c r="Q1061" s="3" t="str">
        <f t="shared" si="80"/>
        <v>loss</v>
      </c>
    </row>
    <row r="1062" spans="1:17" x14ac:dyDescent="0.25">
      <c r="A1062" s="3" t="s">
        <v>431</v>
      </c>
      <c r="B1062" s="4">
        <v>45845</v>
      </c>
      <c r="C1062" s="3" t="s">
        <v>2027</v>
      </c>
      <c r="D1062" s="3" t="s">
        <v>2047</v>
      </c>
      <c r="E1062" s="3" t="s">
        <v>2053</v>
      </c>
      <c r="F1062" s="3" t="s">
        <v>2061</v>
      </c>
      <c r="G1062" s="3">
        <v>1</v>
      </c>
      <c r="H1062" s="3">
        <v>1100</v>
      </c>
      <c r="I1062" s="3">
        <v>1298</v>
      </c>
      <c r="J1062" s="3">
        <v>11.41</v>
      </c>
      <c r="K1062" s="3">
        <v>1149.8900000000001</v>
      </c>
      <c r="L1062" s="3">
        <v>49.89</v>
      </c>
      <c r="M1062" s="3">
        <f t="shared" si="81"/>
        <v>14810.18</v>
      </c>
      <c r="N1062" s="3">
        <f t="shared" si="82"/>
        <v>1100</v>
      </c>
      <c r="O1062" s="3">
        <f t="shared" si="83"/>
        <v>4.3386758733444069</v>
      </c>
      <c r="P1062" s="3" t="str">
        <f t="shared" si="84"/>
        <v>Jul</v>
      </c>
      <c r="Q1062" s="3" t="str">
        <f t="shared" si="80"/>
        <v>low profit</v>
      </c>
    </row>
    <row r="1063" spans="1:17" x14ac:dyDescent="0.25">
      <c r="A1063" s="3" t="s">
        <v>452</v>
      </c>
      <c r="B1063" s="4">
        <v>45845</v>
      </c>
      <c r="C1063" s="3" t="s">
        <v>2028</v>
      </c>
      <c r="D1063" s="3" t="s">
        <v>2048</v>
      </c>
      <c r="E1063" s="3" t="s">
        <v>2057</v>
      </c>
      <c r="F1063" s="3" t="s">
        <v>2061</v>
      </c>
      <c r="G1063" s="3">
        <v>6</v>
      </c>
      <c r="H1063" s="3">
        <v>80</v>
      </c>
      <c r="I1063" s="3">
        <v>116</v>
      </c>
      <c r="J1063" s="3">
        <v>4.6900000000000004</v>
      </c>
      <c r="K1063" s="3">
        <v>663.35</v>
      </c>
      <c r="L1063" s="3">
        <v>183.35</v>
      </c>
      <c r="M1063" s="3">
        <f t="shared" si="81"/>
        <v>3264.2400000000002</v>
      </c>
      <c r="N1063" s="3">
        <f t="shared" si="82"/>
        <v>480</v>
      </c>
      <c r="O1063" s="3">
        <f t="shared" si="83"/>
        <v>27.64000904499887</v>
      </c>
      <c r="P1063" s="3" t="str">
        <f t="shared" si="84"/>
        <v>Jul</v>
      </c>
      <c r="Q1063" s="3" t="str">
        <f t="shared" si="80"/>
        <v>good profit</v>
      </c>
    </row>
    <row r="1064" spans="1:17" x14ac:dyDescent="0.25">
      <c r="A1064" s="3" t="s">
        <v>537</v>
      </c>
      <c r="B1064" s="4">
        <v>45845</v>
      </c>
      <c r="C1064" s="3" t="s">
        <v>2012</v>
      </c>
      <c r="D1064" s="3" t="s">
        <v>2032</v>
      </c>
      <c r="E1064" s="3" t="s">
        <v>2052</v>
      </c>
      <c r="F1064" s="3" t="s">
        <v>2062</v>
      </c>
      <c r="G1064" s="3">
        <v>6</v>
      </c>
      <c r="H1064" s="3">
        <v>6500</v>
      </c>
      <c r="I1064" s="3">
        <v>8125</v>
      </c>
      <c r="J1064" s="3">
        <v>23.33</v>
      </c>
      <c r="K1064" s="3">
        <v>37374.47</v>
      </c>
      <c r="L1064" s="3">
        <v>-1625.53</v>
      </c>
      <c r="M1064" s="3">
        <f t="shared" si="81"/>
        <v>1137337.5</v>
      </c>
      <c r="N1064" s="3">
        <f t="shared" si="82"/>
        <v>39000</v>
      </c>
      <c r="O1064" s="3">
        <f t="shared" si="83"/>
        <v>-4.3493058229320711</v>
      </c>
      <c r="P1064" s="3" t="str">
        <f t="shared" si="84"/>
        <v>Jul</v>
      </c>
      <c r="Q1064" s="3" t="str">
        <f t="shared" si="80"/>
        <v>loss</v>
      </c>
    </row>
    <row r="1065" spans="1:17" x14ac:dyDescent="0.25">
      <c r="A1065" s="3" t="s">
        <v>1067</v>
      </c>
      <c r="B1065" s="4">
        <v>45845</v>
      </c>
      <c r="C1065" s="3" t="s">
        <v>2029</v>
      </c>
      <c r="D1065" s="3" t="s">
        <v>2049</v>
      </c>
      <c r="E1065" s="3" t="s">
        <v>2055</v>
      </c>
      <c r="F1065" s="3" t="s">
        <v>2062</v>
      </c>
      <c r="G1065" s="3">
        <v>10</v>
      </c>
      <c r="H1065" s="3">
        <v>1200</v>
      </c>
      <c r="I1065" s="3">
        <v>1464</v>
      </c>
      <c r="J1065" s="3">
        <v>10.77</v>
      </c>
      <c r="K1065" s="3">
        <v>13063.1</v>
      </c>
      <c r="L1065" s="3">
        <v>1063.0999999999999</v>
      </c>
      <c r="M1065" s="3">
        <f t="shared" si="81"/>
        <v>157672.79999999999</v>
      </c>
      <c r="N1065" s="3">
        <f t="shared" si="82"/>
        <v>12000</v>
      </c>
      <c r="O1065" s="3">
        <f t="shared" si="83"/>
        <v>8.1381907816674435</v>
      </c>
      <c r="P1065" s="3" t="str">
        <f t="shared" si="84"/>
        <v>Jul</v>
      </c>
      <c r="Q1065" s="3" t="str">
        <f t="shared" si="80"/>
        <v>low profit</v>
      </c>
    </row>
    <row r="1066" spans="1:17" x14ac:dyDescent="0.25">
      <c r="A1066" s="3" t="s">
        <v>1294</v>
      </c>
      <c r="B1066" s="4">
        <v>45845</v>
      </c>
      <c r="C1066" s="3" t="s">
        <v>2014</v>
      </c>
      <c r="D1066" s="3" t="s">
        <v>2034</v>
      </c>
      <c r="E1066" s="3" t="s">
        <v>2052</v>
      </c>
      <c r="F1066" s="3" t="s">
        <v>2060</v>
      </c>
      <c r="G1066" s="3">
        <v>3</v>
      </c>
      <c r="H1066" s="3">
        <v>4500</v>
      </c>
      <c r="I1066" s="3">
        <v>5220</v>
      </c>
      <c r="J1066" s="3">
        <v>5.4</v>
      </c>
      <c r="K1066" s="3">
        <v>14814.89</v>
      </c>
      <c r="L1066" s="3">
        <v>1314.89</v>
      </c>
      <c r="M1066" s="3">
        <f t="shared" si="81"/>
        <v>84564</v>
      </c>
      <c r="N1066" s="3">
        <f t="shared" si="82"/>
        <v>13500</v>
      </c>
      <c r="O1066" s="3">
        <f t="shared" si="83"/>
        <v>8.875462457028032</v>
      </c>
      <c r="P1066" s="3" t="str">
        <f t="shared" si="84"/>
        <v>Jul</v>
      </c>
      <c r="Q1066" s="3" t="str">
        <f t="shared" si="80"/>
        <v>low profit</v>
      </c>
    </row>
    <row r="1067" spans="1:17" x14ac:dyDescent="0.25">
      <c r="A1067" s="3" t="s">
        <v>1313</v>
      </c>
      <c r="B1067" s="4">
        <v>45845</v>
      </c>
      <c r="C1067" s="3" t="s">
        <v>2014</v>
      </c>
      <c r="D1067" s="3" t="s">
        <v>2034</v>
      </c>
      <c r="E1067" s="3" t="s">
        <v>2052</v>
      </c>
      <c r="F1067" s="3" t="s">
        <v>2060</v>
      </c>
      <c r="G1067" s="3">
        <v>8</v>
      </c>
      <c r="H1067" s="3">
        <v>4500</v>
      </c>
      <c r="I1067" s="3">
        <v>5220</v>
      </c>
      <c r="J1067" s="3">
        <v>21.21</v>
      </c>
      <c r="K1067" s="3">
        <v>32903.54</v>
      </c>
      <c r="L1067" s="3">
        <v>-3096.46</v>
      </c>
      <c r="M1067" s="3">
        <f t="shared" si="81"/>
        <v>885729.60000000009</v>
      </c>
      <c r="N1067" s="3">
        <f t="shared" si="82"/>
        <v>36000</v>
      </c>
      <c r="O1067" s="3">
        <f t="shared" si="83"/>
        <v>-9.4107199407723297</v>
      </c>
      <c r="P1067" s="3" t="str">
        <f t="shared" si="84"/>
        <v>Jul</v>
      </c>
      <c r="Q1067" s="3" t="str">
        <f t="shared" si="80"/>
        <v>loss</v>
      </c>
    </row>
    <row r="1068" spans="1:17" x14ac:dyDescent="0.25">
      <c r="A1068" s="3" t="s">
        <v>1328</v>
      </c>
      <c r="B1068" s="4">
        <v>45845</v>
      </c>
      <c r="C1068" s="3" t="s">
        <v>2018</v>
      </c>
      <c r="D1068" s="3" t="s">
        <v>2038</v>
      </c>
      <c r="E1068" s="3" t="s">
        <v>2053</v>
      </c>
      <c r="F1068" s="3" t="s">
        <v>2061</v>
      </c>
      <c r="G1068" s="3">
        <v>5</v>
      </c>
      <c r="H1068" s="3">
        <v>500</v>
      </c>
      <c r="I1068" s="3">
        <v>610</v>
      </c>
      <c r="J1068" s="3">
        <v>13.65</v>
      </c>
      <c r="K1068" s="3">
        <v>2633.72</v>
      </c>
      <c r="L1068" s="3">
        <v>133.72</v>
      </c>
      <c r="M1068" s="3">
        <f t="shared" si="81"/>
        <v>41632.5</v>
      </c>
      <c r="N1068" s="3">
        <f t="shared" si="82"/>
        <v>2500</v>
      </c>
      <c r="O1068" s="3">
        <f t="shared" si="83"/>
        <v>5.077229166350258</v>
      </c>
      <c r="P1068" s="3" t="str">
        <f t="shared" si="84"/>
        <v>Jul</v>
      </c>
      <c r="Q1068" s="3" t="str">
        <f t="shared" si="80"/>
        <v>low profit</v>
      </c>
    </row>
    <row r="1069" spans="1:17" x14ac:dyDescent="0.25">
      <c r="A1069" s="3" t="s">
        <v>1520</v>
      </c>
      <c r="B1069" s="4">
        <v>45845</v>
      </c>
      <c r="C1069" s="3" t="s">
        <v>2014</v>
      </c>
      <c r="D1069" s="3" t="s">
        <v>2034</v>
      </c>
      <c r="E1069" s="3" t="s">
        <v>2052</v>
      </c>
      <c r="F1069" s="3" t="s">
        <v>2059</v>
      </c>
      <c r="G1069" s="3">
        <v>4</v>
      </c>
      <c r="H1069" s="3">
        <v>4500</v>
      </c>
      <c r="I1069" s="3">
        <v>5220</v>
      </c>
      <c r="J1069" s="3">
        <v>4</v>
      </c>
      <c r="K1069" s="3">
        <v>20044.8</v>
      </c>
      <c r="L1069" s="3">
        <v>2044.8</v>
      </c>
      <c r="M1069" s="3">
        <f t="shared" si="81"/>
        <v>83520</v>
      </c>
      <c r="N1069" s="3">
        <f t="shared" si="82"/>
        <v>18000</v>
      </c>
      <c r="O1069" s="3">
        <f t="shared" si="83"/>
        <v>10.201149425287356</v>
      </c>
      <c r="P1069" s="3" t="str">
        <f t="shared" si="84"/>
        <v>Jul</v>
      </c>
      <c r="Q1069" s="3" t="str">
        <f t="shared" si="80"/>
        <v>good profit</v>
      </c>
    </row>
    <row r="1070" spans="1:17" x14ac:dyDescent="0.25">
      <c r="A1070" s="3" t="s">
        <v>1608</v>
      </c>
      <c r="B1070" s="4">
        <v>45845</v>
      </c>
      <c r="C1070" s="3" t="s">
        <v>2013</v>
      </c>
      <c r="D1070" s="3" t="s">
        <v>2033</v>
      </c>
      <c r="E1070" s="3" t="s">
        <v>2053</v>
      </c>
      <c r="F1070" s="3" t="s">
        <v>2059</v>
      </c>
      <c r="G1070" s="3">
        <v>5</v>
      </c>
      <c r="H1070" s="3">
        <v>6500</v>
      </c>
      <c r="I1070" s="3">
        <v>7150</v>
      </c>
      <c r="J1070" s="3">
        <v>9.4600000000000009</v>
      </c>
      <c r="K1070" s="3">
        <v>32368.799999999999</v>
      </c>
      <c r="L1070" s="3">
        <v>-131.19999999999999</v>
      </c>
      <c r="M1070" s="3">
        <f t="shared" si="81"/>
        <v>338195.00000000006</v>
      </c>
      <c r="N1070" s="3">
        <f t="shared" si="82"/>
        <v>32500</v>
      </c>
      <c r="O1070" s="3">
        <f t="shared" si="83"/>
        <v>-0.40532858802303456</v>
      </c>
      <c r="P1070" s="3" t="str">
        <f t="shared" si="84"/>
        <v>Jul</v>
      </c>
      <c r="Q1070" s="3" t="str">
        <f t="shared" si="80"/>
        <v>loss</v>
      </c>
    </row>
    <row r="1071" spans="1:17" x14ac:dyDescent="0.25">
      <c r="A1071" s="3" t="s">
        <v>1783</v>
      </c>
      <c r="B1071" s="4">
        <v>45845</v>
      </c>
      <c r="C1071" s="3" t="s">
        <v>2029</v>
      </c>
      <c r="D1071" s="3" t="s">
        <v>2049</v>
      </c>
      <c r="E1071" s="3" t="s">
        <v>2055</v>
      </c>
      <c r="F1071" s="3" t="s">
        <v>2060</v>
      </c>
      <c r="G1071" s="3">
        <v>8</v>
      </c>
      <c r="H1071" s="3">
        <v>1200</v>
      </c>
      <c r="I1071" s="3">
        <v>1464</v>
      </c>
      <c r="J1071" s="3">
        <v>11.78</v>
      </c>
      <c r="K1071" s="3">
        <v>10331.77</v>
      </c>
      <c r="L1071" s="3">
        <v>731.77</v>
      </c>
      <c r="M1071" s="3">
        <f t="shared" si="81"/>
        <v>137967.35999999999</v>
      </c>
      <c r="N1071" s="3">
        <f t="shared" si="82"/>
        <v>9600</v>
      </c>
      <c r="O1071" s="3">
        <f t="shared" si="83"/>
        <v>7.0827167077857895</v>
      </c>
      <c r="P1071" s="3" t="str">
        <f t="shared" si="84"/>
        <v>Jul</v>
      </c>
      <c r="Q1071" s="3" t="str">
        <f t="shared" si="80"/>
        <v>low profit</v>
      </c>
    </row>
    <row r="1072" spans="1:17" x14ac:dyDescent="0.25">
      <c r="A1072" s="3" t="s">
        <v>1829</v>
      </c>
      <c r="B1072" s="4">
        <v>45845</v>
      </c>
      <c r="C1072" s="3" t="s">
        <v>2012</v>
      </c>
      <c r="D1072" s="3" t="s">
        <v>2032</v>
      </c>
      <c r="E1072" s="3" t="s">
        <v>2052</v>
      </c>
      <c r="F1072" s="3" t="s">
        <v>2060</v>
      </c>
      <c r="G1072" s="3">
        <v>4</v>
      </c>
      <c r="H1072" s="3">
        <v>6500</v>
      </c>
      <c r="I1072" s="3">
        <v>8125</v>
      </c>
      <c r="J1072" s="3">
        <v>6.26</v>
      </c>
      <c r="K1072" s="3">
        <v>30464.03</v>
      </c>
      <c r="L1072" s="3">
        <v>4464.03</v>
      </c>
      <c r="M1072" s="3">
        <f t="shared" si="81"/>
        <v>203450</v>
      </c>
      <c r="N1072" s="3">
        <f t="shared" si="82"/>
        <v>26000</v>
      </c>
      <c r="O1072" s="3">
        <f t="shared" si="83"/>
        <v>14.653445391171161</v>
      </c>
      <c r="P1072" s="3" t="str">
        <f t="shared" si="84"/>
        <v>Jul</v>
      </c>
      <c r="Q1072" s="3" t="str">
        <f t="shared" si="80"/>
        <v>good profit</v>
      </c>
    </row>
    <row r="1073" spans="1:17" x14ac:dyDescent="0.25">
      <c r="A1073" s="3" t="s">
        <v>363</v>
      </c>
      <c r="B1073" s="4">
        <v>45846</v>
      </c>
      <c r="C1073" s="3" t="s">
        <v>2013</v>
      </c>
      <c r="D1073" s="3" t="s">
        <v>2033</v>
      </c>
      <c r="E1073" s="3" t="s">
        <v>2053</v>
      </c>
      <c r="F1073" s="3" t="s">
        <v>2060</v>
      </c>
      <c r="G1073" s="3">
        <v>9</v>
      </c>
      <c r="H1073" s="3">
        <v>6500</v>
      </c>
      <c r="I1073" s="3">
        <v>7150</v>
      </c>
      <c r="J1073" s="3">
        <v>16.89</v>
      </c>
      <c r="K1073" s="3">
        <v>53481.62</v>
      </c>
      <c r="L1073" s="3">
        <v>-5018.38</v>
      </c>
      <c r="M1073" s="3">
        <f t="shared" si="81"/>
        <v>1086871.5</v>
      </c>
      <c r="N1073" s="3">
        <f t="shared" si="82"/>
        <v>58500</v>
      </c>
      <c r="O1073" s="3">
        <f t="shared" si="83"/>
        <v>-9.3833732037286826</v>
      </c>
      <c r="P1073" s="3" t="str">
        <f t="shared" si="84"/>
        <v>Jul</v>
      </c>
      <c r="Q1073" s="3" t="str">
        <f t="shared" si="80"/>
        <v>loss</v>
      </c>
    </row>
    <row r="1074" spans="1:17" x14ac:dyDescent="0.25">
      <c r="A1074" s="3" t="s">
        <v>734</v>
      </c>
      <c r="B1074" s="4">
        <v>45846</v>
      </c>
      <c r="C1074" s="3" t="s">
        <v>2014</v>
      </c>
      <c r="D1074" s="3" t="s">
        <v>2034</v>
      </c>
      <c r="E1074" s="3" t="s">
        <v>2052</v>
      </c>
      <c r="F1074" s="3" t="s">
        <v>2062</v>
      </c>
      <c r="G1074" s="3">
        <v>9</v>
      </c>
      <c r="H1074" s="3">
        <v>4500</v>
      </c>
      <c r="I1074" s="3">
        <v>5220</v>
      </c>
      <c r="J1074" s="3">
        <v>9.14</v>
      </c>
      <c r="K1074" s="3">
        <v>42686.14</v>
      </c>
      <c r="L1074" s="3">
        <v>2186.14</v>
      </c>
      <c r="M1074" s="3">
        <f t="shared" si="81"/>
        <v>429397.2</v>
      </c>
      <c r="N1074" s="3">
        <f t="shared" si="82"/>
        <v>40500</v>
      </c>
      <c r="O1074" s="3">
        <f t="shared" si="83"/>
        <v>5.1214281731728377</v>
      </c>
      <c r="P1074" s="3" t="str">
        <f t="shared" si="84"/>
        <v>Jul</v>
      </c>
      <c r="Q1074" s="3" t="str">
        <f t="shared" si="80"/>
        <v>low profit</v>
      </c>
    </row>
    <row r="1075" spans="1:17" x14ac:dyDescent="0.25">
      <c r="A1075" s="3" t="s">
        <v>947</v>
      </c>
      <c r="B1075" s="4">
        <v>45846</v>
      </c>
      <c r="C1075" s="3" t="s">
        <v>2014</v>
      </c>
      <c r="D1075" s="3" t="s">
        <v>2034</v>
      </c>
      <c r="E1075" s="3" t="s">
        <v>2052</v>
      </c>
      <c r="F1075" s="3" t="s">
        <v>2061</v>
      </c>
      <c r="G1075" s="3">
        <v>1</v>
      </c>
      <c r="H1075" s="3">
        <v>4500</v>
      </c>
      <c r="I1075" s="3">
        <v>5220</v>
      </c>
      <c r="J1075" s="3">
        <v>15.18</v>
      </c>
      <c r="K1075" s="3">
        <v>4427.74</v>
      </c>
      <c r="L1075" s="3">
        <v>-72.260000000000005</v>
      </c>
      <c r="M1075" s="3">
        <f t="shared" si="81"/>
        <v>79239.599999999991</v>
      </c>
      <c r="N1075" s="3">
        <f t="shared" si="82"/>
        <v>4500</v>
      </c>
      <c r="O1075" s="3">
        <f t="shared" si="83"/>
        <v>-1.6319838111542233</v>
      </c>
      <c r="P1075" s="3" t="str">
        <f t="shared" si="84"/>
        <v>Jul</v>
      </c>
      <c r="Q1075" s="3" t="str">
        <f t="shared" si="80"/>
        <v>loss</v>
      </c>
    </row>
    <row r="1076" spans="1:17" x14ac:dyDescent="0.25">
      <c r="A1076" s="3" t="s">
        <v>1252</v>
      </c>
      <c r="B1076" s="4">
        <v>45846</v>
      </c>
      <c r="C1076" s="3" t="s">
        <v>2012</v>
      </c>
      <c r="D1076" s="3" t="s">
        <v>2032</v>
      </c>
      <c r="E1076" s="3" t="s">
        <v>2052</v>
      </c>
      <c r="F1076" s="3" t="s">
        <v>2061</v>
      </c>
      <c r="G1076" s="3">
        <v>3</v>
      </c>
      <c r="H1076" s="3">
        <v>6500</v>
      </c>
      <c r="I1076" s="3">
        <v>8125</v>
      </c>
      <c r="J1076" s="3">
        <v>10</v>
      </c>
      <c r="K1076" s="3">
        <v>21938.48</v>
      </c>
      <c r="L1076" s="3">
        <v>2438.48</v>
      </c>
      <c r="M1076" s="3">
        <f t="shared" si="81"/>
        <v>243750</v>
      </c>
      <c r="N1076" s="3">
        <f t="shared" si="82"/>
        <v>19500</v>
      </c>
      <c r="O1076" s="3">
        <f t="shared" si="83"/>
        <v>11.115081810590342</v>
      </c>
      <c r="P1076" s="3" t="str">
        <f t="shared" si="84"/>
        <v>Jul</v>
      </c>
      <c r="Q1076" s="3" t="str">
        <f t="shared" si="80"/>
        <v>good profit</v>
      </c>
    </row>
    <row r="1077" spans="1:17" x14ac:dyDescent="0.25">
      <c r="A1077" s="3" t="s">
        <v>1809</v>
      </c>
      <c r="B1077" s="4">
        <v>45846</v>
      </c>
      <c r="C1077" s="3" t="s">
        <v>2028</v>
      </c>
      <c r="D1077" s="3" t="s">
        <v>2048</v>
      </c>
      <c r="E1077" s="3" t="s">
        <v>2057</v>
      </c>
      <c r="F1077" s="3" t="s">
        <v>2059</v>
      </c>
      <c r="G1077" s="3">
        <v>9</v>
      </c>
      <c r="H1077" s="3">
        <v>80</v>
      </c>
      <c r="I1077" s="3">
        <v>116</v>
      </c>
      <c r="J1077" s="3">
        <v>15.28</v>
      </c>
      <c r="K1077" s="3">
        <v>884.46</v>
      </c>
      <c r="L1077" s="3">
        <v>164.46</v>
      </c>
      <c r="M1077" s="3">
        <f t="shared" si="81"/>
        <v>15952.32</v>
      </c>
      <c r="N1077" s="3">
        <f t="shared" si="82"/>
        <v>720</v>
      </c>
      <c r="O1077" s="3">
        <f t="shared" si="83"/>
        <v>18.594396580964656</v>
      </c>
      <c r="P1077" s="3" t="str">
        <f t="shared" si="84"/>
        <v>Jul</v>
      </c>
      <c r="Q1077" s="3" t="str">
        <f t="shared" si="80"/>
        <v>good profit</v>
      </c>
    </row>
    <row r="1078" spans="1:17" x14ac:dyDescent="0.25">
      <c r="A1078" s="3" t="s">
        <v>1937</v>
      </c>
      <c r="B1078" s="4">
        <v>45846</v>
      </c>
      <c r="C1078" s="3" t="s">
        <v>2017</v>
      </c>
      <c r="D1078" s="3" t="s">
        <v>2037</v>
      </c>
      <c r="E1078" s="3" t="s">
        <v>2055</v>
      </c>
      <c r="F1078" s="3" t="s">
        <v>2060</v>
      </c>
      <c r="G1078" s="3">
        <v>6</v>
      </c>
      <c r="H1078" s="3">
        <v>2500</v>
      </c>
      <c r="I1078" s="3">
        <v>2875</v>
      </c>
      <c r="J1078" s="3">
        <v>9.6999999999999993</v>
      </c>
      <c r="K1078" s="3">
        <v>15576.87</v>
      </c>
      <c r="L1078" s="3">
        <v>576.87</v>
      </c>
      <c r="M1078" s="3">
        <f t="shared" si="81"/>
        <v>167325</v>
      </c>
      <c r="N1078" s="3">
        <f t="shared" si="82"/>
        <v>15000</v>
      </c>
      <c r="O1078" s="3">
        <f t="shared" si="83"/>
        <v>3.7033755818723528</v>
      </c>
      <c r="P1078" s="3" t="str">
        <f t="shared" si="84"/>
        <v>Jul</v>
      </c>
      <c r="Q1078" s="3" t="str">
        <f t="shared" si="80"/>
        <v>low profit</v>
      </c>
    </row>
    <row r="1079" spans="1:17" x14ac:dyDescent="0.25">
      <c r="A1079" s="3" t="s">
        <v>67</v>
      </c>
      <c r="B1079" s="4">
        <v>45847</v>
      </c>
      <c r="C1079" s="3" t="s">
        <v>2018</v>
      </c>
      <c r="D1079" s="3" t="s">
        <v>2038</v>
      </c>
      <c r="E1079" s="3" t="s">
        <v>2053</v>
      </c>
      <c r="F1079" s="3" t="s">
        <v>2059</v>
      </c>
      <c r="G1079" s="3">
        <v>5</v>
      </c>
      <c r="H1079" s="3">
        <v>500</v>
      </c>
      <c r="I1079" s="3">
        <v>610</v>
      </c>
      <c r="J1079" s="3">
        <v>10.29</v>
      </c>
      <c r="K1079" s="3">
        <v>2736.15</v>
      </c>
      <c r="L1079" s="3">
        <v>236.15</v>
      </c>
      <c r="M1079" s="3">
        <f t="shared" si="81"/>
        <v>31384.499999999996</v>
      </c>
      <c r="N1079" s="3">
        <f t="shared" si="82"/>
        <v>2500</v>
      </c>
      <c r="O1079" s="3">
        <f t="shared" si="83"/>
        <v>8.6307402737423011</v>
      </c>
      <c r="P1079" s="3" t="str">
        <f t="shared" si="84"/>
        <v>Jul</v>
      </c>
      <c r="Q1079" s="3" t="str">
        <f t="shared" si="80"/>
        <v>low profit</v>
      </c>
    </row>
    <row r="1080" spans="1:17" x14ac:dyDescent="0.25">
      <c r="A1080" s="3" t="s">
        <v>153</v>
      </c>
      <c r="B1080" s="4">
        <v>45847</v>
      </c>
      <c r="C1080" s="3" t="s">
        <v>2012</v>
      </c>
      <c r="D1080" s="3" t="s">
        <v>2032</v>
      </c>
      <c r="E1080" s="3" t="s">
        <v>2052</v>
      </c>
      <c r="F1080" s="3" t="s">
        <v>2059</v>
      </c>
      <c r="G1080" s="3">
        <v>2</v>
      </c>
      <c r="H1080" s="3">
        <v>6500</v>
      </c>
      <c r="I1080" s="3">
        <v>8125</v>
      </c>
      <c r="J1080" s="3">
        <v>13.49</v>
      </c>
      <c r="K1080" s="3">
        <v>14057.86</v>
      </c>
      <c r="L1080" s="3">
        <v>1057.8599999999999</v>
      </c>
      <c r="M1080" s="3">
        <f t="shared" si="81"/>
        <v>219212.5</v>
      </c>
      <c r="N1080" s="3">
        <f t="shared" si="82"/>
        <v>13000</v>
      </c>
      <c r="O1080" s="3">
        <f t="shared" si="83"/>
        <v>7.5250429297204544</v>
      </c>
      <c r="P1080" s="3" t="str">
        <f t="shared" si="84"/>
        <v>Jul</v>
      </c>
      <c r="Q1080" s="3" t="str">
        <f t="shared" si="80"/>
        <v>low profit</v>
      </c>
    </row>
    <row r="1081" spans="1:17" x14ac:dyDescent="0.25">
      <c r="A1081" s="3" t="s">
        <v>294</v>
      </c>
      <c r="B1081" s="4">
        <v>45847</v>
      </c>
      <c r="C1081" s="3" t="s">
        <v>2018</v>
      </c>
      <c r="D1081" s="3" t="s">
        <v>2038</v>
      </c>
      <c r="E1081" s="3" t="s">
        <v>2053</v>
      </c>
      <c r="F1081" s="3" t="s">
        <v>2061</v>
      </c>
      <c r="G1081" s="3">
        <v>3</v>
      </c>
      <c r="H1081" s="3">
        <v>500</v>
      </c>
      <c r="I1081" s="3">
        <v>610</v>
      </c>
      <c r="J1081" s="3">
        <v>5.14</v>
      </c>
      <c r="K1081" s="3">
        <v>1736.03</v>
      </c>
      <c r="L1081" s="3">
        <v>236.03</v>
      </c>
      <c r="M1081" s="3">
        <f t="shared" si="81"/>
        <v>9406.1999999999989</v>
      </c>
      <c r="N1081" s="3">
        <f t="shared" si="82"/>
        <v>1500</v>
      </c>
      <c r="O1081" s="3">
        <f t="shared" si="83"/>
        <v>13.595963203400864</v>
      </c>
      <c r="P1081" s="3" t="str">
        <f t="shared" si="84"/>
        <v>Jul</v>
      </c>
      <c r="Q1081" s="3" t="str">
        <f t="shared" si="80"/>
        <v>good profit</v>
      </c>
    </row>
    <row r="1082" spans="1:17" x14ac:dyDescent="0.25">
      <c r="A1082" s="3" t="s">
        <v>751</v>
      </c>
      <c r="B1082" s="4">
        <v>45847</v>
      </c>
      <c r="C1082" s="3" t="s">
        <v>2017</v>
      </c>
      <c r="D1082" s="3" t="s">
        <v>2037</v>
      </c>
      <c r="E1082" s="3" t="s">
        <v>2055</v>
      </c>
      <c r="F1082" s="3" t="s">
        <v>2060</v>
      </c>
      <c r="G1082" s="3">
        <v>4</v>
      </c>
      <c r="H1082" s="3">
        <v>2500</v>
      </c>
      <c r="I1082" s="3">
        <v>2875</v>
      </c>
      <c r="J1082" s="3">
        <v>22.1</v>
      </c>
      <c r="K1082" s="3">
        <v>8958.25</v>
      </c>
      <c r="L1082" s="3">
        <v>-1041.75</v>
      </c>
      <c r="M1082" s="3">
        <f t="shared" si="81"/>
        <v>254150.00000000003</v>
      </c>
      <c r="N1082" s="3">
        <f t="shared" si="82"/>
        <v>10000</v>
      </c>
      <c r="O1082" s="3">
        <f t="shared" si="83"/>
        <v>-11.628945385538469</v>
      </c>
      <c r="P1082" s="3" t="str">
        <f t="shared" si="84"/>
        <v>Jul</v>
      </c>
      <c r="Q1082" s="3" t="str">
        <f t="shared" si="80"/>
        <v>loss</v>
      </c>
    </row>
    <row r="1083" spans="1:17" x14ac:dyDescent="0.25">
      <c r="A1083" s="3" t="s">
        <v>815</v>
      </c>
      <c r="B1083" s="4">
        <v>45847</v>
      </c>
      <c r="C1083" s="3" t="s">
        <v>2014</v>
      </c>
      <c r="D1083" s="3" t="s">
        <v>2034</v>
      </c>
      <c r="E1083" s="3" t="s">
        <v>2052</v>
      </c>
      <c r="F1083" s="3" t="s">
        <v>2060</v>
      </c>
      <c r="G1083" s="3">
        <v>6</v>
      </c>
      <c r="H1083" s="3">
        <v>4500</v>
      </c>
      <c r="I1083" s="3">
        <v>5220</v>
      </c>
      <c r="J1083" s="3">
        <v>8.65</v>
      </c>
      <c r="K1083" s="3">
        <v>28612.32</v>
      </c>
      <c r="L1083" s="3">
        <v>1612.32</v>
      </c>
      <c r="M1083" s="3">
        <f t="shared" si="81"/>
        <v>270918</v>
      </c>
      <c r="N1083" s="3">
        <f t="shared" si="82"/>
        <v>27000</v>
      </c>
      <c r="O1083" s="3">
        <f t="shared" si="83"/>
        <v>5.6350551091278165</v>
      </c>
      <c r="P1083" s="3" t="str">
        <f t="shared" si="84"/>
        <v>Jul</v>
      </c>
      <c r="Q1083" s="3" t="str">
        <f t="shared" si="80"/>
        <v>low profit</v>
      </c>
    </row>
    <row r="1084" spans="1:17" x14ac:dyDescent="0.25">
      <c r="A1084" s="3" t="s">
        <v>950</v>
      </c>
      <c r="B1084" s="4">
        <v>45847</v>
      </c>
      <c r="C1084" s="3" t="s">
        <v>2031</v>
      </c>
      <c r="D1084" s="3" t="s">
        <v>2051</v>
      </c>
      <c r="E1084" s="3" t="s">
        <v>2058</v>
      </c>
      <c r="F1084" s="3" t="s">
        <v>2060</v>
      </c>
      <c r="G1084" s="3">
        <v>8</v>
      </c>
      <c r="H1084" s="3">
        <v>3200</v>
      </c>
      <c r="I1084" s="3">
        <v>3840</v>
      </c>
      <c r="J1084" s="3">
        <v>8.82</v>
      </c>
      <c r="K1084" s="3">
        <v>28011.18</v>
      </c>
      <c r="L1084" s="3">
        <v>2411.1799999999998</v>
      </c>
      <c r="M1084" s="3">
        <f t="shared" si="81"/>
        <v>270950.40000000002</v>
      </c>
      <c r="N1084" s="3">
        <f t="shared" si="82"/>
        <v>25600</v>
      </c>
      <c r="O1084" s="3">
        <f t="shared" si="83"/>
        <v>8.6079201233221863</v>
      </c>
      <c r="P1084" s="3" t="str">
        <f t="shared" si="84"/>
        <v>Jul</v>
      </c>
      <c r="Q1084" s="3" t="str">
        <f t="shared" si="80"/>
        <v>low profit</v>
      </c>
    </row>
    <row r="1085" spans="1:17" x14ac:dyDescent="0.25">
      <c r="A1085" s="3" t="s">
        <v>1852</v>
      </c>
      <c r="B1085" s="4">
        <v>45847</v>
      </c>
      <c r="C1085" s="3" t="s">
        <v>2016</v>
      </c>
      <c r="D1085" s="3" t="s">
        <v>2036</v>
      </c>
      <c r="E1085" s="3" t="s">
        <v>2052</v>
      </c>
      <c r="F1085" s="3" t="s">
        <v>2061</v>
      </c>
      <c r="G1085" s="3">
        <v>10</v>
      </c>
      <c r="H1085" s="3">
        <v>900</v>
      </c>
      <c r="I1085" s="3">
        <v>1170</v>
      </c>
      <c r="J1085" s="3">
        <v>3.54</v>
      </c>
      <c r="K1085" s="3">
        <v>11285.59</v>
      </c>
      <c r="L1085" s="3">
        <v>2285.59</v>
      </c>
      <c r="M1085" s="3">
        <f t="shared" si="81"/>
        <v>41418</v>
      </c>
      <c r="N1085" s="3">
        <f t="shared" si="82"/>
        <v>9000</v>
      </c>
      <c r="O1085" s="3">
        <f t="shared" si="83"/>
        <v>20.252286322646846</v>
      </c>
      <c r="P1085" s="3" t="str">
        <f t="shared" si="84"/>
        <v>Jul</v>
      </c>
      <c r="Q1085" s="3" t="str">
        <f t="shared" si="80"/>
        <v>good profit</v>
      </c>
    </row>
    <row r="1086" spans="1:17" x14ac:dyDescent="0.25">
      <c r="A1086" s="3" t="s">
        <v>173</v>
      </c>
      <c r="B1086" s="4">
        <v>45848</v>
      </c>
      <c r="C1086" s="3" t="s">
        <v>2024</v>
      </c>
      <c r="D1086" s="3" t="s">
        <v>2044</v>
      </c>
      <c r="E1086" s="3" t="s">
        <v>2055</v>
      </c>
      <c r="F1086" s="3" t="s">
        <v>2061</v>
      </c>
      <c r="G1086" s="3">
        <v>8</v>
      </c>
      <c r="H1086" s="3">
        <v>180</v>
      </c>
      <c r="I1086" s="3">
        <v>243</v>
      </c>
      <c r="J1086" s="3">
        <v>19.48</v>
      </c>
      <c r="K1086" s="3">
        <v>1565.29</v>
      </c>
      <c r="L1086" s="3">
        <v>125.29</v>
      </c>
      <c r="M1086" s="3">
        <f t="shared" si="81"/>
        <v>37869.120000000003</v>
      </c>
      <c r="N1086" s="3">
        <f t="shared" si="82"/>
        <v>1440</v>
      </c>
      <c r="O1086" s="3">
        <f t="shared" si="83"/>
        <v>8.0042675798094933</v>
      </c>
      <c r="P1086" s="3" t="str">
        <f t="shared" si="84"/>
        <v>Jul</v>
      </c>
      <c r="Q1086" s="3" t="str">
        <f t="shared" si="80"/>
        <v>low profit</v>
      </c>
    </row>
    <row r="1087" spans="1:17" x14ac:dyDescent="0.25">
      <c r="A1087" s="3" t="s">
        <v>203</v>
      </c>
      <c r="B1087" s="4">
        <v>45848</v>
      </c>
      <c r="C1087" s="3" t="s">
        <v>2026</v>
      </c>
      <c r="D1087" s="3" t="s">
        <v>2046</v>
      </c>
      <c r="E1087" s="3" t="s">
        <v>2052</v>
      </c>
      <c r="F1087" s="3" t="s">
        <v>2060</v>
      </c>
      <c r="G1087" s="3">
        <v>5</v>
      </c>
      <c r="H1087" s="3">
        <v>3000</v>
      </c>
      <c r="I1087" s="3">
        <v>3600</v>
      </c>
      <c r="J1087" s="3">
        <v>13.1</v>
      </c>
      <c r="K1087" s="3">
        <v>15642.21</v>
      </c>
      <c r="L1087" s="3">
        <v>642.21</v>
      </c>
      <c r="M1087" s="3">
        <f t="shared" si="81"/>
        <v>235800</v>
      </c>
      <c r="N1087" s="3">
        <f t="shared" si="82"/>
        <v>15000</v>
      </c>
      <c r="O1087" s="3">
        <f t="shared" si="83"/>
        <v>4.1056219038102677</v>
      </c>
      <c r="P1087" s="3" t="str">
        <f t="shared" si="84"/>
        <v>Jul</v>
      </c>
      <c r="Q1087" s="3" t="str">
        <f t="shared" si="80"/>
        <v>low profit</v>
      </c>
    </row>
    <row r="1088" spans="1:17" x14ac:dyDescent="0.25">
      <c r="A1088" s="3" t="s">
        <v>367</v>
      </c>
      <c r="B1088" s="4">
        <v>45848</v>
      </c>
      <c r="C1088" s="3" t="s">
        <v>2013</v>
      </c>
      <c r="D1088" s="3" t="s">
        <v>2033</v>
      </c>
      <c r="E1088" s="3" t="s">
        <v>2053</v>
      </c>
      <c r="F1088" s="3" t="s">
        <v>2061</v>
      </c>
      <c r="G1088" s="3">
        <v>7</v>
      </c>
      <c r="H1088" s="3">
        <v>6500</v>
      </c>
      <c r="I1088" s="3">
        <v>7150</v>
      </c>
      <c r="J1088" s="3">
        <v>14.99</v>
      </c>
      <c r="K1088" s="3">
        <v>42548.98</v>
      </c>
      <c r="L1088" s="3">
        <v>-2951.02</v>
      </c>
      <c r="M1088" s="3">
        <f t="shared" si="81"/>
        <v>750249.5</v>
      </c>
      <c r="N1088" s="3">
        <f t="shared" si="82"/>
        <v>45500</v>
      </c>
      <c r="O1088" s="3">
        <f t="shared" si="83"/>
        <v>-6.9355834146905506</v>
      </c>
      <c r="P1088" s="3" t="str">
        <f t="shared" si="84"/>
        <v>Jul</v>
      </c>
      <c r="Q1088" s="3" t="str">
        <f t="shared" si="80"/>
        <v>loss</v>
      </c>
    </row>
    <row r="1089" spans="1:17" x14ac:dyDescent="0.25">
      <c r="A1089" s="3" t="s">
        <v>784</v>
      </c>
      <c r="B1089" s="4">
        <v>45848</v>
      </c>
      <c r="C1089" s="3" t="s">
        <v>2016</v>
      </c>
      <c r="D1089" s="3" t="s">
        <v>2036</v>
      </c>
      <c r="E1089" s="3" t="s">
        <v>2052</v>
      </c>
      <c r="F1089" s="3" t="s">
        <v>2060</v>
      </c>
      <c r="G1089" s="3">
        <v>6</v>
      </c>
      <c r="H1089" s="3">
        <v>900</v>
      </c>
      <c r="I1089" s="3">
        <v>1170</v>
      </c>
      <c r="J1089" s="3">
        <v>16.87</v>
      </c>
      <c r="K1089" s="3">
        <v>5835.88</v>
      </c>
      <c r="L1089" s="3">
        <v>435.88</v>
      </c>
      <c r="M1089" s="3">
        <f t="shared" si="81"/>
        <v>118427.40000000001</v>
      </c>
      <c r="N1089" s="3">
        <f t="shared" si="82"/>
        <v>5400</v>
      </c>
      <c r="O1089" s="3">
        <f t="shared" si="83"/>
        <v>7.4689678334715586</v>
      </c>
      <c r="P1089" s="3" t="str">
        <f t="shared" si="84"/>
        <v>Jul</v>
      </c>
      <c r="Q1089" s="3" t="str">
        <f t="shared" si="80"/>
        <v>low profit</v>
      </c>
    </row>
    <row r="1090" spans="1:17" x14ac:dyDescent="0.25">
      <c r="A1090" s="3" t="s">
        <v>790</v>
      </c>
      <c r="B1090" s="4">
        <v>45848</v>
      </c>
      <c r="C1090" s="3" t="s">
        <v>2028</v>
      </c>
      <c r="D1090" s="3" t="s">
        <v>2048</v>
      </c>
      <c r="E1090" s="3" t="s">
        <v>2057</v>
      </c>
      <c r="F1090" s="3" t="s">
        <v>2060</v>
      </c>
      <c r="G1090" s="3">
        <v>8</v>
      </c>
      <c r="H1090" s="3">
        <v>80</v>
      </c>
      <c r="I1090" s="3">
        <v>116</v>
      </c>
      <c r="J1090" s="3">
        <v>17.38</v>
      </c>
      <c r="K1090" s="3">
        <v>766.68</v>
      </c>
      <c r="L1090" s="3">
        <v>126.68</v>
      </c>
      <c r="M1090" s="3">
        <f t="shared" si="81"/>
        <v>16128.64</v>
      </c>
      <c r="N1090" s="3">
        <f t="shared" si="82"/>
        <v>640</v>
      </c>
      <c r="O1090" s="3">
        <f t="shared" si="83"/>
        <v>16.52319090102781</v>
      </c>
      <c r="P1090" s="3" t="str">
        <f t="shared" si="84"/>
        <v>Jul</v>
      </c>
      <c r="Q1090" s="3" t="str">
        <f t="shared" ref="Q1090:Q1153" si="85">IF(L1090&lt;0,"loss",IF(O1090&lt;10,"low profit","good profit"))</f>
        <v>good profit</v>
      </c>
    </row>
    <row r="1091" spans="1:17" x14ac:dyDescent="0.25">
      <c r="A1091" s="3" t="s">
        <v>1302</v>
      </c>
      <c r="B1091" s="4">
        <v>45848</v>
      </c>
      <c r="C1091" s="3" t="s">
        <v>2031</v>
      </c>
      <c r="D1091" s="3" t="s">
        <v>2051</v>
      </c>
      <c r="E1091" s="3" t="s">
        <v>2058</v>
      </c>
      <c r="F1091" s="3" t="s">
        <v>2059</v>
      </c>
      <c r="G1091" s="3">
        <v>4</v>
      </c>
      <c r="H1091" s="3">
        <v>3200</v>
      </c>
      <c r="I1091" s="3">
        <v>3840</v>
      </c>
      <c r="J1091" s="3">
        <v>12.4</v>
      </c>
      <c r="K1091" s="3">
        <v>13455.88</v>
      </c>
      <c r="L1091" s="3">
        <v>655.88</v>
      </c>
      <c r="M1091" s="3">
        <f t="shared" ref="M1091:M1154" si="86">G1091*I1091*J1091</f>
        <v>190464</v>
      </c>
      <c r="N1091" s="3">
        <f t="shared" ref="N1091:N1154" si="87">G1091*H1091</f>
        <v>12800</v>
      </c>
      <c r="O1091" s="3">
        <f t="shared" ref="O1091:O1154" si="88">IFERROR(L1091/K1091*100,0)</f>
        <v>4.8743003058885783</v>
      </c>
      <c r="P1091" s="3" t="str">
        <f t="shared" ref="P1091:P1154" si="89">TEXT(B1091,"mmm")</f>
        <v>Jul</v>
      </c>
      <c r="Q1091" s="3" t="str">
        <f t="shared" si="85"/>
        <v>low profit</v>
      </c>
    </row>
    <row r="1092" spans="1:17" x14ac:dyDescent="0.25">
      <c r="A1092" s="3" t="s">
        <v>1371</v>
      </c>
      <c r="B1092" s="4">
        <v>45848</v>
      </c>
      <c r="C1092" s="3" t="s">
        <v>2025</v>
      </c>
      <c r="D1092" s="3" t="s">
        <v>2045</v>
      </c>
      <c r="E1092" s="3" t="s">
        <v>2057</v>
      </c>
      <c r="F1092" s="3" t="s">
        <v>2062</v>
      </c>
      <c r="G1092" s="3">
        <v>8</v>
      </c>
      <c r="H1092" s="3">
        <v>45</v>
      </c>
      <c r="I1092" s="3">
        <v>63</v>
      </c>
      <c r="J1092" s="3">
        <v>6.2</v>
      </c>
      <c r="K1092" s="3">
        <v>472.74</v>
      </c>
      <c r="L1092" s="3">
        <v>112.74</v>
      </c>
      <c r="M1092" s="3">
        <f t="shared" si="86"/>
        <v>3124.8</v>
      </c>
      <c r="N1092" s="3">
        <f t="shared" si="87"/>
        <v>360</v>
      </c>
      <c r="O1092" s="3">
        <f t="shared" si="88"/>
        <v>23.848204086813045</v>
      </c>
      <c r="P1092" s="3" t="str">
        <f t="shared" si="89"/>
        <v>Jul</v>
      </c>
      <c r="Q1092" s="3" t="str">
        <f t="shared" si="85"/>
        <v>good profit</v>
      </c>
    </row>
    <row r="1093" spans="1:17" x14ac:dyDescent="0.25">
      <c r="A1093" s="3" t="s">
        <v>1889</v>
      </c>
      <c r="B1093" s="4">
        <v>45848</v>
      </c>
      <c r="C1093" s="3" t="s">
        <v>2030</v>
      </c>
      <c r="D1093" s="3" t="s">
        <v>2050</v>
      </c>
      <c r="E1093" s="3" t="s">
        <v>2058</v>
      </c>
      <c r="F1093" s="3" t="s">
        <v>2060</v>
      </c>
      <c r="G1093" s="3">
        <v>10</v>
      </c>
      <c r="H1093" s="3">
        <v>1800</v>
      </c>
      <c r="I1093" s="3">
        <v>2124</v>
      </c>
      <c r="J1093" s="3">
        <v>22.64</v>
      </c>
      <c r="K1093" s="3">
        <v>16431.38</v>
      </c>
      <c r="L1093" s="3">
        <v>-1568.62</v>
      </c>
      <c r="M1093" s="3">
        <f t="shared" si="86"/>
        <v>480873.60000000003</v>
      </c>
      <c r="N1093" s="3">
        <f t="shared" si="87"/>
        <v>18000</v>
      </c>
      <c r="O1093" s="3">
        <f t="shared" si="88"/>
        <v>-9.5464897044557429</v>
      </c>
      <c r="P1093" s="3" t="str">
        <f t="shared" si="89"/>
        <v>Jul</v>
      </c>
      <c r="Q1093" s="3" t="str">
        <f t="shared" si="85"/>
        <v>loss</v>
      </c>
    </row>
    <row r="1094" spans="1:17" x14ac:dyDescent="0.25">
      <c r="A1094" s="3" t="s">
        <v>224</v>
      </c>
      <c r="B1094" s="4">
        <v>45849</v>
      </c>
      <c r="C1094" s="3" t="s">
        <v>2015</v>
      </c>
      <c r="D1094" s="3" t="s">
        <v>2035</v>
      </c>
      <c r="E1094" s="3" t="s">
        <v>2054</v>
      </c>
      <c r="F1094" s="3" t="s">
        <v>2061</v>
      </c>
      <c r="G1094" s="3">
        <v>7</v>
      </c>
      <c r="H1094" s="3">
        <v>900</v>
      </c>
      <c r="I1094" s="3">
        <v>1170</v>
      </c>
      <c r="J1094" s="3">
        <v>25.81</v>
      </c>
      <c r="K1094" s="3">
        <v>6076.01</v>
      </c>
      <c r="L1094" s="3">
        <v>-223.99</v>
      </c>
      <c r="M1094" s="3">
        <f t="shared" si="86"/>
        <v>211383.9</v>
      </c>
      <c r="N1094" s="3">
        <f t="shared" si="87"/>
        <v>6300</v>
      </c>
      <c r="O1094" s="3">
        <f t="shared" si="88"/>
        <v>-3.6864652954817387</v>
      </c>
      <c r="P1094" s="3" t="str">
        <f t="shared" si="89"/>
        <v>Jul</v>
      </c>
      <c r="Q1094" s="3" t="str">
        <f t="shared" si="85"/>
        <v>loss</v>
      </c>
    </row>
    <row r="1095" spans="1:17" x14ac:dyDescent="0.25">
      <c r="A1095" s="3" t="s">
        <v>464</v>
      </c>
      <c r="B1095" s="4">
        <v>45849</v>
      </c>
      <c r="C1095" s="3" t="s">
        <v>2024</v>
      </c>
      <c r="D1095" s="3" t="s">
        <v>2044</v>
      </c>
      <c r="E1095" s="3" t="s">
        <v>2055</v>
      </c>
      <c r="F1095" s="3" t="s">
        <v>2061</v>
      </c>
      <c r="G1095" s="3">
        <v>5</v>
      </c>
      <c r="H1095" s="3">
        <v>180</v>
      </c>
      <c r="I1095" s="3">
        <v>243</v>
      </c>
      <c r="J1095" s="3">
        <v>10.27</v>
      </c>
      <c r="K1095" s="3">
        <v>1090.23</v>
      </c>
      <c r="L1095" s="3">
        <v>190.23</v>
      </c>
      <c r="M1095" s="3">
        <f t="shared" si="86"/>
        <v>12478.05</v>
      </c>
      <c r="N1095" s="3">
        <f t="shared" si="87"/>
        <v>900</v>
      </c>
      <c r="O1095" s="3">
        <f t="shared" si="88"/>
        <v>17.448611760821109</v>
      </c>
      <c r="P1095" s="3" t="str">
        <f t="shared" si="89"/>
        <v>Jul</v>
      </c>
      <c r="Q1095" s="3" t="str">
        <f t="shared" si="85"/>
        <v>good profit</v>
      </c>
    </row>
    <row r="1096" spans="1:17" x14ac:dyDescent="0.25">
      <c r="A1096" s="3" t="s">
        <v>518</v>
      </c>
      <c r="B1096" s="4">
        <v>45849</v>
      </c>
      <c r="C1096" s="3" t="s">
        <v>2022</v>
      </c>
      <c r="D1096" s="3" t="s">
        <v>2042</v>
      </c>
      <c r="E1096" s="3" t="s">
        <v>2053</v>
      </c>
      <c r="F1096" s="3" t="s">
        <v>2060</v>
      </c>
      <c r="G1096" s="3">
        <v>6</v>
      </c>
      <c r="H1096" s="3">
        <v>8500</v>
      </c>
      <c r="I1096" s="3">
        <v>9520</v>
      </c>
      <c r="J1096" s="3">
        <v>23.75</v>
      </c>
      <c r="K1096" s="3">
        <v>43556.77</v>
      </c>
      <c r="L1096" s="3">
        <v>-7443.23</v>
      </c>
      <c r="M1096" s="3">
        <f t="shared" si="86"/>
        <v>1356600</v>
      </c>
      <c r="N1096" s="3">
        <f t="shared" si="87"/>
        <v>51000</v>
      </c>
      <c r="O1096" s="3">
        <f t="shared" si="88"/>
        <v>-17.088571994663514</v>
      </c>
      <c r="P1096" s="3" t="str">
        <f t="shared" si="89"/>
        <v>Jul</v>
      </c>
      <c r="Q1096" s="3" t="str">
        <f t="shared" si="85"/>
        <v>loss</v>
      </c>
    </row>
    <row r="1097" spans="1:17" x14ac:dyDescent="0.25">
      <c r="A1097" s="3" t="s">
        <v>636</v>
      </c>
      <c r="B1097" s="4">
        <v>45849</v>
      </c>
      <c r="C1097" s="3" t="s">
        <v>2027</v>
      </c>
      <c r="D1097" s="3" t="s">
        <v>2047</v>
      </c>
      <c r="E1097" s="3" t="s">
        <v>2053</v>
      </c>
      <c r="F1097" s="3" t="s">
        <v>2062</v>
      </c>
      <c r="G1097" s="3">
        <v>9</v>
      </c>
      <c r="H1097" s="3">
        <v>1100</v>
      </c>
      <c r="I1097" s="3">
        <v>1298</v>
      </c>
      <c r="J1097" s="3">
        <v>17.59</v>
      </c>
      <c r="K1097" s="3">
        <v>9627.59</v>
      </c>
      <c r="L1097" s="3">
        <v>-272.41000000000003</v>
      </c>
      <c r="M1097" s="3">
        <f t="shared" si="86"/>
        <v>205486.38</v>
      </c>
      <c r="N1097" s="3">
        <f t="shared" si="87"/>
        <v>9900</v>
      </c>
      <c r="O1097" s="3">
        <f t="shared" si="88"/>
        <v>-2.8294723809385318</v>
      </c>
      <c r="P1097" s="3" t="str">
        <f t="shared" si="89"/>
        <v>Jul</v>
      </c>
      <c r="Q1097" s="3" t="str">
        <f t="shared" si="85"/>
        <v>loss</v>
      </c>
    </row>
    <row r="1098" spans="1:17" x14ac:dyDescent="0.25">
      <c r="A1098" s="3" t="s">
        <v>958</v>
      </c>
      <c r="B1098" s="4">
        <v>45849</v>
      </c>
      <c r="C1098" s="3" t="s">
        <v>2013</v>
      </c>
      <c r="D1098" s="3" t="s">
        <v>2033</v>
      </c>
      <c r="E1098" s="3" t="s">
        <v>2053</v>
      </c>
      <c r="F1098" s="3" t="s">
        <v>2062</v>
      </c>
      <c r="G1098" s="3">
        <v>5</v>
      </c>
      <c r="H1098" s="3">
        <v>6500</v>
      </c>
      <c r="I1098" s="3">
        <v>7150</v>
      </c>
      <c r="J1098" s="3">
        <v>15.81</v>
      </c>
      <c r="K1098" s="3">
        <v>30097.07</v>
      </c>
      <c r="L1098" s="3">
        <v>-2402.9299999999998</v>
      </c>
      <c r="M1098" s="3">
        <f t="shared" si="86"/>
        <v>565207.5</v>
      </c>
      <c r="N1098" s="3">
        <f t="shared" si="87"/>
        <v>32500</v>
      </c>
      <c r="O1098" s="3">
        <f t="shared" si="88"/>
        <v>-7.9839333197550459</v>
      </c>
      <c r="P1098" s="3" t="str">
        <f t="shared" si="89"/>
        <v>Jul</v>
      </c>
      <c r="Q1098" s="3" t="str">
        <f t="shared" si="85"/>
        <v>loss</v>
      </c>
    </row>
    <row r="1099" spans="1:17" x14ac:dyDescent="0.25">
      <c r="A1099" s="3" t="s">
        <v>977</v>
      </c>
      <c r="B1099" s="4">
        <v>45849</v>
      </c>
      <c r="C1099" s="3" t="s">
        <v>2021</v>
      </c>
      <c r="D1099" s="3" t="s">
        <v>2041</v>
      </c>
      <c r="E1099" s="3" t="s">
        <v>2056</v>
      </c>
      <c r="F1099" s="3" t="s">
        <v>2062</v>
      </c>
      <c r="G1099" s="3">
        <v>8</v>
      </c>
      <c r="H1099" s="3">
        <v>300</v>
      </c>
      <c r="I1099" s="3">
        <v>405</v>
      </c>
      <c r="J1099" s="3">
        <v>9.23</v>
      </c>
      <c r="K1099" s="3">
        <v>2940.97</v>
      </c>
      <c r="L1099" s="3">
        <v>540.97</v>
      </c>
      <c r="M1099" s="3">
        <f t="shared" si="86"/>
        <v>29905.200000000001</v>
      </c>
      <c r="N1099" s="3">
        <f t="shared" si="87"/>
        <v>2400</v>
      </c>
      <c r="O1099" s="3">
        <f t="shared" si="88"/>
        <v>18.394271277843707</v>
      </c>
      <c r="P1099" s="3" t="str">
        <f t="shared" si="89"/>
        <v>Jul</v>
      </c>
      <c r="Q1099" s="3" t="str">
        <f t="shared" si="85"/>
        <v>good profit</v>
      </c>
    </row>
    <row r="1100" spans="1:17" x14ac:dyDescent="0.25">
      <c r="A1100" s="3" t="s">
        <v>1225</v>
      </c>
      <c r="B1100" s="4">
        <v>45849</v>
      </c>
      <c r="C1100" s="3" t="s">
        <v>2016</v>
      </c>
      <c r="D1100" s="3" t="s">
        <v>2036</v>
      </c>
      <c r="E1100" s="3" t="s">
        <v>2052</v>
      </c>
      <c r="F1100" s="3" t="s">
        <v>2059</v>
      </c>
      <c r="G1100" s="3">
        <v>2</v>
      </c>
      <c r="H1100" s="3">
        <v>900</v>
      </c>
      <c r="I1100" s="3">
        <v>1170</v>
      </c>
      <c r="J1100" s="3">
        <v>2.96</v>
      </c>
      <c r="K1100" s="3">
        <v>2270.7199999999998</v>
      </c>
      <c r="L1100" s="3">
        <v>470.72</v>
      </c>
      <c r="M1100" s="3">
        <f t="shared" si="86"/>
        <v>6926.4</v>
      </c>
      <c r="N1100" s="3">
        <f t="shared" si="87"/>
        <v>1800</v>
      </c>
      <c r="O1100" s="3">
        <f t="shared" si="88"/>
        <v>20.729988726042844</v>
      </c>
      <c r="P1100" s="3" t="str">
        <f t="shared" si="89"/>
        <v>Jul</v>
      </c>
      <c r="Q1100" s="3" t="str">
        <f t="shared" si="85"/>
        <v>good profit</v>
      </c>
    </row>
    <row r="1101" spans="1:17" x14ac:dyDescent="0.25">
      <c r="A1101" s="3" t="s">
        <v>1922</v>
      </c>
      <c r="B1101" s="4">
        <v>45849</v>
      </c>
      <c r="C1101" s="3" t="s">
        <v>2028</v>
      </c>
      <c r="D1101" s="3" t="s">
        <v>2048</v>
      </c>
      <c r="E1101" s="3" t="s">
        <v>2057</v>
      </c>
      <c r="F1101" s="3" t="s">
        <v>2060</v>
      </c>
      <c r="G1101" s="3">
        <v>8</v>
      </c>
      <c r="H1101" s="3">
        <v>80</v>
      </c>
      <c r="I1101" s="3">
        <v>116</v>
      </c>
      <c r="J1101" s="3">
        <v>24.7</v>
      </c>
      <c r="K1101" s="3">
        <v>698.78</v>
      </c>
      <c r="L1101" s="3">
        <v>58.78</v>
      </c>
      <c r="M1101" s="3">
        <f t="shared" si="86"/>
        <v>22921.599999999999</v>
      </c>
      <c r="N1101" s="3">
        <f t="shared" si="87"/>
        <v>640</v>
      </c>
      <c r="O1101" s="3">
        <f t="shared" si="88"/>
        <v>8.4118034288331085</v>
      </c>
      <c r="P1101" s="3" t="str">
        <f t="shared" si="89"/>
        <v>Jul</v>
      </c>
      <c r="Q1101" s="3" t="str">
        <f t="shared" si="85"/>
        <v>low profit</v>
      </c>
    </row>
    <row r="1102" spans="1:17" x14ac:dyDescent="0.25">
      <c r="A1102" s="3" t="s">
        <v>1092</v>
      </c>
      <c r="B1102" s="4">
        <v>45850</v>
      </c>
      <c r="C1102" s="3" t="s">
        <v>2012</v>
      </c>
      <c r="D1102" s="3" t="s">
        <v>2032</v>
      </c>
      <c r="E1102" s="3" t="s">
        <v>2052</v>
      </c>
      <c r="F1102" s="3" t="s">
        <v>2060</v>
      </c>
      <c r="G1102" s="3">
        <v>9</v>
      </c>
      <c r="H1102" s="3">
        <v>6500</v>
      </c>
      <c r="I1102" s="3">
        <v>8125</v>
      </c>
      <c r="J1102" s="3">
        <v>10.9</v>
      </c>
      <c r="K1102" s="3">
        <v>65156.75</v>
      </c>
      <c r="L1102" s="3">
        <v>6656.75</v>
      </c>
      <c r="M1102" s="3">
        <f t="shared" si="86"/>
        <v>797062.5</v>
      </c>
      <c r="N1102" s="3">
        <f t="shared" si="87"/>
        <v>58500</v>
      </c>
      <c r="O1102" s="3">
        <f t="shared" si="88"/>
        <v>10.216516324095355</v>
      </c>
      <c r="P1102" s="3" t="str">
        <f t="shared" si="89"/>
        <v>Jul</v>
      </c>
      <c r="Q1102" s="3" t="str">
        <f t="shared" si="85"/>
        <v>good profit</v>
      </c>
    </row>
    <row r="1103" spans="1:17" x14ac:dyDescent="0.25">
      <c r="A1103" s="3" t="s">
        <v>1768</v>
      </c>
      <c r="B1103" s="4">
        <v>45850</v>
      </c>
      <c r="C1103" s="3" t="s">
        <v>2029</v>
      </c>
      <c r="D1103" s="3" t="s">
        <v>2049</v>
      </c>
      <c r="E1103" s="3" t="s">
        <v>2055</v>
      </c>
      <c r="F1103" s="3" t="s">
        <v>2060</v>
      </c>
      <c r="G1103" s="3">
        <v>5</v>
      </c>
      <c r="H1103" s="3">
        <v>1200</v>
      </c>
      <c r="I1103" s="3">
        <v>1464</v>
      </c>
      <c r="J1103" s="3">
        <v>12.46</v>
      </c>
      <c r="K1103" s="3">
        <v>6407.66</v>
      </c>
      <c r="L1103" s="3">
        <v>407.66</v>
      </c>
      <c r="M1103" s="3">
        <f t="shared" si="86"/>
        <v>91207.200000000012</v>
      </c>
      <c r="N1103" s="3">
        <f t="shared" si="87"/>
        <v>6000</v>
      </c>
      <c r="O1103" s="3">
        <f t="shared" si="88"/>
        <v>6.3620728940049887</v>
      </c>
      <c r="P1103" s="3" t="str">
        <f t="shared" si="89"/>
        <v>Jul</v>
      </c>
      <c r="Q1103" s="3" t="str">
        <f t="shared" si="85"/>
        <v>low profit</v>
      </c>
    </row>
    <row r="1104" spans="1:17" x14ac:dyDescent="0.25">
      <c r="A1104" s="3" t="s">
        <v>1944</v>
      </c>
      <c r="B1104" s="4">
        <v>45850</v>
      </c>
      <c r="C1104" s="3" t="s">
        <v>2024</v>
      </c>
      <c r="D1104" s="3" t="s">
        <v>2044</v>
      </c>
      <c r="E1104" s="3" t="s">
        <v>2055</v>
      </c>
      <c r="F1104" s="3" t="s">
        <v>2060</v>
      </c>
      <c r="G1104" s="3">
        <v>2</v>
      </c>
      <c r="H1104" s="3">
        <v>180</v>
      </c>
      <c r="I1104" s="3">
        <v>243</v>
      </c>
      <c r="J1104" s="3">
        <v>19.12</v>
      </c>
      <c r="K1104" s="3">
        <v>393.08</v>
      </c>
      <c r="L1104" s="3">
        <v>33.08</v>
      </c>
      <c r="M1104" s="3">
        <f t="shared" si="86"/>
        <v>9292.32</v>
      </c>
      <c r="N1104" s="3">
        <f t="shared" si="87"/>
        <v>360</v>
      </c>
      <c r="O1104" s="3">
        <f t="shared" si="88"/>
        <v>8.4155897018418635</v>
      </c>
      <c r="P1104" s="3" t="str">
        <f t="shared" si="89"/>
        <v>Jul</v>
      </c>
      <c r="Q1104" s="3" t="str">
        <f t="shared" si="85"/>
        <v>low profit</v>
      </c>
    </row>
    <row r="1105" spans="1:17" x14ac:dyDescent="0.25">
      <c r="A1105" s="3" t="s">
        <v>918</v>
      </c>
      <c r="B1105" s="4">
        <v>45851</v>
      </c>
      <c r="C1105" s="3" t="s">
        <v>2017</v>
      </c>
      <c r="D1105" s="3" t="s">
        <v>2037</v>
      </c>
      <c r="E1105" s="3" t="s">
        <v>2055</v>
      </c>
      <c r="F1105" s="3" t="s">
        <v>2061</v>
      </c>
      <c r="G1105" s="3">
        <v>8</v>
      </c>
      <c r="H1105" s="3">
        <v>2500</v>
      </c>
      <c r="I1105" s="3">
        <v>2875</v>
      </c>
      <c r="J1105" s="3">
        <v>16.75</v>
      </c>
      <c r="K1105" s="3">
        <v>19147.29</v>
      </c>
      <c r="L1105" s="3">
        <v>-852.71</v>
      </c>
      <c r="M1105" s="3">
        <f t="shared" si="86"/>
        <v>385250</v>
      </c>
      <c r="N1105" s="3">
        <f t="shared" si="87"/>
        <v>20000</v>
      </c>
      <c r="O1105" s="3">
        <f t="shared" si="88"/>
        <v>-4.4534239571239587</v>
      </c>
      <c r="P1105" s="3" t="str">
        <f t="shared" si="89"/>
        <v>Jul</v>
      </c>
      <c r="Q1105" s="3" t="str">
        <f t="shared" si="85"/>
        <v>loss</v>
      </c>
    </row>
    <row r="1106" spans="1:17" x14ac:dyDescent="0.25">
      <c r="A1106" s="3" t="s">
        <v>1267</v>
      </c>
      <c r="B1106" s="4">
        <v>45851</v>
      </c>
      <c r="C1106" s="3" t="s">
        <v>2021</v>
      </c>
      <c r="D1106" s="3" t="s">
        <v>2041</v>
      </c>
      <c r="E1106" s="3" t="s">
        <v>2056</v>
      </c>
      <c r="F1106" s="3" t="s">
        <v>2060</v>
      </c>
      <c r="G1106" s="3">
        <v>1</v>
      </c>
      <c r="H1106" s="3">
        <v>300</v>
      </c>
      <c r="I1106" s="3">
        <v>405</v>
      </c>
      <c r="J1106" s="3">
        <v>4.01</v>
      </c>
      <c r="K1106" s="3">
        <v>388.75</v>
      </c>
      <c r="L1106" s="3">
        <v>88.75</v>
      </c>
      <c r="M1106" s="3">
        <f t="shared" si="86"/>
        <v>1624.05</v>
      </c>
      <c r="N1106" s="3">
        <f t="shared" si="87"/>
        <v>300</v>
      </c>
      <c r="O1106" s="3">
        <f t="shared" si="88"/>
        <v>22.829581993569132</v>
      </c>
      <c r="P1106" s="3" t="str">
        <f t="shared" si="89"/>
        <v>Jul</v>
      </c>
      <c r="Q1106" s="3" t="str">
        <f t="shared" si="85"/>
        <v>good profit</v>
      </c>
    </row>
    <row r="1107" spans="1:17" x14ac:dyDescent="0.25">
      <c r="A1107" s="3" t="s">
        <v>1301</v>
      </c>
      <c r="B1107" s="4">
        <v>45851</v>
      </c>
      <c r="C1107" s="3" t="s">
        <v>2019</v>
      </c>
      <c r="D1107" s="3" t="s">
        <v>2039</v>
      </c>
      <c r="E1107" s="3" t="s">
        <v>2053</v>
      </c>
      <c r="F1107" s="3" t="s">
        <v>2061</v>
      </c>
      <c r="G1107" s="3">
        <v>5</v>
      </c>
      <c r="H1107" s="3">
        <v>900</v>
      </c>
      <c r="I1107" s="3">
        <v>1152</v>
      </c>
      <c r="J1107" s="3">
        <v>8.84</v>
      </c>
      <c r="K1107" s="3">
        <v>5250.93</v>
      </c>
      <c r="L1107" s="3">
        <v>750.93</v>
      </c>
      <c r="M1107" s="3">
        <f t="shared" si="86"/>
        <v>50918.400000000001</v>
      </c>
      <c r="N1107" s="3">
        <f t="shared" si="87"/>
        <v>4500</v>
      </c>
      <c r="O1107" s="3">
        <f t="shared" si="88"/>
        <v>14.300895269980746</v>
      </c>
      <c r="P1107" s="3" t="str">
        <f t="shared" si="89"/>
        <v>Jul</v>
      </c>
      <c r="Q1107" s="3" t="str">
        <f t="shared" si="85"/>
        <v>good profit</v>
      </c>
    </row>
    <row r="1108" spans="1:17" x14ac:dyDescent="0.25">
      <c r="A1108" s="3" t="s">
        <v>1895</v>
      </c>
      <c r="B1108" s="4">
        <v>45851</v>
      </c>
      <c r="C1108" s="3" t="s">
        <v>2018</v>
      </c>
      <c r="D1108" s="3" t="s">
        <v>2038</v>
      </c>
      <c r="E1108" s="3" t="s">
        <v>2053</v>
      </c>
      <c r="F1108" s="3" t="s">
        <v>2059</v>
      </c>
      <c r="G1108" s="3">
        <v>10</v>
      </c>
      <c r="H1108" s="3">
        <v>500</v>
      </c>
      <c r="I1108" s="3">
        <v>610</v>
      </c>
      <c r="J1108" s="3">
        <v>24.68</v>
      </c>
      <c r="K1108" s="3">
        <v>4594.41</v>
      </c>
      <c r="L1108" s="3">
        <v>-405.59</v>
      </c>
      <c r="M1108" s="3">
        <f t="shared" si="86"/>
        <v>150548</v>
      </c>
      <c r="N1108" s="3">
        <f t="shared" si="87"/>
        <v>5000</v>
      </c>
      <c r="O1108" s="3">
        <f t="shared" si="88"/>
        <v>-8.8279017327578515</v>
      </c>
      <c r="P1108" s="3" t="str">
        <f t="shared" si="89"/>
        <v>Jul</v>
      </c>
      <c r="Q1108" s="3" t="str">
        <f t="shared" si="85"/>
        <v>loss</v>
      </c>
    </row>
    <row r="1109" spans="1:17" x14ac:dyDescent="0.25">
      <c r="A1109" s="3" t="s">
        <v>1071</v>
      </c>
      <c r="B1109" s="4">
        <v>45852</v>
      </c>
      <c r="C1109" s="3" t="s">
        <v>2019</v>
      </c>
      <c r="D1109" s="3" t="s">
        <v>2039</v>
      </c>
      <c r="E1109" s="3" t="s">
        <v>2053</v>
      </c>
      <c r="F1109" s="3" t="s">
        <v>2062</v>
      </c>
      <c r="G1109" s="3">
        <v>1</v>
      </c>
      <c r="H1109" s="3">
        <v>900</v>
      </c>
      <c r="I1109" s="3">
        <v>1152</v>
      </c>
      <c r="J1109" s="3">
        <v>6.58</v>
      </c>
      <c r="K1109" s="3">
        <v>1076.21</v>
      </c>
      <c r="L1109" s="3">
        <v>176.21</v>
      </c>
      <c r="M1109" s="3">
        <f t="shared" si="86"/>
        <v>7580.16</v>
      </c>
      <c r="N1109" s="3">
        <f t="shared" si="87"/>
        <v>900</v>
      </c>
      <c r="O1109" s="3">
        <f t="shared" si="88"/>
        <v>16.373198539318533</v>
      </c>
      <c r="P1109" s="3" t="str">
        <f t="shared" si="89"/>
        <v>Jul</v>
      </c>
      <c r="Q1109" s="3" t="str">
        <f t="shared" si="85"/>
        <v>good profit</v>
      </c>
    </row>
    <row r="1110" spans="1:17" x14ac:dyDescent="0.25">
      <c r="A1110" s="3" t="s">
        <v>1567</v>
      </c>
      <c r="B1110" s="4">
        <v>45852</v>
      </c>
      <c r="C1110" s="3" t="s">
        <v>2025</v>
      </c>
      <c r="D1110" s="3" t="s">
        <v>2045</v>
      </c>
      <c r="E1110" s="3" t="s">
        <v>2057</v>
      </c>
      <c r="F1110" s="3" t="s">
        <v>2062</v>
      </c>
      <c r="G1110" s="3">
        <v>5</v>
      </c>
      <c r="H1110" s="3">
        <v>45</v>
      </c>
      <c r="I1110" s="3">
        <v>63</v>
      </c>
      <c r="J1110" s="3">
        <v>0.33</v>
      </c>
      <c r="K1110" s="3">
        <v>313.95999999999998</v>
      </c>
      <c r="L1110" s="3">
        <v>88.96</v>
      </c>
      <c r="M1110" s="3">
        <f t="shared" si="86"/>
        <v>103.95</v>
      </c>
      <c r="N1110" s="3">
        <f t="shared" si="87"/>
        <v>225</v>
      </c>
      <c r="O1110" s="3">
        <f t="shared" si="88"/>
        <v>28.334819722257613</v>
      </c>
      <c r="P1110" s="3" t="str">
        <f t="shared" si="89"/>
        <v>Jul</v>
      </c>
      <c r="Q1110" s="3" t="str">
        <f t="shared" si="85"/>
        <v>good profit</v>
      </c>
    </row>
    <row r="1111" spans="1:17" x14ac:dyDescent="0.25">
      <c r="A1111" s="3" t="s">
        <v>1805</v>
      </c>
      <c r="B1111" s="4">
        <v>45852</v>
      </c>
      <c r="C1111" s="3" t="s">
        <v>2023</v>
      </c>
      <c r="D1111" s="3" t="s">
        <v>2043</v>
      </c>
      <c r="E1111" s="3" t="s">
        <v>2053</v>
      </c>
      <c r="F1111" s="3" t="s">
        <v>2062</v>
      </c>
      <c r="G1111" s="3">
        <v>3</v>
      </c>
      <c r="H1111" s="3">
        <v>550</v>
      </c>
      <c r="I1111" s="3">
        <v>742.5</v>
      </c>
      <c r="J1111" s="3">
        <v>10.09</v>
      </c>
      <c r="K1111" s="3">
        <v>2002.83</v>
      </c>
      <c r="L1111" s="3">
        <v>352.83</v>
      </c>
      <c r="M1111" s="3">
        <f t="shared" si="86"/>
        <v>22475.474999999999</v>
      </c>
      <c r="N1111" s="3">
        <f t="shared" si="87"/>
        <v>1650</v>
      </c>
      <c r="O1111" s="3">
        <f t="shared" si="88"/>
        <v>17.616572549841976</v>
      </c>
      <c r="P1111" s="3" t="str">
        <f t="shared" si="89"/>
        <v>Jul</v>
      </c>
      <c r="Q1111" s="3" t="str">
        <f t="shared" si="85"/>
        <v>good profit</v>
      </c>
    </row>
    <row r="1112" spans="1:17" x14ac:dyDescent="0.25">
      <c r="A1112" s="3" t="s">
        <v>69</v>
      </c>
      <c r="B1112" s="4">
        <v>45853</v>
      </c>
      <c r="C1112" s="3" t="s">
        <v>2021</v>
      </c>
      <c r="D1112" s="3" t="s">
        <v>2041</v>
      </c>
      <c r="E1112" s="3" t="s">
        <v>2056</v>
      </c>
      <c r="F1112" s="3" t="s">
        <v>2061</v>
      </c>
      <c r="G1112" s="3">
        <v>3</v>
      </c>
      <c r="H1112" s="3">
        <v>300</v>
      </c>
      <c r="I1112" s="3">
        <v>405</v>
      </c>
      <c r="J1112" s="3">
        <v>17.04</v>
      </c>
      <c r="K1112" s="3">
        <v>1007.97</v>
      </c>
      <c r="L1112" s="3">
        <v>107.97</v>
      </c>
      <c r="M1112" s="3">
        <f t="shared" si="86"/>
        <v>20703.599999999999</v>
      </c>
      <c r="N1112" s="3">
        <f t="shared" si="87"/>
        <v>900</v>
      </c>
      <c r="O1112" s="3">
        <f t="shared" si="88"/>
        <v>10.711628322271496</v>
      </c>
      <c r="P1112" s="3" t="str">
        <f t="shared" si="89"/>
        <v>Jul</v>
      </c>
      <c r="Q1112" s="3" t="str">
        <f t="shared" si="85"/>
        <v>good profit</v>
      </c>
    </row>
    <row r="1113" spans="1:17" x14ac:dyDescent="0.25">
      <c r="A1113" s="3" t="s">
        <v>209</v>
      </c>
      <c r="B1113" s="4">
        <v>45853</v>
      </c>
      <c r="C1113" s="3" t="s">
        <v>2013</v>
      </c>
      <c r="D1113" s="3" t="s">
        <v>2033</v>
      </c>
      <c r="E1113" s="3" t="s">
        <v>2053</v>
      </c>
      <c r="F1113" s="3" t="s">
        <v>2062</v>
      </c>
      <c r="G1113" s="3">
        <v>7</v>
      </c>
      <c r="H1113" s="3">
        <v>6500</v>
      </c>
      <c r="I1113" s="3">
        <v>7150</v>
      </c>
      <c r="J1113" s="3">
        <v>19.77</v>
      </c>
      <c r="K1113" s="3">
        <v>40153.78</v>
      </c>
      <c r="L1113" s="3">
        <v>-5346.22</v>
      </c>
      <c r="M1113" s="3">
        <f t="shared" si="86"/>
        <v>989488.5</v>
      </c>
      <c r="N1113" s="3">
        <f t="shared" si="87"/>
        <v>45500</v>
      </c>
      <c r="O1113" s="3">
        <f t="shared" si="88"/>
        <v>-13.314362931709045</v>
      </c>
      <c r="P1113" s="3" t="str">
        <f t="shared" si="89"/>
        <v>Jul</v>
      </c>
      <c r="Q1113" s="3" t="str">
        <f t="shared" si="85"/>
        <v>loss</v>
      </c>
    </row>
    <row r="1114" spans="1:17" x14ac:dyDescent="0.25">
      <c r="A1114" s="3" t="s">
        <v>569</v>
      </c>
      <c r="B1114" s="4">
        <v>45853</v>
      </c>
      <c r="C1114" s="3" t="s">
        <v>2027</v>
      </c>
      <c r="D1114" s="3" t="s">
        <v>2047</v>
      </c>
      <c r="E1114" s="3" t="s">
        <v>2053</v>
      </c>
      <c r="F1114" s="3" t="s">
        <v>2059</v>
      </c>
      <c r="G1114" s="3">
        <v>5</v>
      </c>
      <c r="H1114" s="3">
        <v>1100</v>
      </c>
      <c r="I1114" s="3">
        <v>1298</v>
      </c>
      <c r="J1114" s="3">
        <v>3.03</v>
      </c>
      <c r="K1114" s="3">
        <v>6293.67</v>
      </c>
      <c r="L1114" s="3">
        <v>793.67</v>
      </c>
      <c r="M1114" s="3">
        <f t="shared" si="86"/>
        <v>19664.699999999997</v>
      </c>
      <c r="N1114" s="3">
        <f t="shared" si="87"/>
        <v>5500</v>
      </c>
      <c r="O1114" s="3">
        <f t="shared" si="88"/>
        <v>12.61060716561243</v>
      </c>
      <c r="P1114" s="3" t="str">
        <f t="shared" si="89"/>
        <v>Jul</v>
      </c>
      <c r="Q1114" s="3" t="str">
        <f t="shared" si="85"/>
        <v>good profit</v>
      </c>
    </row>
    <row r="1115" spans="1:17" x14ac:dyDescent="0.25">
      <c r="A1115" s="3" t="s">
        <v>597</v>
      </c>
      <c r="B1115" s="4">
        <v>45853</v>
      </c>
      <c r="C1115" s="3" t="s">
        <v>2024</v>
      </c>
      <c r="D1115" s="3" t="s">
        <v>2044</v>
      </c>
      <c r="E1115" s="3" t="s">
        <v>2055</v>
      </c>
      <c r="F1115" s="3" t="s">
        <v>2062</v>
      </c>
      <c r="G1115" s="3">
        <v>3</v>
      </c>
      <c r="H1115" s="3">
        <v>180</v>
      </c>
      <c r="I1115" s="3">
        <v>243</v>
      </c>
      <c r="J1115" s="3">
        <v>16.46</v>
      </c>
      <c r="K1115" s="3">
        <v>608.99</v>
      </c>
      <c r="L1115" s="3">
        <v>68.989999999999995</v>
      </c>
      <c r="M1115" s="3">
        <f t="shared" si="86"/>
        <v>11999.34</v>
      </c>
      <c r="N1115" s="3">
        <f t="shared" si="87"/>
        <v>540</v>
      </c>
      <c r="O1115" s="3">
        <f t="shared" si="88"/>
        <v>11.328593244552456</v>
      </c>
      <c r="P1115" s="3" t="str">
        <f t="shared" si="89"/>
        <v>Jul</v>
      </c>
      <c r="Q1115" s="3" t="str">
        <f t="shared" si="85"/>
        <v>good profit</v>
      </c>
    </row>
    <row r="1116" spans="1:17" x14ac:dyDescent="0.25">
      <c r="A1116" s="3" t="s">
        <v>729</v>
      </c>
      <c r="B1116" s="4">
        <v>45853</v>
      </c>
      <c r="C1116" s="3" t="s">
        <v>2024</v>
      </c>
      <c r="D1116" s="3" t="s">
        <v>2044</v>
      </c>
      <c r="E1116" s="3" t="s">
        <v>2055</v>
      </c>
      <c r="F1116" s="3" t="s">
        <v>2061</v>
      </c>
      <c r="G1116" s="3">
        <v>8</v>
      </c>
      <c r="H1116" s="3">
        <v>180</v>
      </c>
      <c r="I1116" s="3">
        <v>243</v>
      </c>
      <c r="J1116" s="3">
        <v>12.94</v>
      </c>
      <c r="K1116" s="3">
        <v>1692.54</v>
      </c>
      <c r="L1116" s="3">
        <v>252.54</v>
      </c>
      <c r="M1116" s="3">
        <f t="shared" si="86"/>
        <v>25155.360000000001</v>
      </c>
      <c r="N1116" s="3">
        <f t="shared" si="87"/>
        <v>1440</v>
      </c>
      <c r="O1116" s="3">
        <f t="shared" si="88"/>
        <v>14.920769967031799</v>
      </c>
      <c r="P1116" s="3" t="str">
        <f t="shared" si="89"/>
        <v>Jul</v>
      </c>
      <c r="Q1116" s="3" t="str">
        <f t="shared" si="85"/>
        <v>good profit</v>
      </c>
    </row>
    <row r="1117" spans="1:17" x14ac:dyDescent="0.25">
      <c r="A1117" s="3" t="s">
        <v>858</v>
      </c>
      <c r="B1117" s="4">
        <v>45853</v>
      </c>
      <c r="C1117" s="3" t="s">
        <v>2023</v>
      </c>
      <c r="D1117" s="3" t="s">
        <v>2043</v>
      </c>
      <c r="E1117" s="3" t="s">
        <v>2053</v>
      </c>
      <c r="F1117" s="3" t="s">
        <v>2061</v>
      </c>
      <c r="G1117" s="3">
        <v>3</v>
      </c>
      <c r="H1117" s="3">
        <v>550</v>
      </c>
      <c r="I1117" s="3">
        <v>742.5</v>
      </c>
      <c r="J1117" s="3">
        <v>9.9</v>
      </c>
      <c r="K1117" s="3">
        <v>2006.99</v>
      </c>
      <c r="L1117" s="3">
        <v>356.99</v>
      </c>
      <c r="M1117" s="3">
        <f t="shared" si="86"/>
        <v>22052.25</v>
      </c>
      <c r="N1117" s="3">
        <f t="shared" si="87"/>
        <v>1650</v>
      </c>
      <c r="O1117" s="3">
        <f t="shared" si="88"/>
        <v>17.787333270220579</v>
      </c>
      <c r="P1117" s="3" t="str">
        <f t="shared" si="89"/>
        <v>Jul</v>
      </c>
      <c r="Q1117" s="3" t="str">
        <f t="shared" si="85"/>
        <v>good profit</v>
      </c>
    </row>
    <row r="1118" spans="1:17" x14ac:dyDescent="0.25">
      <c r="A1118" s="3" t="s">
        <v>1089</v>
      </c>
      <c r="B1118" s="4">
        <v>45853</v>
      </c>
      <c r="C1118" s="3" t="s">
        <v>2030</v>
      </c>
      <c r="D1118" s="3" t="s">
        <v>2050</v>
      </c>
      <c r="E1118" s="3" t="s">
        <v>2058</v>
      </c>
      <c r="F1118" s="3" t="s">
        <v>2062</v>
      </c>
      <c r="G1118" s="3">
        <v>2</v>
      </c>
      <c r="H1118" s="3">
        <v>1800</v>
      </c>
      <c r="I1118" s="3">
        <v>2124</v>
      </c>
      <c r="J1118" s="3">
        <v>16.66</v>
      </c>
      <c r="K1118" s="3">
        <v>3540.32</v>
      </c>
      <c r="L1118" s="3">
        <v>-59.68</v>
      </c>
      <c r="M1118" s="3">
        <f t="shared" si="86"/>
        <v>70771.680000000008</v>
      </c>
      <c r="N1118" s="3">
        <f t="shared" si="87"/>
        <v>3600</v>
      </c>
      <c r="O1118" s="3">
        <f t="shared" si="88"/>
        <v>-1.6857233244452479</v>
      </c>
      <c r="P1118" s="3" t="str">
        <f t="shared" si="89"/>
        <v>Jul</v>
      </c>
      <c r="Q1118" s="3" t="str">
        <f t="shared" si="85"/>
        <v>loss</v>
      </c>
    </row>
    <row r="1119" spans="1:17" x14ac:dyDescent="0.25">
      <c r="A1119" s="3" t="s">
        <v>1136</v>
      </c>
      <c r="B1119" s="4">
        <v>45853</v>
      </c>
      <c r="C1119" s="3" t="s">
        <v>2030</v>
      </c>
      <c r="D1119" s="3" t="s">
        <v>2050</v>
      </c>
      <c r="E1119" s="3" t="s">
        <v>2058</v>
      </c>
      <c r="F1119" s="3" t="s">
        <v>2062</v>
      </c>
      <c r="G1119" s="3">
        <v>7</v>
      </c>
      <c r="H1119" s="3">
        <v>1800</v>
      </c>
      <c r="I1119" s="3">
        <v>2124</v>
      </c>
      <c r="J1119" s="3">
        <v>4</v>
      </c>
      <c r="K1119" s="3">
        <v>14273.28</v>
      </c>
      <c r="L1119" s="3">
        <v>1673.28</v>
      </c>
      <c r="M1119" s="3">
        <f t="shared" si="86"/>
        <v>59472</v>
      </c>
      <c r="N1119" s="3">
        <f t="shared" si="87"/>
        <v>12600</v>
      </c>
      <c r="O1119" s="3">
        <f t="shared" si="88"/>
        <v>11.723163841807908</v>
      </c>
      <c r="P1119" s="3" t="str">
        <f t="shared" si="89"/>
        <v>Jul</v>
      </c>
      <c r="Q1119" s="3" t="str">
        <f t="shared" si="85"/>
        <v>good profit</v>
      </c>
    </row>
    <row r="1120" spans="1:17" x14ac:dyDescent="0.25">
      <c r="A1120" s="3" t="s">
        <v>670</v>
      </c>
      <c r="B1120" s="4">
        <v>45854</v>
      </c>
      <c r="C1120" s="3" t="s">
        <v>2015</v>
      </c>
      <c r="D1120" s="3" t="s">
        <v>2035</v>
      </c>
      <c r="E1120" s="3" t="s">
        <v>2054</v>
      </c>
      <c r="F1120" s="3" t="s">
        <v>2059</v>
      </c>
      <c r="G1120" s="3">
        <v>8</v>
      </c>
      <c r="H1120" s="3">
        <v>900</v>
      </c>
      <c r="I1120" s="3">
        <v>1170</v>
      </c>
      <c r="J1120" s="3">
        <v>0</v>
      </c>
      <c r="K1120" s="3">
        <v>9360</v>
      </c>
      <c r="L1120" s="3">
        <v>2160</v>
      </c>
      <c r="M1120" s="3">
        <f t="shared" si="86"/>
        <v>0</v>
      </c>
      <c r="N1120" s="3">
        <f t="shared" si="87"/>
        <v>7200</v>
      </c>
      <c r="O1120" s="3">
        <f t="shared" si="88"/>
        <v>23.076923076923077</v>
      </c>
      <c r="P1120" s="3" t="str">
        <f t="shared" si="89"/>
        <v>Jul</v>
      </c>
      <c r="Q1120" s="3" t="str">
        <f t="shared" si="85"/>
        <v>good profit</v>
      </c>
    </row>
    <row r="1121" spans="1:17" x14ac:dyDescent="0.25">
      <c r="A1121" s="3" t="s">
        <v>1774</v>
      </c>
      <c r="B1121" s="4">
        <v>45854</v>
      </c>
      <c r="C1121" s="3" t="s">
        <v>2022</v>
      </c>
      <c r="D1121" s="3" t="s">
        <v>2042</v>
      </c>
      <c r="E1121" s="3" t="s">
        <v>2053</v>
      </c>
      <c r="F1121" s="3" t="s">
        <v>2060</v>
      </c>
      <c r="G1121" s="3">
        <v>9</v>
      </c>
      <c r="H1121" s="3">
        <v>8500</v>
      </c>
      <c r="I1121" s="3">
        <v>9520</v>
      </c>
      <c r="J1121" s="3">
        <v>10.53</v>
      </c>
      <c r="K1121" s="3">
        <v>76655.210000000006</v>
      </c>
      <c r="L1121" s="3">
        <v>155.21</v>
      </c>
      <c r="M1121" s="3">
        <f t="shared" si="86"/>
        <v>902210.39999999991</v>
      </c>
      <c r="N1121" s="3">
        <f t="shared" si="87"/>
        <v>76500</v>
      </c>
      <c r="O1121" s="3">
        <f t="shared" si="88"/>
        <v>0.20247808335532574</v>
      </c>
      <c r="P1121" s="3" t="str">
        <f t="shared" si="89"/>
        <v>Jul</v>
      </c>
      <c r="Q1121" s="3" t="str">
        <f t="shared" si="85"/>
        <v>low profit</v>
      </c>
    </row>
    <row r="1122" spans="1:17" x14ac:dyDescent="0.25">
      <c r="A1122" s="3" t="s">
        <v>1990</v>
      </c>
      <c r="B1122" s="4">
        <v>45854</v>
      </c>
      <c r="C1122" s="3" t="s">
        <v>2012</v>
      </c>
      <c r="D1122" s="3" t="s">
        <v>2032</v>
      </c>
      <c r="E1122" s="3" t="s">
        <v>2052</v>
      </c>
      <c r="F1122" s="3" t="s">
        <v>2059</v>
      </c>
      <c r="G1122" s="3">
        <v>4</v>
      </c>
      <c r="H1122" s="3">
        <v>6500</v>
      </c>
      <c r="I1122" s="3">
        <v>8125</v>
      </c>
      <c r="J1122" s="3">
        <v>10.95</v>
      </c>
      <c r="K1122" s="3">
        <v>28942.36</v>
      </c>
      <c r="L1122" s="3">
        <v>2942.36</v>
      </c>
      <c r="M1122" s="3">
        <f t="shared" si="86"/>
        <v>355875</v>
      </c>
      <c r="N1122" s="3">
        <f t="shared" si="87"/>
        <v>26000</v>
      </c>
      <c r="O1122" s="3">
        <f t="shared" si="88"/>
        <v>10.166275314107073</v>
      </c>
      <c r="P1122" s="3" t="str">
        <f t="shared" si="89"/>
        <v>Jul</v>
      </c>
      <c r="Q1122" s="3" t="str">
        <f t="shared" si="85"/>
        <v>good profit</v>
      </c>
    </row>
    <row r="1123" spans="1:17" x14ac:dyDescent="0.25">
      <c r="A1123" s="3" t="s">
        <v>483</v>
      </c>
      <c r="B1123" s="4">
        <v>45855</v>
      </c>
      <c r="C1123" s="3" t="s">
        <v>2024</v>
      </c>
      <c r="D1123" s="3" t="s">
        <v>2044</v>
      </c>
      <c r="E1123" s="3" t="s">
        <v>2055</v>
      </c>
      <c r="F1123" s="3" t="s">
        <v>2061</v>
      </c>
      <c r="G1123" s="3">
        <v>2</v>
      </c>
      <c r="H1123" s="3">
        <v>180</v>
      </c>
      <c r="I1123" s="3">
        <v>243</v>
      </c>
      <c r="J1123" s="3">
        <v>12.94</v>
      </c>
      <c r="K1123" s="3">
        <v>423.11</v>
      </c>
      <c r="L1123" s="3">
        <v>63.11</v>
      </c>
      <c r="M1123" s="3">
        <f t="shared" si="86"/>
        <v>6288.84</v>
      </c>
      <c r="N1123" s="3">
        <f t="shared" si="87"/>
        <v>360</v>
      </c>
      <c r="O1123" s="3">
        <f t="shared" si="88"/>
        <v>14.915742951005647</v>
      </c>
      <c r="P1123" s="3" t="str">
        <f t="shared" si="89"/>
        <v>Jul</v>
      </c>
      <c r="Q1123" s="3" t="str">
        <f t="shared" si="85"/>
        <v>good profit</v>
      </c>
    </row>
    <row r="1124" spans="1:17" x14ac:dyDescent="0.25">
      <c r="A1124" s="3" t="s">
        <v>488</v>
      </c>
      <c r="B1124" s="4">
        <v>45855</v>
      </c>
      <c r="C1124" s="3" t="s">
        <v>2021</v>
      </c>
      <c r="D1124" s="3" t="s">
        <v>2041</v>
      </c>
      <c r="E1124" s="3" t="s">
        <v>2056</v>
      </c>
      <c r="F1124" s="3" t="s">
        <v>2061</v>
      </c>
      <c r="G1124" s="3">
        <v>7</v>
      </c>
      <c r="H1124" s="3">
        <v>300</v>
      </c>
      <c r="I1124" s="3">
        <v>405</v>
      </c>
      <c r="J1124" s="3">
        <v>13.1</v>
      </c>
      <c r="K1124" s="3">
        <v>2463.64</v>
      </c>
      <c r="L1124" s="3">
        <v>363.64</v>
      </c>
      <c r="M1124" s="3">
        <f t="shared" si="86"/>
        <v>37138.5</v>
      </c>
      <c r="N1124" s="3">
        <f t="shared" si="87"/>
        <v>2100</v>
      </c>
      <c r="O1124" s="3">
        <f t="shared" si="88"/>
        <v>14.760273416570602</v>
      </c>
      <c r="P1124" s="3" t="str">
        <f t="shared" si="89"/>
        <v>Jul</v>
      </c>
      <c r="Q1124" s="3" t="str">
        <f t="shared" si="85"/>
        <v>good profit</v>
      </c>
    </row>
    <row r="1125" spans="1:17" x14ac:dyDescent="0.25">
      <c r="A1125" s="3" t="s">
        <v>506</v>
      </c>
      <c r="B1125" s="4">
        <v>45855</v>
      </c>
      <c r="C1125" s="3" t="s">
        <v>2030</v>
      </c>
      <c r="D1125" s="3" t="s">
        <v>2050</v>
      </c>
      <c r="E1125" s="3" t="s">
        <v>2058</v>
      </c>
      <c r="F1125" s="3" t="s">
        <v>2062</v>
      </c>
      <c r="G1125" s="3">
        <v>6</v>
      </c>
      <c r="H1125" s="3">
        <v>1800</v>
      </c>
      <c r="I1125" s="3">
        <v>2124</v>
      </c>
      <c r="J1125" s="3">
        <v>14.78</v>
      </c>
      <c r="K1125" s="3">
        <v>10860.66</v>
      </c>
      <c r="L1125" s="3">
        <v>60.66</v>
      </c>
      <c r="M1125" s="3">
        <f t="shared" si="86"/>
        <v>188356.31999999998</v>
      </c>
      <c r="N1125" s="3">
        <f t="shared" si="87"/>
        <v>10800</v>
      </c>
      <c r="O1125" s="3">
        <f t="shared" si="88"/>
        <v>0.55852959212423559</v>
      </c>
      <c r="P1125" s="3" t="str">
        <f t="shared" si="89"/>
        <v>Jul</v>
      </c>
      <c r="Q1125" s="3" t="str">
        <f t="shared" si="85"/>
        <v>low profit</v>
      </c>
    </row>
    <row r="1126" spans="1:17" x14ac:dyDescent="0.25">
      <c r="A1126" s="3" t="s">
        <v>613</v>
      </c>
      <c r="B1126" s="4">
        <v>45855</v>
      </c>
      <c r="C1126" s="3" t="s">
        <v>2029</v>
      </c>
      <c r="D1126" s="3" t="s">
        <v>2049</v>
      </c>
      <c r="E1126" s="3" t="s">
        <v>2055</v>
      </c>
      <c r="F1126" s="3" t="s">
        <v>2060</v>
      </c>
      <c r="G1126" s="3">
        <v>5</v>
      </c>
      <c r="H1126" s="3">
        <v>1200</v>
      </c>
      <c r="I1126" s="3">
        <v>1464</v>
      </c>
      <c r="J1126" s="3">
        <v>9.99</v>
      </c>
      <c r="K1126" s="3">
        <v>6589.03</v>
      </c>
      <c r="L1126" s="3">
        <v>589.03</v>
      </c>
      <c r="M1126" s="3">
        <f t="shared" si="86"/>
        <v>73126.8</v>
      </c>
      <c r="N1126" s="3">
        <f t="shared" si="87"/>
        <v>6000</v>
      </c>
      <c r="O1126" s="3">
        <f t="shared" si="88"/>
        <v>8.9395555946778202</v>
      </c>
      <c r="P1126" s="3" t="str">
        <f t="shared" si="89"/>
        <v>Jul</v>
      </c>
      <c r="Q1126" s="3" t="str">
        <f t="shared" si="85"/>
        <v>low profit</v>
      </c>
    </row>
    <row r="1127" spans="1:17" x14ac:dyDescent="0.25">
      <c r="A1127" s="3" t="s">
        <v>1417</v>
      </c>
      <c r="B1127" s="4">
        <v>45855</v>
      </c>
      <c r="C1127" s="3" t="s">
        <v>2015</v>
      </c>
      <c r="D1127" s="3" t="s">
        <v>2035</v>
      </c>
      <c r="E1127" s="3" t="s">
        <v>2054</v>
      </c>
      <c r="F1127" s="3" t="s">
        <v>2059</v>
      </c>
      <c r="G1127" s="3">
        <v>3</v>
      </c>
      <c r="H1127" s="3">
        <v>900</v>
      </c>
      <c r="I1127" s="3">
        <v>1170</v>
      </c>
      <c r="J1127" s="3">
        <v>15.03</v>
      </c>
      <c r="K1127" s="3">
        <v>2982.28</v>
      </c>
      <c r="L1127" s="3">
        <v>282.27999999999997</v>
      </c>
      <c r="M1127" s="3">
        <f t="shared" si="86"/>
        <v>52755.299999999996</v>
      </c>
      <c r="N1127" s="3">
        <f t="shared" si="87"/>
        <v>2700</v>
      </c>
      <c r="O1127" s="3">
        <f t="shared" si="88"/>
        <v>9.465241358960256</v>
      </c>
      <c r="P1127" s="3" t="str">
        <f t="shared" si="89"/>
        <v>Jul</v>
      </c>
      <c r="Q1127" s="3" t="str">
        <f t="shared" si="85"/>
        <v>low profit</v>
      </c>
    </row>
    <row r="1128" spans="1:17" x14ac:dyDescent="0.25">
      <c r="A1128" s="3" t="s">
        <v>1899</v>
      </c>
      <c r="B1128" s="4">
        <v>45855</v>
      </c>
      <c r="C1128" s="3" t="s">
        <v>2031</v>
      </c>
      <c r="D1128" s="3" t="s">
        <v>2051</v>
      </c>
      <c r="E1128" s="3" t="s">
        <v>2058</v>
      </c>
      <c r="F1128" s="3" t="s">
        <v>2059</v>
      </c>
      <c r="G1128" s="3">
        <v>4</v>
      </c>
      <c r="H1128" s="3">
        <v>3200</v>
      </c>
      <c r="I1128" s="3">
        <v>3840</v>
      </c>
      <c r="J1128" s="3">
        <v>13.4</v>
      </c>
      <c r="K1128" s="3">
        <v>13301.83</v>
      </c>
      <c r="L1128" s="3">
        <v>501.83</v>
      </c>
      <c r="M1128" s="3">
        <f t="shared" si="86"/>
        <v>205824</v>
      </c>
      <c r="N1128" s="3">
        <f t="shared" si="87"/>
        <v>12800</v>
      </c>
      <c r="O1128" s="3">
        <f t="shared" si="88"/>
        <v>3.7726388023302055</v>
      </c>
      <c r="P1128" s="3" t="str">
        <f t="shared" si="89"/>
        <v>Jul</v>
      </c>
      <c r="Q1128" s="3" t="str">
        <f t="shared" si="85"/>
        <v>low profit</v>
      </c>
    </row>
    <row r="1129" spans="1:17" x14ac:dyDescent="0.25">
      <c r="A1129" s="3" t="s">
        <v>579</v>
      </c>
      <c r="B1129" s="4">
        <v>45856</v>
      </c>
      <c r="C1129" s="3" t="s">
        <v>2014</v>
      </c>
      <c r="D1129" s="3" t="s">
        <v>2034</v>
      </c>
      <c r="E1129" s="3" t="s">
        <v>2052</v>
      </c>
      <c r="F1129" s="3" t="s">
        <v>2060</v>
      </c>
      <c r="G1129" s="3">
        <v>7</v>
      </c>
      <c r="H1129" s="3">
        <v>4500</v>
      </c>
      <c r="I1129" s="3">
        <v>5220</v>
      </c>
      <c r="J1129" s="3">
        <v>10.8</v>
      </c>
      <c r="K1129" s="3">
        <v>32593.72</v>
      </c>
      <c r="L1129" s="3">
        <v>1093.72</v>
      </c>
      <c r="M1129" s="3">
        <f t="shared" si="86"/>
        <v>394632</v>
      </c>
      <c r="N1129" s="3">
        <f t="shared" si="87"/>
        <v>31500</v>
      </c>
      <c r="O1129" s="3">
        <f t="shared" si="88"/>
        <v>3.3556157443826602</v>
      </c>
      <c r="P1129" s="3" t="str">
        <f t="shared" si="89"/>
        <v>Jul</v>
      </c>
      <c r="Q1129" s="3" t="str">
        <f t="shared" si="85"/>
        <v>low profit</v>
      </c>
    </row>
    <row r="1130" spans="1:17" x14ac:dyDescent="0.25">
      <c r="A1130" s="3" t="s">
        <v>1591</v>
      </c>
      <c r="B1130" s="4">
        <v>45856</v>
      </c>
      <c r="C1130" s="3" t="s">
        <v>2015</v>
      </c>
      <c r="D1130" s="3" t="s">
        <v>2035</v>
      </c>
      <c r="E1130" s="3" t="s">
        <v>2054</v>
      </c>
      <c r="F1130" s="3" t="s">
        <v>2059</v>
      </c>
      <c r="G1130" s="3">
        <v>10</v>
      </c>
      <c r="H1130" s="3">
        <v>900</v>
      </c>
      <c r="I1130" s="3">
        <v>1170</v>
      </c>
      <c r="J1130" s="3">
        <v>21.44</v>
      </c>
      <c r="K1130" s="3">
        <v>9192</v>
      </c>
      <c r="L1130" s="3">
        <v>192</v>
      </c>
      <c r="M1130" s="3">
        <f t="shared" si="86"/>
        <v>250848.00000000003</v>
      </c>
      <c r="N1130" s="3">
        <f t="shared" si="87"/>
        <v>9000</v>
      </c>
      <c r="O1130" s="3">
        <f t="shared" si="88"/>
        <v>2.0887728459530028</v>
      </c>
      <c r="P1130" s="3" t="str">
        <f t="shared" si="89"/>
        <v>Jul</v>
      </c>
      <c r="Q1130" s="3" t="str">
        <f t="shared" si="85"/>
        <v>low profit</v>
      </c>
    </row>
    <row r="1131" spans="1:17" x14ac:dyDescent="0.25">
      <c r="A1131" s="3" t="s">
        <v>1784</v>
      </c>
      <c r="B1131" s="4">
        <v>45856</v>
      </c>
      <c r="C1131" s="3" t="s">
        <v>2024</v>
      </c>
      <c r="D1131" s="3" t="s">
        <v>2044</v>
      </c>
      <c r="E1131" s="3" t="s">
        <v>2055</v>
      </c>
      <c r="F1131" s="3" t="s">
        <v>2060</v>
      </c>
      <c r="G1131" s="3">
        <v>3</v>
      </c>
      <c r="H1131" s="3">
        <v>180</v>
      </c>
      <c r="I1131" s="3">
        <v>243</v>
      </c>
      <c r="J1131" s="3">
        <v>12.07</v>
      </c>
      <c r="K1131" s="3">
        <v>641.01</v>
      </c>
      <c r="L1131" s="3">
        <v>101.01</v>
      </c>
      <c r="M1131" s="3">
        <f t="shared" si="86"/>
        <v>8799.0300000000007</v>
      </c>
      <c r="N1131" s="3">
        <f t="shared" si="87"/>
        <v>540</v>
      </c>
      <c r="O1131" s="3">
        <f t="shared" si="88"/>
        <v>15.757944493845653</v>
      </c>
      <c r="P1131" s="3" t="str">
        <f t="shared" si="89"/>
        <v>Jul</v>
      </c>
      <c r="Q1131" s="3" t="str">
        <f t="shared" si="85"/>
        <v>good profit</v>
      </c>
    </row>
    <row r="1132" spans="1:17" x14ac:dyDescent="0.25">
      <c r="A1132" s="3" t="s">
        <v>244</v>
      </c>
      <c r="B1132" s="4">
        <v>45857</v>
      </c>
      <c r="C1132" s="3" t="s">
        <v>2026</v>
      </c>
      <c r="D1132" s="3" t="s">
        <v>2046</v>
      </c>
      <c r="E1132" s="3" t="s">
        <v>2052</v>
      </c>
      <c r="F1132" s="3" t="s">
        <v>2059</v>
      </c>
      <c r="G1132" s="3">
        <v>5</v>
      </c>
      <c r="H1132" s="3">
        <v>3000</v>
      </c>
      <c r="I1132" s="3">
        <v>3600</v>
      </c>
      <c r="J1132" s="3">
        <v>14.96</v>
      </c>
      <c r="K1132" s="3">
        <v>15306.78</v>
      </c>
      <c r="L1132" s="3">
        <v>306.77999999999997</v>
      </c>
      <c r="M1132" s="3">
        <f t="shared" si="86"/>
        <v>269280</v>
      </c>
      <c r="N1132" s="3">
        <f t="shared" si="87"/>
        <v>15000</v>
      </c>
      <c r="O1132" s="3">
        <f t="shared" si="88"/>
        <v>2.0042098991427326</v>
      </c>
      <c r="P1132" s="3" t="str">
        <f t="shared" si="89"/>
        <v>Jul</v>
      </c>
      <c r="Q1132" s="3" t="str">
        <f t="shared" si="85"/>
        <v>low profit</v>
      </c>
    </row>
    <row r="1133" spans="1:17" x14ac:dyDescent="0.25">
      <c r="A1133" s="3" t="s">
        <v>254</v>
      </c>
      <c r="B1133" s="4">
        <v>45857</v>
      </c>
      <c r="C1133" s="3" t="s">
        <v>2016</v>
      </c>
      <c r="D1133" s="3" t="s">
        <v>2036</v>
      </c>
      <c r="E1133" s="3" t="s">
        <v>2052</v>
      </c>
      <c r="F1133" s="3" t="s">
        <v>2061</v>
      </c>
      <c r="G1133" s="3">
        <v>3</v>
      </c>
      <c r="H1133" s="3">
        <v>900</v>
      </c>
      <c r="I1133" s="3">
        <v>1170</v>
      </c>
      <c r="J1133" s="3">
        <v>23.35</v>
      </c>
      <c r="K1133" s="3">
        <v>2690.25</v>
      </c>
      <c r="L1133" s="3">
        <v>-9.75</v>
      </c>
      <c r="M1133" s="3">
        <f t="shared" si="86"/>
        <v>81958.5</v>
      </c>
      <c r="N1133" s="3">
        <f t="shared" si="87"/>
        <v>2700</v>
      </c>
      <c r="O1133" s="3">
        <f t="shared" si="88"/>
        <v>-0.36241984945637024</v>
      </c>
      <c r="P1133" s="3" t="str">
        <f t="shared" si="89"/>
        <v>Jul</v>
      </c>
      <c r="Q1133" s="3" t="str">
        <f t="shared" si="85"/>
        <v>loss</v>
      </c>
    </row>
    <row r="1134" spans="1:17" x14ac:dyDescent="0.25">
      <c r="A1134" s="3" t="s">
        <v>777</v>
      </c>
      <c r="B1134" s="4">
        <v>45858</v>
      </c>
      <c r="C1134" s="3" t="s">
        <v>2031</v>
      </c>
      <c r="D1134" s="3" t="s">
        <v>2051</v>
      </c>
      <c r="E1134" s="3" t="s">
        <v>2058</v>
      </c>
      <c r="F1134" s="3" t="s">
        <v>2061</v>
      </c>
      <c r="G1134" s="3">
        <v>10</v>
      </c>
      <c r="H1134" s="3">
        <v>3200</v>
      </c>
      <c r="I1134" s="3">
        <v>3840</v>
      </c>
      <c r="J1134" s="3">
        <v>6.54</v>
      </c>
      <c r="K1134" s="3">
        <v>35887.620000000003</v>
      </c>
      <c r="L1134" s="3">
        <v>3887.62</v>
      </c>
      <c r="M1134" s="3">
        <f t="shared" si="86"/>
        <v>251136</v>
      </c>
      <c r="N1134" s="3">
        <f t="shared" si="87"/>
        <v>32000</v>
      </c>
      <c r="O1134" s="3">
        <f t="shared" si="88"/>
        <v>10.832760712468533</v>
      </c>
      <c r="P1134" s="3" t="str">
        <f t="shared" si="89"/>
        <v>Jul</v>
      </c>
      <c r="Q1134" s="3" t="str">
        <f t="shared" si="85"/>
        <v>good profit</v>
      </c>
    </row>
    <row r="1135" spans="1:17" x14ac:dyDescent="0.25">
      <c r="A1135" s="3" t="s">
        <v>831</v>
      </c>
      <c r="B1135" s="4">
        <v>45858</v>
      </c>
      <c r="C1135" s="3" t="s">
        <v>2013</v>
      </c>
      <c r="D1135" s="3" t="s">
        <v>2033</v>
      </c>
      <c r="E1135" s="3" t="s">
        <v>2053</v>
      </c>
      <c r="F1135" s="3" t="s">
        <v>2059</v>
      </c>
      <c r="G1135" s="3">
        <v>1</v>
      </c>
      <c r="H1135" s="3">
        <v>6500</v>
      </c>
      <c r="I1135" s="3">
        <v>7150</v>
      </c>
      <c r="J1135" s="3">
        <v>4.3600000000000003</v>
      </c>
      <c r="K1135" s="3">
        <v>6838.42</v>
      </c>
      <c r="L1135" s="3">
        <v>338.42</v>
      </c>
      <c r="M1135" s="3">
        <f t="shared" si="86"/>
        <v>31174.000000000004</v>
      </c>
      <c r="N1135" s="3">
        <f t="shared" si="87"/>
        <v>6500</v>
      </c>
      <c r="O1135" s="3">
        <f t="shared" si="88"/>
        <v>4.9488039634886425</v>
      </c>
      <c r="P1135" s="3" t="str">
        <f t="shared" si="89"/>
        <v>Jul</v>
      </c>
      <c r="Q1135" s="3" t="str">
        <f t="shared" si="85"/>
        <v>low profit</v>
      </c>
    </row>
    <row r="1136" spans="1:17" x14ac:dyDescent="0.25">
      <c r="A1136" s="3" t="s">
        <v>885</v>
      </c>
      <c r="B1136" s="4">
        <v>45858</v>
      </c>
      <c r="C1136" s="3" t="s">
        <v>2019</v>
      </c>
      <c r="D1136" s="3" t="s">
        <v>2039</v>
      </c>
      <c r="E1136" s="3" t="s">
        <v>2053</v>
      </c>
      <c r="F1136" s="3" t="s">
        <v>2059</v>
      </c>
      <c r="G1136" s="3">
        <v>1</v>
      </c>
      <c r="H1136" s="3">
        <v>900</v>
      </c>
      <c r="I1136" s="3">
        <v>1152</v>
      </c>
      <c r="J1136" s="3">
        <v>6.06</v>
      </c>
      <c r="K1136" s="3">
        <v>1082.23</v>
      </c>
      <c r="L1136" s="3">
        <v>182.23</v>
      </c>
      <c r="M1136" s="3">
        <f t="shared" si="86"/>
        <v>6981.12</v>
      </c>
      <c r="N1136" s="3">
        <f t="shared" si="87"/>
        <v>900</v>
      </c>
      <c r="O1136" s="3">
        <f t="shared" si="88"/>
        <v>16.838380011642627</v>
      </c>
      <c r="P1136" s="3" t="str">
        <f t="shared" si="89"/>
        <v>Jul</v>
      </c>
      <c r="Q1136" s="3" t="str">
        <f t="shared" si="85"/>
        <v>good profit</v>
      </c>
    </row>
    <row r="1137" spans="1:17" x14ac:dyDescent="0.25">
      <c r="A1137" s="3" t="s">
        <v>1032</v>
      </c>
      <c r="B1137" s="4">
        <v>45858</v>
      </c>
      <c r="C1137" s="3" t="s">
        <v>2013</v>
      </c>
      <c r="D1137" s="3" t="s">
        <v>2033</v>
      </c>
      <c r="E1137" s="3" t="s">
        <v>2053</v>
      </c>
      <c r="F1137" s="3" t="s">
        <v>2060</v>
      </c>
      <c r="G1137" s="3">
        <v>8</v>
      </c>
      <c r="H1137" s="3">
        <v>6500</v>
      </c>
      <c r="I1137" s="3">
        <v>7150</v>
      </c>
      <c r="J1137" s="3">
        <v>16.66</v>
      </c>
      <c r="K1137" s="3">
        <v>47671.13</v>
      </c>
      <c r="L1137" s="3">
        <v>-4328.87</v>
      </c>
      <c r="M1137" s="3">
        <f t="shared" si="86"/>
        <v>952952</v>
      </c>
      <c r="N1137" s="3">
        <f t="shared" si="87"/>
        <v>52000</v>
      </c>
      <c r="O1137" s="3">
        <f t="shared" si="88"/>
        <v>-9.0806951712703263</v>
      </c>
      <c r="P1137" s="3" t="str">
        <f t="shared" si="89"/>
        <v>Jul</v>
      </c>
      <c r="Q1137" s="3" t="str">
        <f t="shared" si="85"/>
        <v>loss</v>
      </c>
    </row>
    <row r="1138" spans="1:17" x14ac:dyDescent="0.25">
      <c r="A1138" s="3" t="s">
        <v>1138</v>
      </c>
      <c r="B1138" s="4">
        <v>45858</v>
      </c>
      <c r="C1138" s="3" t="s">
        <v>2031</v>
      </c>
      <c r="D1138" s="3" t="s">
        <v>2051</v>
      </c>
      <c r="E1138" s="3" t="s">
        <v>2058</v>
      </c>
      <c r="F1138" s="3" t="s">
        <v>2061</v>
      </c>
      <c r="G1138" s="3">
        <v>2</v>
      </c>
      <c r="H1138" s="3">
        <v>3200</v>
      </c>
      <c r="I1138" s="3">
        <v>3840</v>
      </c>
      <c r="J1138" s="3">
        <v>25.01</v>
      </c>
      <c r="K1138" s="3">
        <v>5758.93</v>
      </c>
      <c r="L1138" s="3">
        <v>-641.07000000000005</v>
      </c>
      <c r="M1138" s="3">
        <f t="shared" si="86"/>
        <v>192076.80000000002</v>
      </c>
      <c r="N1138" s="3">
        <f t="shared" si="87"/>
        <v>6400</v>
      </c>
      <c r="O1138" s="3">
        <f t="shared" si="88"/>
        <v>-11.131755378169208</v>
      </c>
      <c r="P1138" s="3" t="str">
        <f t="shared" si="89"/>
        <v>Jul</v>
      </c>
      <c r="Q1138" s="3" t="str">
        <f t="shared" si="85"/>
        <v>loss</v>
      </c>
    </row>
    <row r="1139" spans="1:17" x14ac:dyDescent="0.25">
      <c r="A1139" s="3" t="s">
        <v>1296</v>
      </c>
      <c r="B1139" s="4">
        <v>45858</v>
      </c>
      <c r="C1139" s="3" t="s">
        <v>2012</v>
      </c>
      <c r="D1139" s="3" t="s">
        <v>2032</v>
      </c>
      <c r="E1139" s="3" t="s">
        <v>2052</v>
      </c>
      <c r="F1139" s="3" t="s">
        <v>2061</v>
      </c>
      <c r="G1139" s="3">
        <v>8</v>
      </c>
      <c r="H1139" s="3">
        <v>6500</v>
      </c>
      <c r="I1139" s="3">
        <v>8125</v>
      </c>
      <c r="J1139" s="3">
        <v>19.46</v>
      </c>
      <c r="K1139" s="3">
        <v>52350.63</v>
      </c>
      <c r="L1139" s="3">
        <v>350.63</v>
      </c>
      <c r="M1139" s="3">
        <f t="shared" si="86"/>
        <v>1264900</v>
      </c>
      <c r="N1139" s="3">
        <f t="shared" si="87"/>
        <v>52000</v>
      </c>
      <c r="O1139" s="3">
        <f t="shared" si="88"/>
        <v>0.66977226444075266</v>
      </c>
      <c r="P1139" s="3" t="str">
        <f t="shared" si="89"/>
        <v>Jul</v>
      </c>
      <c r="Q1139" s="3" t="str">
        <f t="shared" si="85"/>
        <v>low profit</v>
      </c>
    </row>
    <row r="1140" spans="1:17" x14ac:dyDescent="0.25">
      <c r="A1140" s="3" t="s">
        <v>1438</v>
      </c>
      <c r="B1140" s="4">
        <v>45858</v>
      </c>
      <c r="C1140" s="3" t="s">
        <v>2020</v>
      </c>
      <c r="D1140" s="3" t="s">
        <v>2040</v>
      </c>
      <c r="E1140" s="3" t="s">
        <v>2053</v>
      </c>
      <c r="F1140" s="3" t="s">
        <v>2060</v>
      </c>
      <c r="G1140" s="3">
        <v>7</v>
      </c>
      <c r="H1140" s="3">
        <v>350</v>
      </c>
      <c r="I1140" s="3">
        <v>455</v>
      </c>
      <c r="J1140" s="3">
        <v>2.56</v>
      </c>
      <c r="K1140" s="3">
        <v>3103.6</v>
      </c>
      <c r="L1140" s="3">
        <v>653.6</v>
      </c>
      <c r="M1140" s="3">
        <f t="shared" si="86"/>
        <v>8153.6</v>
      </c>
      <c r="N1140" s="3">
        <f t="shared" si="87"/>
        <v>2450</v>
      </c>
      <c r="O1140" s="3">
        <f t="shared" si="88"/>
        <v>21.059414873050653</v>
      </c>
      <c r="P1140" s="3" t="str">
        <f t="shared" si="89"/>
        <v>Jul</v>
      </c>
      <c r="Q1140" s="3" t="str">
        <f t="shared" si="85"/>
        <v>good profit</v>
      </c>
    </row>
    <row r="1141" spans="1:17" x14ac:dyDescent="0.25">
      <c r="A1141" s="3" t="s">
        <v>428</v>
      </c>
      <c r="B1141" s="4">
        <v>45859</v>
      </c>
      <c r="C1141" s="3" t="s">
        <v>2023</v>
      </c>
      <c r="D1141" s="3" t="s">
        <v>2043</v>
      </c>
      <c r="E1141" s="3" t="s">
        <v>2053</v>
      </c>
      <c r="F1141" s="3" t="s">
        <v>2062</v>
      </c>
      <c r="G1141" s="3">
        <v>4</v>
      </c>
      <c r="H1141" s="3">
        <v>550</v>
      </c>
      <c r="I1141" s="3">
        <v>742.5</v>
      </c>
      <c r="J1141" s="3">
        <v>1.25</v>
      </c>
      <c r="K1141" s="3">
        <v>2932.85</v>
      </c>
      <c r="L1141" s="3">
        <v>732.85</v>
      </c>
      <c r="M1141" s="3">
        <f t="shared" si="86"/>
        <v>3712.5</v>
      </c>
      <c r="N1141" s="3">
        <f t="shared" si="87"/>
        <v>2200</v>
      </c>
      <c r="O1141" s="3">
        <f t="shared" si="88"/>
        <v>24.987640008865096</v>
      </c>
      <c r="P1141" s="3" t="str">
        <f t="shared" si="89"/>
        <v>Jul</v>
      </c>
      <c r="Q1141" s="3" t="str">
        <f t="shared" si="85"/>
        <v>good profit</v>
      </c>
    </row>
    <row r="1142" spans="1:17" x14ac:dyDescent="0.25">
      <c r="A1142" s="3" t="s">
        <v>1025</v>
      </c>
      <c r="B1142" s="4">
        <v>45859</v>
      </c>
      <c r="C1142" s="3" t="s">
        <v>2029</v>
      </c>
      <c r="D1142" s="3" t="s">
        <v>2049</v>
      </c>
      <c r="E1142" s="3" t="s">
        <v>2055</v>
      </c>
      <c r="F1142" s="3" t="s">
        <v>2059</v>
      </c>
      <c r="G1142" s="3">
        <v>3</v>
      </c>
      <c r="H1142" s="3">
        <v>1200</v>
      </c>
      <c r="I1142" s="3">
        <v>1464</v>
      </c>
      <c r="J1142" s="3">
        <v>0</v>
      </c>
      <c r="K1142" s="3">
        <v>4392</v>
      </c>
      <c r="L1142" s="3">
        <v>792</v>
      </c>
      <c r="M1142" s="3">
        <f t="shared" si="86"/>
        <v>0</v>
      </c>
      <c r="N1142" s="3">
        <f t="shared" si="87"/>
        <v>3600</v>
      </c>
      <c r="O1142" s="3">
        <f t="shared" si="88"/>
        <v>18.032786885245901</v>
      </c>
      <c r="P1142" s="3" t="str">
        <f t="shared" si="89"/>
        <v>Jul</v>
      </c>
      <c r="Q1142" s="3" t="str">
        <f t="shared" si="85"/>
        <v>good profit</v>
      </c>
    </row>
    <row r="1143" spans="1:17" x14ac:dyDescent="0.25">
      <c r="A1143" s="3" t="s">
        <v>1097</v>
      </c>
      <c r="B1143" s="4">
        <v>45859</v>
      </c>
      <c r="C1143" s="3" t="s">
        <v>2026</v>
      </c>
      <c r="D1143" s="3" t="s">
        <v>2046</v>
      </c>
      <c r="E1143" s="3" t="s">
        <v>2052</v>
      </c>
      <c r="F1143" s="3" t="s">
        <v>2061</v>
      </c>
      <c r="G1143" s="3">
        <v>4</v>
      </c>
      <c r="H1143" s="3">
        <v>3000</v>
      </c>
      <c r="I1143" s="3">
        <v>3600</v>
      </c>
      <c r="J1143" s="3">
        <v>15.78</v>
      </c>
      <c r="K1143" s="3">
        <v>12127.56</v>
      </c>
      <c r="L1143" s="3">
        <v>127.56</v>
      </c>
      <c r="M1143" s="3">
        <f t="shared" si="86"/>
        <v>227232</v>
      </c>
      <c r="N1143" s="3">
        <f t="shared" si="87"/>
        <v>12000</v>
      </c>
      <c r="O1143" s="3">
        <f t="shared" si="88"/>
        <v>1.0518191623047011</v>
      </c>
      <c r="P1143" s="3" t="str">
        <f t="shared" si="89"/>
        <v>Jul</v>
      </c>
      <c r="Q1143" s="3" t="str">
        <f t="shared" si="85"/>
        <v>low profit</v>
      </c>
    </row>
    <row r="1144" spans="1:17" x14ac:dyDescent="0.25">
      <c r="A1144" s="3" t="s">
        <v>1635</v>
      </c>
      <c r="B1144" s="4">
        <v>45859</v>
      </c>
      <c r="C1144" s="3" t="s">
        <v>2028</v>
      </c>
      <c r="D1144" s="3" t="s">
        <v>2048</v>
      </c>
      <c r="E1144" s="3" t="s">
        <v>2057</v>
      </c>
      <c r="F1144" s="3" t="s">
        <v>2062</v>
      </c>
      <c r="G1144" s="3">
        <v>9</v>
      </c>
      <c r="H1144" s="3">
        <v>80</v>
      </c>
      <c r="I1144" s="3">
        <v>116</v>
      </c>
      <c r="J1144" s="3">
        <v>13.91</v>
      </c>
      <c r="K1144" s="3">
        <v>898.73</v>
      </c>
      <c r="L1144" s="3">
        <v>178.73</v>
      </c>
      <c r="M1144" s="3">
        <f t="shared" si="86"/>
        <v>14522.04</v>
      </c>
      <c r="N1144" s="3">
        <f t="shared" si="87"/>
        <v>720</v>
      </c>
      <c r="O1144" s="3">
        <f t="shared" si="88"/>
        <v>19.886951587239771</v>
      </c>
      <c r="P1144" s="3" t="str">
        <f t="shared" si="89"/>
        <v>Jul</v>
      </c>
      <c r="Q1144" s="3" t="str">
        <f t="shared" si="85"/>
        <v>good profit</v>
      </c>
    </row>
    <row r="1145" spans="1:17" x14ac:dyDescent="0.25">
      <c r="A1145" s="3" t="s">
        <v>1870</v>
      </c>
      <c r="B1145" s="4">
        <v>45859</v>
      </c>
      <c r="C1145" s="3" t="s">
        <v>2021</v>
      </c>
      <c r="D1145" s="3" t="s">
        <v>2041</v>
      </c>
      <c r="E1145" s="3" t="s">
        <v>2056</v>
      </c>
      <c r="F1145" s="3" t="s">
        <v>2060</v>
      </c>
      <c r="G1145" s="3">
        <v>6</v>
      </c>
      <c r="H1145" s="3">
        <v>300</v>
      </c>
      <c r="I1145" s="3">
        <v>405</v>
      </c>
      <c r="J1145" s="3">
        <v>17.75</v>
      </c>
      <c r="K1145" s="3">
        <v>1998.72</v>
      </c>
      <c r="L1145" s="3">
        <v>198.72</v>
      </c>
      <c r="M1145" s="3">
        <f t="shared" si="86"/>
        <v>43132.5</v>
      </c>
      <c r="N1145" s="3">
        <f t="shared" si="87"/>
        <v>1800</v>
      </c>
      <c r="O1145" s="3">
        <f t="shared" si="88"/>
        <v>9.9423631123919307</v>
      </c>
      <c r="P1145" s="3" t="str">
        <f t="shared" si="89"/>
        <v>Jul</v>
      </c>
      <c r="Q1145" s="3" t="str">
        <f t="shared" si="85"/>
        <v>low profit</v>
      </c>
    </row>
    <row r="1146" spans="1:17" x14ac:dyDescent="0.25">
      <c r="A1146" s="3" t="s">
        <v>2008</v>
      </c>
      <c r="B1146" s="4">
        <v>45859</v>
      </c>
      <c r="C1146" s="3" t="s">
        <v>2022</v>
      </c>
      <c r="D1146" s="3" t="s">
        <v>2042</v>
      </c>
      <c r="E1146" s="3" t="s">
        <v>2053</v>
      </c>
      <c r="F1146" s="3" t="s">
        <v>2062</v>
      </c>
      <c r="G1146" s="3">
        <v>1</v>
      </c>
      <c r="H1146" s="3">
        <v>8500</v>
      </c>
      <c r="I1146" s="3">
        <v>9520</v>
      </c>
      <c r="J1146" s="3">
        <v>16.75</v>
      </c>
      <c r="K1146" s="3">
        <v>7925.35</v>
      </c>
      <c r="L1146" s="3">
        <v>-574.65</v>
      </c>
      <c r="M1146" s="3">
        <f t="shared" si="86"/>
        <v>159460</v>
      </c>
      <c r="N1146" s="3">
        <f t="shared" si="87"/>
        <v>8500</v>
      </c>
      <c r="O1146" s="3">
        <f t="shared" si="88"/>
        <v>-7.250783877052748</v>
      </c>
      <c r="P1146" s="3" t="str">
        <f t="shared" si="89"/>
        <v>Jul</v>
      </c>
      <c r="Q1146" s="3" t="str">
        <f t="shared" si="85"/>
        <v>loss</v>
      </c>
    </row>
    <row r="1147" spans="1:17" x14ac:dyDescent="0.25">
      <c r="A1147" s="3" t="s">
        <v>239</v>
      </c>
      <c r="B1147" s="4">
        <v>45860</v>
      </c>
      <c r="C1147" s="3" t="s">
        <v>2028</v>
      </c>
      <c r="D1147" s="3" t="s">
        <v>2048</v>
      </c>
      <c r="E1147" s="3" t="s">
        <v>2057</v>
      </c>
      <c r="F1147" s="3" t="s">
        <v>2061</v>
      </c>
      <c r="G1147" s="3">
        <v>4</v>
      </c>
      <c r="H1147" s="3">
        <v>80</v>
      </c>
      <c r="I1147" s="3">
        <v>116</v>
      </c>
      <c r="J1147" s="3">
        <v>16.559999999999999</v>
      </c>
      <c r="K1147" s="3">
        <v>387.18</v>
      </c>
      <c r="L1147" s="3">
        <v>67.180000000000007</v>
      </c>
      <c r="M1147" s="3">
        <f t="shared" si="86"/>
        <v>7683.8399999999992</v>
      </c>
      <c r="N1147" s="3">
        <f t="shared" si="87"/>
        <v>320</v>
      </c>
      <c r="O1147" s="3">
        <f t="shared" si="88"/>
        <v>17.351102846221398</v>
      </c>
      <c r="P1147" s="3" t="str">
        <f t="shared" si="89"/>
        <v>Jul</v>
      </c>
      <c r="Q1147" s="3" t="str">
        <f t="shared" si="85"/>
        <v>good profit</v>
      </c>
    </row>
    <row r="1148" spans="1:17" x14ac:dyDescent="0.25">
      <c r="A1148" s="3" t="s">
        <v>343</v>
      </c>
      <c r="B1148" s="4">
        <v>45860</v>
      </c>
      <c r="C1148" s="3" t="s">
        <v>2014</v>
      </c>
      <c r="D1148" s="3" t="s">
        <v>2034</v>
      </c>
      <c r="E1148" s="3" t="s">
        <v>2052</v>
      </c>
      <c r="F1148" s="3" t="s">
        <v>2061</v>
      </c>
      <c r="G1148" s="3">
        <v>6</v>
      </c>
      <c r="H1148" s="3">
        <v>4500</v>
      </c>
      <c r="I1148" s="3">
        <v>5220</v>
      </c>
      <c r="J1148" s="3">
        <v>10.45</v>
      </c>
      <c r="K1148" s="3">
        <v>28048.33</v>
      </c>
      <c r="L1148" s="3">
        <v>1048.33</v>
      </c>
      <c r="M1148" s="3">
        <f t="shared" si="86"/>
        <v>327294</v>
      </c>
      <c r="N1148" s="3">
        <f t="shared" si="87"/>
        <v>27000</v>
      </c>
      <c r="O1148" s="3">
        <f t="shared" si="88"/>
        <v>3.7375843766812493</v>
      </c>
      <c r="P1148" s="3" t="str">
        <f t="shared" si="89"/>
        <v>Jul</v>
      </c>
      <c r="Q1148" s="3" t="str">
        <f t="shared" si="85"/>
        <v>low profit</v>
      </c>
    </row>
    <row r="1149" spans="1:17" x14ac:dyDescent="0.25">
      <c r="A1149" s="3" t="s">
        <v>576</v>
      </c>
      <c r="B1149" s="4">
        <v>45860</v>
      </c>
      <c r="C1149" s="3" t="s">
        <v>2028</v>
      </c>
      <c r="D1149" s="3" t="s">
        <v>2048</v>
      </c>
      <c r="E1149" s="3" t="s">
        <v>2057</v>
      </c>
      <c r="F1149" s="3" t="s">
        <v>2059</v>
      </c>
      <c r="G1149" s="3">
        <v>4</v>
      </c>
      <c r="H1149" s="3">
        <v>80</v>
      </c>
      <c r="I1149" s="3">
        <v>116</v>
      </c>
      <c r="J1149" s="3">
        <v>18.52</v>
      </c>
      <c r="K1149" s="3">
        <v>378.06</v>
      </c>
      <c r="L1149" s="3">
        <v>58.06</v>
      </c>
      <c r="M1149" s="3">
        <f t="shared" si="86"/>
        <v>8593.2800000000007</v>
      </c>
      <c r="N1149" s="3">
        <f t="shared" si="87"/>
        <v>320</v>
      </c>
      <c r="O1149" s="3">
        <f t="shared" si="88"/>
        <v>15.357350685076444</v>
      </c>
      <c r="P1149" s="3" t="str">
        <f t="shared" si="89"/>
        <v>Jul</v>
      </c>
      <c r="Q1149" s="3" t="str">
        <f t="shared" si="85"/>
        <v>good profit</v>
      </c>
    </row>
    <row r="1150" spans="1:17" x14ac:dyDescent="0.25">
      <c r="A1150" s="3" t="s">
        <v>852</v>
      </c>
      <c r="B1150" s="4">
        <v>45860</v>
      </c>
      <c r="C1150" s="3" t="s">
        <v>2021</v>
      </c>
      <c r="D1150" s="3" t="s">
        <v>2041</v>
      </c>
      <c r="E1150" s="3" t="s">
        <v>2056</v>
      </c>
      <c r="F1150" s="3" t="s">
        <v>2059</v>
      </c>
      <c r="G1150" s="3">
        <v>9</v>
      </c>
      <c r="H1150" s="3">
        <v>300</v>
      </c>
      <c r="I1150" s="3">
        <v>405</v>
      </c>
      <c r="J1150" s="3">
        <v>12.96</v>
      </c>
      <c r="K1150" s="3">
        <v>3172.6</v>
      </c>
      <c r="L1150" s="3">
        <v>472.6</v>
      </c>
      <c r="M1150" s="3">
        <f t="shared" si="86"/>
        <v>47239.200000000004</v>
      </c>
      <c r="N1150" s="3">
        <f t="shared" si="87"/>
        <v>2700</v>
      </c>
      <c r="O1150" s="3">
        <f t="shared" si="88"/>
        <v>14.896299565025531</v>
      </c>
      <c r="P1150" s="3" t="str">
        <f t="shared" si="89"/>
        <v>Jul</v>
      </c>
      <c r="Q1150" s="3" t="str">
        <f t="shared" si="85"/>
        <v>good profit</v>
      </c>
    </row>
    <row r="1151" spans="1:17" x14ac:dyDescent="0.25">
      <c r="A1151" s="3" t="s">
        <v>1224</v>
      </c>
      <c r="B1151" s="4">
        <v>45860</v>
      </c>
      <c r="C1151" s="3" t="s">
        <v>2017</v>
      </c>
      <c r="D1151" s="3" t="s">
        <v>2037</v>
      </c>
      <c r="E1151" s="3" t="s">
        <v>2055</v>
      </c>
      <c r="F1151" s="3" t="s">
        <v>2059</v>
      </c>
      <c r="G1151" s="3">
        <v>2</v>
      </c>
      <c r="H1151" s="3">
        <v>2500</v>
      </c>
      <c r="I1151" s="3">
        <v>2875</v>
      </c>
      <c r="J1151" s="3">
        <v>6.99</v>
      </c>
      <c r="K1151" s="3">
        <v>5348.2</v>
      </c>
      <c r="L1151" s="3">
        <v>348.2</v>
      </c>
      <c r="M1151" s="3">
        <f t="shared" si="86"/>
        <v>40192.5</v>
      </c>
      <c r="N1151" s="3">
        <f t="shared" si="87"/>
        <v>5000</v>
      </c>
      <c r="O1151" s="3">
        <f t="shared" si="88"/>
        <v>6.5106016977674734</v>
      </c>
      <c r="P1151" s="3" t="str">
        <f t="shared" si="89"/>
        <v>Jul</v>
      </c>
      <c r="Q1151" s="3" t="str">
        <f t="shared" si="85"/>
        <v>low profit</v>
      </c>
    </row>
    <row r="1152" spans="1:17" x14ac:dyDescent="0.25">
      <c r="A1152" s="3" t="s">
        <v>1765</v>
      </c>
      <c r="B1152" s="4">
        <v>45860</v>
      </c>
      <c r="C1152" s="3" t="s">
        <v>2031</v>
      </c>
      <c r="D1152" s="3" t="s">
        <v>2051</v>
      </c>
      <c r="E1152" s="3" t="s">
        <v>2058</v>
      </c>
      <c r="F1152" s="3" t="s">
        <v>2062</v>
      </c>
      <c r="G1152" s="3">
        <v>1</v>
      </c>
      <c r="H1152" s="3">
        <v>3200</v>
      </c>
      <c r="I1152" s="3">
        <v>3840</v>
      </c>
      <c r="J1152" s="3">
        <v>23.86</v>
      </c>
      <c r="K1152" s="3">
        <v>2923.68</v>
      </c>
      <c r="L1152" s="3">
        <v>-276.32</v>
      </c>
      <c r="M1152" s="3">
        <f t="shared" si="86"/>
        <v>91622.399999999994</v>
      </c>
      <c r="N1152" s="3">
        <f t="shared" si="87"/>
        <v>3200</v>
      </c>
      <c r="O1152" s="3">
        <f t="shared" si="88"/>
        <v>-9.451102719859902</v>
      </c>
      <c r="P1152" s="3" t="str">
        <f t="shared" si="89"/>
        <v>Jul</v>
      </c>
      <c r="Q1152" s="3" t="str">
        <f t="shared" si="85"/>
        <v>loss</v>
      </c>
    </row>
    <row r="1153" spans="1:17" x14ac:dyDescent="0.25">
      <c r="A1153" s="3" t="s">
        <v>1105</v>
      </c>
      <c r="B1153" s="4">
        <v>45861</v>
      </c>
      <c r="C1153" s="3" t="s">
        <v>2013</v>
      </c>
      <c r="D1153" s="3" t="s">
        <v>2033</v>
      </c>
      <c r="E1153" s="3" t="s">
        <v>2053</v>
      </c>
      <c r="F1153" s="3" t="s">
        <v>2061</v>
      </c>
      <c r="G1153" s="3">
        <v>9</v>
      </c>
      <c r="H1153" s="3">
        <v>6500</v>
      </c>
      <c r="I1153" s="3">
        <v>7150</v>
      </c>
      <c r="J1153" s="3">
        <v>17.47</v>
      </c>
      <c r="K1153" s="3">
        <v>53106.35</v>
      </c>
      <c r="L1153" s="3">
        <v>-5393.65</v>
      </c>
      <c r="M1153" s="3">
        <f t="shared" si="86"/>
        <v>1124194.5</v>
      </c>
      <c r="N1153" s="3">
        <f t="shared" si="87"/>
        <v>58500</v>
      </c>
      <c r="O1153" s="3">
        <f t="shared" si="88"/>
        <v>-10.1563184063676</v>
      </c>
      <c r="P1153" s="3" t="str">
        <f t="shared" si="89"/>
        <v>Jul</v>
      </c>
      <c r="Q1153" s="3" t="str">
        <f t="shared" si="85"/>
        <v>loss</v>
      </c>
    </row>
    <row r="1154" spans="1:17" x14ac:dyDescent="0.25">
      <c r="A1154" s="3" t="s">
        <v>1266</v>
      </c>
      <c r="B1154" s="4">
        <v>45861</v>
      </c>
      <c r="C1154" s="3" t="s">
        <v>2016</v>
      </c>
      <c r="D1154" s="3" t="s">
        <v>2036</v>
      </c>
      <c r="E1154" s="3" t="s">
        <v>2052</v>
      </c>
      <c r="F1154" s="3" t="s">
        <v>2060</v>
      </c>
      <c r="G1154" s="3">
        <v>8</v>
      </c>
      <c r="H1154" s="3">
        <v>900</v>
      </c>
      <c r="I1154" s="3">
        <v>1170</v>
      </c>
      <c r="J1154" s="3">
        <v>17.43</v>
      </c>
      <c r="K1154" s="3">
        <v>7728.23</v>
      </c>
      <c r="L1154" s="3">
        <v>528.23</v>
      </c>
      <c r="M1154" s="3">
        <f t="shared" si="86"/>
        <v>163144.79999999999</v>
      </c>
      <c r="N1154" s="3">
        <f t="shared" si="87"/>
        <v>7200</v>
      </c>
      <c r="O1154" s="3">
        <f t="shared" si="88"/>
        <v>6.8350709023929159</v>
      </c>
      <c r="P1154" s="3" t="str">
        <f t="shared" si="89"/>
        <v>Jul</v>
      </c>
      <c r="Q1154" s="3" t="str">
        <f t="shared" ref="Q1154:Q1217" si="90">IF(L1154&lt;0,"loss",IF(O1154&lt;10,"low profit","good profit"))</f>
        <v>low profit</v>
      </c>
    </row>
    <row r="1155" spans="1:17" x14ac:dyDescent="0.25">
      <c r="A1155" s="3" t="s">
        <v>1385</v>
      </c>
      <c r="B1155" s="4">
        <v>45861</v>
      </c>
      <c r="C1155" s="3" t="s">
        <v>2027</v>
      </c>
      <c r="D1155" s="3" t="s">
        <v>2047</v>
      </c>
      <c r="E1155" s="3" t="s">
        <v>2053</v>
      </c>
      <c r="F1155" s="3" t="s">
        <v>2062</v>
      </c>
      <c r="G1155" s="3">
        <v>8</v>
      </c>
      <c r="H1155" s="3">
        <v>1100</v>
      </c>
      <c r="I1155" s="3">
        <v>1298</v>
      </c>
      <c r="J1155" s="3">
        <v>20.28</v>
      </c>
      <c r="K1155" s="3">
        <v>8278.2999999999993</v>
      </c>
      <c r="L1155" s="3">
        <v>-521.70000000000005</v>
      </c>
      <c r="M1155" s="3">
        <f t="shared" ref="M1155:M1218" si="91">G1155*I1155*J1155</f>
        <v>210587.52000000002</v>
      </c>
      <c r="N1155" s="3">
        <f t="shared" ref="N1155:N1218" si="92">G1155*H1155</f>
        <v>8800</v>
      </c>
      <c r="O1155" s="3">
        <f t="shared" ref="O1155:O1218" si="93">IFERROR(L1155/K1155*100,0)</f>
        <v>-6.3020185303745953</v>
      </c>
      <c r="P1155" s="3" t="str">
        <f t="shared" ref="P1155:P1218" si="94">TEXT(B1155,"mmm")</f>
        <v>Jul</v>
      </c>
      <c r="Q1155" s="3" t="str">
        <f t="shared" si="90"/>
        <v>loss</v>
      </c>
    </row>
    <row r="1156" spans="1:17" x14ac:dyDescent="0.25">
      <c r="A1156" s="3" t="s">
        <v>1951</v>
      </c>
      <c r="B1156" s="4">
        <v>45861</v>
      </c>
      <c r="C1156" s="3" t="s">
        <v>2027</v>
      </c>
      <c r="D1156" s="3" t="s">
        <v>2047</v>
      </c>
      <c r="E1156" s="3" t="s">
        <v>2053</v>
      </c>
      <c r="F1156" s="3" t="s">
        <v>2062</v>
      </c>
      <c r="G1156" s="3">
        <v>8</v>
      </c>
      <c r="H1156" s="3">
        <v>1100</v>
      </c>
      <c r="I1156" s="3">
        <v>1298</v>
      </c>
      <c r="J1156" s="3">
        <v>6.65</v>
      </c>
      <c r="K1156" s="3">
        <v>9693.0499999999993</v>
      </c>
      <c r="L1156" s="3">
        <v>893.05</v>
      </c>
      <c r="M1156" s="3">
        <f t="shared" si="91"/>
        <v>69053.600000000006</v>
      </c>
      <c r="N1156" s="3">
        <f t="shared" si="92"/>
        <v>8800</v>
      </c>
      <c r="O1156" s="3">
        <f t="shared" si="93"/>
        <v>9.2133023145449577</v>
      </c>
      <c r="P1156" s="3" t="str">
        <f t="shared" si="94"/>
        <v>Jul</v>
      </c>
      <c r="Q1156" s="3" t="str">
        <f t="shared" si="90"/>
        <v>low profit</v>
      </c>
    </row>
    <row r="1157" spans="1:17" x14ac:dyDescent="0.25">
      <c r="A1157" s="3" t="s">
        <v>556</v>
      </c>
      <c r="B1157" s="4">
        <v>45862</v>
      </c>
      <c r="C1157" s="3" t="s">
        <v>2023</v>
      </c>
      <c r="D1157" s="3" t="s">
        <v>2043</v>
      </c>
      <c r="E1157" s="3" t="s">
        <v>2053</v>
      </c>
      <c r="F1157" s="3" t="s">
        <v>2060</v>
      </c>
      <c r="G1157" s="3">
        <v>1</v>
      </c>
      <c r="H1157" s="3">
        <v>550</v>
      </c>
      <c r="I1157" s="3">
        <v>742.5</v>
      </c>
      <c r="J1157" s="3">
        <v>6.38</v>
      </c>
      <c r="K1157" s="3">
        <v>695.15</v>
      </c>
      <c r="L1157" s="3">
        <v>145.15</v>
      </c>
      <c r="M1157" s="3">
        <f t="shared" si="91"/>
        <v>4737.1499999999996</v>
      </c>
      <c r="N1157" s="3">
        <f t="shared" si="92"/>
        <v>550</v>
      </c>
      <c r="O1157" s="3">
        <f t="shared" si="93"/>
        <v>20.880385528303243</v>
      </c>
      <c r="P1157" s="3" t="str">
        <f t="shared" si="94"/>
        <v>Jul</v>
      </c>
      <c r="Q1157" s="3" t="str">
        <f t="shared" si="90"/>
        <v>good profit</v>
      </c>
    </row>
    <row r="1158" spans="1:17" x14ac:dyDescent="0.25">
      <c r="A1158" s="3" t="s">
        <v>1373</v>
      </c>
      <c r="B1158" s="4">
        <v>45862</v>
      </c>
      <c r="C1158" s="3" t="s">
        <v>2014</v>
      </c>
      <c r="D1158" s="3" t="s">
        <v>2034</v>
      </c>
      <c r="E1158" s="3" t="s">
        <v>2052</v>
      </c>
      <c r="F1158" s="3" t="s">
        <v>2062</v>
      </c>
      <c r="G1158" s="3">
        <v>10</v>
      </c>
      <c r="H1158" s="3">
        <v>4500</v>
      </c>
      <c r="I1158" s="3">
        <v>5220</v>
      </c>
      <c r="J1158" s="3">
        <v>8.76</v>
      </c>
      <c r="K1158" s="3">
        <v>47627.55</v>
      </c>
      <c r="L1158" s="3">
        <v>2627.55</v>
      </c>
      <c r="M1158" s="3">
        <f t="shared" si="91"/>
        <v>457272</v>
      </c>
      <c r="N1158" s="3">
        <f t="shared" si="92"/>
        <v>45000</v>
      </c>
      <c r="O1158" s="3">
        <f t="shared" si="93"/>
        <v>5.5168699628681299</v>
      </c>
      <c r="P1158" s="3" t="str">
        <f t="shared" si="94"/>
        <v>Jul</v>
      </c>
      <c r="Q1158" s="3" t="str">
        <f t="shared" si="90"/>
        <v>low profit</v>
      </c>
    </row>
    <row r="1159" spans="1:17" x14ac:dyDescent="0.25">
      <c r="A1159" s="3" t="s">
        <v>1571</v>
      </c>
      <c r="B1159" s="4">
        <v>45862</v>
      </c>
      <c r="C1159" s="3" t="s">
        <v>2020</v>
      </c>
      <c r="D1159" s="3" t="s">
        <v>2040</v>
      </c>
      <c r="E1159" s="3" t="s">
        <v>2053</v>
      </c>
      <c r="F1159" s="3" t="s">
        <v>2061</v>
      </c>
      <c r="G1159" s="3">
        <v>5</v>
      </c>
      <c r="H1159" s="3">
        <v>350</v>
      </c>
      <c r="I1159" s="3">
        <v>455</v>
      </c>
      <c r="J1159" s="3">
        <v>10.5</v>
      </c>
      <c r="K1159" s="3">
        <v>2036.06</v>
      </c>
      <c r="L1159" s="3">
        <v>286.06</v>
      </c>
      <c r="M1159" s="3">
        <f t="shared" si="91"/>
        <v>23887.5</v>
      </c>
      <c r="N1159" s="3">
        <f t="shared" si="92"/>
        <v>1750</v>
      </c>
      <c r="O1159" s="3">
        <f t="shared" si="93"/>
        <v>14.049684193982495</v>
      </c>
      <c r="P1159" s="3" t="str">
        <f t="shared" si="94"/>
        <v>Jul</v>
      </c>
      <c r="Q1159" s="3" t="str">
        <f t="shared" si="90"/>
        <v>good profit</v>
      </c>
    </row>
    <row r="1160" spans="1:17" x14ac:dyDescent="0.25">
      <c r="A1160" s="3" t="s">
        <v>97</v>
      </c>
      <c r="B1160" s="4">
        <v>45863</v>
      </c>
      <c r="C1160" s="3" t="s">
        <v>2019</v>
      </c>
      <c r="D1160" s="3" t="s">
        <v>2039</v>
      </c>
      <c r="E1160" s="3" t="s">
        <v>2053</v>
      </c>
      <c r="F1160" s="3" t="s">
        <v>2060</v>
      </c>
      <c r="G1160" s="3">
        <v>4</v>
      </c>
      <c r="H1160" s="3">
        <v>900</v>
      </c>
      <c r="I1160" s="3">
        <v>1152</v>
      </c>
      <c r="J1160" s="3">
        <v>13.11</v>
      </c>
      <c r="K1160" s="3">
        <v>4003.75</v>
      </c>
      <c r="L1160" s="3">
        <v>403.75</v>
      </c>
      <c r="M1160" s="3">
        <f t="shared" si="91"/>
        <v>60410.879999999997</v>
      </c>
      <c r="N1160" s="3">
        <f t="shared" si="92"/>
        <v>3600</v>
      </c>
      <c r="O1160" s="3">
        <f t="shared" si="93"/>
        <v>10.084295972525757</v>
      </c>
      <c r="P1160" s="3" t="str">
        <f t="shared" si="94"/>
        <v>Jul</v>
      </c>
      <c r="Q1160" s="3" t="str">
        <f t="shared" si="90"/>
        <v>good profit</v>
      </c>
    </row>
    <row r="1161" spans="1:17" x14ac:dyDescent="0.25">
      <c r="A1161" s="3" t="s">
        <v>835</v>
      </c>
      <c r="B1161" s="4">
        <v>45863</v>
      </c>
      <c r="C1161" s="3" t="s">
        <v>2021</v>
      </c>
      <c r="D1161" s="3" t="s">
        <v>2041</v>
      </c>
      <c r="E1161" s="3" t="s">
        <v>2056</v>
      </c>
      <c r="F1161" s="3" t="s">
        <v>2060</v>
      </c>
      <c r="G1161" s="3">
        <v>1</v>
      </c>
      <c r="H1161" s="3">
        <v>300</v>
      </c>
      <c r="I1161" s="3">
        <v>405</v>
      </c>
      <c r="J1161" s="3">
        <v>17.18</v>
      </c>
      <c r="K1161" s="3">
        <v>335.41</v>
      </c>
      <c r="L1161" s="3">
        <v>35.409999999999997</v>
      </c>
      <c r="M1161" s="3">
        <f t="shared" si="91"/>
        <v>6957.9</v>
      </c>
      <c r="N1161" s="3">
        <f t="shared" si="92"/>
        <v>300</v>
      </c>
      <c r="O1161" s="3">
        <f t="shared" si="93"/>
        <v>10.557228466652752</v>
      </c>
      <c r="P1161" s="3" t="str">
        <f t="shared" si="94"/>
        <v>Jul</v>
      </c>
      <c r="Q1161" s="3" t="str">
        <f t="shared" si="90"/>
        <v>good profit</v>
      </c>
    </row>
    <row r="1162" spans="1:17" x14ac:dyDescent="0.25">
      <c r="A1162" s="3" t="s">
        <v>1746</v>
      </c>
      <c r="B1162" s="4">
        <v>45863</v>
      </c>
      <c r="C1162" s="3" t="s">
        <v>2027</v>
      </c>
      <c r="D1162" s="3" t="s">
        <v>2047</v>
      </c>
      <c r="E1162" s="3" t="s">
        <v>2053</v>
      </c>
      <c r="F1162" s="3" t="s">
        <v>2062</v>
      </c>
      <c r="G1162" s="3">
        <v>9</v>
      </c>
      <c r="H1162" s="3">
        <v>1100</v>
      </c>
      <c r="I1162" s="3">
        <v>1298</v>
      </c>
      <c r="J1162" s="3">
        <v>3.96</v>
      </c>
      <c r="K1162" s="3">
        <v>11219.85</v>
      </c>
      <c r="L1162" s="3">
        <v>1319.85</v>
      </c>
      <c r="M1162" s="3">
        <f t="shared" si="91"/>
        <v>46260.72</v>
      </c>
      <c r="N1162" s="3">
        <f t="shared" si="92"/>
        <v>9900</v>
      </c>
      <c r="O1162" s="3">
        <f t="shared" si="93"/>
        <v>11.763526250350939</v>
      </c>
      <c r="P1162" s="3" t="str">
        <f t="shared" si="94"/>
        <v>Jul</v>
      </c>
      <c r="Q1162" s="3" t="str">
        <f t="shared" si="90"/>
        <v>good profit</v>
      </c>
    </row>
    <row r="1163" spans="1:17" x14ac:dyDescent="0.25">
      <c r="A1163" s="3" t="s">
        <v>1856</v>
      </c>
      <c r="B1163" s="4">
        <v>45863</v>
      </c>
      <c r="C1163" s="3" t="s">
        <v>2021</v>
      </c>
      <c r="D1163" s="3" t="s">
        <v>2041</v>
      </c>
      <c r="E1163" s="3" t="s">
        <v>2056</v>
      </c>
      <c r="F1163" s="3" t="s">
        <v>2061</v>
      </c>
      <c r="G1163" s="3">
        <v>9</v>
      </c>
      <c r="H1163" s="3">
        <v>300</v>
      </c>
      <c r="I1163" s="3">
        <v>405</v>
      </c>
      <c r="J1163" s="3">
        <v>12.09</v>
      </c>
      <c r="K1163" s="3">
        <v>3204.15</v>
      </c>
      <c r="L1163" s="3">
        <v>504.15</v>
      </c>
      <c r="M1163" s="3">
        <f t="shared" si="91"/>
        <v>44068.05</v>
      </c>
      <c r="N1163" s="3">
        <f t="shared" si="92"/>
        <v>2700</v>
      </c>
      <c r="O1163" s="3">
        <f t="shared" si="93"/>
        <v>15.734282102897804</v>
      </c>
      <c r="P1163" s="3" t="str">
        <f t="shared" si="94"/>
        <v>Jul</v>
      </c>
      <c r="Q1163" s="3" t="str">
        <f t="shared" si="90"/>
        <v>good profit</v>
      </c>
    </row>
    <row r="1164" spans="1:17" x14ac:dyDescent="0.25">
      <c r="A1164" s="3" t="s">
        <v>1963</v>
      </c>
      <c r="B1164" s="4">
        <v>45863</v>
      </c>
      <c r="C1164" s="3" t="s">
        <v>2029</v>
      </c>
      <c r="D1164" s="3" t="s">
        <v>2049</v>
      </c>
      <c r="E1164" s="3" t="s">
        <v>2055</v>
      </c>
      <c r="F1164" s="3" t="s">
        <v>2061</v>
      </c>
      <c r="G1164" s="3">
        <v>4</v>
      </c>
      <c r="H1164" s="3">
        <v>1200</v>
      </c>
      <c r="I1164" s="3">
        <v>1464</v>
      </c>
      <c r="J1164" s="3">
        <v>10.66</v>
      </c>
      <c r="K1164" s="3">
        <v>5231.7</v>
      </c>
      <c r="L1164" s="3">
        <v>431.7</v>
      </c>
      <c r="M1164" s="3">
        <f t="shared" si="91"/>
        <v>62424.959999999999</v>
      </c>
      <c r="N1164" s="3">
        <f t="shared" si="92"/>
        <v>4800</v>
      </c>
      <c r="O1164" s="3">
        <f t="shared" si="93"/>
        <v>8.2516199323355703</v>
      </c>
      <c r="P1164" s="3" t="str">
        <f t="shared" si="94"/>
        <v>Jul</v>
      </c>
      <c r="Q1164" s="3" t="str">
        <f t="shared" si="90"/>
        <v>low profit</v>
      </c>
    </row>
    <row r="1165" spans="1:17" x14ac:dyDescent="0.25">
      <c r="A1165" s="3" t="s">
        <v>801</v>
      </c>
      <c r="B1165" s="4">
        <v>45864</v>
      </c>
      <c r="C1165" s="3" t="s">
        <v>2026</v>
      </c>
      <c r="D1165" s="3" t="s">
        <v>2046</v>
      </c>
      <c r="E1165" s="3" t="s">
        <v>2052</v>
      </c>
      <c r="F1165" s="3" t="s">
        <v>2060</v>
      </c>
      <c r="G1165" s="3">
        <v>3</v>
      </c>
      <c r="H1165" s="3">
        <v>3000</v>
      </c>
      <c r="I1165" s="3">
        <v>3600</v>
      </c>
      <c r="J1165" s="3">
        <v>10.119999999999999</v>
      </c>
      <c r="K1165" s="3">
        <v>9706.5</v>
      </c>
      <c r="L1165" s="3">
        <v>706.5</v>
      </c>
      <c r="M1165" s="3">
        <f t="shared" si="91"/>
        <v>109295.99999999999</v>
      </c>
      <c r="N1165" s="3">
        <f t="shared" si="92"/>
        <v>9000</v>
      </c>
      <c r="O1165" s="3">
        <f t="shared" si="93"/>
        <v>7.2786277236903105</v>
      </c>
      <c r="P1165" s="3" t="str">
        <f t="shared" si="94"/>
        <v>Jul</v>
      </c>
      <c r="Q1165" s="3" t="str">
        <f t="shared" si="90"/>
        <v>low profit</v>
      </c>
    </row>
    <row r="1166" spans="1:17" x14ac:dyDescent="0.25">
      <c r="A1166" s="3" t="s">
        <v>22</v>
      </c>
      <c r="B1166" s="4">
        <v>45865</v>
      </c>
      <c r="C1166" s="3" t="s">
        <v>2016</v>
      </c>
      <c r="D1166" s="3" t="s">
        <v>2036</v>
      </c>
      <c r="E1166" s="3" t="s">
        <v>2052</v>
      </c>
      <c r="F1166" s="3" t="s">
        <v>2061</v>
      </c>
      <c r="G1166" s="3">
        <v>4</v>
      </c>
      <c r="H1166" s="3">
        <v>900</v>
      </c>
      <c r="I1166" s="3">
        <v>1170</v>
      </c>
      <c r="J1166" s="3">
        <v>18.690000000000001</v>
      </c>
      <c r="K1166" s="3">
        <v>3805.32</v>
      </c>
      <c r="L1166" s="3">
        <v>205.32</v>
      </c>
      <c r="M1166" s="3">
        <f t="shared" si="91"/>
        <v>87469.200000000012</v>
      </c>
      <c r="N1166" s="3">
        <f t="shared" si="92"/>
        <v>3600</v>
      </c>
      <c r="O1166" s="3">
        <f t="shared" si="93"/>
        <v>5.3956040490681465</v>
      </c>
      <c r="P1166" s="3" t="str">
        <f t="shared" si="94"/>
        <v>Jul</v>
      </c>
      <c r="Q1166" s="3" t="str">
        <f t="shared" si="90"/>
        <v>low profit</v>
      </c>
    </row>
    <row r="1167" spans="1:17" x14ac:dyDescent="0.25">
      <c r="A1167" s="3" t="s">
        <v>1254</v>
      </c>
      <c r="B1167" s="4">
        <v>45865</v>
      </c>
      <c r="C1167" s="3" t="s">
        <v>2029</v>
      </c>
      <c r="D1167" s="3" t="s">
        <v>2049</v>
      </c>
      <c r="E1167" s="3" t="s">
        <v>2055</v>
      </c>
      <c r="F1167" s="3" t="s">
        <v>2060</v>
      </c>
      <c r="G1167" s="3">
        <v>10</v>
      </c>
      <c r="H1167" s="3">
        <v>1200</v>
      </c>
      <c r="I1167" s="3">
        <v>1464</v>
      </c>
      <c r="J1167" s="3">
        <v>14.04</v>
      </c>
      <c r="K1167" s="3">
        <v>12584.1</v>
      </c>
      <c r="L1167" s="3">
        <v>584.1</v>
      </c>
      <c r="M1167" s="3">
        <f t="shared" si="91"/>
        <v>205545.59999999998</v>
      </c>
      <c r="N1167" s="3">
        <f t="shared" si="92"/>
        <v>12000</v>
      </c>
      <c r="O1167" s="3">
        <f t="shared" si="93"/>
        <v>4.6415715069015668</v>
      </c>
      <c r="P1167" s="3" t="str">
        <f t="shared" si="94"/>
        <v>Jul</v>
      </c>
      <c r="Q1167" s="3" t="str">
        <f t="shared" si="90"/>
        <v>low profit</v>
      </c>
    </row>
    <row r="1168" spans="1:17" x14ac:dyDescent="0.25">
      <c r="A1168" s="3" t="s">
        <v>1551</v>
      </c>
      <c r="B1168" s="4">
        <v>45865</v>
      </c>
      <c r="C1168" s="3" t="s">
        <v>2015</v>
      </c>
      <c r="D1168" s="3" t="s">
        <v>2035</v>
      </c>
      <c r="E1168" s="3" t="s">
        <v>2054</v>
      </c>
      <c r="F1168" s="3" t="s">
        <v>2062</v>
      </c>
      <c r="G1168" s="3">
        <v>3</v>
      </c>
      <c r="H1168" s="3">
        <v>900</v>
      </c>
      <c r="I1168" s="3">
        <v>1170</v>
      </c>
      <c r="J1168" s="3">
        <v>10.61</v>
      </c>
      <c r="K1168" s="3">
        <v>3137.68</v>
      </c>
      <c r="L1168" s="3">
        <v>437.68</v>
      </c>
      <c r="M1168" s="3">
        <f t="shared" si="91"/>
        <v>37241.1</v>
      </c>
      <c r="N1168" s="3">
        <f t="shared" si="92"/>
        <v>2700</v>
      </c>
      <c r="O1168" s="3">
        <f t="shared" si="93"/>
        <v>13.949159888835064</v>
      </c>
      <c r="P1168" s="3" t="str">
        <f t="shared" si="94"/>
        <v>Jul</v>
      </c>
      <c r="Q1168" s="3" t="str">
        <f t="shared" si="90"/>
        <v>good profit</v>
      </c>
    </row>
    <row r="1169" spans="1:17" x14ac:dyDescent="0.25">
      <c r="A1169" s="3" t="s">
        <v>405</v>
      </c>
      <c r="B1169" s="4">
        <v>45866</v>
      </c>
      <c r="C1169" s="3" t="s">
        <v>2018</v>
      </c>
      <c r="D1169" s="3" t="s">
        <v>2038</v>
      </c>
      <c r="E1169" s="3" t="s">
        <v>2053</v>
      </c>
      <c r="F1169" s="3" t="s">
        <v>2062</v>
      </c>
      <c r="G1169" s="3">
        <v>1</v>
      </c>
      <c r="H1169" s="3">
        <v>500</v>
      </c>
      <c r="I1169" s="3">
        <v>610</v>
      </c>
      <c r="J1169" s="3">
        <v>6.23</v>
      </c>
      <c r="K1169" s="3">
        <v>572.02</v>
      </c>
      <c r="L1169" s="3">
        <v>72.02</v>
      </c>
      <c r="M1169" s="3">
        <f t="shared" si="91"/>
        <v>3800.3</v>
      </c>
      <c r="N1169" s="3">
        <f t="shared" si="92"/>
        <v>500</v>
      </c>
      <c r="O1169" s="3">
        <f t="shared" si="93"/>
        <v>12.590468864725009</v>
      </c>
      <c r="P1169" s="3" t="str">
        <f t="shared" si="94"/>
        <v>Jul</v>
      </c>
      <c r="Q1169" s="3" t="str">
        <f t="shared" si="90"/>
        <v>good profit</v>
      </c>
    </row>
    <row r="1170" spans="1:17" x14ac:dyDescent="0.25">
      <c r="A1170" s="3" t="s">
        <v>1395</v>
      </c>
      <c r="B1170" s="4">
        <v>45866</v>
      </c>
      <c r="C1170" s="3" t="s">
        <v>2019</v>
      </c>
      <c r="D1170" s="3" t="s">
        <v>2039</v>
      </c>
      <c r="E1170" s="3" t="s">
        <v>2053</v>
      </c>
      <c r="F1170" s="3" t="s">
        <v>2059</v>
      </c>
      <c r="G1170" s="3">
        <v>4</v>
      </c>
      <c r="H1170" s="3">
        <v>900</v>
      </c>
      <c r="I1170" s="3">
        <v>1152</v>
      </c>
      <c r="J1170" s="3">
        <v>20.66</v>
      </c>
      <c r="K1170" s="3">
        <v>3656.22</v>
      </c>
      <c r="L1170" s="3">
        <v>56.22</v>
      </c>
      <c r="M1170" s="3">
        <f t="shared" si="91"/>
        <v>95201.279999999999</v>
      </c>
      <c r="N1170" s="3">
        <f t="shared" si="92"/>
        <v>3600</v>
      </c>
      <c r="O1170" s="3">
        <f t="shared" si="93"/>
        <v>1.5376536422862959</v>
      </c>
      <c r="P1170" s="3" t="str">
        <f t="shared" si="94"/>
        <v>Jul</v>
      </c>
      <c r="Q1170" s="3" t="str">
        <f t="shared" si="90"/>
        <v>low profit</v>
      </c>
    </row>
    <row r="1171" spans="1:17" x14ac:dyDescent="0.25">
      <c r="A1171" s="3" t="s">
        <v>1646</v>
      </c>
      <c r="B1171" s="4">
        <v>45866</v>
      </c>
      <c r="C1171" s="3" t="s">
        <v>2027</v>
      </c>
      <c r="D1171" s="3" t="s">
        <v>2047</v>
      </c>
      <c r="E1171" s="3" t="s">
        <v>2053</v>
      </c>
      <c r="F1171" s="3" t="s">
        <v>2061</v>
      </c>
      <c r="G1171" s="3">
        <v>10</v>
      </c>
      <c r="H1171" s="3">
        <v>1100</v>
      </c>
      <c r="I1171" s="3">
        <v>1298</v>
      </c>
      <c r="J1171" s="3">
        <v>5.94</v>
      </c>
      <c r="K1171" s="3">
        <v>12209.62</v>
      </c>
      <c r="L1171" s="3">
        <v>1209.6199999999999</v>
      </c>
      <c r="M1171" s="3">
        <f t="shared" si="91"/>
        <v>77101.200000000012</v>
      </c>
      <c r="N1171" s="3">
        <f t="shared" si="92"/>
        <v>11000</v>
      </c>
      <c r="O1171" s="3">
        <f t="shared" si="93"/>
        <v>9.9071060360600889</v>
      </c>
      <c r="P1171" s="3" t="str">
        <f t="shared" si="94"/>
        <v>Jul</v>
      </c>
      <c r="Q1171" s="3" t="str">
        <f t="shared" si="90"/>
        <v>low profit</v>
      </c>
    </row>
    <row r="1172" spans="1:17" x14ac:dyDescent="0.25">
      <c r="A1172" s="3" t="s">
        <v>684</v>
      </c>
      <c r="B1172" s="4">
        <v>45867</v>
      </c>
      <c r="C1172" s="3" t="s">
        <v>2023</v>
      </c>
      <c r="D1172" s="3" t="s">
        <v>2043</v>
      </c>
      <c r="E1172" s="3" t="s">
        <v>2053</v>
      </c>
      <c r="F1172" s="3" t="s">
        <v>2060</v>
      </c>
      <c r="G1172" s="3">
        <v>6</v>
      </c>
      <c r="H1172" s="3">
        <v>550</v>
      </c>
      <c r="I1172" s="3">
        <v>742.5</v>
      </c>
      <c r="J1172" s="3">
        <v>5.72</v>
      </c>
      <c r="K1172" s="3">
        <v>4200.37</v>
      </c>
      <c r="L1172" s="3">
        <v>900.37</v>
      </c>
      <c r="M1172" s="3">
        <f t="shared" si="91"/>
        <v>25482.6</v>
      </c>
      <c r="N1172" s="3">
        <f t="shared" si="92"/>
        <v>3300</v>
      </c>
      <c r="O1172" s="3">
        <f t="shared" si="93"/>
        <v>21.435492587557764</v>
      </c>
      <c r="P1172" s="3" t="str">
        <f t="shared" si="94"/>
        <v>Jul</v>
      </c>
      <c r="Q1172" s="3" t="str">
        <f t="shared" si="90"/>
        <v>good profit</v>
      </c>
    </row>
    <row r="1173" spans="1:17" x14ac:dyDescent="0.25">
      <c r="A1173" s="3" t="s">
        <v>802</v>
      </c>
      <c r="B1173" s="4">
        <v>45867</v>
      </c>
      <c r="C1173" s="3" t="s">
        <v>2018</v>
      </c>
      <c r="D1173" s="3" t="s">
        <v>2038</v>
      </c>
      <c r="E1173" s="3" t="s">
        <v>2053</v>
      </c>
      <c r="F1173" s="3" t="s">
        <v>2061</v>
      </c>
      <c r="G1173" s="3">
        <v>7</v>
      </c>
      <c r="H1173" s="3">
        <v>500</v>
      </c>
      <c r="I1173" s="3">
        <v>610</v>
      </c>
      <c r="J1173" s="3">
        <v>14.01</v>
      </c>
      <c r="K1173" s="3">
        <v>3671.75</v>
      </c>
      <c r="L1173" s="3">
        <v>171.75</v>
      </c>
      <c r="M1173" s="3">
        <f t="shared" si="91"/>
        <v>59822.7</v>
      </c>
      <c r="N1173" s="3">
        <f t="shared" si="92"/>
        <v>3500</v>
      </c>
      <c r="O1173" s="3">
        <f t="shared" si="93"/>
        <v>4.6776060461632731</v>
      </c>
      <c r="P1173" s="3" t="str">
        <f t="shared" si="94"/>
        <v>Jul</v>
      </c>
      <c r="Q1173" s="3" t="str">
        <f t="shared" si="90"/>
        <v>low profit</v>
      </c>
    </row>
    <row r="1174" spans="1:17" x14ac:dyDescent="0.25">
      <c r="A1174" s="3" t="s">
        <v>928</v>
      </c>
      <c r="B1174" s="4">
        <v>45867</v>
      </c>
      <c r="C1174" s="3" t="s">
        <v>2022</v>
      </c>
      <c r="D1174" s="3" t="s">
        <v>2042</v>
      </c>
      <c r="E1174" s="3" t="s">
        <v>2053</v>
      </c>
      <c r="F1174" s="3" t="s">
        <v>2060</v>
      </c>
      <c r="G1174" s="3">
        <v>9</v>
      </c>
      <c r="H1174" s="3">
        <v>8500</v>
      </c>
      <c r="I1174" s="3">
        <v>9520</v>
      </c>
      <c r="J1174" s="3">
        <v>4</v>
      </c>
      <c r="K1174" s="3">
        <v>82252.800000000003</v>
      </c>
      <c r="L1174" s="3">
        <v>5752.8</v>
      </c>
      <c r="M1174" s="3">
        <f t="shared" si="91"/>
        <v>342720</v>
      </c>
      <c r="N1174" s="3">
        <f t="shared" si="92"/>
        <v>76500</v>
      </c>
      <c r="O1174" s="3">
        <f t="shared" si="93"/>
        <v>6.9940476190476195</v>
      </c>
      <c r="P1174" s="3" t="str">
        <f t="shared" si="94"/>
        <v>Jul</v>
      </c>
      <c r="Q1174" s="3" t="str">
        <f t="shared" si="90"/>
        <v>low profit</v>
      </c>
    </row>
    <row r="1175" spans="1:17" x14ac:dyDescent="0.25">
      <c r="A1175" s="3" t="s">
        <v>1029</v>
      </c>
      <c r="B1175" s="4">
        <v>45867</v>
      </c>
      <c r="C1175" s="3" t="s">
        <v>2013</v>
      </c>
      <c r="D1175" s="3" t="s">
        <v>2033</v>
      </c>
      <c r="E1175" s="3" t="s">
        <v>2053</v>
      </c>
      <c r="F1175" s="3" t="s">
        <v>2062</v>
      </c>
      <c r="G1175" s="3">
        <v>9</v>
      </c>
      <c r="H1175" s="3">
        <v>6500</v>
      </c>
      <c r="I1175" s="3">
        <v>7150</v>
      </c>
      <c r="J1175" s="3">
        <v>14.13</v>
      </c>
      <c r="K1175" s="3">
        <v>55257.73</v>
      </c>
      <c r="L1175" s="3">
        <v>-3242.27</v>
      </c>
      <c r="M1175" s="3">
        <f t="shared" si="91"/>
        <v>909265.5</v>
      </c>
      <c r="N1175" s="3">
        <f t="shared" si="92"/>
        <v>58500</v>
      </c>
      <c r="O1175" s="3">
        <f t="shared" si="93"/>
        <v>-5.8675410662001495</v>
      </c>
      <c r="P1175" s="3" t="str">
        <f t="shared" si="94"/>
        <v>Jul</v>
      </c>
      <c r="Q1175" s="3" t="str">
        <f t="shared" si="90"/>
        <v>loss</v>
      </c>
    </row>
    <row r="1176" spans="1:17" x14ac:dyDescent="0.25">
      <c r="A1176" s="3" t="s">
        <v>1458</v>
      </c>
      <c r="B1176" s="4">
        <v>45867</v>
      </c>
      <c r="C1176" s="3" t="s">
        <v>2025</v>
      </c>
      <c r="D1176" s="3" t="s">
        <v>2045</v>
      </c>
      <c r="E1176" s="3" t="s">
        <v>2057</v>
      </c>
      <c r="F1176" s="3" t="s">
        <v>2060</v>
      </c>
      <c r="G1176" s="3">
        <v>7</v>
      </c>
      <c r="H1176" s="3">
        <v>45</v>
      </c>
      <c r="I1176" s="3">
        <v>63</v>
      </c>
      <c r="J1176" s="3">
        <v>14</v>
      </c>
      <c r="K1176" s="3">
        <v>379.26</v>
      </c>
      <c r="L1176" s="3">
        <v>64.260000000000005</v>
      </c>
      <c r="M1176" s="3">
        <f t="shared" si="91"/>
        <v>6174</v>
      </c>
      <c r="N1176" s="3">
        <f t="shared" si="92"/>
        <v>315</v>
      </c>
      <c r="O1176" s="3">
        <f t="shared" si="93"/>
        <v>16.943521594684388</v>
      </c>
      <c r="P1176" s="3" t="str">
        <f t="shared" si="94"/>
        <v>Jul</v>
      </c>
      <c r="Q1176" s="3" t="str">
        <f t="shared" si="90"/>
        <v>good profit</v>
      </c>
    </row>
    <row r="1177" spans="1:17" x14ac:dyDescent="0.25">
      <c r="A1177" s="3" t="s">
        <v>1633</v>
      </c>
      <c r="B1177" s="4">
        <v>45867</v>
      </c>
      <c r="C1177" s="3" t="s">
        <v>2017</v>
      </c>
      <c r="D1177" s="3" t="s">
        <v>2037</v>
      </c>
      <c r="E1177" s="3" t="s">
        <v>2055</v>
      </c>
      <c r="F1177" s="3" t="s">
        <v>2062</v>
      </c>
      <c r="G1177" s="3">
        <v>9</v>
      </c>
      <c r="H1177" s="3">
        <v>2500</v>
      </c>
      <c r="I1177" s="3">
        <v>2875</v>
      </c>
      <c r="J1177" s="3">
        <v>3.45</v>
      </c>
      <c r="K1177" s="3">
        <v>24982.58</v>
      </c>
      <c r="L1177" s="3">
        <v>2482.58</v>
      </c>
      <c r="M1177" s="3">
        <f t="shared" si="91"/>
        <v>89268.75</v>
      </c>
      <c r="N1177" s="3">
        <f t="shared" si="92"/>
        <v>22500</v>
      </c>
      <c r="O1177" s="3">
        <f t="shared" si="93"/>
        <v>9.9372442718085949</v>
      </c>
      <c r="P1177" s="3" t="str">
        <f t="shared" si="94"/>
        <v>Jul</v>
      </c>
      <c r="Q1177" s="3" t="str">
        <f t="shared" si="90"/>
        <v>low profit</v>
      </c>
    </row>
    <row r="1178" spans="1:17" x14ac:dyDescent="0.25">
      <c r="A1178" s="3" t="s">
        <v>1968</v>
      </c>
      <c r="B1178" s="4">
        <v>45867</v>
      </c>
      <c r="C1178" s="3" t="s">
        <v>2024</v>
      </c>
      <c r="D1178" s="3" t="s">
        <v>2044</v>
      </c>
      <c r="E1178" s="3" t="s">
        <v>2055</v>
      </c>
      <c r="F1178" s="3" t="s">
        <v>2061</v>
      </c>
      <c r="G1178" s="3">
        <v>7</v>
      </c>
      <c r="H1178" s="3">
        <v>180</v>
      </c>
      <c r="I1178" s="3">
        <v>243</v>
      </c>
      <c r="J1178" s="3">
        <v>9.99</v>
      </c>
      <c r="K1178" s="3">
        <v>1531.06</v>
      </c>
      <c r="L1178" s="3">
        <v>271.06</v>
      </c>
      <c r="M1178" s="3">
        <f t="shared" si="91"/>
        <v>16992.990000000002</v>
      </c>
      <c r="N1178" s="3">
        <f t="shared" si="92"/>
        <v>1260</v>
      </c>
      <c r="O1178" s="3">
        <f t="shared" si="93"/>
        <v>17.704074301464345</v>
      </c>
      <c r="P1178" s="3" t="str">
        <f t="shared" si="94"/>
        <v>Jul</v>
      </c>
      <c r="Q1178" s="3" t="str">
        <f t="shared" si="90"/>
        <v>good profit</v>
      </c>
    </row>
    <row r="1179" spans="1:17" x14ac:dyDescent="0.25">
      <c r="A1179" s="3" t="s">
        <v>267</v>
      </c>
      <c r="B1179" s="4">
        <v>45868</v>
      </c>
      <c r="C1179" s="3" t="s">
        <v>2023</v>
      </c>
      <c r="D1179" s="3" t="s">
        <v>2043</v>
      </c>
      <c r="E1179" s="3" t="s">
        <v>2053</v>
      </c>
      <c r="F1179" s="3" t="s">
        <v>2062</v>
      </c>
      <c r="G1179" s="3">
        <v>8</v>
      </c>
      <c r="H1179" s="3">
        <v>550</v>
      </c>
      <c r="I1179" s="3">
        <v>742.5</v>
      </c>
      <c r="J1179" s="3">
        <v>19.78</v>
      </c>
      <c r="K1179" s="3">
        <v>4765.16</v>
      </c>
      <c r="L1179" s="3">
        <v>365.16</v>
      </c>
      <c r="M1179" s="3">
        <f t="shared" si="91"/>
        <v>117493.20000000001</v>
      </c>
      <c r="N1179" s="3">
        <f t="shared" si="92"/>
        <v>4400</v>
      </c>
      <c r="O1179" s="3">
        <f t="shared" si="93"/>
        <v>7.6631214901493339</v>
      </c>
      <c r="P1179" s="3" t="str">
        <f t="shared" si="94"/>
        <v>Jul</v>
      </c>
      <c r="Q1179" s="3" t="str">
        <f t="shared" si="90"/>
        <v>low profit</v>
      </c>
    </row>
    <row r="1180" spans="1:17" x14ac:dyDescent="0.25">
      <c r="A1180" s="3" t="s">
        <v>414</v>
      </c>
      <c r="B1180" s="4">
        <v>45868</v>
      </c>
      <c r="C1180" s="3" t="s">
        <v>2017</v>
      </c>
      <c r="D1180" s="3" t="s">
        <v>2037</v>
      </c>
      <c r="E1180" s="3" t="s">
        <v>2055</v>
      </c>
      <c r="F1180" s="3" t="s">
        <v>2059</v>
      </c>
      <c r="G1180" s="3">
        <v>4</v>
      </c>
      <c r="H1180" s="3">
        <v>2500</v>
      </c>
      <c r="I1180" s="3">
        <v>2875</v>
      </c>
      <c r="J1180" s="3">
        <v>9.0399999999999991</v>
      </c>
      <c r="K1180" s="3">
        <v>10460.23</v>
      </c>
      <c r="L1180" s="3">
        <v>460.23</v>
      </c>
      <c r="M1180" s="3">
        <f t="shared" si="91"/>
        <v>103959.99999999999</v>
      </c>
      <c r="N1180" s="3">
        <f t="shared" si="92"/>
        <v>10000</v>
      </c>
      <c r="O1180" s="3">
        <f t="shared" si="93"/>
        <v>4.3998076524129974</v>
      </c>
      <c r="P1180" s="3" t="str">
        <f t="shared" si="94"/>
        <v>Jul</v>
      </c>
      <c r="Q1180" s="3" t="str">
        <f t="shared" si="90"/>
        <v>low profit</v>
      </c>
    </row>
    <row r="1181" spans="1:17" x14ac:dyDescent="0.25">
      <c r="A1181" s="3" t="s">
        <v>456</v>
      </c>
      <c r="B1181" s="4">
        <v>45868</v>
      </c>
      <c r="C1181" s="3" t="s">
        <v>2031</v>
      </c>
      <c r="D1181" s="3" t="s">
        <v>2051</v>
      </c>
      <c r="E1181" s="3" t="s">
        <v>2058</v>
      </c>
      <c r="F1181" s="3" t="s">
        <v>2062</v>
      </c>
      <c r="G1181" s="3">
        <v>3</v>
      </c>
      <c r="H1181" s="3">
        <v>3200</v>
      </c>
      <c r="I1181" s="3">
        <v>3840</v>
      </c>
      <c r="J1181" s="3">
        <v>15.56</v>
      </c>
      <c r="K1181" s="3">
        <v>9727.2999999999993</v>
      </c>
      <c r="L1181" s="3">
        <v>127.3</v>
      </c>
      <c r="M1181" s="3">
        <f t="shared" si="91"/>
        <v>179251.20000000001</v>
      </c>
      <c r="N1181" s="3">
        <f t="shared" si="92"/>
        <v>9600</v>
      </c>
      <c r="O1181" s="3">
        <f t="shared" si="93"/>
        <v>1.3086879195665808</v>
      </c>
      <c r="P1181" s="3" t="str">
        <f t="shared" si="94"/>
        <v>Jul</v>
      </c>
      <c r="Q1181" s="3" t="str">
        <f t="shared" si="90"/>
        <v>low profit</v>
      </c>
    </row>
    <row r="1182" spans="1:17" x14ac:dyDescent="0.25">
      <c r="A1182" s="3" t="s">
        <v>737</v>
      </c>
      <c r="B1182" s="4">
        <v>45868</v>
      </c>
      <c r="C1182" s="3" t="s">
        <v>2024</v>
      </c>
      <c r="D1182" s="3" t="s">
        <v>2044</v>
      </c>
      <c r="E1182" s="3" t="s">
        <v>2055</v>
      </c>
      <c r="F1182" s="3" t="s">
        <v>2061</v>
      </c>
      <c r="G1182" s="3">
        <v>6</v>
      </c>
      <c r="H1182" s="3">
        <v>180</v>
      </c>
      <c r="I1182" s="3">
        <v>243</v>
      </c>
      <c r="J1182" s="3">
        <v>13.75</v>
      </c>
      <c r="K1182" s="3">
        <v>1257.5899999999999</v>
      </c>
      <c r="L1182" s="3">
        <v>177.59</v>
      </c>
      <c r="M1182" s="3">
        <f t="shared" si="91"/>
        <v>20047.5</v>
      </c>
      <c r="N1182" s="3">
        <f t="shared" si="92"/>
        <v>1080</v>
      </c>
      <c r="O1182" s="3">
        <f t="shared" si="93"/>
        <v>14.121454528105346</v>
      </c>
      <c r="P1182" s="3" t="str">
        <f t="shared" si="94"/>
        <v>Jul</v>
      </c>
      <c r="Q1182" s="3" t="str">
        <f t="shared" si="90"/>
        <v>good profit</v>
      </c>
    </row>
    <row r="1183" spans="1:17" x14ac:dyDescent="0.25">
      <c r="A1183" s="3" t="s">
        <v>1441</v>
      </c>
      <c r="B1183" s="4">
        <v>45868</v>
      </c>
      <c r="C1183" s="3" t="s">
        <v>2026</v>
      </c>
      <c r="D1183" s="3" t="s">
        <v>2046</v>
      </c>
      <c r="E1183" s="3" t="s">
        <v>2052</v>
      </c>
      <c r="F1183" s="3" t="s">
        <v>2061</v>
      </c>
      <c r="G1183" s="3">
        <v>9</v>
      </c>
      <c r="H1183" s="3">
        <v>3000</v>
      </c>
      <c r="I1183" s="3">
        <v>3600</v>
      </c>
      <c r="J1183" s="3">
        <v>20.41</v>
      </c>
      <c r="K1183" s="3">
        <v>25788.73</v>
      </c>
      <c r="L1183" s="3">
        <v>-1211.27</v>
      </c>
      <c r="M1183" s="3">
        <f t="shared" si="91"/>
        <v>661284</v>
      </c>
      <c r="N1183" s="3">
        <f t="shared" si="92"/>
        <v>27000</v>
      </c>
      <c r="O1183" s="3">
        <f t="shared" si="93"/>
        <v>-4.6968966676528856</v>
      </c>
      <c r="P1183" s="3" t="str">
        <f t="shared" si="94"/>
        <v>Jul</v>
      </c>
      <c r="Q1183" s="3" t="str">
        <f t="shared" si="90"/>
        <v>loss</v>
      </c>
    </row>
    <row r="1184" spans="1:17" x14ac:dyDescent="0.25">
      <c r="A1184" s="3" t="s">
        <v>771</v>
      </c>
      <c r="B1184" s="4">
        <v>45869</v>
      </c>
      <c r="C1184" s="3" t="s">
        <v>2031</v>
      </c>
      <c r="D1184" s="3" t="s">
        <v>2051</v>
      </c>
      <c r="E1184" s="3" t="s">
        <v>2058</v>
      </c>
      <c r="F1184" s="3" t="s">
        <v>2060</v>
      </c>
      <c r="G1184" s="3">
        <v>8</v>
      </c>
      <c r="H1184" s="3">
        <v>3200</v>
      </c>
      <c r="I1184" s="3">
        <v>3840</v>
      </c>
      <c r="J1184" s="3">
        <v>16.760000000000002</v>
      </c>
      <c r="K1184" s="3">
        <v>25571.09</v>
      </c>
      <c r="L1184" s="3">
        <v>-28.91</v>
      </c>
      <c r="M1184" s="3">
        <f t="shared" si="91"/>
        <v>514867.20000000007</v>
      </c>
      <c r="N1184" s="3">
        <f t="shared" si="92"/>
        <v>25600</v>
      </c>
      <c r="O1184" s="3">
        <f t="shared" si="93"/>
        <v>-0.11305736282653575</v>
      </c>
      <c r="P1184" s="3" t="str">
        <f t="shared" si="94"/>
        <v>Jul</v>
      </c>
      <c r="Q1184" s="3" t="str">
        <f t="shared" si="90"/>
        <v>loss</v>
      </c>
    </row>
    <row r="1185" spans="1:17" x14ac:dyDescent="0.25">
      <c r="A1185" s="3" t="s">
        <v>1839</v>
      </c>
      <c r="B1185" s="4">
        <v>45869</v>
      </c>
      <c r="C1185" s="3" t="s">
        <v>2019</v>
      </c>
      <c r="D1185" s="3" t="s">
        <v>2039</v>
      </c>
      <c r="E1185" s="3" t="s">
        <v>2053</v>
      </c>
      <c r="F1185" s="3" t="s">
        <v>2061</v>
      </c>
      <c r="G1185" s="3">
        <v>4</v>
      </c>
      <c r="H1185" s="3">
        <v>900</v>
      </c>
      <c r="I1185" s="3">
        <v>1152</v>
      </c>
      <c r="J1185" s="3">
        <v>18.239999999999998</v>
      </c>
      <c r="K1185" s="3">
        <v>3767.64</v>
      </c>
      <c r="L1185" s="3">
        <v>167.64</v>
      </c>
      <c r="M1185" s="3">
        <f t="shared" si="91"/>
        <v>84049.919999999998</v>
      </c>
      <c r="N1185" s="3">
        <f t="shared" si="92"/>
        <v>3600</v>
      </c>
      <c r="O1185" s="3">
        <f t="shared" si="93"/>
        <v>4.4494696945568046</v>
      </c>
      <c r="P1185" s="3" t="str">
        <f t="shared" si="94"/>
        <v>Jul</v>
      </c>
      <c r="Q1185" s="3" t="str">
        <f t="shared" si="90"/>
        <v>low profit</v>
      </c>
    </row>
    <row r="1186" spans="1:17" x14ac:dyDescent="0.25">
      <c r="A1186" s="3" t="s">
        <v>194</v>
      </c>
      <c r="B1186" s="4">
        <v>45870</v>
      </c>
      <c r="C1186" s="3" t="s">
        <v>2015</v>
      </c>
      <c r="D1186" s="3" t="s">
        <v>2035</v>
      </c>
      <c r="E1186" s="3" t="s">
        <v>2054</v>
      </c>
      <c r="F1186" s="3" t="s">
        <v>2060</v>
      </c>
      <c r="G1186" s="3">
        <v>3</v>
      </c>
      <c r="H1186" s="3">
        <v>900</v>
      </c>
      <c r="I1186" s="3">
        <v>1170</v>
      </c>
      <c r="J1186" s="3">
        <v>10</v>
      </c>
      <c r="K1186" s="3">
        <v>3158.83</v>
      </c>
      <c r="L1186" s="3">
        <v>458.83</v>
      </c>
      <c r="M1186" s="3">
        <f t="shared" si="91"/>
        <v>35100</v>
      </c>
      <c r="N1186" s="3">
        <f t="shared" si="92"/>
        <v>2700</v>
      </c>
      <c r="O1186" s="3">
        <f t="shared" si="93"/>
        <v>14.525314752614102</v>
      </c>
      <c r="P1186" s="3" t="str">
        <f t="shared" si="94"/>
        <v>Aug</v>
      </c>
      <c r="Q1186" s="3" t="str">
        <f t="shared" si="90"/>
        <v>good profit</v>
      </c>
    </row>
    <row r="1187" spans="1:17" x14ac:dyDescent="0.25">
      <c r="A1187" s="3" t="s">
        <v>196</v>
      </c>
      <c r="B1187" s="4">
        <v>45870</v>
      </c>
      <c r="C1187" s="3" t="s">
        <v>2022</v>
      </c>
      <c r="D1187" s="3" t="s">
        <v>2042</v>
      </c>
      <c r="E1187" s="3" t="s">
        <v>2053</v>
      </c>
      <c r="F1187" s="3" t="s">
        <v>2060</v>
      </c>
      <c r="G1187" s="3">
        <v>5</v>
      </c>
      <c r="H1187" s="3">
        <v>8500</v>
      </c>
      <c r="I1187" s="3">
        <v>9520</v>
      </c>
      <c r="J1187" s="3">
        <v>25.7</v>
      </c>
      <c r="K1187" s="3">
        <v>35366.29</v>
      </c>
      <c r="L1187" s="3">
        <v>-7133.71</v>
      </c>
      <c r="M1187" s="3">
        <f t="shared" si="91"/>
        <v>1223320</v>
      </c>
      <c r="N1187" s="3">
        <f t="shared" si="92"/>
        <v>42500</v>
      </c>
      <c r="O1187" s="3">
        <f t="shared" si="93"/>
        <v>-20.170931132442789</v>
      </c>
      <c r="P1187" s="3" t="str">
        <f t="shared" si="94"/>
        <v>Aug</v>
      </c>
      <c r="Q1187" s="3" t="str">
        <f t="shared" si="90"/>
        <v>loss</v>
      </c>
    </row>
    <row r="1188" spans="1:17" x14ac:dyDescent="0.25">
      <c r="A1188" s="3" t="s">
        <v>320</v>
      </c>
      <c r="B1188" s="4">
        <v>45870</v>
      </c>
      <c r="C1188" s="3" t="s">
        <v>2020</v>
      </c>
      <c r="D1188" s="3" t="s">
        <v>2040</v>
      </c>
      <c r="E1188" s="3" t="s">
        <v>2053</v>
      </c>
      <c r="F1188" s="3" t="s">
        <v>2059</v>
      </c>
      <c r="G1188" s="3">
        <v>7</v>
      </c>
      <c r="H1188" s="3">
        <v>350</v>
      </c>
      <c r="I1188" s="3">
        <v>455</v>
      </c>
      <c r="J1188" s="3">
        <v>7.54</v>
      </c>
      <c r="K1188" s="3">
        <v>2944.89</v>
      </c>
      <c r="L1188" s="3">
        <v>494.89</v>
      </c>
      <c r="M1188" s="3">
        <f t="shared" si="91"/>
        <v>24014.9</v>
      </c>
      <c r="N1188" s="3">
        <f t="shared" si="92"/>
        <v>2450</v>
      </c>
      <c r="O1188" s="3">
        <f t="shared" si="93"/>
        <v>16.805041954028844</v>
      </c>
      <c r="P1188" s="3" t="str">
        <f t="shared" si="94"/>
        <v>Aug</v>
      </c>
      <c r="Q1188" s="3" t="str">
        <f t="shared" si="90"/>
        <v>good profit</v>
      </c>
    </row>
    <row r="1189" spans="1:17" x14ac:dyDescent="0.25">
      <c r="A1189" s="3" t="s">
        <v>355</v>
      </c>
      <c r="B1189" s="4">
        <v>45870</v>
      </c>
      <c r="C1189" s="3" t="s">
        <v>2016</v>
      </c>
      <c r="D1189" s="3" t="s">
        <v>2036</v>
      </c>
      <c r="E1189" s="3" t="s">
        <v>2052</v>
      </c>
      <c r="F1189" s="3" t="s">
        <v>2059</v>
      </c>
      <c r="G1189" s="3">
        <v>2</v>
      </c>
      <c r="H1189" s="3">
        <v>900</v>
      </c>
      <c r="I1189" s="3">
        <v>1170</v>
      </c>
      <c r="J1189" s="3">
        <v>4.0999999999999996</v>
      </c>
      <c r="K1189" s="3">
        <v>2243.98</v>
      </c>
      <c r="L1189" s="3">
        <v>443.98</v>
      </c>
      <c r="M1189" s="3">
        <f t="shared" si="91"/>
        <v>9594</v>
      </c>
      <c r="N1189" s="3">
        <f t="shared" si="92"/>
        <v>1800</v>
      </c>
      <c r="O1189" s="3">
        <f t="shared" si="93"/>
        <v>19.785381331384418</v>
      </c>
      <c r="P1189" s="3" t="str">
        <f t="shared" si="94"/>
        <v>Aug</v>
      </c>
      <c r="Q1189" s="3" t="str">
        <f t="shared" si="90"/>
        <v>good profit</v>
      </c>
    </row>
    <row r="1190" spans="1:17" x14ac:dyDescent="0.25">
      <c r="A1190" s="3" t="s">
        <v>543</v>
      </c>
      <c r="B1190" s="4">
        <v>45870</v>
      </c>
      <c r="C1190" s="3" t="s">
        <v>2021</v>
      </c>
      <c r="D1190" s="3" t="s">
        <v>2041</v>
      </c>
      <c r="E1190" s="3" t="s">
        <v>2056</v>
      </c>
      <c r="F1190" s="3" t="s">
        <v>2061</v>
      </c>
      <c r="G1190" s="3">
        <v>1</v>
      </c>
      <c r="H1190" s="3">
        <v>300</v>
      </c>
      <c r="I1190" s="3">
        <v>405</v>
      </c>
      <c r="J1190" s="3">
        <v>5.86</v>
      </c>
      <c r="K1190" s="3">
        <v>381.26</v>
      </c>
      <c r="L1190" s="3">
        <v>81.260000000000005</v>
      </c>
      <c r="M1190" s="3">
        <f t="shared" si="91"/>
        <v>2373.3000000000002</v>
      </c>
      <c r="N1190" s="3">
        <f t="shared" si="92"/>
        <v>300</v>
      </c>
      <c r="O1190" s="3">
        <f t="shared" si="93"/>
        <v>21.313539317001524</v>
      </c>
      <c r="P1190" s="3" t="str">
        <f t="shared" si="94"/>
        <v>Aug</v>
      </c>
      <c r="Q1190" s="3" t="str">
        <f t="shared" si="90"/>
        <v>good profit</v>
      </c>
    </row>
    <row r="1191" spans="1:17" x14ac:dyDescent="0.25">
      <c r="A1191" s="3" t="s">
        <v>648</v>
      </c>
      <c r="B1191" s="4">
        <v>45870</v>
      </c>
      <c r="C1191" s="3" t="s">
        <v>2031</v>
      </c>
      <c r="D1191" s="3" t="s">
        <v>2051</v>
      </c>
      <c r="E1191" s="3" t="s">
        <v>2058</v>
      </c>
      <c r="F1191" s="3" t="s">
        <v>2060</v>
      </c>
      <c r="G1191" s="3">
        <v>1</v>
      </c>
      <c r="H1191" s="3">
        <v>3200</v>
      </c>
      <c r="I1191" s="3">
        <v>3840</v>
      </c>
      <c r="J1191" s="3">
        <v>12.84</v>
      </c>
      <c r="K1191" s="3">
        <v>3346.75</v>
      </c>
      <c r="L1191" s="3">
        <v>146.75</v>
      </c>
      <c r="M1191" s="3">
        <f t="shared" si="91"/>
        <v>49305.599999999999</v>
      </c>
      <c r="N1191" s="3">
        <f t="shared" si="92"/>
        <v>3200</v>
      </c>
      <c r="O1191" s="3">
        <f t="shared" si="93"/>
        <v>4.3848509748263247</v>
      </c>
      <c r="P1191" s="3" t="str">
        <f t="shared" si="94"/>
        <v>Aug</v>
      </c>
      <c r="Q1191" s="3" t="str">
        <f t="shared" si="90"/>
        <v>low profit</v>
      </c>
    </row>
    <row r="1192" spans="1:17" x14ac:dyDescent="0.25">
      <c r="A1192" s="3" t="s">
        <v>741</v>
      </c>
      <c r="B1192" s="4">
        <v>45870</v>
      </c>
      <c r="C1192" s="3" t="s">
        <v>2024</v>
      </c>
      <c r="D1192" s="3" t="s">
        <v>2044</v>
      </c>
      <c r="E1192" s="3" t="s">
        <v>2055</v>
      </c>
      <c r="F1192" s="3" t="s">
        <v>2062</v>
      </c>
      <c r="G1192" s="3">
        <v>2</v>
      </c>
      <c r="H1192" s="3">
        <v>180</v>
      </c>
      <c r="I1192" s="3">
        <v>243</v>
      </c>
      <c r="J1192" s="3">
        <v>17.32</v>
      </c>
      <c r="K1192" s="3">
        <v>401.84</v>
      </c>
      <c r="L1192" s="3">
        <v>41.84</v>
      </c>
      <c r="M1192" s="3">
        <f t="shared" si="91"/>
        <v>8417.52</v>
      </c>
      <c r="N1192" s="3">
        <f t="shared" si="92"/>
        <v>360</v>
      </c>
      <c r="O1192" s="3">
        <f t="shared" si="93"/>
        <v>10.412104320127415</v>
      </c>
      <c r="P1192" s="3" t="str">
        <f t="shared" si="94"/>
        <v>Aug</v>
      </c>
      <c r="Q1192" s="3" t="str">
        <f t="shared" si="90"/>
        <v>good profit</v>
      </c>
    </row>
    <row r="1193" spans="1:17" x14ac:dyDescent="0.25">
      <c r="A1193" s="3" t="s">
        <v>1052</v>
      </c>
      <c r="B1193" s="4">
        <v>45870</v>
      </c>
      <c r="C1193" s="3" t="s">
        <v>2024</v>
      </c>
      <c r="D1193" s="3" t="s">
        <v>2044</v>
      </c>
      <c r="E1193" s="3" t="s">
        <v>2055</v>
      </c>
      <c r="F1193" s="3" t="s">
        <v>2059</v>
      </c>
      <c r="G1193" s="3">
        <v>10</v>
      </c>
      <c r="H1193" s="3">
        <v>180</v>
      </c>
      <c r="I1193" s="3">
        <v>243</v>
      </c>
      <c r="J1193" s="3">
        <v>14.31</v>
      </c>
      <c r="K1193" s="3">
        <v>2082.1799999999998</v>
      </c>
      <c r="L1193" s="3">
        <v>282.18</v>
      </c>
      <c r="M1193" s="3">
        <f t="shared" si="91"/>
        <v>34773.300000000003</v>
      </c>
      <c r="N1193" s="3">
        <f t="shared" si="92"/>
        <v>1800</v>
      </c>
      <c r="O1193" s="3">
        <f t="shared" si="93"/>
        <v>13.552142466069217</v>
      </c>
      <c r="P1193" s="3" t="str">
        <f t="shared" si="94"/>
        <v>Aug</v>
      </c>
      <c r="Q1193" s="3" t="str">
        <f t="shared" si="90"/>
        <v>good profit</v>
      </c>
    </row>
    <row r="1194" spans="1:17" x14ac:dyDescent="0.25">
      <c r="A1194" s="3" t="s">
        <v>1428</v>
      </c>
      <c r="B1194" s="4">
        <v>45870</v>
      </c>
      <c r="C1194" s="3" t="s">
        <v>2031</v>
      </c>
      <c r="D1194" s="3" t="s">
        <v>2051</v>
      </c>
      <c r="E1194" s="3" t="s">
        <v>2058</v>
      </c>
      <c r="F1194" s="3" t="s">
        <v>2060</v>
      </c>
      <c r="G1194" s="3">
        <v>6</v>
      </c>
      <c r="H1194" s="3">
        <v>3200</v>
      </c>
      <c r="I1194" s="3">
        <v>3840</v>
      </c>
      <c r="J1194" s="3">
        <v>5.87</v>
      </c>
      <c r="K1194" s="3">
        <v>21688.17</v>
      </c>
      <c r="L1194" s="3">
        <v>2488.17</v>
      </c>
      <c r="M1194" s="3">
        <f t="shared" si="91"/>
        <v>135244.79999999999</v>
      </c>
      <c r="N1194" s="3">
        <f t="shared" si="92"/>
        <v>19200</v>
      </c>
      <c r="O1194" s="3">
        <f t="shared" si="93"/>
        <v>11.472475547729477</v>
      </c>
      <c r="P1194" s="3" t="str">
        <f t="shared" si="94"/>
        <v>Aug</v>
      </c>
      <c r="Q1194" s="3" t="str">
        <f t="shared" si="90"/>
        <v>good profit</v>
      </c>
    </row>
    <row r="1195" spans="1:17" x14ac:dyDescent="0.25">
      <c r="A1195" s="3" t="s">
        <v>1863</v>
      </c>
      <c r="B1195" s="4">
        <v>45870</v>
      </c>
      <c r="C1195" s="3" t="s">
        <v>2018</v>
      </c>
      <c r="D1195" s="3" t="s">
        <v>2038</v>
      </c>
      <c r="E1195" s="3" t="s">
        <v>2053</v>
      </c>
      <c r="F1195" s="3" t="s">
        <v>2062</v>
      </c>
      <c r="G1195" s="3">
        <v>5</v>
      </c>
      <c r="H1195" s="3">
        <v>500</v>
      </c>
      <c r="I1195" s="3">
        <v>610</v>
      </c>
      <c r="J1195" s="3">
        <v>7.01</v>
      </c>
      <c r="K1195" s="3">
        <v>2836.25</v>
      </c>
      <c r="L1195" s="3">
        <v>336.25</v>
      </c>
      <c r="M1195" s="3">
        <f t="shared" si="91"/>
        <v>21380.5</v>
      </c>
      <c r="N1195" s="3">
        <f t="shared" si="92"/>
        <v>2500</v>
      </c>
      <c r="O1195" s="3">
        <f t="shared" si="93"/>
        <v>11.855442926399295</v>
      </c>
      <c r="P1195" s="3" t="str">
        <f t="shared" si="94"/>
        <v>Aug</v>
      </c>
      <c r="Q1195" s="3" t="str">
        <f t="shared" si="90"/>
        <v>good profit</v>
      </c>
    </row>
    <row r="1196" spans="1:17" x14ac:dyDescent="0.25">
      <c r="A1196" s="3" t="s">
        <v>243</v>
      </c>
      <c r="B1196" s="4">
        <v>45871</v>
      </c>
      <c r="C1196" s="3" t="s">
        <v>2026</v>
      </c>
      <c r="D1196" s="3" t="s">
        <v>2046</v>
      </c>
      <c r="E1196" s="3" t="s">
        <v>2052</v>
      </c>
      <c r="F1196" s="3" t="s">
        <v>2060</v>
      </c>
      <c r="G1196" s="3">
        <v>8</v>
      </c>
      <c r="H1196" s="3">
        <v>3000</v>
      </c>
      <c r="I1196" s="3">
        <v>3600</v>
      </c>
      <c r="J1196" s="3">
        <v>21.03</v>
      </c>
      <c r="K1196" s="3">
        <v>22744.34</v>
      </c>
      <c r="L1196" s="3">
        <v>-1255.6600000000001</v>
      </c>
      <c r="M1196" s="3">
        <f t="shared" si="91"/>
        <v>605664</v>
      </c>
      <c r="N1196" s="3">
        <f t="shared" si="92"/>
        <v>24000</v>
      </c>
      <c r="O1196" s="3">
        <f t="shared" si="93"/>
        <v>-5.5207581314735892</v>
      </c>
      <c r="P1196" s="3" t="str">
        <f t="shared" si="94"/>
        <v>Aug</v>
      </c>
      <c r="Q1196" s="3" t="str">
        <f t="shared" si="90"/>
        <v>loss</v>
      </c>
    </row>
    <row r="1197" spans="1:17" x14ac:dyDescent="0.25">
      <c r="A1197" s="3" t="s">
        <v>645</v>
      </c>
      <c r="B1197" s="4">
        <v>45871</v>
      </c>
      <c r="C1197" s="3" t="s">
        <v>2023</v>
      </c>
      <c r="D1197" s="3" t="s">
        <v>2043</v>
      </c>
      <c r="E1197" s="3" t="s">
        <v>2053</v>
      </c>
      <c r="F1197" s="3" t="s">
        <v>2062</v>
      </c>
      <c r="G1197" s="3">
        <v>2</v>
      </c>
      <c r="H1197" s="3">
        <v>550</v>
      </c>
      <c r="I1197" s="3">
        <v>742.5</v>
      </c>
      <c r="J1197" s="3">
        <v>1.08</v>
      </c>
      <c r="K1197" s="3">
        <v>1469.04</v>
      </c>
      <c r="L1197" s="3">
        <v>369.04</v>
      </c>
      <c r="M1197" s="3">
        <f t="shared" si="91"/>
        <v>1603.8000000000002</v>
      </c>
      <c r="N1197" s="3">
        <f t="shared" si="92"/>
        <v>1100</v>
      </c>
      <c r="O1197" s="3">
        <f t="shared" si="93"/>
        <v>25.121167565212659</v>
      </c>
      <c r="P1197" s="3" t="str">
        <f t="shared" si="94"/>
        <v>Aug</v>
      </c>
      <c r="Q1197" s="3" t="str">
        <f t="shared" si="90"/>
        <v>good profit</v>
      </c>
    </row>
    <row r="1198" spans="1:17" x14ac:dyDescent="0.25">
      <c r="A1198" s="3" t="s">
        <v>650</v>
      </c>
      <c r="B1198" s="4">
        <v>45871</v>
      </c>
      <c r="C1198" s="3" t="s">
        <v>2023</v>
      </c>
      <c r="D1198" s="3" t="s">
        <v>2043</v>
      </c>
      <c r="E1198" s="3" t="s">
        <v>2053</v>
      </c>
      <c r="F1198" s="3" t="s">
        <v>2059</v>
      </c>
      <c r="G1198" s="3">
        <v>7</v>
      </c>
      <c r="H1198" s="3">
        <v>550</v>
      </c>
      <c r="I1198" s="3">
        <v>742.5</v>
      </c>
      <c r="J1198" s="3">
        <v>17.98</v>
      </c>
      <c r="K1198" s="3">
        <v>4262.88</v>
      </c>
      <c r="L1198" s="3">
        <v>412.88</v>
      </c>
      <c r="M1198" s="3">
        <f t="shared" si="91"/>
        <v>93451.05</v>
      </c>
      <c r="N1198" s="3">
        <f t="shared" si="92"/>
        <v>3850</v>
      </c>
      <c r="O1198" s="3">
        <f t="shared" si="93"/>
        <v>9.6854708553841533</v>
      </c>
      <c r="P1198" s="3" t="str">
        <f t="shared" si="94"/>
        <v>Aug</v>
      </c>
      <c r="Q1198" s="3" t="str">
        <f t="shared" si="90"/>
        <v>low profit</v>
      </c>
    </row>
    <row r="1199" spans="1:17" x14ac:dyDescent="0.25">
      <c r="A1199" s="3" t="s">
        <v>926</v>
      </c>
      <c r="B1199" s="4">
        <v>45871</v>
      </c>
      <c r="C1199" s="3" t="s">
        <v>2012</v>
      </c>
      <c r="D1199" s="3" t="s">
        <v>2032</v>
      </c>
      <c r="E1199" s="3" t="s">
        <v>2052</v>
      </c>
      <c r="F1199" s="3" t="s">
        <v>2059</v>
      </c>
      <c r="G1199" s="3">
        <v>6</v>
      </c>
      <c r="H1199" s="3">
        <v>6500</v>
      </c>
      <c r="I1199" s="3">
        <v>8125</v>
      </c>
      <c r="J1199" s="3">
        <v>4.63</v>
      </c>
      <c r="K1199" s="3">
        <v>46492.73</v>
      </c>
      <c r="L1199" s="3">
        <v>7492.73</v>
      </c>
      <c r="M1199" s="3">
        <f t="shared" si="91"/>
        <v>225712.5</v>
      </c>
      <c r="N1199" s="3">
        <f t="shared" si="92"/>
        <v>39000</v>
      </c>
      <c r="O1199" s="3">
        <f t="shared" si="93"/>
        <v>16.115917477850836</v>
      </c>
      <c r="P1199" s="3" t="str">
        <f t="shared" si="94"/>
        <v>Aug</v>
      </c>
      <c r="Q1199" s="3" t="str">
        <f t="shared" si="90"/>
        <v>good profit</v>
      </c>
    </row>
    <row r="1200" spans="1:17" x14ac:dyDescent="0.25">
      <c r="A1200" s="3" t="s">
        <v>1177</v>
      </c>
      <c r="B1200" s="4">
        <v>45871</v>
      </c>
      <c r="C1200" s="3" t="s">
        <v>2019</v>
      </c>
      <c r="D1200" s="3" t="s">
        <v>2039</v>
      </c>
      <c r="E1200" s="3" t="s">
        <v>2053</v>
      </c>
      <c r="F1200" s="3" t="s">
        <v>2060</v>
      </c>
      <c r="G1200" s="3">
        <v>6</v>
      </c>
      <c r="H1200" s="3">
        <v>900</v>
      </c>
      <c r="I1200" s="3">
        <v>1152</v>
      </c>
      <c r="J1200" s="3">
        <v>8.33</v>
      </c>
      <c r="K1200" s="3">
        <v>6336.32</v>
      </c>
      <c r="L1200" s="3">
        <v>936.32</v>
      </c>
      <c r="M1200" s="3">
        <f t="shared" si="91"/>
        <v>57576.959999999999</v>
      </c>
      <c r="N1200" s="3">
        <f t="shared" si="92"/>
        <v>5400</v>
      </c>
      <c r="O1200" s="3">
        <f t="shared" si="93"/>
        <v>14.777031463057423</v>
      </c>
      <c r="P1200" s="3" t="str">
        <f t="shared" si="94"/>
        <v>Aug</v>
      </c>
      <c r="Q1200" s="3" t="str">
        <f t="shared" si="90"/>
        <v>good profit</v>
      </c>
    </row>
    <row r="1201" spans="1:17" x14ac:dyDescent="0.25">
      <c r="A1201" s="3" t="s">
        <v>1258</v>
      </c>
      <c r="B1201" s="4">
        <v>45871</v>
      </c>
      <c r="C1201" s="3" t="s">
        <v>2030</v>
      </c>
      <c r="D1201" s="3" t="s">
        <v>2050</v>
      </c>
      <c r="E1201" s="3" t="s">
        <v>2058</v>
      </c>
      <c r="F1201" s="3" t="s">
        <v>2060</v>
      </c>
      <c r="G1201" s="3">
        <v>1</v>
      </c>
      <c r="H1201" s="3">
        <v>1800</v>
      </c>
      <c r="I1201" s="3">
        <v>2124</v>
      </c>
      <c r="J1201" s="3">
        <v>23.7</v>
      </c>
      <c r="K1201" s="3">
        <v>1620.6</v>
      </c>
      <c r="L1201" s="3">
        <v>-179.4</v>
      </c>
      <c r="M1201" s="3">
        <f t="shared" si="91"/>
        <v>50338.799999999996</v>
      </c>
      <c r="N1201" s="3">
        <f t="shared" si="92"/>
        <v>1800</v>
      </c>
      <c r="O1201" s="3">
        <f t="shared" si="93"/>
        <v>-11.069974083672715</v>
      </c>
      <c r="P1201" s="3" t="str">
        <f t="shared" si="94"/>
        <v>Aug</v>
      </c>
      <c r="Q1201" s="3" t="str">
        <f t="shared" si="90"/>
        <v>loss</v>
      </c>
    </row>
    <row r="1202" spans="1:17" x14ac:dyDescent="0.25">
      <c r="A1202" s="3" t="s">
        <v>1353</v>
      </c>
      <c r="B1202" s="4">
        <v>45871</v>
      </c>
      <c r="C1202" s="3" t="s">
        <v>2024</v>
      </c>
      <c r="D1202" s="3" t="s">
        <v>2044</v>
      </c>
      <c r="E1202" s="3" t="s">
        <v>2055</v>
      </c>
      <c r="F1202" s="3" t="s">
        <v>2060</v>
      </c>
      <c r="G1202" s="3">
        <v>8</v>
      </c>
      <c r="H1202" s="3">
        <v>180</v>
      </c>
      <c r="I1202" s="3">
        <v>243</v>
      </c>
      <c r="J1202" s="3">
        <v>2.21</v>
      </c>
      <c r="K1202" s="3">
        <v>1901.05</v>
      </c>
      <c r="L1202" s="3">
        <v>461.05</v>
      </c>
      <c r="M1202" s="3">
        <f t="shared" si="91"/>
        <v>4296.24</v>
      </c>
      <c r="N1202" s="3">
        <f t="shared" si="92"/>
        <v>1440</v>
      </c>
      <c r="O1202" s="3">
        <f t="shared" si="93"/>
        <v>24.252386838852214</v>
      </c>
      <c r="P1202" s="3" t="str">
        <f t="shared" si="94"/>
        <v>Aug</v>
      </c>
      <c r="Q1202" s="3" t="str">
        <f t="shared" si="90"/>
        <v>good profit</v>
      </c>
    </row>
    <row r="1203" spans="1:17" x14ac:dyDescent="0.25">
      <c r="A1203" s="3" t="s">
        <v>1393</v>
      </c>
      <c r="B1203" s="4">
        <v>45871</v>
      </c>
      <c r="C1203" s="3" t="s">
        <v>2031</v>
      </c>
      <c r="D1203" s="3" t="s">
        <v>2051</v>
      </c>
      <c r="E1203" s="3" t="s">
        <v>2058</v>
      </c>
      <c r="F1203" s="3" t="s">
        <v>2061</v>
      </c>
      <c r="G1203" s="3">
        <v>9</v>
      </c>
      <c r="H1203" s="3">
        <v>3200</v>
      </c>
      <c r="I1203" s="3">
        <v>3840</v>
      </c>
      <c r="J1203" s="3">
        <v>9.1999999999999993</v>
      </c>
      <c r="K1203" s="3">
        <v>31380.61</v>
      </c>
      <c r="L1203" s="3">
        <v>2580.61</v>
      </c>
      <c r="M1203" s="3">
        <f t="shared" si="91"/>
        <v>317952</v>
      </c>
      <c r="N1203" s="3">
        <f t="shared" si="92"/>
        <v>28800</v>
      </c>
      <c r="O1203" s="3">
        <f t="shared" si="93"/>
        <v>8.223581377162521</v>
      </c>
      <c r="P1203" s="3" t="str">
        <f t="shared" si="94"/>
        <v>Aug</v>
      </c>
      <c r="Q1203" s="3" t="str">
        <f t="shared" si="90"/>
        <v>low profit</v>
      </c>
    </row>
    <row r="1204" spans="1:17" x14ac:dyDescent="0.25">
      <c r="A1204" s="3" t="s">
        <v>1563</v>
      </c>
      <c r="B1204" s="4">
        <v>45871</v>
      </c>
      <c r="C1204" s="3" t="s">
        <v>2014</v>
      </c>
      <c r="D1204" s="3" t="s">
        <v>2034</v>
      </c>
      <c r="E1204" s="3" t="s">
        <v>2052</v>
      </c>
      <c r="F1204" s="3" t="s">
        <v>2062</v>
      </c>
      <c r="G1204" s="3">
        <v>6</v>
      </c>
      <c r="H1204" s="3">
        <v>4500</v>
      </c>
      <c r="I1204" s="3">
        <v>5220</v>
      </c>
      <c r="J1204" s="3">
        <v>7.36</v>
      </c>
      <c r="K1204" s="3">
        <v>29014.91</v>
      </c>
      <c r="L1204" s="3">
        <v>2014.91</v>
      </c>
      <c r="M1204" s="3">
        <f t="shared" si="91"/>
        <v>230515.20000000001</v>
      </c>
      <c r="N1204" s="3">
        <f t="shared" si="92"/>
        <v>27000</v>
      </c>
      <c r="O1204" s="3">
        <f t="shared" si="93"/>
        <v>6.9443951402916646</v>
      </c>
      <c r="P1204" s="3" t="str">
        <f t="shared" si="94"/>
        <v>Aug</v>
      </c>
      <c r="Q1204" s="3" t="str">
        <f t="shared" si="90"/>
        <v>low profit</v>
      </c>
    </row>
    <row r="1205" spans="1:17" x14ac:dyDescent="0.25">
      <c r="A1205" s="3" t="s">
        <v>1878</v>
      </c>
      <c r="B1205" s="4">
        <v>45871</v>
      </c>
      <c r="C1205" s="3" t="s">
        <v>2015</v>
      </c>
      <c r="D1205" s="3" t="s">
        <v>2035</v>
      </c>
      <c r="E1205" s="3" t="s">
        <v>2054</v>
      </c>
      <c r="F1205" s="3" t="s">
        <v>2061</v>
      </c>
      <c r="G1205" s="3">
        <v>10</v>
      </c>
      <c r="H1205" s="3">
        <v>900</v>
      </c>
      <c r="I1205" s="3">
        <v>1170</v>
      </c>
      <c r="J1205" s="3">
        <v>7.25</v>
      </c>
      <c r="K1205" s="3">
        <v>10851.44</v>
      </c>
      <c r="L1205" s="3">
        <v>1851.44</v>
      </c>
      <c r="M1205" s="3">
        <f t="shared" si="91"/>
        <v>84825</v>
      </c>
      <c r="N1205" s="3">
        <f t="shared" si="92"/>
        <v>9000</v>
      </c>
      <c r="O1205" s="3">
        <f t="shared" si="93"/>
        <v>17.061698723856004</v>
      </c>
      <c r="P1205" s="3" t="str">
        <f t="shared" si="94"/>
        <v>Aug</v>
      </c>
      <c r="Q1205" s="3" t="str">
        <f t="shared" si="90"/>
        <v>good profit</v>
      </c>
    </row>
    <row r="1206" spans="1:17" x14ac:dyDescent="0.25">
      <c r="A1206" s="3" t="s">
        <v>1989</v>
      </c>
      <c r="B1206" s="4">
        <v>45871</v>
      </c>
      <c r="C1206" s="3" t="s">
        <v>2028</v>
      </c>
      <c r="D1206" s="3" t="s">
        <v>2048</v>
      </c>
      <c r="E1206" s="3" t="s">
        <v>2057</v>
      </c>
      <c r="F1206" s="3" t="s">
        <v>2060</v>
      </c>
      <c r="G1206" s="3">
        <v>8</v>
      </c>
      <c r="H1206" s="3">
        <v>80</v>
      </c>
      <c r="I1206" s="3">
        <v>116</v>
      </c>
      <c r="J1206" s="3">
        <v>9.19</v>
      </c>
      <c r="K1206" s="3">
        <v>842.69</v>
      </c>
      <c r="L1206" s="3">
        <v>202.69</v>
      </c>
      <c r="M1206" s="3">
        <f t="shared" si="91"/>
        <v>8528.32</v>
      </c>
      <c r="N1206" s="3">
        <f t="shared" si="92"/>
        <v>640</v>
      </c>
      <c r="O1206" s="3">
        <f t="shared" si="93"/>
        <v>24.052735881522267</v>
      </c>
      <c r="P1206" s="3" t="str">
        <f t="shared" si="94"/>
        <v>Aug</v>
      </c>
      <c r="Q1206" s="3" t="str">
        <f t="shared" si="90"/>
        <v>good profit</v>
      </c>
    </row>
    <row r="1207" spans="1:17" x14ac:dyDescent="0.25">
      <c r="A1207" s="3" t="s">
        <v>826</v>
      </c>
      <c r="B1207" s="4">
        <v>45872</v>
      </c>
      <c r="C1207" s="3" t="s">
        <v>2021</v>
      </c>
      <c r="D1207" s="3" t="s">
        <v>2041</v>
      </c>
      <c r="E1207" s="3" t="s">
        <v>2056</v>
      </c>
      <c r="F1207" s="3" t="s">
        <v>2061</v>
      </c>
      <c r="G1207" s="3">
        <v>3</v>
      </c>
      <c r="H1207" s="3">
        <v>300</v>
      </c>
      <c r="I1207" s="3">
        <v>405</v>
      </c>
      <c r="J1207" s="3">
        <v>0.72</v>
      </c>
      <c r="K1207" s="3">
        <v>1206.21</v>
      </c>
      <c r="L1207" s="3">
        <v>306.20999999999998</v>
      </c>
      <c r="M1207" s="3">
        <f t="shared" si="91"/>
        <v>874.8</v>
      </c>
      <c r="N1207" s="3">
        <f t="shared" si="92"/>
        <v>900</v>
      </c>
      <c r="O1207" s="3">
        <f t="shared" si="93"/>
        <v>25.386126793841868</v>
      </c>
      <c r="P1207" s="3" t="str">
        <f t="shared" si="94"/>
        <v>Aug</v>
      </c>
      <c r="Q1207" s="3" t="str">
        <f t="shared" si="90"/>
        <v>good profit</v>
      </c>
    </row>
    <row r="1208" spans="1:17" x14ac:dyDescent="0.25">
      <c r="A1208" s="3" t="s">
        <v>1003</v>
      </c>
      <c r="B1208" s="4">
        <v>45872</v>
      </c>
      <c r="C1208" s="3" t="s">
        <v>2028</v>
      </c>
      <c r="D1208" s="3" t="s">
        <v>2048</v>
      </c>
      <c r="E1208" s="3" t="s">
        <v>2057</v>
      </c>
      <c r="F1208" s="3" t="s">
        <v>2061</v>
      </c>
      <c r="G1208" s="3">
        <v>3</v>
      </c>
      <c r="H1208" s="3">
        <v>80</v>
      </c>
      <c r="I1208" s="3">
        <v>116</v>
      </c>
      <c r="J1208" s="3">
        <v>9.61</v>
      </c>
      <c r="K1208" s="3">
        <v>314.57</v>
      </c>
      <c r="L1208" s="3">
        <v>74.569999999999993</v>
      </c>
      <c r="M1208" s="3">
        <f t="shared" si="91"/>
        <v>3344.2799999999997</v>
      </c>
      <c r="N1208" s="3">
        <f t="shared" si="92"/>
        <v>240</v>
      </c>
      <c r="O1208" s="3">
        <f t="shared" si="93"/>
        <v>23.705375592078074</v>
      </c>
      <c r="P1208" s="3" t="str">
        <f t="shared" si="94"/>
        <v>Aug</v>
      </c>
      <c r="Q1208" s="3" t="str">
        <f t="shared" si="90"/>
        <v>good profit</v>
      </c>
    </row>
    <row r="1209" spans="1:17" x14ac:dyDescent="0.25">
      <c r="A1209" s="3" t="s">
        <v>1335</v>
      </c>
      <c r="B1209" s="4">
        <v>45872</v>
      </c>
      <c r="C1209" s="3" t="s">
        <v>2015</v>
      </c>
      <c r="D1209" s="3" t="s">
        <v>2035</v>
      </c>
      <c r="E1209" s="3" t="s">
        <v>2054</v>
      </c>
      <c r="F1209" s="3" t="s">
        <v>2059</v>
      </c>
      <c r="G1209" s="3">
        <v>1</v>
      </c>
      <c r="H1209" s="3">
        <v>900</v>
      </c>
      <c r="I1209" s="3">
        <v>1170</v>
      </c>
      <c r="J1209" s="3">
        <v>1.32</v>
      </c>
      <c r="K1209" s="3">
        <v>1154.52</v>
      </c>
      <c r="L1209" s="3">
        <v>254.52</v>
      </c>
      <c r="M1209" s="3">
        <f t="shared" si="91"/>
        <v>1544.4</v>
      </c>
      <c r="N1209" s="3">
        <f t="shared" si="92"/>
        <v>900</v>
      </c>
      <c r="O1209" s="3">
        <f t="shared" si="93"/>
        <v>22.045525413158717</v>
      </c>
      <c r="P1209" s="3" t="str">
        <f t="shared" si="94"/>
        <v>Aug</v>
      </c>
      <c r="Q1209" s="3" t="str">
        <f t="shared" si="90"/>
        <v>good profit</v>
      </c>
    </row>
    <row r="1210" spans="1:17" x14ac:dyDescent="0.25">
      <c r="A1210" s="3" t="s">
        <v>1998</v>
      </c>
      <c r="B1210" s="4">
        <v>45872</v>
      </c>
      <c r="C1210" s="3" t="s">
        <v>2022</v>
      </c>
      <c r="D1210" s="3" t="s">
        <v>2042</v>
      </c>
      <c r="E1210" s="3" t="s">
        <v>2053</v>
      </c>
      <c r="F1210" s="3" t="s">
        <v>2061</v>
      </c>
      <c r="G1210" s="3">
        <v>4</v>
      </c>
      <c r="H1210" s="3">
        <v>8500</v>
      </c>
      <c r="I1210" s="3">
        <v>9520</v>
      </c>
      <c r="J1210" s="3">
        <v>4</v>
      </c>
      <c r="K1210" s="3">
        <v>36556.800000000003</v>
      </c>
      <c r="L1210" s="3">
        <v>2556.8000000000002</v>
      </c>
      <c r="M1210" s="3">
        <f t="shared" si="91"/>
        <v>152320</v>
      </c>
      <c r="N1210" s="3">
        <f t="shared" si="92"/>
        <v>34000</v>
      </c>
      <c r="O1210" s="3">
        <f t="shared" si="93"/>
        <v>6.9940476190476195</v>
      </c>
      <c r="P1210" s="3" t="str">
        <f t="shared" si="94"/>
        <v>Aug</v>
      </c>
      <c r="Q1210" s="3" t="str">
        <f t="shared" si="90"/>
        <v>low profit</v>
      </c>
    </row>
    <row r="1211" spans="1:17" x14ac:dyDescent="0.25">
      <c r="A1211" s="3" t="s">
        <v>2000</v>
      </c>
      <c r="B1211" s="4">
        <v>45872</v>
      </c>
      <c r="C1211" s="3" t="s">
        <v>2029</v>
      </c>
      <c r="D1211" s="3" t="s">
        <v>2049</v>
      </c>
      <c r="E1211" s="3" t="s">
        <v>2055</v>
      </c>
      <c r="F1211" s="3" t="s">
        <v>2062</v>
      </c>
      <c r="G1211" s="3">
        <v>8</v>
      </c>
      <c r="H1211" s="3">
        <v>1200</v>
      </c>
      <c r="I1211" s="3">
        <v>1464</v>
      </c>
      <c r="J1211" s="3">
        <v>15.5</v>
      </c>
      <c r="K1211" s="3">
        <v>9896.6200000000008</v>
      </c>
      <c r="L1211" s="3">
        <v>296.62</v>
      </c>
      <c r="M1211" s="3">
        <f t="shared" si="91"/>
        <v>181536</v>
      </c>
      <c r="N1211" s="3">
        <f t="shared" si="92"/>
        <v>9600</v>
      </c>
      <c r="O1211" s="3">
        <f t="shared" si="93"/>
        <v>2.9971848974700452</v>
      </c>
      <c r="P1211" s="3" t="str">
        <f t="shared" si="94"/>
        <v>Aug</v>
      </c>
      <c r="Q1211" s="3" t="str">
        <f t="shared" si="90"/>
        <v>low profit</v>
      </c>
    </row>
    <row r="1212" spans="1:17" x14ac:dyDescent="0.25">
      <c r="A1212" s="3" t="s">
        <v>85</v>
      </c>
      <c r="B1212" s="4">
        <v>45873</v>
      </c>
      <c r="C1212" s="3" t="s">
        <v>2014</v>
      </c>
      <c r="D1212" s="3" t="s">
        <v>2034</v>
      </c>
      <c r="E1212" s="3" t="s">
        <v>2052</v>
      </c>
      <c r="F1212" s="3" t="s">
        <v>2060</v>
      </c>
      <c r="G1212" s="3">
        <v>10</v>
      </c>
      <c r="H1212" s="3">
        <v>4500</v>
      </c>
      <c r="I1212" s="3">
        <v>5220</v>
      </c>
      <c r="J1212" s="3">
        <v>5.27</v>
      </c>
      <c r="K1212" s="3">
        <v>49449.25</v>
      </c>
      <c r="L1212" s="3">
        <v>4449.25</v>
      </c>
      <c r="M1212" s="3">
        <f t="shared" si="91"/>
        <v>275094</v>
      </c>
      <c r="N1212" s="3">
        <f t="shared" si="92"/>
        <v>45000</v>
      </c>
      <c r="O1212" s="3">
        <f t="shared" si="93"/>
        <v>8.9976086593831042</v>
      </c>
      <c r="P1212" s="3" t="str">
        <f t="shared" si="94"/>
        <v>Aug</v>
      </c>
      <c r="Q1212" s="3" t="str">
        <f t="shared" si="90"/>
        <v>low profit</v>
      </c>
    </row>
    <row r="1213" spans="1:17" x14ac:dyDescent="0.25">
      <c r="A1213" s="3" t="s">
        <v>441</v>
      </c>
      <c r="B1213" s="4">
        <v>45873</v>
      </c>
      <c r="C1213" s="3" t="s">
        <v>2021</v>
      </c>
      <c r="D1213" s="3" t="s">
        <v>2041</v>
      </c>
      <c r="E1213" s="3" t="s">
        <v>2056</v>
      </c>
      <c r="F1213" s="3" t="s">
        <v>2062</v>
      </c>
      <c r="G1213" s="3">
        <v>9</v>
      </c>
      <c r="H1213" s="3">
        <v>300</v>
      </c>
      <c r="I1213" s="3">
        <v>405</v>
      </c>
      <c r="J1213" s="3">
        <v>12.76</v>
      </c>
      <c r="K1213" s="3">
        <v>3179.95</v>
      </c>
      <c r="L1213" s="3">
        <v>479.95</v>
      </c>
      <c r="M1213" s="3">
        <f t="shared" si="91"/>
        <v>46510.2</v>
      </c>
      <c r="N1213" s="3">
        <f t="shared" si="92"/>
        <v>2700</v>
      </c>
      <c r="O1213" s="3">
        <f t="shared" si="93"/>
        <v>15.093004606990675</v>
      </c>
      <c r="P1213" s="3" t="str">
        <f t="shared" si="94"/>
        <v>Aug</v>
      </c>
      <c r="Q1213" s="3" t="str">
        <f t="shared" si="90"/>
        <v>good profit</v>
      </c>
    </row>
    <row r="1214" spans="1:17" x14ac:dyDescent="0.25">
      <c r="A1214" s="3" t="s">
        <v>742</v>
      </c>
      <c r="B1214" s="4">
        <v>45873</v>
      </c>
      <c r="C1214" s="3" t="s">
        <v>2019</v>
      </c>
      <c r="D1214" s="3" t="s">
        <v>2039</v>
      </c>
      <c r="E1214" s="3" t="s">
        <v>2053</v>
      </c>
      <c r="F1214" s="3" t="s">
        <v>2062</v>
      </c>
      <c r="G1214" s="3">
        <v>2</v>
      </c>
      <c r="H1214" s="3">
        <v>900</v>
      </c>
      <c r="I1214" s="3">
        <v>1152</v>
      </c>
      <c r="J1214" s="3">
        <v>7.62</v>
      </c>
      <c r="K1214" s="3">
        <v>2128.33</v>
      </c>
      <c r="L1214" s="3">
        <v>328.33</v>
      </c>
      <c r="M1214" s="3">
        <f t="shared" si="91"/>
        <v>17556.48</v>
      </c>
      <c r="N1214" s="3">
        <f t="shared" si="92"/>
        <v>1800</v>
      </c>
      <c r="O1214" s="3">
        <f t="shared" si="93"/>
        <v>15.426649062880285</v>
      </c>
      <c r="P1214" s="3" t="str">
        <f t="shared" si="94"/>
        <v>Aug</v>
      </c>
      <c r="Q1214" s="3" t="str">
        <f t="shared" si="90"/>
        <v>good profit</v>
      </c>
    </row>
    <row r="1215" spans="1:17" x14ac:dyDescent="0.25">
      <c r="A1215" s="3" t="s">
        <v>888</v>
      </c>
      <c r="B1215" s="4">
        <v>45873</v>
      </c>
      <c r="C1215" s="3" t="s">
        <v>2017</v>
      </c>
      <c r="D1215" s="3" t="s">
        <v>2037</v>
      </c>
      <c r="E1215" s="3" t="s">
        <v>2055</v>
      </c>
      <c r="F1215" s="3" t="s">
        <v>2060</v>
      </c>
      <c r="G1215" s="3">
        <v>5</v>
      </c>
      <c r="H1215" s="3">
        <v>2500</v>
      </c>
      <c r="I1215" s="3">
        <v>2875</v>
      </c>
      <c r="J1215" s="3">
        <v>2.2200000000000002</v>
      </c>
      <c r="K1215" s="3">
        <v>14056.29</v>
      </c>
      <c r="L1215" s="3">
        <v>1556.29</v>
      </c>
      <c r="M1215" s="3">
        <f t="shared" si="91"/>
        <v>31912.500000000004</v>
      </c>
      <c r="N1215" s="3">
        <f t="shared" si="92"/>
        <v>12500</v>
      </c>
      <c r="O1215" s="3">
        <f t="shared" si="93"/>
        <v>11.071840435847582</v>
      </c>
      <c r="P1215" s="3" t="str">
        <f t="shared" si="94"/>
        <v>Aug</v>
      </c>
      <c r="Q1215" s="3" t="str">
        <f t="shared" si="90"/>
        <v>good profit</v>
      </c>
    </row>
    <row r="1216" spans="1:17" x14ac:dyDescent="0.25">
      <c r="A1216" s="3" t="s">
        <v>1223</v>
      </c>
      <c r="B1216" s="4">
        <v>45873</v>
      </c>
      <c r="C1216" s="3" t="s">
        <v>2026</v>
      </c>
      <c r="D1216" s="3" t="s">
        <v>2046</v>
      </c>
      <c r="E1216" s="3" t="s">
        <v>2052</v>
      </c>
      <c r="F1216" s="3" t="s">
        <v>2059</v>
      </c>
      <c r="G1216" s="3">
        <v>10</v>
      </c>
      <c r="H1216" s="3">
        <v>3000</v>
      </c>
      <c r="I1216" s="3">
        <v>3600</v>
      </c>
      <c r="J1216" s="3">
        <v>13.44</v>
      </c>
      <c r="K1216" s="3">
        <v>31161.75</v>
      </c>
      <c r="L1216" s="3">
        <v>1161.75</v>
      </c>
      <c r="M1216" s="3">
        <f t="shared" si="91"/>
        <v>483840</v>
      </c>
      <c r="N1216" s="3">
        <f t="shared" si="92"/>
        <v>30000</v>
      </c>
      <c r="O1216" s="3">
        <f t="shared" si="93"/>
        <v>3.7281282341331918</v>
      </c>
      <c r="P1216" s="3" t="str">
        <f t="shared" si="94"/>
        <v>Aug</v>
      </c>
      <c r="Q1216" s="3" t="str">
        <f t="shared" si="90"/>
        <v>low profit</v>
      </c>
    </row>
    <row r="1217" spans="1:17" x14ac:dyDescent="0.25">
      <c r="A1217" s="3" t="s">
        <v>1473</v>
      </c>
      <c r="B1217" s="4">
        <v>45873</v>
      </c>
      <c r="C1217" s="3" t="s">
        <v>2014</v>
      </c>
      <c r="D1217" s="3" t="s">
        <v>2034</v>
      </c>
      <c r="E1217" s="3" t="s">
        <v>2052</v>
      </c>
      <c r="F1217" s="3" t="s">
        <v>2061</v>
      </c>
      <c r="G1217" s="3">
        <v>1</v>
      </c>
      <c r="H1217" s="3">
        <v>4500</v>
      </c>
      <c r="I1217" s="3">
        <v>5220</v>
      </c>
      <c r="J1217" s="3">
        <v>12.07</v>
      </c>
      <c r="K1217" s="3">
        <v>4590.13</v>
      </c>
      <c r="L1217" s="3">
        <v>90.13</v>
      </c>
      <c r="M1217" s="3">
        <f t="shared" si="91"/>
        <v>63005.4</v>
      </c>
      <c r="N1217" s="3">
        <f t="shared" si="92"/>
        <v>4500</v>
      </c>
      <c r="O1217" s="3">
        <f t="shared" si="93"/>
        <v>1.9635609448969853</v>
      </c>
      <c r="P1217" s="3" t="str">
        <f t="shared" si="94"/>
        <v>Aug</v>
      </c>
      <c r="Q1217" s="3" t="str">
        <f t="shared" si="90"/>
        <v>low profit</v>
      </c>
    </row>
    <row r="1218" spans="1:17" x14ac:dyDescent="0.25">
      <c r="A1218" s="3" t="s">
        <v>1607</v>
      </c>
      <c r="B1218" s="4">
        <v>45873</v>
      </c>
      <c r="C1218" s="3" t="s">
        <v>2015</v>
      </c>
      <c r="D1218" s="3" t="s">
        <v>2035</v>
      </c>
      <c r="E1218" s="3" t="s">
        <v>2054</v>
      </c>
      <c r="F1218" s="3" t="s">
        <v>2061</v>
      </c>
      <c r="G1218" s="3">
        <v>10</v>
      </c>
      <c r="H1218" s="3">
        <v>900</v>
      </c>
      <c r="I1218" s="3">
        <v>1170</v>
      </c>
      <c r="J1218" s="3">
        <v>7.96</v>
      </c>
      <c r="K1218" s="3">
        <v>10768.11</v>
      </c>
      <c r="L1218" s="3">
        <v>1768.11</v>
      </c>
      <c r="M1218" s="3">
        <f t="shared" si="91"/>
        <v>93132</v>
      </c>
      <c r="N1218" s="3">
        <f t="shared" si="92"/>
        <v>9000</v>
      </c>
      <c r="O1218" s="3">
        <f t="shared" si="93"/>
        <v>16.419873125367403</v>
      </c>
      <c r="P1218" s="3" t="str">
        <f t="shared" si="94"/>
        <v>Aug</v>
      </c>
      <c r="Q1218" s="3" t="str">
        <f t="shared" ref="Q1218:Q1281" si="95">IF(L1218&lt;0,"loss",IF(O1218&lt;10,"low profit","good profit"))</f>
        <v>good profit</v>
      </c>
    </row>
    <row r="1219" spans="1:17" x14ac:dyDescent="0.25">
      <c r="A1219" s="3" t="s">
        <v>1710</v>
      </c>
      <c r="B1219" s="4">
        <v>45873</v>
      </c>
      <c r="C1219" s="3" t="s">
        <v>2025</v>
      </c>
      <c r="D1219" s="3" t="s">
        <v>2045</v>
      </c>
      <c r="E1219" s="3" t="s">
        <v>2057</v>
      </c>
      <c r="F1219" s="3" t="s">
        <v>2062</v>
      </c>
      <c r="G1219" s="3">
        <v>7</v>
      </c>
      <c r="H1219" s="3">
        <v>45</v>
      </c>
      <c r="I1219" s="3">
        <v>63</v>
      </c>
      <c r="J1219" s="3">
        <v>8.73</v>
      </c>
      <c r="K1219" s="3">
        <v>402.51</v>
      </c>
      <c r="L1219" s="3">
        <v>87.51</v>
      </c>
      <c r="M1219" s="3">
        <f t="shared" ref="M1219:M1282" si="96">G1219*I1219*J1219</f>
        <v>3849.9300000000003</v>
      </c>
      <c r="N1219" s="3">
        <f t="shared" ref="N1219:N1282" si="97">G1219*H1219</f>
        <v>315</v>
      </c>
      <c r="O1219" s="3">
        <f t="shared" ref="O1219:O1282" si="98">IFERROR(L1219/K1219*100,0)</f>
        <v>21.741074755906688</v>
      </c>
      <c r="P1219" s="3" t="str">
        <f t="shared" ref="P1219:P1282" si="99">TEXT(B1219,"mmm")</f>
        <v>Aug</v>
      </c>
      <c r="Q1219" s="3" t="str">
        <f t="shared" si="95"/>
        <v>good profit</v>
      </c>
    </row>
    <row r="1220" spans="1:17" x14ac:dyDescent="0.25">
      <c r="A1220" s="3" t="s">
        <v>1939</v>
      </c>
      <c r="B1220" s="4">
        <v>45873</v>
      </c>
      <c r="C1220" s="3" t="s">
        <v>2025</v>
      </c>
      <c r="D1220" s="3" t="s">
        <v>2045</v>
      </c>
      <c r="E1220" s="3" t="s">
        <v>2057</v>
      </c>
      <c r="F1220" s="3" t="s">
        <v>2061</v>
      </c>
      <c r="G1220" s="3">
        <v>7</v>
      </c>
      <c r="H1220" s="3">
        <v>45</v>
      </c>
      <c r="I1220" s="3">
        <v>63</v>
      </c>
      <c r="J1220" s="3">
        <v>11.1</v>
      </c>
      <c r="K1220" s="3">
        <v>392.03</v>
      </c>
      <c r="L1220" s="3">
        <v>77.03</v>
      </c>
      <c r="M1220" s="3">
        <f t="shared" si="96"/>
        <v>4895.0999999999995</v>
      </c>
      <c r="N1220" s="3">
        <f t="shared" si="97"/>
        <v>315</v>
      </c>
      <c r="O1220" s="3">
        <f t="shared" si="98"/>
        <v>19.649006453587738</v>
      </c>
      <c r="P1220" s="3" t="str">
        <f t="shared" si="99"/>
        <v>Aug</v>
      </c>
      <c r="Q1220" s="3" t="str">
        <f t="shared" si="95"/>
        <v>good profit</v>
      </c>
    </row>
    <row r="1221" spans="1:17" x14ac:dyDescent="0.25">
      <c r="A1221" s="3" t="s">
        <v>292</v>
      </c>
      <c r="B1221" s="4">
        <v>45874</v>
      </c>
      <c r="C1221" s="3" t="s">
        <v>2026</v>
      </c>
      <c r="D1221" s="3" t="s">
        <v>2046</v>
      </c>
      <c r="E1221" s="3" t="s">
        <v>2052</v>
      </c>
      <c r="F1221" s="3" t="s">
        <v>2061</v>
      </c>
      <c r="G1221" s="3">
        <v>10</v>
      </c>
      <c r="H1221" s="3">
        <v>3000</v>
      </c>
      <c r="I1221" s="3">
        <v>3600</v>
      </c>
      <c r="J1221" s="3">
        <v>18.059999999999999</v>
      </c>
      <c r="K1221" s="3">
        <v>29498.15</v>
      </c>
      <c r="L1221" s="3">
        <v>-501.85</v>
      </c>
      <c r="M1221" s="3">
        <f t="shared" si="96"/>
        <v>650160</v>
      </c>
      <c r="N1221" s="3">
        <f t="shared" si="97"/>
        <v>30000</v>
      </c>
      <c r="O1221" s="3">
        <f t="shared" si="98"/>
        <v>-1.7012931319421727</v>
      </c>
      <c r="P1221" s="3" t="str">
        <f t="shared" si="99"/>
        <v>Aug</v>
      </c>
      <c r="Q1221" s="3" t="str">
        <f t="shared" si="95"/>
        <v>loss</v>
      </c>
    </row>
    <row r="1222" spans="1:17" x14ac:dyDescent="0.25">
      <c r="A1222" s="3" t="s">
        <v>555</v>
      </c>
      <c r="B1222" s="4">
        <v>45874</v>
      </c>
      <c r="C1222" s="3" t="s">
        <v>2012</v>
      </c>
      <c r="D1222" s="3" t="s">
        <v>2032</v>
      </c>
      <c r="E1222" s="3" t="s">
        <v>2052</v>
      </c>
      <c r="F1222" s="3" t="s">
        <v>2061</v>
      </c>
      <c r="G1222" s="3">
        <v>10</v>
      </c>
      <c r="H1222" s="3">
        <v>6500</v>
      </c>
      <c r="I1222" s="3">
        <v>8125</v>
      </c>
      <c r="J1222" s="3">
        <v>11.84</v>
      </c>
      <c r="K1222" s="3">
        <v>71626.19</v>
      </c>
      <c r="L1222" s="3">
        <v>6626.19</v>
      </c>
      <c r="M1222" s="3">
        <f t="shared" si="96"/>
        <v>962000</v>
      </c>
      <c r="N1222" s="3">
        <f t="shared" si="97"/>
        <v>65000</v>
      </c>
      <c r="O1222" s="3">
        <f t="shared" si="98"/>
        <v>9.2510714307154966</v>
      </c>
      <c r="P1222" s="3" t="str">
        <f t="shared" si="99"/>
        <v>Aug</v>
      </c>
      <c r="Q1222" s="3" t="str">
        <f t="shared" si="95"/>
        <v>low profit</v>
      </c>
    </row>
    <row r="1223" spans="1:17" x14ac:dyDescent="0.25">
      <c r="A1223" s="3" t="s">
        <v>1424</v>
      </c>
      <c r="B1223" s="4">
        <v>45874</v>
      </c>
      <c r="C1223" s="3" t="s">
        <v>2029</v>
      </c>
      <c r="D1223" s="3" t="s">
        <v>2049</v>
      </c>
      <c r="E1223" s="3" t="s">
        <v>2055</v>
      </c>
      <c r="F1223" s="3" t="s">
        <v>2061</v>
      </c>
      <c r="G1223" s="3">
        <v>2</v>
      </c>
      <c r="H1223" s="3">
        <v>1200</v>
      </c>
      <c r="I1223" s="3">
        <v>1464</v>
      </c>
      <c r="J1223" s="3">
        <v>21.42</v>
      </c>
      <c r="K1223" s="3">
        <v>2300.96</v>
      </c>
      <c r="L1223" s="3">
        <v>-99.04</v>
      </c>
      <c r="M1223" s="3">
        <f t="shared" si="96"/>
        <v>62717.760000000002</v>
      </c>
      <c r="N1223" s="3">
        <f t="shared" si="97"/>
        <v>2400</v>
      </c>
      <c r="O1223" s="3">
        <f t="shared" si="98"/>
        <v>-4.3042903831444264</v>
      </c>
      <c r="P1223" s="3" t="str">
        <f t="shared" si="99"/>
        <v>Aug</v>
      </c>
      <c r="Q1223" s="3" t="str">
        <f t="shared" si="95"/>
        <v>loss</v>
      </c>
    </row>
    <row r="1224" spans="1:17" x14ac:dyDescent="0.25">
      <c r="A1224" s="3" t="s">
        <v>1561</v>
      </c>
      <c r="B1224" s="4">
        <v>45874</v>
      </c>
      <c r="C1224" s="3" t="s">
        <v>2021</v>
      </c>
      <c r="D1224" s="3" t="s">
        <v>2041</v>
      </c>
      <c r="E1224" s="3" t="s">
        <v>2056</v>
      </c>
      <c r="F1224" s="3" t="s">
        <v>2061</v>
      </c>
      <c r="G1224" s="3">
        <v>7</v>
      </c>
      <c r="H1224" s="3">
        <v>300</v>
      </c>
      <c r="I1224" s="3">
        <v>405</v>
      </c>
      <c r="J1224" s="3">
        <v>3.74</v>
      </c>
      <c r="K1224" s="3">
        <v>2728.84</v>
      </c>
      <c r="L1224" s="3">
        <v>628.84</v>
      </c>
      <c r="M1224" s="3">
        <f t="shared" si="96"/>
        <v>10602.900000000001</v>
      </c>
      <c r="N1224" s="3">
        <f t="shared" si="97"/>
        <v>2100</v>
      </c>
      <c r="O1224" s="3">
        <f t="shared" si="98"/>
        <v>23.044223919321031</v>
      </c>
      <c r="P1224" s="3" t="str">
        <f t="shared" si="99"/>
        <v>Aug</v>
      </c>
      <c r="Q1224" s="3" t="str">
        <f t="shared" si="95"/>
        <v>good profit</v>
      </c>
    </row>
    <row r="1225" spans="1:17" x14ac:dyDescent="0.25">
      <c r="A1225" s="3" t="s">
        <v>1890</v>
      </c>
      <c r="B1225" s="4">
        <v>45874</v>
      </c>
      <c r="C1225" s="3" t="s">
        <v>2014</v>
      </c>
      <c r="D1225" s="3" t="s">
        <v>2034</v>
      </c>
      <c r="E1225" s="3" t="s">
        <v>2052</v>
      </c>
      <c r="F1225" s="3" t="s">
        <v>2061</v>
      </c>
      <c r="G1225" s="3">
        <v>7</v>
      </c>
      <c r="H1225" s="3">
        <v>4500</v>
      </c>
      <c r="I1225" s="3">
        <v>5220</v>
      </c>
      <c r="J1225" s="3">
        <v>11.69</v>
      </c>
      <c r="K1225" s="3">
        <v>32269.040000000001</v>
      </c>
      <c r="L1225" s="3">
        <v>769.04</v>
      </c>
      <c r="M1225" s="3">
        <f t="shared" si="96"/>
        <v>427152.6</v>
      </c>
      <c r="N1225" s="3">
        <f t="shared" si="97"/>
        <v>31500</v>
      </c>
      <c r="O1225" s="3">
        <f t="shared" si="98"/>
        <v>2.3832131355627557</v>
      </c>
      <c r="P1225" s="3" t="str">
        <f t="shared" si="99"/>
        <v>Aug</v>
      </c>
      <c r="Q1225" s="3" t="str">
        <f t="shared" si="95"/>
        <v>low profit</v>
      </c>
    </row>
    <row r="1226" spans="1:17" x14ac:dyDescent="0.25">
      <c r="A1226" s="3" t="s">
        <v>590</v>
      </c>
      <c r="B1226" s="4">
        <v>45875</v>
      </c>
      <c r="C1226" s="3" t="s">
        <v>2016</v>
      </c>
      <c r="D1226" s="3" t="s">
        <v>2036</v>
      </c>
      <c r="E1226" s="3" t="s">
        <v>2052</v>
      </c>
      <c r="F1226" s="3" t="s">
        <v>2059</v>
      </c>
      <c r="G1226" s="3">
        <v>2</v>
      </c>
      <c r="H1226" s="3">
        <v>900</v>
      </c>
      <c r="I1226" s="3">
        <v>1170</v>
      </c>
      <c r="J1226" s="3">
        <v>5.46</v>
      </c>
      <c r="K1226" s="3">
        <v>2212.2800000000002</v>
      </c>
      <c r="L1226" s="3">
        <v>412.28</v>
      </c>
      <c r="M1226" s="3">
        <f t="shared" si="96"/>
        <v>12776.4</v>
      </c>
      <c r="N1226" s="3">
        <f t="shared" si="97"/>
        <v>1800</v>
      </c>
      <c r="O1226" s="3">
        <f t="shared" si="98"/>
        <v>18.635977362720809</v>
      </c>
      <c r="P1226" s="3" t="str">
        <f t="shared" si="99"/>
        <v>Aug</v>
      </c>
      <c r="Q1226" s="3" t="str">
        <f t="shared" si="95"/>
        <v>good profit</v>
      </c>
    </row>
    <row r="1227" spans="1:17" x14ac:dyDescent="0.25">
      <c r="A1227" s="3" t="s">
        <v>750</v>
      </c>
      <c r="B1227" s="4">
        <v>45875</v>
      </c>
      <c r="C1227" s="3" t="s">
        <v>2030</v>
      </c>
      <c r="D1227" s="3" t="s">
        <v>2050</v>
      </c>
      <c r="E1227" s="3" t="s">
        <v>2058</v>
      </c>
      <c r="F1227" s="3" t="s">
        <v>2061</v>
      </c>
      <c r="G1227" s="3">
        <v>9</v>
      </c>
      <c r="H1227" s="3">
        <v>1800</v>
      </c>
      <c r="I1227" s="3">
        <v>2124</v>
      </c>
      <c r="J1227" s="3">
        <v>14.05</v>
      </c>
      <c r="K1227" s="3">
        <v>16429.599999999999</v>
      </c>
      <c r="L1227" s="3">
        <v>229.6</v>
      </c>
      <c r="M1227" s="3">
        <f t="shared" si="96"/>
        <v>268579.8</v>
      </c>
      <c r="N1227" s="3">
        <f t="shared" si="97"/>
        <v>16200</v>
      </c>
      <c r="O1227" s="3">
        <f t="shared" si="98"/>
        <v>1.397477723133856</v>
      </c>
      <c r="P1227" s="3" t="str">
        <f t="shared" si="99"/>
        <v>Aug</v>
      </c>
      <c r="Q1227" s="3" t="str">
        <f t="shared" si="95"/>
        <v>low profit</v>
      </c>
    </row>
    <row r="1228" spans="1:17" x14ac:dyDescent="0.25">
      <c r="A1228" s="3" t="s">
        <v>932</v>
      </c>
      <c r="B1228" s="4">
        <v>45875</v>
      </c>
      <c r="C1228" s="3" t="s">
        <v>2018</v>
      </c>
      <c r="D1228" s="3" t="s">
        <v>2038</v>
      </c>
      <c r="E1228" s="3" t="s">
        <v>2053</v>
      </c>
      <c r="F1228" s="3" t="s">
        <v>2059</v>
      </c>
      <c r="G1228" s="3">
        <v>3</v>
      </c>
      <c r="H1228" s="3">
        <v>500</v>
      </c>
      <c r="I1228" s="3">
        <v>610</v>
      </c>
      <c r="J1228" s="3">
        <v>14.3</v>
      </c>
      <c r="K1228" s="3">
        <v>1568.33</v>
      </c>
      <c r="L1228" s="3">
        <v>68.33</v>
      </c>
      <c r="M1228" s="3">
        <f t="shared" si="96"/>
        <v>26169</v>
      </c>
      <c r="N1228" s="3">
        <f t="shared" si="97"/>
        <v>1500</v>
      </c>
      <c r="O1228" s="3">
        <f t="shared" si="98"/>
        <v>4.3568636702734764</v>
      </c>
      <c r="P1228" s="3" t="str">
        <f t="shared" si="99"/>
        <v>Aug</v>
      </c>
      <c r="Q1228" s="3" t="str">
        <f t="shared" si="95"/>
        <v>low profit</v>
      </c>
    </row>
    <row r="1229" spans="1:17" x14ac:dyDescent="0.25">
      <c r="A1229" s="3" t="s">
        <v>1422</v>
      </c>
      <c r="B1229" s="4">
        <v>45875</v>
      </c>
      <c r="C1229" s="3" t="s">
        <v>2015</v>
      </c>
      <c r="D1229" s="3" t="s">
        <v>2035</v>
      </c>
      <c r="E1229" s="3" t="s">
        <v>2054</v>
      </c>
      <c r="F1229" s="3" t="s">
        <v>2061</v>
      </c>
      <c r="G1229" s="3">
        <v>10</v>
      </c>
      <c r="H1229" s="3">
        <v>900</v>
      </c>
      <c r="I1229" s="3">
        <v>1170</v>
      </c>
      <c r="J1229" s="3">
        <v>14.6</v>
      </c>
      <c r="K1229" s="3">
        <v>9992.17</v>
      </c>
      <c r="L1229" s="3">
        <v>992.17</v>
      </c>
      <c r="M1229" s="3">
        <f t="shared" si="96"/>
        <v>170820</v>
      </c>
      <c r="N1229" s="3">
        <f t="shared" si="97"/>
        <v>9000</v>
      </c>
      <c r="O1229" s="3">
        <f t="shared" si="98"/>
        <v>9.9294747787517625</v>
      </c>
      <c r="P1229" s="3" t="str">
        <f t="shared" si="99"/>
        <v>Aug</v>
      </c>
      <c r="Q1229" s="3" t="str">
        <f t="shared" si="95"/>
        <v>low profit</v>
      </c>
    </row>
    <row r="1230" spans="1:17" x14ac:dyDescent="0.25">
      <c r="A1230" s="3" t="s">
        <v>1574</v>
      </c>
      <c r="B1230" s="4">
        <v>45875</v>
      </c>
      <c r="C1230" s="3" t="s">
        <v>2028</v>
      </c>
      <c r="D1230" s="3" t="s">
        <v>2048</v>
      </c>
      <c r="E1230" s="3" t="s">
        <v>2057</v>
      </c>
      <c r="F1230" s="3" t="s">
        <v>2059</v>
      </c>
      <c r="G1230" s="3">
        <v>3</v>
      </c>
      <c r="H1230" s="3">
        <v>80</v>
      </c>
      <c r="I1230" s="3">
        <v>116</v>
      </c>
      <c r="J1230" s="3">
        <v>0</v>
      </c>
      <c r="K1230" s="3">
        <v>348</v>
      </c>
      <c r="L1230" s="3">
        <v>108</v>
      </c>
      <c r="M1230" s="3">
        <f t="shared" si="96"/>
        <v>0</v>
      </c>
      <c r="N1230" s="3">
        <f t="shared" si="97"/>
        <v>240</v>
      </c>
      <c r="O1230" s="3">
        <f t="shared" si="98"/>
        <v>31.03448275862069</v>
      </c>
      <c r="P1230" s="3" t="str">
        <f t="shared" si="99"/>
        <v>Aug</v>
      </c>
      <c r="Q1230" s="3" t="str">
        <f t="shared" si="95"/>
        <v>good profit</v>
      </c>
    </row>
    <row r="1231" spans="1:17" x14ac:dyDescent="0.25">
      <c r="A1231" s="3" t="s">
        <v>2011</v>
      </c>
      <c r="B1231" s="4">
        <v>45875</v>
      </c>
      <c r="C1231" s="3" t="s">
        <v>2020</v>
      </c>
      <c r="D1231" s="3" t="s">
        <v>2040</v>
      </c>
      <c r="E1231" s="3" t="s">
        <v>2053</v>
      </c>
      <c r="F1231" s="3" t="s">
        <v>2060</v>
      </c>
      <c r="G1231" s="3">
        <v>2</v>
      </c>
      <c r="H1231" s="3">
        <v>350</v>
      </c>
      <c r="I1231" s="3">
        <v>455</v>
      </c>
      <c r="J1231" s="3">
        <v>10.32</v>
      </c>
      <c r="K1231" s="3">
        <v>816.11</v>
      </c>
      <c r="L1231" s="3">
        <v>116.11</v>
      </c>
      <c r="M1231" s="3">
        <f t="shared" si="96"/>
        <v>9391.2000000000007</v>
      </c>
      <c r="N1231" s="3">
        <f t="shared" si="97"/>
        <v>700</v>
      </c>
      <c r="O1231" s="3">
        <f t="shared" si="98"/>
        <v>14.227248777738295</v>
      </c>
      <c r="P1231" s="3" t="str">
        <f t="shared" si="99"/>
        <v>Aug</v>
      </c>
      <c r="Q1231" s="3" t="str">
        <f t="shared" si="95"/>
        <v>good profit</v>
      </c>
    </row>
    <row r="1232" spans="1:17" x14ac:dyDescent="0.25">
      <c r="A1232" s="3" t="s">
        <v>185</v>
      </c>
      <c r="B1232" s="4">
        <v>45876</v>
      </c>
      <c r="C1232" s="3" t="s">
        <v>2020</v>
      </c>
      <c r="D1232" s="3" t="s">
        <v>2040</v>
      </c>
      <c r="E1232" s="3" t="s">
        <v>2053</v>
      </c>
      <c r="F1232" s="3" t="s">
        <v>2060</v>
      </c>
      <c r="G1232" s="3">
        <v>5</v>
      </c>
      <c r="H1232" s="3">
        <v>350</v>
      </c>
      <c r="I1232" s="3">
        <v>455</v>
      </c>
      <c r="J1232" s="3">
        <v>21.33</v>
      </c>
      <c r="K1232" s="3">
        <v>1789.66</v>
      </c>
      <c r="L1232" s="3">
        <v>39.659999999999997</v>
      </c>
      <c r="M1232" s="3">
        <f t="shared" si="96"/>
        <v>48525.749999999993</v>
      </c>
      <c r="N1232" s="3">
        <f t="shared" si="97"/>
        <v>1750</v>
      </c>
      <c r="O1232" s="3">
        <f t="shared" si="98"/>
        <v>2.2160633863415393</v>
      </c>
      <c r="P1232" s="3" t="str">
        <f t="shared" si="99"/>
        <v>Aug</v>
      </c>
      <c r="Q1232" s="3" t="str">
        <f t="shared" si="95"/>
        <v>low profit</v>
      </c>
    </row>
    <row r="1233" spans="1:17" x14ac:dyDescent="0.25">
      <c r="A1233" s="3" t="s">
        <v>395</v>
      </c>
      <c r="B1233" s="4">
        <v>45876</v>
      </c>
      <c r="C1233" s="3" t="s">
        <v>2027</v>
      </c>
      <c r="D1233" s="3" t="s">
        <v>2047</v>
      </c>
      <c r="E1233" s="3" t="s">
        <v>2053</v>
      </c>
      <c r="F1233" s="3" t="s">
        <v>2061</v>
      </c>
      <c r="G1233" s="3">
        <v>2</v>
      </c>
      <c r="H1233" s="3">
        <v>1100</v>
      </c>
      <c r="I1233" s="3">
        <v>1298</v>
      </c>
      <c r="J1233" s="3">
        <v>16.55</v>
      </c>
      <c r="K1233" s="3">
        <v>2166.3000000000002</v>
      </c>
      <c r="L1233" s="3">
        <v>-33.700000000000003</v>
      </c>
      <c r="M1233" s="3">
        <f t="shared" si="96"/>
        <v>42963.8</v>
      </c>
      <c r="N1233" s="3">
        <f t="shared" si="97"/>
        <v>2200</v>
      </c>
      <c r="O1233" s="3">
        <f t="shared" si="98"/>
        <v>-1.5556478788718091</v>
      </c>
      <c r="P1233" s="3" t="str">
        <f t="shared" si="99"/>
        <v>Aug</v>
      </c>
      <c r="Q1233" s="3" t="str">
        <f t="shared" si="95"/>
        <v>loss</v>
      </c>
    </row>
    <row r="1234" spans="1:17" x14ac:dyDescent="0.25">
      <c r="A1234" s="3" t="s">
        <v>807</v>
      </c>
      <c r="B1234" s="4">
        <v>45876</v>
      </c>
      <c r="C1234" s="3" t="s">
        <v>2016</v>
      </c>
      <c r="D1234" s="3" t="s">
        <v>2036</v>
      </c>
      <c r="E1234" s="3" t="s">
        <v>2052</v>
      </c>
      <c r="F1234" s="3" t="s">
        <v>2061</v>
      </c>
      <c r="G1234" s="3">
        <v>6</v>
      </c>
      <c r="H1234" s="3">
        <v>900</v>
      </c>
      <c r="I1234" s="3">
        <v>1170</v>
      </c>
      <c r="J1234" s="3">
        <v>9.51</v>
      </c>
      <c r="K1234" s="3">
        <v>6352.06</v>
      </c>
      <c r="L1234" s="3">
        <v>952.06</v>
      </c>
      <c r="M1234" s="3">
        <f t="shared" si="96"/>
        <v>66760.2</v>
      </c>
      <c r="N1234" s="3">
        <f t="shared" si="97"/>
        <v>5400</v>
      </c>
      <c r="O1234" s="3">
        <f t="shared" si="98"/>
        <v>14.98820854966735</v>
      </c>
      <c r="P1234" s="3" t="str">
        <f t="shared" si="99"/>
        <v>Aug</v>
      </c>
      <c r="Q1234" s="3" t="str">
        <f t="shared" si="95"/>
        <v>good profit</v>
      </c>
    </row>
    <row r="1235" spans="1:17" x14ac:dyDescent="0.25">
      <c r="A1235" s="3" t="s">
        <v>1229</v>
      </c>
      <c r="B1235" s="4">
        <v>45876</v>
      </c>
      <c r="C1235" s="3" t="s">
        <v>2022</v>
      </c>
      <c r="D1235" s="3" t="s">
        <v>2042</v>
      </c>
      <c r="E1235" s="3" t="s">
        <v>2053</v>
      </c>
      <c r="F1235" s="3" t="s">
        <v>2060</v>
      </c>
      <c r="G1235" s="3">
        <v>5</v>
      </c>
      <c r="H1235" s="3">
        <v>8500</v>
      </c>
      <c r="I1235" s="3">
        <v>9520</v>
      </c>
      <c r="J1235" s="3">
        <v>18.559999999999999</v>
      </c>
      <c r="K1235" s="3">
        <v>38767.129999999997</v>
      </c>
      <c r="L1235" s="3">
        <v>-3732.87</v>
      </c>
      <c r="M1235" s="3">
        <f t="shared" si="96"/>
        <v>883455.99999999988</v>
      </c>
      <c r="N1235" s="3">
        <f t="shared" si="97"/>
        <v>42500</v>
      </c>
      <c r="O1235" s="3">
        <f t="shared" si="98"/>
        <v>-9.6289562833255911</v>
      </c>
      <c r="P1235" s="3" t="str">
        <f t="shared" si="99"/>
        <v>Aug</v>
      </c>
      <c r="Q1235" s="3" t="str">
        <f t="shared" si="95"/>
        <v>loss</v>
      </c>
    </row>
    <row r="1236" spans="1:17" x14ac:dyDescent="0.25">
      <c r="A1236" s="3" t="s">
        <v>279</v>
      </c>
      <c r="B1236" s="4">
        <v>45877</v>
      </c>
      <c r="C1236" s="3" t="s">
        <v>2021</v>
      </c>
      <c r="D1236" s="3" t="s">
        <v>2041</v>
      </c>
      <c r="E1236" s="3" t="s">
        <v>2056</v>
      </c>
      <c r="F1236" s="3" t="s">
        <v>2061</v>
      </c>
      <c r="G1236" s="3">
        <v>2</v>
      </c>
      <c r="H1236" s="3">
        <v>300</v>
      </c>
      <c r="I1236" s="3">
        <v>405</v>
      </c>
      <c r="J1236" s="3">
        <v>4.91</v>
      </c>
      <c r="K1236" s="3">
        <v>770.24</v>
      </c>
      <c r="L1236" s="3">
        <v>170.24</v>
      </c>
      <c r="M1236" s="3">
        <f t="shared" si="96"/>
        <v>3977.1</v>
      </c>
      <c r="N1236" s="3">
        <f t="shared" si="97"/>
        <v>600</v>
      </c>
      <c r="O1236" s="3">
        <f t="shared" si="98"/>
        <v>22.102201911092649</v>
      </c>
      <c r="P1236" s="3" t="str">
        <f t="shared" si="99"/>
        <v>Aug</v>
      </c>
      <c r="Q1236" s="3" t="str">
        <f t="shared" si="95"/>
        <v>good profit</v>
      </c>
    </row>
    <row r="1237" spans="1:17" x14ac:dyDescent="0.25">
      <c r="A1237" s="3" t="s">
        <v>547</v>
      </c>
      <c r="B1237" s="4">
        <v>45877</v>
      </c>
      <c r="C1237" s="3" t="s">
        <v>2012</v>
      </c>
      <c r="D1237" s="3" t="s">
        <v>2032</v>
      </c>
      <c r="E1237" s="3" t="s">
        <v>2052</v>
      </c>
      <c r="F1237" s="3" t="s">
        <v>2061</v>
      </c>
      <c r="G1237" s="3">
        <v>6</v>
      </c>
      <c r="H1237" s="3">
        <v>6500</v>
      </c>
      <c r="I1237" s="3">
        <v>8125</v>
      </c>
      <c r="J1237" s="3">
        <v>26.73</v>
      </c>
      <c r="K1237" s="3">
        <v>35721.040000000001</v>
      </c>
      <c r="L1237" s="3">
        <v>-3278.96</v>
      </c>
      <c r="M1237" s="3">
        <f t="shared" si="96"/>
        <v>1303087.5</v>
      </c>
      <c r="N1237" s="3">
        <f t="shared" si="97"/>
        <v>39000</v>
      </c>
      <c r="O1237" s="3">
        <f t="shared" si="98"/>
        <v>-9.1793520009495797</v>
      </c>
      <c r="P1237" s="3" t="str">
        <f t="shared" si="99"/>
        <v>Aug</v>
      </c>
      <c r="Q1237" s="3" t="str">
        <f t="shared" si="95"/>
        <v>loss</v>
      </c>
    </row>
    <row r="1238" spans="1:17" x14ac:dyDescent="0.25">
      <c r="A1238" s="3" t="s">
        <v>549</v>
      </c>
      <c r="B1238" s="4">
        <v>45877</v>
      </c>
      <c r="C1238" s="3" t="s">
        <v>2031</v>
      </c>
      <c r="D1238" s="3" t="s">
        <v>2051</v>
      </c>
      <c r="E1238" s="3" t="s">
        <v>2058</v>
      </c>
      <c r="F1238" s="3" t="s">
        <v>2060</v>
      </c>
      <c r="G1238" s="3">
        <v>8</v>
      </c>
      <c r="H1238" s="3">
        <v>3200</v>
      </c>
      <c r="I1238" s="3">
        <v>3840</v>
      </c>
      <c r="J1238" s="3">
        <v>15.03</v>
      </c>
      <c r="K1238" s="3">
        <v>26103.27</v>
      </c>
      <c r="L1238" s="3">
        <v>503.27</v>
      </c>
      <c r="M1238" s="3">
        <f t="shared" si="96"/>
        <v>461721.59999999998</v>
      </c>
      <c r="N1238" s="3">
        <f t="shared" si="97"/>
        <v>25600</v>
      </c>
      <c r="O1238" s="3">
        <f t="shared" si="98"/>
        <v>1.9279959943715861</v>
      </c>
      <c r="P1238" s="3" t="str">
        <f t="shared" si="99"/>
        <v>Aug</v>
      </c>
      <c r="Q1238" s="3" t="str">
        <f t="shared" si="95"/>
        <v>low profit</v>
      </c>
    </row>
    <row r="1239" spans="1:17" x14ac:dyDescent="0.25">
      <c r="A1239" s="3" t="s">
        <v>696</v>
      </c>
      <c r="B1239" s="4">
        <v>45877</v>
      </c>
      <c r="C1239" s="3" t="s">
        <v>2027</v>
      </c>
      <c r="D1239" s="3" t="s">
        <v>2047</v>
      </c>
      <c r="E1239" s="3" t="s">
        <v>2053</v>
      </c>
      <c r="F1239" s="3" t="s">
        <v>2059</v>
      </c>
      <c r="G1239" s="3">
        <v>9</v>
      </c>
      <c r="H1239" s="3">
        <v>1100</v>
      </c>
      <c r="I1239" s="3">
        <v>1298</v>
      </c>
      <c r="J1239" s="3">
        <v>12.92</v>
      </c>
      <c r="K1239" s="3">
        <v>10172.83</v>
      </c>
      <c r="L1239" s="3">
        <v>272.83</v>
      </c>
      <c r="M1239" s="3">
        <f t="shared" si="96"/>
        <v>150931.44</v>
      </c>
      <c r="N1239" s="3">
        <f t="shared" si="97"/>
        <v>9900</v>
      </c>
      <c r="O1239" s="3">
        <f t="shared" si="98"/>
        <v>2.6819478945386876</v>
      </c>
      <c r="P1239" s="3" t="str">
        <f t="shared" si="99"/>
        <v>Aug</v>
      </c>
      <c r="Q1239" s="3" t="str">
        <f t="shared" si="95"/>
        <v>low profit</v>
      </c>
    </row>
    <row r="1240" spans="1:17" x14ac:dyDescent="0.25">
      <c r="A1240" s="3" t="s">
        <v>166</v>
      </c>
      <c r="B1240" s="4">
        <v>45878</v>
      </c>
      <c r="C1240" s="3" t="s">
        <v>2017</v>
      </c>
      <c r="D1240" s="3" t="s">
        <v>2037</v>
      </c>
      <c r="E1240" s="3" t="s">
        <v>2055</v>
      </c>
      <c r="F1240" s="3" t="s">
        <v>2062</v>
      </c>
      <c r="G1240" s="3">
        <v>6</v>
      </c>
      <c r="H1240" s="3">
        <v>2500</v>
      </c>
      <c r="I1240" s="3">
        <v>2875</v>
      </c>
      <c r="J1240" s="3">
        <v>0.79</v>
      </c>
      <c r="K1240" s="3">
        <v>17113.07</v>
      </c>
      <c r="L1240" s="3">
        <v>2113.0700000000002</v>
      </c>
      <c r="M1240" s="3">
        <f t="shared" si="96"/>
        <v>13627.5</v>
      </c>
      <c r="N1240" s="3">
        <f t="shared" si="97"/>
        <v>15000</v>
      </c>
      <c r="O1240" s="3">
        <f t="shared" si="98"/>
        <v>12.347696818864179</v>
      </c>
      <c r="P1240" s="3" t="str">
        <f t="shared" si="99"/>
        <v>Aug</v>
      </c>
      <c r="Q1240" s="3" t="str">
        <f t="shared" si="95"/>
        <v>good profit</v>
      </c>
    </row>
    <row r="1241" spans="1:17" x14ac:dyDescent="0.25">
      <c r="A1241" s="3" t="s">
        <v>218</v>
      </c>
      <c r="B1241" s="4">
        <v>45878</v>
      </c>
      <c r="C1241" s="3" t="s">
        <v>2023</v>
      </c>
      <c r="D1241" s="3" t="s">
        <v>2043</v>
      </c>
      <c r="E1241" s="3" t="s">
        <v>2053</v>
      </c>
      <c r="F1241" s="3" t="s">
        <v>2062</v>
      </c>
      <c r="G1241" s="3">
        <v>1</v>
      </c>
      <c r="H1241" s="3">
        <v>550</v>
      </c>
      <c r="I1241" s="3">
        <v>742.5</v>
      </c>
      <c r="J1241" s="3">
        <v>6.03</v>
      </c>
      <c r="K1241" s="3">
        <v>697.7</v>
      </c>
      <c r="L1241" s="3">
        <v>147.69999999999999</v>
      </c>
      <c r="M1241" s="3">
        <f t="shared" si="96"/>
        <v>4477.2750000000005</v>
      </c>
      <c r="N1241" s="3">
        <f t="shared" si="97"/>
        <v>550</v>
      </c>
      <c r="O1241" s="3">
        <f t="shared" si="98"/>
        <v>21.169557116239069</v>
      </c>
      <c r="P1241" s="3" t="str">
        <f t="shared" si="99"/>
        <v>Aug</v>
      </c>
      <c r="Q1241" s="3" t="str">
        <f t="shared" si="95"/>
        <v>good profit</v>
      </c>
    </row>
    <row r="1242" spans="1:17" x14ac:dyDescent="0.25">
      <c r="A1242" s="3" t="s">
        <v>438</v>
      </c>
      <c r="B1242" s="4">
        <v>45878</v>
      </c>
      <c r="C1242" s="3" t="s">
        <v>2015</v>
      </c>
      <c r="D1242" s="3" t="s">
        <v>2035</v>
      </c>
      <c r="E1242" s="3" t="s">
        <v>2054</v>
      </c>
      <c r="F1242" s="3" t="s">
        <v>2059</v>
      </c>
      <c r="G1242" s="3">
        <v>8</v>
      </c>
      <c r="H1242" s="3">
        <v>900</v>
      </c>
      <c r="I1242" s="3">
        <v>1170</v>
      </c>
      <c r="J1242" s="3">
        <v>14.56</v>
      </c>
      <c r="K1242" s="3">
        <v>7997.24</v>
      </c>
      <c r="L1242" s="3">
        <v>797.24</v>
      </c>
      <c r="M1242" s="3">
        <f t="shared" si="96"/>
        <v>136281.60000000001</v>
      </c>
      <c r="N1242" s="3">
        <f t="shared" si="97"/>
        <v>7200</v>
      </c>
      <c r="O1242" s="3">
        <f t="shared" si="98"/>
        <v>9.9689392840529987</v>
      </c>
      <c r="P1242" s="3" t="str">
        <f t="shared" si="99"/>
        <v>Aug</v>
      </c>
      <c r="Q1242" s="3" t="str">
        <f t="shared" si="95"/>
        <v>low profit</v>
      </c>
    </row>
    <row r="1243" spans="1:17" x14ac:dyDescent="0.25">
      <c r="A1243" s="3" t="s">
        <v>1340</v>
      </c>
      <c r="B1243" s="4">
        <v>45878</v>
      </c>
      <c r="C1243" s="3" t="s">
        <v>2022</v>
      </c>
      <c r="D1243" s="3" t="s">
        <v>2042</v>
      </c>
      <c r="E1243" s="3" t="s">
        <v>2053</v>
      </c>
      <c r="F1243" s="3" t="s">
        <v>2061</v>
      </c>
      <c r="G1243" s="3">
        <v>6</v>
      </c>
      <c r="H1243" s="3">
        <v>8500</v>
      </c>
      <c r="I1243" s="3">
        <v>9520</v>
      </c>
      <c r="J1243" s="3">
        <v>21.3</v>
      </c>
      <c r="K1243" s="3">
        <v>44952.62</v>
      </c>
      <c r="L1243" s="3">
        <v>-6047.38</v>
      </c>
      <c r="M1243" s="3">
        <f t="shared" si="96"/>
        <v>1216656</v>
      </c>
      <c r="N1243" s="3">
        <f t="shared" si="97"/>
        <v>51000</v>
      </c>
      <c r="O1243" s="3">
        <f t="shared" si="98"/>
        <v>-13.45278651166495</v>
      </c>
      <c r="P1243" s="3" t="str">
        <f t="shared" si="99"/>
        <v>Aug</v>
      </c>
      <c r="Q1243" s="3" t="str">
        <f t="shared" si="95"/>
        <v>loss</v>
      </c>
    </row>
    <row r="1244" spans="1:17" x14ac:dyDescent="0.25">
      <c r="A1244" s="3" t="s">
        <v>1772</v>
      </c>
      <c r="B1244" s="4">
        <v>45878</v>
      </c>
      <c r="C1244" s="3" t="s">
        <v>2023</v>
      </c>
      <c r="D1244" s="3" t="s">
        <v>2043</v>
      </c>
      <c r="E1244" s="3" t="s">
        <v>2053</v>
      </c>
      <c r="F1244" s="3" t="s">
        <v>2061</v>
      </c>
      <c r="G1244" s="3">
        <v>9</v>
      </c>
      <c r="H1244" s="3">
        <v>550</v>
      </c>
      <c r="I1244" s="3">
        <v>742.5</v>
      </c>
      <c r="J1244" s="3">
        <v>0.67</v>
      </c>
      <c r="K1244" s="3">
        <v>6638.02</v>
      </c>
      <c r="L1244" s="3">
        <v>1688.02</v>
      </c>
      <c r="M1244" s="3">
        <f t="shared" si="96"/>
        <v>4477.2750000000005</v>
      </c>
      <c r="N1244" s="3">
        <f t="shared" si="97"/>
        <v>4950</v>
      </c>
      <c r="O1244" s="3">
        <f t="shared" si="98"/>
        <v>25.429570866011247</v>
      </c>
      <c r="P1244" s="3" t="str">
        <f t="shared" si="99"/>
        <v>Aug</v>
      </c>
      <c r="Q1244" s="3" t="str">
        <f t="shared" si="95"/>
        <v>good profit</v>
      </c>
    </row>
    <row r="1245" spans="1:17" x14ac:dyDescent="0.25">
      <c r="A1245" s="3" t="s">
        <v>1797</v>
      </c>
      <c r="B1245" s="4">
        <v>45878</v>
      </c>
      <c r="C1245" s="3" t="s">
        <v>2030</v>
      </c>
      <c r="D1245" s="3" t="s">
        <v>2050</v>
      </c>
      <c r="E1245" s="3" t="s">
        <v>2058</v>
      </c>
      <c r="F1245" s="3" t="s">
        <v>2059</v>
      </c>
      <c r="G1245" s="3">
        <v>4</v>
      </c>
      <c r="H1245" s="3">
        <v>1800</v>
      </c>
      <c r="I1245" s="3">
        <v>2124</v>
      </c>
      <c r="J1245" s="3">
        <v>9.48</v>
      </c>
      <c r="K1245" s="3">
        <v>7690.5</v>
      </c>
      <c r="L1245" s="3">
        <v>490.5</v>
      </c>
      <c r="M1245" s="3">
        <f t="shared" si="96"/>
        <v>80542.080000000002</v>
      </c>
      <c r="N1245" s="3">
        <f t="shared" si="97"/>
        <v>7200</v>
      </c>
      <c r="O1245" s="3">
        <f t="shared" si="98"/>
        <v>6.3779988297249863</v>
      </c>
      <c r="P1245" s="3" t="str">
        <f t="shared" si="99"/>
        <v>Aug</v>
      </c>
      <c r="Q1245" s="3" t="str">
        <f t="shared" si="95"/>
        <v>low profit</v>
      </c>
    </row>
    <row r="1246" spans="1:17" x14ac:dyDescent="0.25">
      <c r="A1246" s="3" t="s">
        <v>327</v>
      </c>
      <c r="B1246" s="4">
        <v>45879</v>
      </c>
      <c r="C1246" s="3" t="s">
        <v>2012</v>
      </c>
      <c r="D1246" s="3" t="s">
        <v>2032</v>
      </c>
      <c r="E1246" s="3" t="s">
        <v>2052</v>
      </c>
      <c r="F1246" s="3" t="s">
        <v>2062</v>
      </c>
      <c r="G1246" s="3">
        <v>9</v>
      </c>
      <c r="H1246" s="3">
        <v>6500</v>
      </c>
      <c r="I1246" s="3">
        <v>8125</v>
      </c>
      <c r="J1246" s="3">
        <v>19.68</v>
      </c>
      <c r="K1246" s="3">
        <v>58734.34</v>
      </c>
      <c r="L1246" s="3">
        <v>234.34</v>
      </c>
      <c r="M1246" s="3">
        <f t="shared" si="96"/>
        <v>1439100</v>
      </c>
      <c r="N1246" s="3">
        <f t="shared" si="97"/>
        <v>58500</v>
      </c>
      <c r="O1246" s="3">
        <f t="shared" si="98"/>
        <v>0.3989829459222663</v>
      </c>
      <c r="P1246" s="3" t="str">
        <f t="shared" si="99"/>
        <v>Aug</v>
      </c>
      <c r="Q1246" s="3" t="str">
        <f t="shared" si="95"/>
        <v>low profit</v>
      </c>
    </row>
    <row r="1247" spans="1:17" x14ac:dyDescent="0.25">
      <c r="A1247" s="3" t="s">
        <v>856</v>
      </c>
      <c r="B1247" s="4">
        <v>45879</v>
      </c>
      <c r="C1247" s="3" t="s">
        <v>2020</v>
      </c>
      <c r="D1247" s="3" t="s">
        <v>2040</v>
      </c>
      <c r="E1247" s="3" t="s">
        <v>2053</v>
      </c>
      <c r="F1247" s="3" t="s">
        <v>2062</v>
      </c>
      <c r="G1247" s="3">
        <v>10</v>
      </c>
      <c r="H1247" s="3">
        <v>350</v>
      </c>
      <c r="I1247" s="3">
        <v>455</v>
      </c>
      <c r="J1247" s="3">
        <v>2.64</v>
      </c>
      <c r="K1247" s="3">
        <v>4429.92</v>
      </c>
      <c r="L1247" s="3">
        <v>929.92</v>
      </c>
      <c r="M1247" s="3">
        <f t="shared" si="96"/>
        <v>12012</v>
      </c>
      <c r="N1247" s="3">
        <f t="shared" si="97"/>
        <v>3500</v>
      </c>
      <c r="O1247" s="3">
        <f t="shared" si="98"/>
        <v>20.991801206342327</v>
      </c>
      <c r="P1247" s="3" t="str">
        <f t="shared" si="99"/>
        <v>Aug</v>
      </c>
      <c r="Q1247" s="3" t="str">
        <f t="shared" si="95"/>
        <v>good profit</v>
      </c>
    </row>
    <row r="1248" spans="1:17" x14ac:dyDescent="0.25">
      <c r="A1248" s="3" t="s">
        <v>1274</v>
      </c>
      <c r="B1248" s="4">
        <v>45879</v>
      </c>
      <c r="C1248" s="3" t="s">
        <v>2023</v>
      </c>
      <c r="D1248" s="3" t="s">
        <v>2043</v>
      </c>
      <c r="E1248" s="3" t="s">
        <v>2053</v>
      </c>
      <c r="F1248" s="3" t="s">
        <v>2059</v>
      </c>
      <c r="G1248" s="3">
        <v>6</v>
      </c>
      <c r="H1248" s="3">
        <v>550</v>
      </c>
      <c r="I1248" s="3">
        <v>742.5</v>
      </c>
      <c r="J1248" s="3">
        <v>11.65</v>
      </c>
      <c r="K1248" s="3">
        <v>3936.13</v>
      </c>
      <c r="L1248" s="3">
        <v>636.13</v>
      </c>
      <c r="M1248" s="3">
        <f t="shared" si="96"/>
        <v>51900.75</v>
      </c>
      <c r="N1248" s="3">
        <f t="shared" si="97"/>
        <v>3300</v>
      </c>
      <c r="O1248" s="3">
        <f t="shared" si="98"/>
        <v>16.161305647933375</v>
      </c>
      <c r="P1248" s="3" t="str">
        <f t="shared" si="99"/>
        <v>Aug</v>
      </c>
      <c r="Q1248" s="3" t="str">
        <f t="shared" si="95"/>
        <v>good profit</v>
      </c>
    </row>
    <row r="1249" spans="1:17" x14ac:dyDescent="0.25">
      <c r="A1249" s="3" t="s">
        <v>1537</v>
      </c>
      <c r="B1249" s="4">
        <v>45879</v>
      </c>
      <c r="C1249" s="3" t="s">
        <v>2028</v>
      </c>
      <c r="D1249" s="3" t="s">
        <v>2048</v>
      </c>
      <c r="E1249" s="3" t="s">
        <v>2057</v>
      </c>
      <c r="F1249" s="3" t="s">
        <v>2061</v>
      </c>
      <c r="G1249" s="3">
        <v>2</v>
      </c>
      <c r="H1249" s="3">
        <v>80</v>
      </c>
      <c r="I1249" s="3">
        <v>116</v>
      </c>
      <c r="J1249" s="3">
        <v>22.18</v>
      </c>
      <c r="K1249" s="3">
        <v>180.55</v>
      </c>
      <c r="L1249" s="3">
        <v>20.55</v>
      </c>
      <c r="M1249" s="3">
        <f t="shared" si="96"/>
        <v>5145.76</v>
      </c>
      <c r="N1249" s="3">
        <f t="shared" si="97"/>
        <v>160</v>
      </c>
      <c r="O1249" s="3">
        <f t="shared" si="98"/>
        <v>11.381888673497647</v>
      </c>
      <c r="P1249" s="3" t="str">
        <f t="shared" si="99"/>
        <v>Aug</v>
      </c>
      <c r="Q1249" s="3" t="str">
        <f t="shared" si="95"/>
        <v>good profit</v>
      </c>
    </row>
    <row r="1250" spans="1:17" x14ac:dyDescent="0.25">
      <c r="A1250" s="3" t="s">
        <v>1638</v>
      </c>
      <c r="B1250" s="4">
        <v>45879</v>
      </c>
      <c r="C1250" s="3" t="s">
        <v>2017</v>
      </c>
      <c r="D1250" s="3" t="s">
        <v>2037</v>
      </c>
      <c r="E1250" s="3" t="s">
        <v>2055</v>
      </c>
      <c r="F1250" s="3" t="s">
        <v>2061</v>
      </c>
      <c r="G1250" s="3">
        <v>6</v>
      </c>
      <c r="H1250" s="3">
        <v>2500</v>
      </c>
      <c r="I1250" s="3">
        <v>2875</v>
      </c>
      <c r="J1250" s="3">
        <v>12.86</v>
      </c>
      <c r="K1250" s="3">
        <v>15031.28</v>
      </c>
      <c r="L1250" s="3">
        <v>31.28</v>
      </c>
      <c r="M1250" s="3">
        <f t="shared" si="96"/>
        <v>221835</v>
      </c>
      <c r="N1250" s="3">
        <f t="shared" si="97"/>
        <v>15000</v>
      </c>
      <c r="O1250" s="3">
        <f t="shared" si="98"/>
        <v>0.20809937676631662</v>
      </c>
      <c r="P1250" s="3" t="str">
        <f t="shared" si="99"/>
        <v>Aug</v>
      </c>
      <c r="Q1250" s="3" t="str">
        <f t="shared" si="95"/>
        <v>low profit</v>
      </c>
    </row>
    <row r="1251" spans="1:17" x14ac:dyDescent="0.25">
      <c r="A1251" s="3" t="s">
        <v>281</v>
      </c>
      <c r="B1251" s="4">
        <v>45880</v>
      </c>
      <c r="C1251" s="3" t="s">
        <v>2030</v>
      </c>
      <c r="D1251" s="3" t="s">
        <v>2050</v>
      </c>
      <c r="E1251" s="3" t="s">
        <v>2058</v>
      </c>
      <c r="F1251" s="3" t="s">
        <v>2061</v>
      </c>
      <c r="G1251" s="3">
        <v>6</v>
      </c>
      <c r="H1251" s="3">
        <v>1800</v>
      </c>
      <c r="I1251" s="3">
        <v>2124</v>
      </c>
      <c r="J1251" s="3">
        <v>14.85</v>
      </c>
      <c r="K1251" s="3">
        <v>10851.45</v>
      </c>
      <c r="L1251" s="3">
        <v>51.45</v>
      </c>
      <c r="M1251" s="3">
        <f t="shared" si="96"/>
        <v>189248.4</v>
      </c>
      <c r="N1251" s="3">
        <f t="shared" si="97"/>
        <v>10800</v>
      </c>
      <c r="O1251" s="3">
        <f t="shared" si="98"/>
        <v>0.47413018536693252</v>
      </c>
      <c r="P1251" s="3" t="str">
        <f t="shared" si="99"/>
        <v>Aug</v>
      </c>
      <c r="Q1251" s="3" t="str">
        <f t="shared" si="95"/>
        <v>low profit</v>
      </c>
    </row>
    <row r="1252" spans="1:17" x14ac:dyDescent="0.25">
      <c r="A1252" s="3" t="s">
        <v>411</v>
      </c>
      <c r="B1252" s="4">
        <v>45880</v>
      </c>
      <c r="C1252" s="3" t="s">
        <v>2020</v>
      </c>
      <c r="D1252" s="3" t="s">
        <v>2040</v>
      </c>
      <c r="E1252" s="3" t="s">
        <v>2053</v>
      </c>
      <c r="F1252" s="3" t="s">
        <v>2060</v>
      </c>
      <c r="G1252" s="3">
        <v>1</v>
      </c>
      <c r="H1252" s="3">
        <v>350</v>
      </c>
      <c r="I1252" s="3">
        <v>455</v>
      </c>
      <c r="J1252" s="3">
        <v>0</v>
      </c>
      <c r="K1252" s="3">
        <v>455</v>
      </c>
      <c r="L1252" s="3">
        <v>105</v>
      </c>
      <c r="M1252" s="3">
        <f t="shared" si="96"/>
        <v>0</v>
      </c>
      <c r="N1252" s="3">
        <f t="shared" si="97"/>
        <v>350</v>
      </c>
      <c r="O1252" s="3">
        <f t="shared" si="98"/>
        <v>23.076923076923077</v>
      </c>
      <c r="P1252" s="3" t="str">
        <f t="shared" si="99"/>
        <v>Aug</v>
      </c>
      <c r="Q1252" s="3" t="str">
        <f t="shared" si="95"/>
        <v>good profit</v>
      </c>
    </row>
    <row r="1253" spans="1:17" x14ac:dyDescent="0.25">
      <c r="A1253" s="3" t="s">
        <v>720</v>
      </c>
      <c r="B1253" s="4">
        <v>45880</v>
      </c>
      <c r="C1253" s="3" t="s">
        <v>2029</v>
      </c>
      <c r="D1253" s="3" t="s">
        <v>2049</v>
      </c>
      <c r="E1253" s="3" t="s">
        <v>2055</v>
      </c>
      <c r="F1253" s="3" t="s">
        <v>2062</v>
      </c>
      <c r="G1253" s="3">
        <v>1</v>
      </c>
      <c r="H1253" s="3">
        <v>1200</v>
      </c>
      <c r="I1253" s="3">
        <v>1464</v>
      </c>
      <c r="J1253" s="3">
        <v>11.91</v>
      </c>
      <c r="K1253" s="3">
        <v>1289.67</v>
      </c>
      <c r="L1253" s="3">
        <v>89.67</v>
      </c>
      <c r="M1253" s="3">
        <f t="shared" si="96"/>
        <v>17436.240000000002</v>
      </c>
      <c r="N1253" s="3">
        <f t="shared" si="97"/>
        <v>1200</v>
      </c>
      <c r="O1253" s="3">
        <f t="shared" si="98"/>
        <v>6.9529414501384075</v>
      </c>
      <c r="P1253" s="3" t="str">
        <f t="shared" si="99"/>
        <v>Aug</v>
      </c>
      <c r="Q1253" s="3" t="str">
        <f t="shared" si="95"/>
        <v>low profit</v>
      </c>
    </row>
    <row r="1254" spans="1:17" x14ac:dyDescent="0.25">
      <c r="A1254" s="3" t="s">
        <v>1056</v>
      </c>
      <c r="B1254" s="4">
        <v>45880</v>
      </c>
      <c r="C1254" s="3" t="s">
        <v>2018</v>
      </c>
      <c r="D1254" s="3" t="s">
        <v>2038</v>
      </c>
      <c r="E1254" s="3" t="s">
        <v>2053</v>
      </c>
      <c r="F1254" s="3" t="s">
        <v>2060</v>
      </c>
      <c r="G1254" s="3">
        <v>10</v>
      </c>
      <c r="H1254" s="3">
        <v>500</v>
      </c>
      <c r="I1254" s="3">
        <v>610</v>
      </c>
      <c r="J1254" s="3">
        <v>10.44</v>
      </c>
      <c r="K1254" s="3">
        <v>5462.99</v>
      </c>
      <c r="L1254" s="3">
        <v>462.99</v>
      </c>
      <c r="M1254" s="3">
        <f t="shared" si="96"/>
        <v>63684</v>
      </c>
      <c r="N1254" s="3">
        <f t="shared" si="97"/>
        <v>5000</v>
      </c>
      <c r="O1254" s="3">
        <f t="shared" si="98"/>
        <v>8.4750292422281568</v>
      </c>
      <c r="P1254" s="3" t="str">
        <f t="shared" si="99"/>
        <v>Aug</v>
      </c>
      <c r="Q1254" s="3" t="str">
        <f t="shared" si="95"/>
        <v>low profit</v>
      </c>
    </row>
    <row r="1255" spans="1:17" x14ac:dyDescent="0.25">
      <c r="A1255" s="3" t="s">
        <v>1637</v>
      </c>
      <c r="B1255" s="4">
        <v>45880</v>
      </c>
      <c r="C1255" s="3" t="s">
        <v>2025</v>
      </c>
      <c r="D1255" s="3" t="s">
        <v>2045</v>
      </c>
      <c r="E1255" s="3" t="s">
        <v>2057</v>
      </c>
      <c r="F1255" s="3" t="s">
        <v>2060</v>
      </c>
      <c r="G1255" s="3">
        <v>7</v>
      </c>
      <c r="H1255" s="3">
        <v>45</v>
      </c>
      <c r="I1255" s="3">
        <v>63</v>
      </c>
      <c r="J1255" s="3">
        <v>16.8</v>
      </c>
      <c r="K1255" s="3">
        <v>366.91</v>
      </c>
      <c r="L1255" s="3">
        <v>51.91</v>
      </c>
      <c r="M1255" s="3">
        <f t="shared" si="96"/>
        <v>7408.8</v>
      </c>
      <c r="N1255" s="3">
        <f t="shared" si="97"/>
        <v>315</v>
      </c>
      <c r="O1255" s="3">
        <f t="shared" si="98"/>
        <v>14.147883677196042</v>
      </c>
      <c r="P1255" s="3" t="str">
        <f t="shared" si="99"/>
        <v>Aug</v>
      </c>
      <c r="Q1255" s="3" t="str">
        <f t="shared" si="95"/>
        <v>good profit</v>
      </c>
    </row>
    <row r="1256" spans="1:17" x14ac:dyDescent="0.25">
      <c r="A1256" s="3" t="s">
        <v>342</v>
      </c>
      <c r="B1256" s="4">
        <v>45881</v>
      </c>
      <c r="C1256" s="3" t="s">
        <v>2017</v>
      </c>
      <c r="D1256" s="3" t="s">
        <v>2037</v>
      </c>
      <c r="E1256" s="3" t="s">
        <v>2055</v>
      </c>
      <c r="F1256" s="3" t="s">
        <v>2060</v>
      </c>
      <c r="G1256" s="3">
        <v>2</v>
      </c>
      <c r="H1256" s="3">
        <v>2500</v>
      </c>
      <c r="I1256" s="3">
        <v>2875</v>
      </c>
      <c r="J1256" s="3">
        <v>7.75</v>
      </c>
      <c r="K1256" s="3">
        <v>5304.6</v>
      </c>
      <c r="L1256" s="3">
        <v>304.60000000000002</v>
      </c>
      <c r="M1256" s="3">
        <f t="shared" si="96"/>
        <v>44562.5</v>
      </c>
      <c r="N1256" s="3">
        <f t="shared" si="97"/>
        <v>5000</v>
      </c>
      <c r="O1256" s="3">
        <f t="shared" si="98"/>
        <v>5.7421860272216563</v>
      </c>
      <c r="P1256" s="3" t="str">
        <f t="shared" si="99"/>
        <v>Aug</v>
      </c>
      <c r="Q1256" s="3" t="str">
        <f t="shared" si="95"/>
        <v>low profit</v>
      </c>
    </row>
    <row r="1257" spans="1:17" x14ac:dyDescent="0.25">
      <c r="A1257" s="3" t="s">
        <v>388</v>
      </c>
      <c r="B1257" s="4">
        <v>45881</v>
      </c>
      <c r="C1257" s="3" t="s">
        <v>2027</v>
      </c>
      <c r="D1257" s="3" t="s">
        <v>2047</v>
      </c>
      <c r="E1257" s="3" t="s">
        <v>2053</v>
      </c>
      <c r="F1257" s="3" t="s">
        <v>2062</v>
      </c>
      <c r="G1257" s="3">
        <v>10</v>
      </c>
      <c r="H1257" s="3">
        <v>1100</v>
      </c>
      <c r="I1257" s="3">
        <v>1298</v>
      </c>
      <c r="J1257" s="3">
        <v>7.1</v>
      </c>
      <c r="K1257" s="3">
        <v>12058.72</v>
      </c>
      <c r="L1257" s="3">
        <v>1058.72</v>
      </c>
      <c r="M1257" s="3">
        <f t="shared" si="96"/>
        <v>92158</v>
      </c>
      <c r="N1257" s="3">
        <f t="shared" si="97"/>
        <v>11000</v>
      </c>
      <c r="O1257" s="3">
        <f t="shared" si="98"/>
        <v>8.7797046452691507</v>
      </c>
      <c r="P1257" s="3" t="str">
        <f t="shared" si="99"/>
        <v>Aug</v>
      </c>
      <c r="Q1257" s="3" t="str">
        <f t="shared" si="95"/>
        <v>low profit</v>
      </c>
    </row>
    <row r="1258" spans="1:17" x14ac:dyDescent="0.25">
      <c r="A1258" s="3" t="s">
        <v>1144</v>
      </c>
      <c r="B1258" s="4">
        <v>45881</v>
      </c>
      <c r="C1258" s="3" t="s">
        <v>2025</v>
      </c>
      <c r="D1258" s="3" t="s">
        <v>2045</v>
      </c>
      <c r="E1258" s="3" t="s">
        <v>2057</v>
      </c>
      <c r="F1258" s="3" t="s">
        <v>2061</v>
      </c>
      <c r="G1258" s="3">
        <v>1</v>
      </c>
      <c r="H1258" s="3">
        <v>45</v>
      </c>
      <c r="I1258" s="3">
        <v>63</v>
      </c>
      <c r="J1258" s="3">
        <v>0.01</v>
      </c>
      <c r="K1258" s="3">
        <v>62.99</v>
      </c>
      <c r="L1258" s="3">
        <v>17.989999999999998</v>
      </c>
      <c r="M1258" s="3">
        <f t="shared" si="96"/>
        <v>0.63</v>
      </c>
      <c r="N1258" s="3">
        <f t="shared" si="97"/>
        <v>45</v>
      </c>
      <c r="O1258" s="3">
        <f t="shared" si="98"/>
        <v>28.560088903000473</v>
      </c>
      <c r="P1258" s="3" t="str">
        <f t="shared" si="99"/>
        <v>Aug</v>
      </c>
      <c r="Q1258" s="3" t="str">
        <f t="shared" si="95"/>
        <v>good profit</v>
      </c>
    </row>
    <row r="1259" spans="1:17" x14ac:dyDescent="0.25">
      <c r="A1259" s="3" t="s">
        <v>1541</v>
      </c>
      <c r="B1259" s="4">
        <v>45881</v>
      </c>
      <c r="C1259" s="3" t="s">
        <v>2016</v>
      </c>
      <c r="D1259" s="3" t="s">
        <v>2036</v>
      </c>
      <c r="E1259" s="3" t="s">
        <v>2052</v>
      </c>
      <c r="F1259" s="3" t="s">
        <v>2060</v>
      </c>
      <c r="G1259" s="3">
        <v>1</v>
      </c>
      <c r="H1259" s="3">
        <v>900</v>
      </c>
      <c r="I1259" s="3">
        <v>1170</v>
      </c>
      <c r="J1259" s="3">
        <v>0</v>
      </c>
      <c r="K1259" s="3">
        <v>1170</v>
      </c>
      <c r="L1259" s="3">
        <v>270</v>
      </c>
      <c r="M1259" s="3">
        <f t="shared" si="96"/>
        <v>0</v>
      </c>
      <c r="N1259" s="3">
        <f t="shared" si="97"/>
        <v>900</v>
      </c>
      <c r="O1259" s="3">
        <f t="shared" si="98"/>
        <v>23.076923076923077</v>
      </c>
      <c r="P1259" s="3" t="str">
        <f t="shared" si="99"/>
        <v>Aug</v>
      </c>
      <c r="Q1259" s="3" t="str">
        <f t="shared" si="95"/>
        <v>good profit</v>
      </c>
    </row>
    <row r="1260" spans="1:17" x14ac:dyDescent="0.25">
      <c r="A1260" s="3" t="s">
        <v>1625</v>
      </c>
      <c r="B1260" s="4">
        <v>45881</v>
      </c>
      <c r="C1260" s="3" t="s">
        <v>2018</v>
      </c>
      <c r="D1260" s="3" t="s">
        <v>2038</v>
      </c>
      <c r="E1260" s="3" t="s">
        <v>2053</v>
      </c>
      <c r="F1260" s="3" t="s">
        <v>2060</v>
      </c>
      <c r="G1260" s="3">
        <v>4</v>
      </c>
      <c r="H1260" s="3">
        <v>500</v>
      </c>
      <c r="I1260" s="3">
        <v>610</v>
      </c>
      <c r="J1260" s="3">
        <v>6.61</v>
      </c>
      <c r="K1260" s="3">
        <v>2278.63</v>
      </c>
      <c r="L1260" s="3">
        <v>278.63</v>
      </c>
      <c r="M1260" s="3">
        <f t="shared" si="96"/>
        <v>16128.400000000001</v>
      </c>
      <c r="N1260" s="3">
        <f t="shared" si="97"/>
        <v>2000</v>
      </c>
      <c r="O1260" s="3">
        <f t="shared" si="98"/>
        <v>12.227961538292744</v>
      </c>
      <c r="P1260" s="3" t="str">
        <f t="shared" si="99"/>
        <v>Aug</v>
      </c>
      <c r="Q1260" s="3" t="str">
        <f t="shared" si="95"/>
        <v>good profit</v>
      </c>
    </row>
    <row r="1261" spans="1:17" x14ac:dyDescent="0.25">
      <c r="A1261" s="3" t="s">
        <v>804</v>
      </c>
      <c r="B1261" s="4">
        <v>45882</v>
      </c>
      <c r="C1261" s="3" t="s">
        <v>2028</v>
      </c>
      <c r="D1261" s="3" t="s">
        <v>2048</v>
      </c>
      <c r="E1261" s="3" t="s">
        <v>2057</v>
      </c>
      <c r="F1261" s="3" t="s">
        <v>2060</v>
      </c>
      <c r="G1261" s="3">
        <v>6</v>
      </c>
      <c r="H1261" s="3">
        <v>80</v>
      </c>
      <c r="I1261" s="3">
        <v>116</v>
      </c>
      <c r="J1261" s="3">
        <v>14.53</v>
      </c>
      <c r="K1261" s="3">
        <v>594.88</v>
      </c>
      <c r="L1261" s="3">
        <v>114.88</v>
      </c>
      <c r="M1261" s="3">
        <f t="shared" si="96"/>
        <v>10112.879999999999</v>
      </c>
      <c r="N1261" s="3">
        <f t="shared" si="97"/>
        <v>480</v>
      </c>
      <c r="O1261" s="3">
        <f t="shared" si="98"/>
        <v>19.311457772996235</v>
      </c>
      <c r="P1261" s="3" t="str">
        <f t="shared" si="99"/>
        <v>Aug</v>
      </c>
      <c r="Q1261" s="3" t="str">
        <f t="shared" si="95"/>
        <v>good profit</v>
      </c>
    </row>
    <row r="1262" spans="1:17" x14ac:dyDescent="0.25">
      <c r="A1262" s="3" t="s">
        <v>1017</v>
      </c>
      <c r="B1262" s="4">
        <v>45882</v>
      </c>
      <c r="C1262" s="3" t="s">
        <v>2021</v>
      </c>
      <c r="D1262" s="3" t="s">
        <v>2041</v>
      </c>
      <c r="E1262" s="3" t="s">
        <v>2056</v>
      </c>
      <c r="F1262" s="3" t="s">
        <v>2061</v>
      </c>
      <c r="G1262" s="3">
        <v>6</v>
      </c>
      <c r="H1262" s="3">
        <v>300</v>
      </c>
      <c r="I1262" s="3">
        <v>405</v>
      </c>
      <c r="J1262" s="3">
        <v>14.27</v>
      </c>
      <c r="K1262" s="3">
        <v>2083.2600000000002</v>
      </c>
      <c r="L1262" s="3">
        <v>283.26</v>
      </c>
      <c r="M1262" s="3">
        <f t="shared" si="96"/>
        <v>34676.1</v>
      </c>
      <c r="N1262" s="3">
        <f t="shared" si="97"/>
        <v>1800</v>
      </c>
      <c r="O1262" s="3">
        <f t="shared" si="98"/>
        <v>13.596958612943174</v>
      </c>
      <c r="P1262" s="3" t="str">
        <f t="shared" si="99"/>
        <v>Aug</v>
      </c>
      <c r="Q1262" s="3" t="str">
        <f t="shared" si="95"/>
        <v>good profit</v>
      </c>
    </row>
    <row r="1263" spans="1:17" x14ac:dyDescent="0.25">
      <c r="A1263" s="3" t="s">
        <v>1243</v>
      </c>
      <c r="B1263" s="4">
        <v>45882</v>
      </c>
      <c r="C1263" s="3" t="s">
        <v>2014</v>
      </c>
      <c r="D1263" s="3" t="s">
        <v>2034</v>
      </c>
      <c r="E1263" s="3" t="s">
        <v>2052</v>
      </c>
      <c r="F1263" s="3" t="s">
        <v>2060</v>
      </c>
      <c r="G1263" s="3">
        <v>7</v>
      </c>
      <c r="H1263" s="3">
        <v>4500</v>
      </c>
      <c r="I1263" s="3">
        <v>5220</v>
      </c>
      <c r="J1263" s="3">
        <v>21.18</v>
      </c>
      <c r="K1263" s="3">
        <v>28799.73</v>
      </c>
      <c r="L1263" s="3">
        <v>-2700.27</v>
      </c>
      <c r="M1263" s="3">
        <f t="shared" si="96"/>
        <v>773917.2</v>
      </c>
      <c r="N1263" s="3">
        <f t="shared" si="97"/>
        <v>31500</v>
      </c>
      <c r="O1263" s="3">
        <f t="shared" si="98"/>
        <v>-9.3760254002381274</v>
      </c>
      <c r="P1263" s="3" t="str">
        <f t="shared" si="99"/>
        <v>Aug</v>
      </c>
      <c r="Q1263" s="3" t="str">
        <f t="shared" si="95"/>
        <v>loss</v>
      </c>
    </row>
    <row r="1264" spans="1:17" x14ac:dyDescent="0.25">
      <c r="A1264" s="3" t="s">
        <v>1560</v>
      </c>
      <c r="B1264" s="4">
        <v>45882</v>
      </c>
      <c r="C1264" s="3" t="s">
        <v>2024</v>
      </c>
      <c r="D1264" s="3" t="s">
        <v>2044</v>
      </c>
      <c r="E1264" s="3" t="s">
        <v>2055</v>
      </c>
      <c r="F1264" s="3" t="s">
        <v>2061</v>
      </c>
      <c r="G1264" s="3">
        <v>6</v>
      </c>
      <c r="H1264" s="3">
        <v>180</v>
      </c>
      <c r="I1264" s="3">
        <v>243</v>
      </c>
      <c r="J1264" s="3">
        <v>9.9600000000000009</v>
      </c>
      <c r="K1264" s="3">
        <v>1312.75</v>
      </c>
      <c r="L1264" s="3">
        <v>232.75</v>
      </c>
      <c r="M1264" s="3">
        <f t="shared" si="96"/>
        <v>14521.680000000002</v>
      </c>
      <c r="N1264" s="3">
        <f t="shared" si="97"/>
        <v>1080</v>
      </c>
      <c r="O1264" s="3">
        <f t="shared" si="98"/>
        <v>17.72995619881927</v>
      </c>
      <c r="P1264" s="3" t="str">
        <f t="shared" si="99"/>
        <v>Aug</v>
      </c>
      <c r="Q1264" s="3" t="str">
        <f t="shared" si="95"/>
        <v>good profit</v>
      </c>
    </row>
    <row r="1265" spans="1:17" x14ac:dyDescent="0.25">
      <c r="A1265" s="3" t="s">
        <v>53</v>
      </c>
      <c r="B1265" s="4">
        <v>45883</v>
      </c>
      <c r="C1265" s="3" t="s">
        <v>2012</v>
      </c>
      <c r="D1265" s="3" t="s">
        <v>2032</v>
      </c>
      <c r="E1265" s="3" t="s">
        <v>2052</v>
      </c>
      <c r="F1265" s="3" t="s">
        <v>2059</v>
      </c>
      <c r="G1265" s="3">
        <v>6</v>
      </c>
      <c r="H1265" s="3">
        <v>6500</v>
      </c>
      <c r="I1265" s="3">
        <v>8125</v>
      </c>
      <c r="J1265" s="3">
        <v>11.35</v>
      </c>
      <c r="K1265" s="3">
        <v>43215.7</v>
      </c>
      <c r="L1265" s="3">
        <v>4215.7</v>
      </c>
      <c r="M1265" s="3">
        <f t="shared" si="96"/>
        <v>553312.5</v>
      </c>
      <c r="N1265" s="3">
        <f t="shared" si="97"/>
        <v>39000</v>
      </c>
      <c r="O1265" s="3">
        <f t="shared" si="98"/>
        <v>9.7550195877886985</v>
      </c>
      <c r="P1265" s="3" t="str">
        <f t="shared" si="99"/>
        <v>Aug</v>
      </c>
      <c r="Q1265" s="3" t="str">
        <f t="shared" si="95"/>
        <v>low profit</v>
      </c>
    </row>
    <row r="1266" spans="1:17" x14ac:dyDescent="0.25">
      <c r="A1266" s="3" t="s">
        <v>308</v>
      </c>
      <c r="B1266" s="4">
        <v>45883</v>
      </c>
      <c r="C1266" s="3" t="s">
        <v>2013</v>
      </c>
      <c r="D1266" s="3" t="s">
        <v>2033</v>
      </c>
      <c r="E1266" s="3" t="s">
        <v>2053</v>
      </c>
      <c r="F1266" s="3" t="s">
        <v>2060</v>
      </c>
      <c r="G1266" s="3">
        <v>6</v>
      </c>
      <c r="H1266" s="3">
        <v>6500</v>
      </c>
      <c r="I1266" s="3">
        <v>7150</v>
      </c>
      <c r="J1266" s="3">
        <v>10.19</v>
      </c>
      <c r="K1266" s="3">
        <v>38529.199999999997</v>
      </c>
      <c r="L1266" s="3">
        <v>-470.8</v>
      </c>
      <c r="M1266" s="3">
        <f t="shared" si="96"/>
        <v>437151</v>
      </c>
      <c r="N1266" s="3">
        <f t="shared" si="97"/>
        <v>39000</v>
      </c>
      <c r="O1266" s="3">
        <f t="shared" si="98"/>
        <v>-1.2219303800753716</v>
      </c>
      <c r="P1266" s="3" t="str">
        <f t="shared" si="99"/>
        <v>Aug</v>
      </c>
      <c r="Q1266" s="3" t="str">
        <f t="shared" si="95"/>
        <v>loss</v>
      </c>
    </row>
    <row r="1267" spans="1:17" x14ac:dyDescent="0.25">
      <c r="A1267" s="3" t="s">
        <v>743</v>
      </c>
      <c r="B1267" s="4">
        <v>45883</v>
      </c>
      <c r="C1267" s="3" t="s">
        <v>2013</v>
      </c>
      <c r="D1267" s="3" t="s">
        <v>2033</v>
      </c>
      <c r="E1267" s="3" t="s">
        <v>2053</v>
      </c>
      <c r="F1267" s="3" t="s">
        <v>2060</v>
      </c>
      <c r="G1267" s="3">
        <v>5</v>
      </c>
      <c r="H1267" s="3">
        <v>6500</v>
      </c>
      <c r="I1267" s="3">
        <v>7150</v>
      </c>
      <c r="J1267" s="3">
        <v>12.96</v>
      </c>
      <c r="K1267" s="3">
        <v>31115.22</v>
      </c>
      <c r="L1267" s="3">
        <v>-1384.78</v>
      </c>
      <c r="M1267" s="3">
        <f t="shared" si="96"/>
        <v>463320.00000000006</v>
      </c>
      <c r="N1267" s="3">
        <f t="shared" si="97"/>
        <v>32500</v>
      </c>
      <c r="O1267" s="3">
        <f t="shared" si="98"/>
        <v>-4.4504907887522567</v>
      </c>
      <c r="P1267" s="3" t="str">
        <f t="shared" si="99"/>
        <v>Aug</v>
      </c>
      <c r="Q1267" s="3" t="str">
        <f t="shared" si="95"/>
        <v>loss</v>
      </c>
    </row>
    <row r="1268" spans="1:17" x14ac:dyDescent="0.25">
      <c r="A1268" s="3" t="s">
        <v>1570</v>
      </c>
      <c r="B1268" s="4">
        <v>45883</v>
      </c>
      <c r="C1268" s="3" t="s">
        <v>2023</v>
      </c>
      <c r="D1268" s="3" t="s">
        <v>2043</v>
      </c>
      <c r="E1268" s="3" t="s">
        <v>2053</v>
      </c>
      <c r="F1268" s="3" t="s">
        <v>2059</v>
      </c>
      <c r="G1268" s="3">
        <v>7</v>
      </c>
      <c r="H1268" s="3">
        <v>550</v>
      </c>
      <c r="I1268" s="3">
        <v>742.5</v>
      </c>
      <c r="J1268" s="3">
        <v>1.68</v>
      </c>
      <c r="K1268" s="3">
        <v>5110.03</v>
      </c>
      <c r="L1268" s="3">
        <v>1260.03</v>
      </c>
      <c r="M1268" s="3">
        <f t="shared" si="96"/>
        <v>8731.7999999999993</v>
      </c>
      <c r="N1268" s="3">
        <f t="shared" si="97"/>
        <v>3850</v>
      </c>
      <c r="O1268" s="3">
        <f t="shared" si="98"/>
        <v>24.657976567652245</v>
      </c>
      <c r="P1268" s="3" t="str">
        <f t="shared" si="99"/>
        <v>Aug</v>
      </c>
      <c r="Q1268" s="3" t="str">
        <f t="shared" si="95"/>
        <v>good profit</v>
      </c>
    </row>
    <row r="1269" spans="1:17" x14ac:dyDescent="0.25">
      <c r="A1269" s="3" t="s">
        <v>1623</v>
      </c>
      <c r="B1269" s="4">
        <v>45883</v>
      </c>
      <c r="C1269" s="3" t="s">
        <v>2017</v>
      </c>
      <c r="D1269" s="3" t="s">
        <v>2037</v>
      </c>
      <c r="E1269" s="3" t="s">
        <v>2055</v>
      </c>
      <c r="F1269" s="3" t="s">
        <v>2062</v>
      </c>
      <c r="G1269" s="3">
        <v>7</v>
      </c>
      <c r="H1269" s="3">
        <v>2500</v>
      </c>
      <c r="I1269" s="3">
        <v>2875</v>
      </c>
      <c r="J1269" s="3">
        <v>13.42</v>
      </c>
      <c r="K1269" s="3">
        <v>17424.68</v>
      </c>
      <c r="L1269" s="3">
        <v>-75.319999999999993</v>
      </c>
      <c r="M1269" s="3">
        <f t="shared" si="96"/>
        <v>270077.5</v>
      </c>
      <c r="N1269" s="3">
        <f t="shared" si="97"/>
        <v>17500</v>
      </c>
      <c r="O1269" s="3">
        <f t="shared" si="98"/>
        <v>-0.43226044897237709</v>
      </c>
      <c r="P1269" s="3" t="str">
        <f t="shared" si="99"/>
        <v>Aug</v>
      </c>
      <c r="Q1269" s="3" t="str">
        <f t="shared" si="95"/>
        <v>loss</v>
      </c>
    </row>
    <row r="1270" spans="1:17" x14ac:dyDescent="0.25">
      <c r="A1270" s="3" t="s">
        <v>216</v>
      </c>
      <c r="B1270" s="4">
        <v>45884</v>
      </c>
      <c r="C1270" s="3" t="s">
        <v>2013</v>
      </c>
      <c r="D1270" s="3" t="s">
        <v>2033</v>
      </c>
      <c r="E1270" s="3" t="s">
        <v>2053</v>
      </c>
      <c r="F1270" s="3" t="s">
        <v>2060</v>
      </c>
      <c r="G1270" s="3">
        <v>7</v>
      </c>
      <c r="H1270" s="3">
        <v>6500</v>
      </c>
      <c r="I1270" s="3">
        <v>7150</v>
      </c>
      <c r="J1270" s="3">
        <v>4</v>
      </c>
      <c r="K1270" s="3">
        <v>48048</v>
      </c>
      <c r="L1270" s="3">
        <v>2548</v>
      </c>
      <c r="M1270" s="3">
        <f t="shared" si="96"/>
        <v>200200</v>
      </c>
      <c r="N1270" s="3">
        <f t="shared" si="97"/>
        <v>45500</v>
      </c>
      <c r="O1270" s="3">
        <f t="shared" si="98"/>
        <v>5.3030303030303028</v>
      </c>
      <c r="P1270" s="3" t="str">
        <f t="shared" si="99"/>
        <v>Aug</v>
      </c>
      <c r="Q1270" s="3" t="str">
        <f t="shared" si="95"/>
        <v>low profit</v>
      </c>
    </row>
    <row r="1271" spans="1:17" x14ac:dyDescent="0.25">
      <c r="A1271" s="3" t="s">
        <v>422</v>
      </c>
      <c r="B1271" s="4">
        <v>45884</v>
      </c>
      <c r="C1271" s="3" t="s">
        <v>2024</v>
      </c>
      <c r="D1271" s="3" t="s">
        <v>2044</v>
      </c>
      <c r="E1271" s="3" t="s">
        <v>2055</v>
      </c>
      <c r="F1271" s="3" t="s">
        <v>2060</v>
      </c>
      <c r="G1271" s="3">
        <v>7</v>
      </c>
      <c r="H1271" s="3">
        <v>180</v>
      </c>
      <c r="I1271" s="3">
        <v>243</v>
      </c>
      <c r="J1271" s="3">
        <v>8.3800000000000008</v>
      </c>
      <c r="K1271" s="3">
        <v>1558.5</v>
      </c>
      <c r="L1271" s="3">
        <v>298.5</v>
      </c>
      <c r="M1271" s="3">
        <f t="shared" si="96"/>
        <v>14254.380000000001</v>
      </c>
      <c r="N1271" s="3">
        <f t="shared" si="97"/>
        <v>1260</v>
      </c>
      <c r="O1271" s="3">
        <f t="shared" si="98"/>
        <v>19.153031761308949</v>
      </c>
      <c r="P1271" s="3" t="str">
        <f t="shared" si="99"/>
        <v>Aug</v>
      </c>
      <c r="Q1271" s="3" t="str">
        <f t="shared" si="95"/>
        <v>good profit</v>
      </c>
    </row>
    <row r="1272" spans="1:17" x14ac:dyDescent="0.25">
      <c r="A1272" s="3" t="s">
        <v>664</v>
      </c>
      <c r="B1272" s="4">
        <v>45884</v>
      </c>
      <c r="C1272" s="3" t="s">
        <v>2026</v>
      </c>
      <c r="D1272" s="3" t="s">
        <v>2046</v>
      </c>
      <c r="E1272" s="3" t="s">
        <v>2052</v>
      </c>
      <c r="F1272" s="3" t="s">
        <v>2060</v>
      </c>
      <c r="G1272" s="3">
        <v>3</v>
      </c>
      <c r="H1272" s="3">
        <v>3000</v>
      </c>
      <c r="I1272" s="3">
        <v>3600</v>
      </c>
      <c r="J1272" s="3">
        <v>16.84</v>
      </c>
      <c r="K1272" s="3">
        <v>8981.2800000000007</v>
      </c>
      <c r="L1272" s="3">
        <v>-18.72</v>
      </c>
      <c r="M1272" s="3">
        <f t="shared" si="96"/>
        <v>181872</v>
      </c>
      <c r="N1272" s="3">
        <f t="shared" si="97"/>
        <v>9000</v>
      </c>
      <c r="O1272" s="3">
        <f t="shared" si="98"/>
        <v>-0.20843354176687509</v>
      </c>
      <c r="P1272" s="3" t="str">
        <f t="shared" si="99"/>
        <v>Aug</v>
      </c>
      <c r="Q1272" s="3" t="str">
        <f t="shared" si="95"/>
        <v>loss</v>
      </c>
    </row>
    <row r="1273" spans="1:17" x14ac:dyDescent="0.25">
      <c r="A1273" s="3" t="s">
        <v>733</v>
      </c>
      <c r="B1273" s="4">
        <v>45884</v>
      </c>
      <c r="C1273" s="3" t="s">
        <v>2014</v>
      </c>
      <c r="D1273" s="3" t="s">
        <v>2034</v>
      </c>
      <c r="E1273" s="3" t="s">
        <v>2052</v>
      </c>
      <c r="F1273" s="3" t="s">
        <v>2062</v>
      </c>
      <c r="G1273" s="3">
        <v>1</v>
      </c>
      <c r="H1273" s="3">
        <v>4500</v>
      </c>
      <c r="I1273" s="3">
        <v>5220</v>
      </c>
      <c r="J1273" s="3">
        <v>21.98</v>
      </c>
      <c r="K1273" s="3">
        <v>4072.79</v>
      </c>
      <c r="L1273" s="3">
        <v>-427.21</v>
      </c>
      <c r="M1273" s="3">
        <f t="shared" si="96"/>
        <v>114735.6</v>
      </c>
      <c r="N1273" s="3">
        <f t="shared" si="97"/>
        <v>4500</v>
      </c>
      <c r="O1273" s="3">
        <f t="shared" si="98"/>
        <v>-10.489369694975679</v>
      </c>
      <c r="P1273" s="3" t="str">
        <f t="shared" si="99"/>
        <v>Aug</v>
      </c>
      <c r="Q1273" s="3" t="str">
        <f t="shared" si="95"/>
        <v>loss</v>
      </c>
    </row>
    <row r="1274" spans="1:17" x14ac:dyDescent="0.25">
      <c r="A1274" s="3" t="s">
        <v>792</v>
      </c>
      <c r="B1274" s="4">
        <v>45884</v>
      </c>
      <c r="C1274" s="3" t="s">
        <v>2022</v>
      </c>
      <c r="D1274" s="3" t="s">
        <v>2042</v>
      </c>
      <c r="E1274" s="3" t="s">
        <v>2053</v>
      </c>
      <c r="F1274" s="3" t="s">
        <v>2059</v>
      </c>
      <c r="G1274" s="3">
        <v>1</v>
      </c>
      <c r="H1274" s="3">
        <v>8500</v>
      </c>
      <c r="I1274" s="3">
        <v>9520</v>
      </c>
      <c r="J1274" s="3">
        <v>9.15</v>
      </c>
      <c r="K1274" s="3">
        <v>8648.82</v>
      </c>
      <c r="L1274" s="3">
        <v>148.82</v>
      </c>
      <c r="M1274" s="3">
        <f t="shared" si="96"/>
        <v>87108</v>
      </c>
      <c r="N1274" s="3">
        <f t="shared" si="97"/>
        <v>8500</v>
      </c>
      <c r="O1274" s="3">
        <f t="shared" si="98"/>
        <v>1.7206971586875435</v>
      </c>
      <c r="P1274" s="3" t="str">
        <f t="shared" si="99"/>
        <v>Aug</v>
      </c>
      <c r="Q1274" s="3" t="str">
        <f t="shared" si="95"/>
        <v>low profit</v>
      </c>
    </row>
    <row r="1275" spans="1:17" x14ac:dyDescent="0.25">
      <c r="A1275" s="3" t="s">
        <v>854</v>
      </c>
      <c r="B1275" s="4">
        <v>45884</v>
      </c>
      <c r="C1275" s="3" t="s">
        <v>2031</v>
      </c>
      <c r="D1275" s="3" t="s">
        <v>2051</v>
      </c>
      <c r="E1275" s="3" t="s">
        <v>2058</v>
      </c>
      <c r="F1275" s="3" t="s">
        <v>2061</v>
      </c>
      <c r="G1275" s="3">
        <v>4</v>
      </c>
      <c r="H1275" s="3">
        <v>3200</v>
      </c>
      <c r="I1275" s="3">
        <v>3840</v>
      </c>
      <c r="J1275" s="3">
        <v>12.41</v>
      </c>
      <c r="K1275" s="3">
        <v>13454.35</v>
      </c>
      <c r="L1275" s="3">
        <v>654.35</v>
      </c>
      <c r="M1275" s="3">
        <f t="shared" si="96"/>
        <v>190617.60000000001</v>
      </c>
      <c r="N1275" s="3">
        <f t="shared" si="97"/>
        <v>12800</v>
      </c>
      <c r="O1275" s="3">
        <f t="shared" si="98"/>
        <v>4.8634828141084485</v>
      </c>
      <c r="P1275" s="3" t="str">
        <f t="shared" si="99"/>
        <v>Aug</v>
      </c>
      <c r="Q1275" s="3" t="str">
        <f t="shared" si="95"/>
        <v>low profit</v>
      </c>
    </row>
    <row r="1276" spans="1:17" x14ac:dyDescent="0.25">
      <c r="A1276" s="3" t="s">
        <v>1454</v>
      </c>
      <c r="B1276" s="4">
        <v>45884</v>
      </c>
      <c r="C1276" s="3" t="s">
        <v>2018</v>
      </c>
      <c r="D1276" s="3" t="s">
        <v>2038</v>
      </c>
      <c r="E1276" s="3" t="s">
        <v>2053</v>
      </c>
      <c r="F1276" s="3" t="s">
        <v>2061</v>
      </c>
      <c r="G1276" s="3">
        <v>4</v>
      </c>
      <c r="H1276" s="3">
        <v>500</v>
      </c>
      <c r="I1276" s="3">
        <v>610</v>
      </c>
      <c r="J1276" s="3">
        <v>11.3</v>
      </c>
      <c r="K1276" s="3">
        <v>2164.38</v>
      </c>
      <c r="L1276" s="3">
        <v>164.38</v>
      </c>
      <c r="M1276" s="3">
        <f t="shared" si="96"/>
        <v>27572</v>
      </c>
      <c r="N1276" s="3">
        <f t="shared" si="97"/>
        <v>2000</v>
      </c>
      <c r="O1276" s="3">
        <f t="shared" si="98"/>
        <v>7.5947846496456251</v>
      </c>
      <c r="P1276" s="3" t="str">
        <f t="shared" si="99"/>
        <v>Aug</v>
      </c>
      <c r="Q1276" s="3" t="str">
        <f t="shared" si="95"/>
        <v>low profit</v>
      </c>
    </row>
    <row r="1277" spans="1:17" x14ac:dyDescent="0.25">
      <c r="A1277" s="3" t="s">
        <v>1489</v>
      </c>
      <c r="B1277" s="4">
        <v>45884</v>
      </c>
      <c r="C1277" s="3" t="s">
        <v>2020</v>
      </c>
      <c r="D1277" s="3" t="s">
        <v>2040</v>
      </c>
      <c r="E1277" s="3" t="s">
        <v>2053</v>
      </c>
      <c r="F1277" s="3" t="s">
        <v>2059</v>
      </c>
      <c r="G1277" s="3">
        <v>7</v>
      </c>
      <c r="H1277" s="3">
        <v>350</v>
      </c>
      <c r="I1277" s="3">
        <v>455</v>
      </c>
      <c r="J1277" s="3">
        <v>0</v>
      </c>
      <c r="K1277" s="3">
        <v>3185</v>
      </c>
      <c r="L1277" s="3">
        <v>735</v>
      </c>
      <c r="M1277" s="3">
        <f t="shared" si="96"/>
        <v>0</v>
      </c>
      <c r="N1277" s="3">
        <f t="shared" si="97"/>
        <v>2450</v>
      </c>
      <c r="O1277" s="3">
        <f t="shared" si="98"/>
        <v>23.076923076923077</v>
      </c>
      <c r="P1277" s="3" t="str">
        <f t="shared" si="99"/>
        <v>Aug</v>
      </c>
      <c r="Q1277" s="3" t="str">
        <f t="shared" si="95"/>
        <v>good profit</v>
      </c>
    </row>
    <row r="1278" spans="1:17" x14ac:dyDescent="0.25">
      <c r="A1278" s="3" t="s">
        <v>265</v>
      </c>
      <c r="B1278" s="4">
        <v>45885</v>
      </c>
      <c r="C1278" s="3" t="s">
        <v>2028</v>
      </c>
      <c r="D1278" s="3" t="s">
        <v>2048</v>
      </c>
      <c r="E1278" s="3" t="s">
        <v>2057</v>
      </c>
      <c r="F1278" s="3" t="s">
        <v>2060</v>
      </c>
      <c r="G1278" s="3">
        <v>3</v>
      </c>
      <c r="H1278" s="3">
        <v>80</v>
      </c>
      <c r="I1278" s="3">
        <v>116</v>
      </c>
      <c r="J1278" s="3">
        <v>5.95</v>
      </c>
      <c r="K1278" s="3">
        <v>327.27999999999997</v>
      </c>
      <c r="L1278" s="3">
        <v>87.28</v>
      </c>
      <c r="M1278" s="3">
        <f t="shared" si="96"/>
        <v>2070.6</v>
      </c>
      <c r="N1278" s="3">
        <f t="shared" si="97"/>
        <v>240</v>
      </c>
      <c r="O1278" s="3">
        <f t="shared" si="98"/>
        <v>26.668296260083114</v>
      </c>
      <c r="P1278" s="3" t="str">
        <f t="shared" si="99"/>
        <v>Aug</v>
      </c>
      <c r="Q1278" s="3" t="str">
        <f t="shared" si="95"/>
        <v>good profit</v>
      </c>
    </row>
    <row r="1279" spans="1:17" x14ac:dyDescent="0.25">
      <c r="A1279" s="3" t="s">
        <v>467</v>
      </c>
      <c r="B1279" s="4">
        <v>45885</v>
      </c>
      <c r="C1279" s="3" t="s">
        <v>2018</v>
      </c>
      <c r="D1279" s="3" t="s">
        <v>2038</v>
      </c>
      <c r="E1279" s="3" t="s">
        <v>2053</v>
      </c>
      <c r="F1279" s="3" t="s">
        <v>2060</v>
      </c>
      <c r="G1279" s="3">
        <v>6</v>
      </c>
      <c r="H1279" s="3">
        <v>500</v>
      </c>
      <c r="I1279" s="3">
        <v>610</v>
      </c>
      <c r="J1279" s="3">
        <v>17.62</v>
      </c>
      <c r="K1279" s="3">
        <v>3015.08</v>
      </c>
      <c r="L1279" s="3">
        <v>15.08</v>
      </c>
      <c r="M1279" s="3">
        <f t="shared" si="96"/>
        <v>64489.200000000004</v>
      </c>
      <c r="N1279" s="3">
        <f t="shared" si="97"/>
        <v>3000</v>
      </c>
      <c r="O1279" s="3">
        <f t="shared" si="98"/>
        <v>0.50015256643273154</v>
      </c>
      <c r="P1279" s="3" t="str">
        <f t="shared" si="99"/>
        <v>Aug</v>
      </c>
      <c r="Q1279" s="3" t="str">
        <f t="shared" si="95"/>
        <v>low profit</v>
      </c>
    </row>
    <row r="1280" spans="1:17" x14ac:dyDescent="0.25">
      <c r="A1280" s="3" t="s">
        <v>561</v>
      </c>
      <c r="B1280" s="4">
        <v>45885</v>
      </c>
      <c r="C1280" s="3" t="s">
        <v>2022</v>
      </c>
      <c r="D1280" s="3" t="s">
        <v>2042</v>
      </c>
      <c r="E1280" s="3" t="s">
        <v>2053</v>
      </c>
      <c r="F1280" s="3" t="s">
        <v>2059</v>
      </c>
      <c r="G1280" s="3">
        <v>8</v>
      </c>
      <c r="H1280" s="3">
        <v>8500</v>
      </c>
      <c r="I1280" s="3">
        <v>9520</v>
      </c>
      <c r="J1280" s="3">
        <v>16.7</v>
      </c>
      <c r="K1280" s="3">
        <v>63438.93</v>
      </c>
      <c r="L1280" s="3">
        <v>-4561.07</v>
      </c>
      <c r="M1280" s="3">
        <f t="shared" si="96"/>
        <v>1271872</v>
      </c>
      <c r="N1280" s="3">
        <f t="shared" si="97"/>
        <v>68000</v>
      </c>
      <c r="O1280" s="3">
        <f t="shared" si="98"/>
        <v>-7.1897019700679063</v>
      </c>
      <c r="P1280" s="3" t="str">
        <f t="shared" si="99"/>
        <v>Aug</v>
      </c>
      <c r="Q1280" s="3" t="str">
        <f t="shared" si="95"/>
        <v>loss</v>
      </c>
    </row>
    <row r="1281" spans="1:17" x14ac:dyDescent="0.25">
      <c r="A1281" s="3" t="s">
        <v>1220</v>
      </c>
      <c r="B1281" s="4">
        <v>45885</v>
      </c>
      <c r="C1281" s="3" t="s">
        <v>2024</v>
      </c>
      <c r="D1281" s="3" t="s">
        <v>2044</v>
      </c>
      <c r="E1281" s="3" t="s">
        <v>2055</v>
      </c>
      <c r="F1281" s="3" t="s">
        <v>2062</v>
      </c>
      <c r="G1281" s="3">
        <v>5</v>
      </c>
      <c r="H1281" s="3">
        <v>180</v>
      </c>
      <c r="I1281" s="3">
        <v>243</v>
      </c>
      <c r="J1281" s="3">
        <v>10</v>
      </c>
      <c r="K1281" s="3">
        <v>1093.46</v>
      </c>
      <c r="L1281" s="3">
        <v>193.46</v>
      </c>
      <c r="M1281" s="3">
        <f t="shared" si="96"/>
        <v>12150</v>
      </c>
      <c r="N1281" s="3">
        <f t="shared" si="97"/>
        <v>900</v>
      </c>
      <c r="O1281" s="3">
        <f t="shared" si="98"/>
        <v>17.692462458617602</v>
      </c>
      <c r="P1281" s="3" t="str">
        <f t="shared" si="99"/>
        <v>Aug</v>
      </c>
      <c r="Q1281" s="3" t="str">
        <f t="shared" si="95"/>
        <v>good profit</v>
      </c>
    </row>
    <row r="1282" spans="1:17" x14ac:dyDescent="0.25">
      <c r="A1282" s="3" t="s">
        <v>1519</v>
      </c>
      <c r="B1282" s="4">
        <v>45885</v>
      </c>
      <c r="C1282" s="3" t="s">
        <v>2016</v>
      </c>
      <c r="D1282" s="3" t="s">
        <v>2036</v>
      </c>
      <c r="E1282" s="3" t="s">
        <v>2052</v>
      </c>
      <c r="F1282" s="3" t="s">
        <v>2060</v>
      </c>
      <c r="G1282" s="3">
        <v>3</v>
      </c>
      <c r="H1282" s="3">
        <v>900</v>
      </c>
      <c r="I1282" s="3">
        <v>1170</v>
      </c>
      <c r="J1282" s="3">
        <v>20.68</v>
      </c>
      <c r="K1282" s="3">
        <v>2783.98</v>
      </c>
      <c r="L1282" s="3">
        <v>83.98</v>
      </c>
      <c r="M1282" s="3">
        <f t="shared" si="96"/>
        <v>72586.8</v>
      </c>
      <c r="N1282" s="3">
        <f t="shared" si="97"/>
        <v>2700</v>
      </c>
      <c r="O1282" s="3">
        <f t="shared" si="98"/>
        <v>3.0165446590851945</v>
      </c>
      <c r="P1282" s="3" t="str">
        <f t="shared" si="99"/>
        <v>Aug</v>
      </c>
      <c r="Q1282" s="3" t="str">
        <f t="shared" ref="Q1282:Q1345" si="100">IF(L1282&lt;0,"loss",IF(O1282&lt;10,"low profit","good profit"))</f>
        <v>low profit</v>
      </c>
    </row>
    <row r="1283" spans="1:17" x14ac:dyDescent="0.25">
      <c r="A1283" s="3" t="s">
        <v>1554</v>
      </c>
      <c r="B1283" s="4">
        <v>45885</v>
      </c>
      <c r="C1283" s="3" t="s">
        <v>2022</v>
      </c>
      <c r="D1283" s="3" t="s">
        <v>2042</v>
      </c>
      <c r="E1283" s="3" t="s">
        <v>2053</v>
      </c>
      <c r="F1283" s="3" t="s">
        <v>2062</v>
      </c>
      <c r="G1283" s="3">
        <v>5</v>
      </c>
      <c r="H1283" s="3">
        <v>8500</v>
      </c>
      <c r="I1283" s="3">
        <v>9520</v>
      </c>
      <c r="J1283" s="3">
        <v>9.99</v>
      </c>
      <c r="K1283" s="3">
        <v>42846.18</v>
      </c>
      <c r="L1283" s="3">
        <v>346.18</v>
      </c>
      <c r="M1283" s="3">
        <f t="shared" ref="M1283:M1346" si="101">G1283*I1283*J1283</f>
        <v>475524</v>
      </c>
      <c r="N1283" s="3">
        <f t="shared" ref="N1283:N1346" si="102">G1283*H1283</f>
        <v>42500</v>
      </c>
      <c r="O1283" s="3">
        <f t="shared" ref="O1283:O1346" si="103">IFERROR(L1283/K1283*100,0)</f>
        <v>0.80796000950376434</v>
      </c>
      <c r="P1283" s="3" t="str">
        <f t="shared" ref="P1283:P1346" si="104">TEXT(B1283,"mmm")</f>
        <v>Aug</v>
      </c>
      <c r="Q1283" s="3" t="str">
        <f t="shared" si="100"/>
        <v>low profit</v>
      </c>
    </row>
    <row r="1284" spans="1:17" x14ac:dyDescent="0.25">
      <c r="A1284" s="3" t="s">
        <v>1725</v>
      </c>
      <c r="B1284" s="4">
        <v>45885</v>
      </c>
      <c r="C1284" s="3" t="s">
        <v>2027</v>
      </c>
      <c r="D1284" s="3" t="s">
        <v>2047</v>
      </c>
      <c r="E1284" s="3" t="s">
        <v>2053</v>
      </c>
      <c r="F1284" s="3" t="s">
        <v>2062</v>
      </c>
      <c r="G1284" s="3">
        <v>3</v>
      </c>
      <c r="H1284" s="3">
        <v>1100</v>
      </c>
      <c r="I1284" s="3">
        <v>1298</v>
      </c>
      <c r="J1284" s="3">
        <v>11.35</v>
      </c>
      <c r="K1284" s="3">
        <v>3452</v>
      </c>
      <c r="L1284" s="3">
        <v>152</v>
      </c>
      <c r="M1284" s="3">
        <f t="shared" si="101"/>
        <v>44196.9</v>
      </c>
      <c r="N1284" s="3">
        <f t="shared" si="102"/>
        <v>3300</v>
      </c>
      <c r="O1284" s="3">
        <f t="shared" si="103"/>
        <v>4.4032444959443797</v>
      </c>
      <c r="P1284" s="3" t="str">
        <f t="shared" si="104"/>
        <v>Aug</v>
      </c>
      <c r="Q1284" s="3" t="str">
        <f t="shared" si="100"/>
        <v>low profit</v>
      </c>
    </row>
    <row r="1285" spans="1:17" x14ac:dyDescent="0.25">
      <c r="A1285" s="3" t="s">
        <v>1859</v>
      </c>
      <c r="B1285" s="4">
        <v>45885</v>
      </c>
      <c r="C1285" s="3" t="s">
        <v>2026</v>
      </c>
      <c r="D1285" s="3" t="s">
        <v>2046</v>
      </c>
      <c r="E1285" s="3" t="s">
        <v>2052</v>
      </c>
      <c r="F1285" s="3" t="s">
        <v>2059</v>
      </c>
      <c r="G1285" s="3">
        <v>5</v>
      </c>
      <c r="H1285" s="3">
        <v>3000</v>
      </c>
      <c r="I1285" s="3">
        <v>3600</v>
      </c>
      <c r="J1285" s="3">
        <v>6.03</v>
      </c>
      <c r="K1285" s="3">
        <v>16914</v>
      </c>
      <c r="L1285" s="3">
        <v>1914</v>
      </c>
      <c r="M1285" s="3">
        <f t="shared" si="101"/>
        <v>108540</v>
      </c>
      <c r="N1285" s="3">
        <f t="shared" si="102"/>
        <v>15000</v>
      </c>
      <c r="O1285" s="3">
        <f t="shared" si="103"/>
        <v>11.31606952820149</v>
      </c>
      <c r="P1285" s="3" t="str">
        <f t="shared" si="104"/>
        <v>Aug</v>
      </c>
      <c r="Q1285" s="3" t="str">
        <f t="shared" si="100"/>
        <v>good profit</v>
      </c>
    </row>
    <row r="1286" spans="1:17" x14ac:dyDescent="0.25">
      <c r="A1286" s="3" t="s">
        <v>180</v>
      </c>
      <c r="B1286" s="4">
        <v>45886</v>
      </c>
      <c r="C1286" s="3" t="s">
        <v>2027</v>
      </c>
      <c r="D1286" s="3" t="s">
        <v>2047</v>
      </c>
      <c r="E1286" s="3" t="s">
        <v>2053</v>
      </c>
      <c r="F1286" s="3" t="s">
        <v>2060</v>
      </c>
      <c r="G1286" s="3">
        <v>9</v>
      </c>
      <c r="H1286" s="3">
        <v>1100</v>
      </c>
      <c r="I1286" s="3">
        <v>1298</v>
      </c>
      <c r="J1286" s="3">
        <v>15.04</v>
      </c>
      <c r="K1286" s="3">
        <v>9924.4599999999991</v>
      </c>
      <c r="L1286" s="3">
        <v>24.46</v>
      </c>
      <c r="M1286" s="3">
        <f t="shared" si="101"/>
        <v>175697.28</v>
      </c>
      <c r="N1286" s="3">
        <f t="shared" si="102"/>
        <v>9900</v>
      </c>
      <c r="O1286" s="3">
        <f t="shared" si="103"/>
        <v>0.24646177222740584</v>
      </c>
      <c r="P1286" s="3" t="str">
        <f t="shared" si="104"/>
        <v>Aug</v>
      </c>
      <c r="Q1286" s="3" t="str">
        <f t="shared" si="100"/>
        <v>low profit</v>
      </c>
    </row>
    <row r="1287" spans="1:17" x14ac:dyDescent="0.25">
      <c r="A1287" s="3" t="s">
        <v>376</v>
      </c>
      <c r="B1287" s="4">
        <v>45886</v>
      </c>
      <c r="C1287" s="3" t="s">
        <v>2028</v>
      </c>
      <c r="D1287" s="3" t="s">
        <v>2048</v>
      </c>
      <c r="E1287" s="3" t="s">
        <v>2057</v>
      </c>
      <c r="F1287" s="3" t="s">
        <v>2059</v>
      </c>
      <c r="G1287" s="3">
        <v>6</v>
      </c>
      <c r="H1287" s="3">
        <v>80</v>
      </c>
      <c r="I1287" s="3">
        <v>116</v>
      </c>
      <c r="J1287" s="3">
        <v>11.28</v>
      </c>
      <c r="K1287" s="3">
        <v>617.48</v>
      </c>
      <c r="L1287" s="3">
        <v>137.47999999999999</v>
      </c>
      <c r="M1287" s="3">
        <f t="shared" si="101"/>
        <v>7850.8799999999992</v>
      </c>
      <c r="N1287" s="3">
        <f t="shared" si="102"/>
        <v>480</v>
      </c>
      <c r="O1287" s="3">
        <f t="shared" si="103"/>
        <v>22.264688734857806</v>
      </c>
      <c r="P1287" s="3" t="str">
        <f t="shared" si="104"/>
        <v>Aug</v>
      </c>
      <c r="Q1287" s="3" t="str">
        <f t="shared" si="100"/>
        <v>good profit</v>
      </c>
    </row>
    <row r="1288" spans="1:17" x14ac:dyDescent="0.25">
      <c r="A1288" s="3" t="s">
        <v>442</v>
      </c>
      <c r="B1288" s="4">
        <v>45886</v>
      </c>
      <c r="C1288" s="3" t="s">
        <v>2030</v>
      </c>
      <c r="D1288" s="3" t="s">
        <v>2050</v>
      </c>
      <c r="E1288" s="3" t="s">
        <v>2058</v>
      </c>
      <c r="F1288" s="3" t="s">
        <v>2061</v>
      </c>
      <c r="G1288" s="3">
        <v>8</v>
      </c>
      <c r="H1288" s="3">
        <v>1800</v>
      </c>
      <c r="I1288" s="3">
        <v>2124</v>
      </c>
      <c r="J1288" s="3">
        <v>16.059999999999999</v>
      </c>
      <c r="K1288" s="3">
        <v>14263.02</v>
      </c>
      <c r="L1288" s="3">
        <v>-136.97999999999999</v>
      </c>
      <c r="M1288" s="3">
        <f t="shared" si="101"/>
        <v>272891.51999999996</v>
      </c>
      <c r="N1288" s="3">
        <f t="shared" si="102"/>
        <v>14400</v>
      </c>
      <c r="O1288" s="3">
        <f t="shared" si="103"/>
        <v>-0.96038566867325414</v>
      </c>
      <c r="P1288" s="3" t="str">
        <f t="shared" si="104"/>
        <v>Aug</v>
      </c>
      <c r="Q1288" s="3" t="str">
        <f t="shared" si="100"/>
        <v>loss</v>
      </c>
    </row>
    <row r="1289" spans="1:17" x14ac:dyDescent="0.25">
      <c r="A1289" s="3" t="s">
        <v>1459</v>
      </c>
      <c r="B1289" s="4">
        <v>45886</v>
      </c>
      <c r="C1289" s="3" t="s">
        <v>2023</v>
      </c>
      <c r="D1289" s="3" t="s">
        <v>2043</v>
      </c>
      <c r="E1289" s="3" t="s">
        <v>2053</v>
      </c>
      <c r="F1289" s="3" t="s">
        <v>2062</v>
      </c>
      <c r="G1289" s="3">
        <v>10</v>
      </c>
      <c r="H1289" s="3">
        <v>550</v>
      </c>
      <c r="I1289" s="3">
        <v>742.5</v>
      </c>
      <c r="J1289" s="3">
        <v>9.75</v>
      </c>
      <c r="K1289" s="3">
        <v>6700.78</v>
      </c>
      <c r="L1289" s="3">
        <v>1200.78</v>
      </c>
      <c r="M1289" s="3">
        <f t="shared" si="101"/>
        <v>72393.75</v>
      </c>
      <c r="N1289" s="3">
        <f t="shared" si="102"/>
        <v>5500</v>
      </c>
      <c r="O1289" s="3">
        <f t="shared" si="103"/>
        <v>17.920003342894407</v>
      </c>
      <c r="P1289" s="3" t="str">
        <f t="shared" si="104"/>
        <v>Aug</v>
      </c>
      <c r="Q1289" s="3" t="str">
        <f t="shared" si="100"/>
        <v>good profit</v>
      </c>
    </row>
    <row r="1290" spans="1:17" x14ac:dyDescent="0.25">
      <c r="A1290" s="3" t="s">
        <v>187</v>
      </c>
      <c r="B1290" s="4">
        <v>45887</v>
      </c>
      <c r="C1290" s="3" t="s">
        <v>2023</v>
      </c>
      <c r="D1290" s="3" t="s">
        <v>2043</v>
      </c>
      <c r="E1290" s="3" t="s">
        <v>2053</v>
      </c>
      <c r="F1290" s="3" t="s">
        <v>2062</v>
      </c>
      <c r="G1290" s="3">
        <v>10</v>
      </c>
      <c r="H1290" s="3">
        <v>550</v>
      </c>
      <c r="I1290" s="3">
        <v>742.5</v>
      </c>
      <c r="J1290" s="3">
        <v>15.6</v>
      </c>
      <c r="K1290" s="3">
        <v>6266.58</v>
      </c>
      <c r="L1290" s="3">
        <v>766.58</v>
      </c>
      <c r="M1290" s="3">
        <f t="shared" si="101"/>
        <v>115830</v>
      </c>
      <c r="N1290" s="3">
        <f t="shared" si="102"/>
        <v>5500</v>
      </c>
      <c r="O1290" s="3">
        <f t="shared" si="103"/>
        <v>12.232828751886995</v>
      </c>
      <c r="P1290" s="3" t="str">
        <f t="shared" si="104"/>
        <v>Aug</v>
      </c>
      <c r="Q1290" s="3" t="str">
        <f t="shared" si="100"/>
        <v>good profit</v>
      </c>
    </row>
    <row r="1291" spans="1:17" x14ac:dyDescent="0.25">
      <c r="A1291" s="3" t="s">
        <v>425</v>
      </c>
      <c r="B1291" s="4">
        <v>45887</v>
      </c>
      <c r="C1291" s="3" t="s">
        <v>2029</v>
      </c>
      <c r="D1291" s="3" t="s">
        <v>2049</v>
      </c>
      <c r="E1291" s="3" t="s">
        <v>2055</v>
      </c>
      <c r="F1291" s="3" t="s">
        <v>2061</v>
      </c>
      <c r="G1291" s="3">
        <v>4</v>
      </c>
      <c r="H1291" s="3">
        <v>1200</v>
      </c>
      <c r="I1291" s="3">
        <v>1464</v>
      </c>
      <c r="J1291" s="3">
        <v>9.64</v>
      </c>
      <c r="K1291" s="3">
        <v>5291.66</v>
      </c>
      <c r="L1291" s="3">
        <v>491.66</v>
      </c>
      <c r="M1291" s="3">
        <f t="shared" si="101"/>
        <v>56451.840000000004</v>
      </c>
      <c r="N1291" s="3">
        <f t="shared" si="102"/>
        <v>4800</v>
      </c>
      <c r="O1291" s="3">
        <f t="shared" si="103"/>
        <v>9.2912243039046363</v>
      </c>
      <c r="P1291" s="3" t="str">
        <f t="shared" si="104"/>
        <v>Aug</v>
      </c>
      <c r="Q1291" s="3" t="str">
        <f t="shared" si="100"/>
        <v>low profit</v>
      </c>
    </row>
    <row r="1292" spans="1:17" x14ac:dyDescent="0.25">
      <c r="A1292" s="3" t="s">
        <v>1522</v>
      </c>
      <c r="B1292" s="4">
        <v>45887</v>
      </c>
      <c r="C1292" s="3" t="s">
        <v>2029</v>
      </c>
      <c r="D1292" s="3" t="s">
        <v>2049</v>
      </c>
      <c r="E1292" s="3" t="s">
        <v>2055</v>
      </c>
      <c r="F1292" s="3" t="s">
        <v>2061</v>
      </c>
      <c r="G1292" s="3">
        <v>4</v>
      </c>
      <c r="H1292" s="3">
        <v>1200</v>
      </c>
      <c r="I1292" s="3">
        <v>1464</v>
      </c>
      <c r="J1292" s="3">
        <v>12.12</v>
      </c>
      <c r="K1292" s="3">
        <v>5146.32</v>
      </c>
      <c r="L1292" s="3">
        <v>346.32</v>
      </c>
      <c r="M1292" s="3">
        <f t="shared" si="101"/>
        <v>70974.720000000001</v>
      </c>
      <c r="N1292" s="3">
        <f t="shared" si="102"/>
        <v>4800</v>
      </c>
      <c r="O1292" s="3">
        <f t="shared" si="103"/>
        <v>6.7294688243249547</v>
      </c>
      <c r="P1292" s="3" t="str">
        <f t="shared" si="104"/>
        <v>Aug</v>
      </c>
      <c r="Q1292" s="3" t="str">
        <f t="shared" si="100"/>
        <v>low profit</v>
      </c>
    </row>
    <row r="1293" spans="1:17" x14ac:dyDescent="0.25">
      <c r="A1293" s="3" t="s">
        <v>48</v>
      </c>
      <c r="B1293" s="4">
        <v>45888</v>
      </c>
      <c r="C1293" s="3" t="s">
        <v>2029</v>
      </c>
      <c r="D1293" s="3" t="s">
        <v>2049</v>
      </c>
      <c r="E1293" s="3" t="s">
        <v>2055</v>
      </c>
      <c r="F1293" s="3" t="s">
        <v>2061</v>
      </c>
      <c r="G1293" s="3">
        <v>2</v>
      </c>
      <c r="H1293" s="3">
        <v>1200</v>
      </c>
      <c r="I1293" s="3">
        <v>1464</v>
      </c>
      <c r="J1293" s="3">
        <v>3.17</v>
      </c>
      <c r="K1293" s="3">
        <v>2835.15</v>
      </c>
      <c r="L1293" s="3">
        <v>435.15</v>
      </c>
      <c r="M1293" s="3">
        <f t="shared" si="101"/>
        <v>9281.76</v>
      </c>
      <c r="N1293" s="3">
        <f t="shared" si="102"/>
        <v>2400</v>
      </c>
      <c r="O1293" s="3">
        <f t="shared" si="103"/>
        <v>15.34839426485371</v>
      </c>
      <c r="P1293" s="3" t="str">
        <f t="shared" si="104"/>
        <v>Aug</v>
      </c>
      <c r="Q1293" s="3" t="str">
        <f t="shared" si="100"/>
        <v>good profit</v>
      </c>
    </row>
    <row r="1294" spans="1:17" x14ac:dyDescent="0.25">
      <c r="A1294" s="3" t="s">
        <v>169</v>
      </c>
      <c r="B1294" s="4">
        <v>45888</v>
      </c>
      <c r="C1294" s="3" t="s">
        <v>2014</v>
      </c>
      <c r="D1294" s="3" t="s">
        <v>2034</v>
      </c>
      <c r="E1294" s="3" t="s">
        <v>2052</v>
      </c>
      <c r="F1294" s="3" t="s">
        <v>2060</v>
      </c>
      <c r="G1294" s="3">
        <v>4</v>
      </c>
      <c r="H1294" s="3">
        <v>4500</v>
      </c>
      <c r="I1294" s="3">
        <v>5220</v>
      </c>
      <c r="J1294" s="3">
        <v>12.97</v>
      </c>
      <c r="K1294" s="3">
        <v>18172.830000000002</v>
      </c>
      <c r="L1294" s="3">
        <v>172.83</v>
      </c>
      <c r="M1294" s="3">
        <f t="shared" si="101"/>
        <v>270813.60000000003</v>
      </c>
      <c r="N1294" s="3">
        <f t="shared" si="102"/>
        <v>18000</v>
      </c>
      <c r="O1294" s="3">
        <f t="shared" si="103"/>
        <v>0.95103514422354685</v>
      </c>
      <c r="P1294" s="3" t="str">
        <f t="shared" si="104"/>
        <v>Aug</v>
      </c>
      <c r="Q1294" s="3" t="str">
        <f t="shared" si="100"/>
        <v>low profit</v>
      </c>
    </row>
    <row r="1295" spans="1:17" x14ac:dyDescent="0.25">
      <c r="A1295" s="3" t="s">
        <v>394</v>
      </c>
      <c r="B1295" s="4">
        <v>45888</v>
      </c>
      <c r="C1295" s="3" t="s">
        <v>2030</v>
      </c>
      <c r="D1295" s="3" t="s">
        <v>2050</v>
      </c>
      <c r="E1295" s="3" t="s">
        <v>2058</v>
      </c>
      <c r="F1295" s="3" t="s">
        <v>2061</v>
      </c>
      <c r="G1295" s="3">
        <v>8</v>
      </c>
      <c r="H1295" s="3">
        <v>1800</v>
      </c>
      <c r="I1295" s="3">
        <v>2124</v>
      </c>
      <c r="J1295" s="3">
        <v>7.17</v>
      </c>
      <c r="K1295" s="3">
        <v>15773.28</v>
      </c>
      <c r="L1295" s="3">
        <v>1373.28</v>
      </c>
      <c r="M1295" s="3">
        <f t="shared" si="101"/>
        <v>121832.64</v>
      </c>
      <c r="N1295" s="3">
        <f t="shared" si="102"/>
        <v>14400</v>
      </c>
      <c r="O1295" s="3">
        <f t="shared" si="103"/>
        <v>8.7063692523051639</v>
      </c>
      <c r="P1295" s="3" t="str">
        <f t="shared" si="104"/>
        <v>Aug</v>
      </c>
      <c r="Q1295" s="3" t="str">
        <f t="shared" si="100"/>
        <v>low profit</v>
      </c>
    </row>
    <row r="1296" spans="1:17" x14ac:dyDescent="0.25">
      <c r="A1296" s="3" t="s">
        <v>525</v>
      </c>
      <c r="B1296" s="4">
        <v>45888</v>
      </c>
      <c r="C1296" s="3" t="s">
        <v>2029</v>
      </c>
      <c r="D1296" s="3" t="s">
        <v>2049</v>
      </c>
      <c r="E1296" s="3" t="s">
        <v>2055</v>
      </c>
      <c r="F1296" s="3" t="s">
        <v>2061</v>
      </c>
      <c r="G1296" s="3">
        <v>6</v>
      </c>
      <c r="H1296" s="3">
        <v>1200</v>
      </c>
      <c r="I1296" s="3">
        <v>1464</v>
      </c>
      <c r="J1296" s="3">
        <v>10.83</v>
      </c>
      <c r="K1296" s="3">
        <v>7833.13</v>
      </c>
      <c r="L1296" s="3">
        <v>633.13</v>
      </c>
      <c r="M1296" s="3">
        <f t="shared" si="101"/>
        <v>95130.72</v>
      </c>
      <c r="N1296" s="3">
        <f t="shared" si="102"/>
        <v>7200</v>
      </c>
      <c r="O1296" s="3">
        <f t="shared" si="103"/>
        <v>8.0827204450838934</v>
      </c>
      <c r="P1296" s="3" t="str">
        <f t="shared" si="104"/>
        <v>Aug</v>
      </c>
      <c r="Q1296" s="3" t="str">
        <f t="shared" si="100"/>
        <v>low profit</v>
      </c>
    </row>
    <row r="1297" spans="1:17" x14ac:dyDescent="0.25">
      <c r="A1297" s="3" t="s">
        <v>1341</v>
      </c>
      <c r="B1297" s="4">
        <v>45888</v>
      </c>
      <c r="C1297" s="3" t="s">
        <v>2027</v>
      </c>
      <c r="D1297" s="3" t="s">
        <v>2047</v>
      </c>
      <c r="E1297" s="3" t="s">
        <v>2053</v>
      </c>
      <c r="F1297" s="3" t="s">
        <v>2061</v>
      </c>
      <c r="G1297" s="3">
        <v>2</v>
      </c>
      <c r="H1297" s="3">
        <v>1100</v>
      </c>
      <c r="I1297" s="3">
        <v>1298</v>
      </c>
      <c r="J1297" s="3">
        <v>19.54</v>
      </c>
      <c r="K1297" s="3">
        <v>2088.8200000000002</v>
      </c>
      <c r="L1297" s="3">
        <v>-111.18</v>
      </c>
      <c r="M1297" s="3">
        <f t="shared" si="101"/>
        <v>50725.84</v>
      </c>
      <c r="N1297" s="3">
        <f t="shared" si="102"/>
        <v>2200</v>
      </c>
      <c r="O1297" s="3">
        <f t="shared" si="103"/>
        <v>-5.322622341800634</v>
      </c>
      <c r="P1297" s="3" t="str">
        <f t="shared" si="104"/>
        <v>Aug</v>
      </c>
      <c r="Q1297" s="3" t="str">
        <f t="shared" si="100"/>
        <v>loss</v>
      </c>
    </row>
    <row r="1298" spans="1:17" x14ac:dyDescent="0.25">
      <c r="A1298" s="3" t="s">
        <v>215</v>
      </c>
      <c r="B1298" s="4">
        <v>45889</v>
      </c>
      <c r="C1298" s="3" t="s">
        <v>2012</v>
      </c>
      <c r="D1298" s="3" t="s">
        <v>2032</v>
      </c>
      <c r="E1298" s="3" t="s">
        <v>2052</v>
      </c>
      <c r="F1298" s="3" t="s">
        <v>2060</v>
      </c>
      <c r="G1298" s="3">
        <v>10</v>
      </c>
      <c r="H1298" s="3">
        <v>6500</v>
      </c>
      <c r="I1298" s="3">
        <v>8125</v>
      </c>
      <c r="J1298" s="3">
        <v>17.16</v>
      </c>
      <c r="K1298" s="3">
        <v>67310.75</v>
      </c>
      <c r="L1298" s="3">
        <v>2310.75</v>
      </c>
      <c r="M1298" s="3">
        <f t="shared" si="101"/>
        <v>1394250</v>
      </c>
      <c r="N1298" s="3">
        <f t="shared" si="102"/>
        <v>65000</v>
      </c>
      <c r="O1298" s="3">
        <f t="shared" si="103"/>
        <v>3.4329583313215202</v>
      </c>
      <c r="P1298" s="3" t="str">
        <f t="shared" si="104"/>
        <v>Aug</v>
      </c>
      <c r="Q1298" s="3" t="str">
        <f t="shared" si="100"/>
        <v>low profit</v>
      </c>
    </row>
    <row r="1299" spans="1:17" x14ac:dyDescent="0.25">
      <c r="A1299" s="3" t="s">
        <v>236</v>
      </c>
      <c r="B1299" s="4">
        <v>45889</v>
      </c>
      <c r="C1299" s="3" t="s">
        <v>2021</v>
      </c>
      <c r="D1299" s="3" t="s">
        <v>2041</v>
      </c>
      <c r="E1299" s="3" t="s">
        <v>2056</v>
      </c>
      <c r="F1299" s="3" t="s">
        <v>2061</v>
      </c>
      <c r="G1299" s="3">
        <v>9</v>
      </c>
      <c r="H1299" s="3">
        <v>300</v>
      </c>
      <c r="I1299" s="3">
        <v>405</v>
      </c>
      <c r="J1299" s="3">
        <v>21.18</v>
      </c>
      <c r="K1299" s="3">
        <v>2872.99</v>
      </c>
      <c r="L1299" s="3">
        <v>172.99</v>
      </c>
      <c r="M1299" s="3">
        <f t="shared" si="101"/>
        <v>77201.100000000006</v>
      </c>
      <c r="N1299" s="3">
        <f t="shared" si="102"/>
        <v>2700</v>
      </c>
      <c r="O1299" s="3">
        <f t="shared" si="103"/>
        <v>6.0212531195722931</v>
      </c>
      <c r="P1299" s="3" t="str">
        <f t="shared" si="104"/>
        <v>Aug</v>
      </c>
      <c r="Q1299" s="3" t="str">
        <f t="shared" si="100"/>
        <v>low profit</v>
      </c>
    </row>
    <row r="1300" spans="1:17" x14ac:dyDescent="0.25">
      <c r="A1300" s="3" t="s">
        <v>263</v>
      </c>
      <c r="B1300" s="4">
        <v>45889</v>
      </c>
      <c r="C1300" s="3" t="s">
        <v>2019</v>
      </c>
      <c r="D1300" s="3" t="s">
        <v>2039</v>
      </c>
      <c r="E1300" s="3" t="s">
        <v>2053</v>
      </c>
      <c r="F1300" s="3" t="s">
        <v>2062</v>
      </c>
      <c r="G1300" s="3">
        <v>7</v>
      </c>
      <c r="H1300" s="3">
        <v>900</v>
      </c>
      <c r="I1300" s="3">
        <v>1152</v>
      </c>
      <c r="J1300" s="3">
        <v>17.59</v>
      </c>
      <c r="K1300" s="3">
        <v>6645.46</v>
      </c>
      <c r="L1300" s="3">
        <v>345.46</v>
      </c>
      <c r="M1300" s="3">
        <f t="shared" si="101"/>
        <v>141845.76000000001</v>
      </c>
      <c r="N1300" s="3">
        <f t="shared" si="102"/>
        <v>6300</v>
      </c>
      <c r="O1300" s="3">
        <f t="shared" si="103"/>
        <v>5.1984362256337411</v>
      </c>
      <c r="P1300" s="3" t="str">
        <f t="shared" si="104"/>
        <v>Aug</v>
      </c>
      <c r="Q1300" s="3" t="str">
        <f t="shared" si="100"/>
        <v>low profit</v>
      </c>
    </row>
    <row r="1301" spans="1:17" x14ac:dyDescent="0.25">
      <c r="A1301" s="3" t="s">
        <v>647</v>
      </c>
      <c r="B1301" s="4">
        <v>45889</v>
      </c>
      <c r="C1301" s="3" t="s">
        <v>2031</v>
      </c>
      <c r="D1301" s="3" t="s">
        <v>2051</v>
      </c>
      <c r="E1301" s="3" t="s">
        <v>2058</v>
      </c>
      <c r="F1301" s="3" t="s">
        <v>2059</v>
      </c>
      <c r="G1301" s="3">
        <v>8</v>
      </c>
      <c r="H1301" s="3">
        <v>3200</v>
      </c>
      <c r="I1301" s="3">
        <v>3840</v>
      </c>
      <c r="J1301" s="3">
        <v>10.34</v>
      </c>
      <c r="K1301" s="3">
        <v>27543.98</v>
      </c>
      <c r="L1301" s="3">
        <v>1943.98</v>
      </c>
      <c r="M1301" s="3">
        <f t="shared" si="101"/>
        <v>317644.79999999999</v>
      </c>
      <c r="N1301" s="3">
        <f t="shared" si="102"/>
        <v>25600</v>
      </c>
      <c r="O1301" s="3">
        <f t="shared" si="103"/>
        <v>7.0577309452010937</v>
      </c>
      <c r="P1301" s="3" t="str">
        <f t="shared" si="104"/>
        <v>Aug</v>
      </c>
      <c r="Q1301" s="3" t="str">
        <f t="shared" si="100"/>
        <v>low profit</v>
      </c>
    </row>
    <row r="1302" spans="1:17" x14ac:dyDescent="0.25">
      <c r="A1302" s="3" t="s">
        <v>903</v>
      </c>
      <c r="B1302" s="4">
        <v>45889</v>
      </c>
      <c r="C1302" s="3" t="s">
        <v>2023</v>
      </c>
      <c r="D1302" s="3" t="s">
        <v>2043</v>
      </c>
      <c r="E1302" s="3" t="s">
        <v>2053</v>
      </c>
      <c r="F1302" s="3" t="s">
        <v>2062</v>
      </c>
      <c r="G1302" s="3">
        <v>7</v>
      </c>
      <c r="H1302" s="3">
        <v>550</v>
      </c>
      <c r="I1302" s="3">
        <v>742.5</v>
      </c>
      <c r="J1302" s="3">
        <v>0</v>
      </c>
      <c r="K1302" s="3">
        <v>5197.5</v>
      </c>
      <c r="L1302" s="3">
        <v>1347.5</v>
      </c>
      <c r="M1302" s="3">
        <f t="shared" si="101"/>
        <v>0</v>
      </c>
      <c r="N1302" s="3">
        <f t="shared" si="102"/>
        <v>3850</v>
      </c>
      <c r="O1302" s="3">
        <f t="shared" si="103"/>
        <v>25.925925925925924</v>
      </c>
      <c r="P1302" s="3" t="str">
        <f t="shared" si="104"/>
        <v>Aug</v>
      </c>
      <c r="Q1302" s="3" t="str">
        <f t="shared" si="100"/>
        <v>good profit</v>
      </c>
    </row>
    <row r="1303" spans="1:17" x14ac:dyDescent="0.25">
      <c r="A1303" s="3" t="s">
        <v>1292</v>
      </c>
      <c r="B1303" s="4">
        <v>45889</v>
      </c>
      <c r="C1303" s="3" t="s">
        <v>2026</v>
      </c>
      <c r="D1303" s="3" t="s">
        <v>2046</v>
      </c>
      <c r="E1303" s="3" t="s">
        <v>2052</v>
      </c>
      <c r="F1303" s="3" t="s">
        <v>2060</v>
      </c>
      <c r="G1303" s="3">
        <v>2</v>
      </c>
      <c r="H1303" s="3">
        <v>3000</v>
      </c>
      <c r="I1303" s="3">
        <v>3600</v>
      </c>
      <c r="J1303" s="3">
        <v>4</v>
      </c>
      <c r="K1303" s="3">
        <v>6912</v>
      </c>
      <c r="L1303" s="3">
        <v>912</v>
      </c>
      <c r="M1303" s="3">
        <f t="shared" si="101"/>
        <v>28800</v>
      </c>
      <c r="N1303" s="3">
        <f t="shared" si="102"/>
        <v>6000</v>
      </c>
      <c r="O1303" s="3">
        <f t="shared" si="103"/>
        <v>13.194444444444445</v>
      </c>
      <c r="P1303" s="3" t="str">
        <f t="shared" si="104"/>
        <v>Aug</v>
      </c>
      <c r="Q1303" s="3" t="str">
        <f t="shared" si="100"/>
        <v>good profit</v>
      </c>
    </row>
    <row r="1304" spans="1:17" x14ac:dyDescent="0.25">
      <c r="A1304" s="3" t="s">
        <v>217</v>
      </c>
      <c r="B1304" s="4">
        <v>45890</v>
      </c>
      <c r="C1304" s="3" t="s">
        <v>2028</v>
      </c>
      <c r="D1304" s="3" t="s">
        <v>2048</v>
      </c>
      <c r="E1304" s="3" t="s">
        <v>2057</v>
      </c>
      <c r="F1304" s="3" t="s">
        <v>2060</v>
      </c>
      <c r="G1304" s="3">
        <v>1</v>
      </c>
      <c r="H1304" s="3">
        <v>80</v>
      </c>
      <c r="I1304" s="3">
        <v>116</v>
      </c>
      <c r="J1304" s="3">
        <v>17.34</v>
      </c>
      <c r="K1304" s="3">
        <v>95.88</v>
      </c>
      <c r="L1304" s="3">
        <v>15.88</v>
      </c>
      <c r="M1304" s="3">
        <f t="shared" si="101"/>
        <v>2011.44</v>
      </c>
      <c r="N1304" s="3">
        <f t="shared" si="102"/>
        <v>80</v>
      </c>
      <c r="O1304" s="3">
        <f t="shared" si="103"/>
        <v>16.562369628702548</v>
      </c>
      <c r="P1304" s="3" t="str">
        <f t="shared" si="104"/>
        <v>Aug</v>
      </c>
      <c r="Q1304" s="3" t="str">
        <f t="shared" si="100"/>
        <v>good profit</v>
      </c>
    </row>
    <row r="1305" spans="1:17" x14ac:dyDescent="0.25">
      <c r="A1305" s="3" t="s">
        <v>331</v>
      </c>
      <c r="B1305" s="4">
        <v>45890</v>
      </c>
      <c r="C1305" s="3" t="s">
        <v>2031</v>
      </c>
      <c r="D1305" s="3" t="s">
        <v>2051</v>
      </c>
      <c r="E1305" s="3" t="s">
        <v>2058</v>
      </c>
      <c r="F1305" s="3" t="s">
        <v>2061</v>
      </c>
      <c r="G1305" s="3">
        <v>2</v>
      </c>
      <c r="H1305" s="3">
        <v>3200</v>
      </c>
      <c r="I1305" s="3">
        <v>3840</v>
      </c>
      <c r="J1305" s="3">
        <v>10.81</v>
      </c>
      <c r="K1305" s="3">
        <v>6849.63</v>
      </c>
      <c r="L1305" s="3">
        <v>449.63</v>
      </c>
      <c r="M1305" s="3">
        <f t="shared" si="101"/>
        <v>83020.800000000003</v>
      </c>
      <c r="N1305" s="3">
        <f t="shared" si="102"/>
        <v>6400</v>
      </c>
      <c r="O1305" s="3">
        <f t="shared" si="103"/>
        <v>6.5642961736619352</v>
      </c>
      <c r="P1305" s="3" t="str">
        <f t="shared" si="104"/>
        <v>Aug</v>
      </c>
      <c r="Q1305" s="3" t="str">
        <f t="shared" si="100"/>
        <v>low profit</v>
      </c>
    </row>
    <row r="1306" spans="1:17" x14ac:dyDescent="0.25">
      <c r="A1306" s="3" t="s">
        <v>963</v>
      </c>
      <c r="B1306" s="4">
        <v>45890</v>
      </c>
      <c r="C1306" s="3" t="s">
        <v>2022</v>
      </c>
      <c r="D1306" s="3" t="s">
        <v>2042</v>
      </c>
      <c r="E1306" s="3" t="s">
        <v>2053</v>
      </c>
      <c r="F1306" s="3" t="s">
        <v>2062</v>
      </c>
      <c r="G1306" s="3">
        <v>8</v>
      </c>
      <c r="H1306" s="3">
        <v>8500</v>
      </c>
      <c r="I1306" s="3">
        <v>9520</v>
      </c>
      <c r="J1306" s="3">
        <v>9.07</v>
      </c>
      <c r="K1306" s="3">
        <v>69255.77</v>
      </c>
      <c r="L1306" s="3">
        <v>1255.77</v>
      </c>
      <c r="M1306" s="3">
        <f t="shared" si="101"/>
        <v>690771.20000000007</v>
      </c>
      <c r="N1306" s="3">
        <f t="shared" si="102"/>
        <v>68000</v>
      </c>
      <c r="O1306" s="3">
        <f t="shared" si="103"/>
        <v>1.8132352004749928</v>
      </c>
      <c r="P1306" s="3" t="str">
        <f t="shared" si="104"/>
        <v>Aug</v>
      </c>
      <c r="Q1306" s="3" t="str">
        <f t="shared" si="100"/>
        <v>low profit</v>
      </c>
    </row>
    <row r="1307" spans="1:17" x14ac:dyDescent="0.25">
      <c r="A1307" s="3" t="s">
        <v>1345</v>
      </c>
      <c r="B1307" s="4">
        <v>45890</v>
      </c>
      <c r="C1307" s="3" t="s">
        <v>2028</v>
      </c>
      <c r="D1307" s="3" t="s">
        <v>2048</v>
      </c>
      <c r="E1307" s="3" t="s">
        <v>2057</v>
      </c>
      <c r="F1307" s="3" t="s">
        <v>2061</v>
      </c>
      <c r="G1307" s="3">
        <v>8</v>
      </c>
      <c r="H1307" s="3">
        <v>80</v>
      </c>
      <c r="I1307" s="3">
        <v>116</v>
      </c>
      <c r="J1307" s="3">
        <v>10.029999999999999</v>
      </c>
      <c r="K1307" s="3">
        <v>834.92</v>
      </c>
      <c r="L1307" s="3">
        <v>194.92</v>
      </c>
      <c r="M1307" s="3">
        <f t="shared" si="101"/>
        <v>9307.84</v>
      </c>
      <c r="N1307" s="3">
        <f t="shared" si="102"/>
        <v>640</v>
      </c>
      <c r="O1307" s="3">
        <f t="shared" si="103"/>
        <v>23.345949312508981</v>
      </c>
      <c r="P1307" s="3" t="str">
        <f t="shared" si="104"/>
        <v>Aug</v>
      </c>
      <c r="Q1307" s="3" t="str">
        <f t="shared" si="100"/>
        <v>good profit</v>
      </c>
    </row>
    <row r="1308" spans="1:17" x14ac:dyDescent="0.25">
      <c r="A1308" s="3" t="s">
        <v>1538</v>
      </c>
      <c r="B1308" s="4">
        <v>45890</v>
      </c>
      <c r="C1308" s="3" t="s">
        <v>2022</v>
      </c>
      <c r="D1308" s="3" t="s">
        <v>2042</v>
      </c>
      <c r="E1308" s="3" t="s">
        <v>2053</v>
      </c>
      <c r="F1308" s="3" t="s">
        <v>2059</v>
      </c>
      <c r="G1308" s="3">
        <v>10</v>
      </c>
      <c r="H1308" s="3">
        <v>8500</v>
      </c>
      <c r="I1308" s="3">
        <v>9520</v>
      </c>
      <c r="J1308" s="3">
        <v>4.59</v>
      </c>
      <c r="K1308" s="3">
        <v>90825.56</v>
      </c>
      <c r="L1308" s="3">
        <v>5825.56</v>
      </c>
      <c r="M1308" s="3">
        <f t="shared" si="101"/>
        <v>436968</v>
      </c>
      <c r="N1308" s="3">
        <f t="shared" si="102"/>
        <v>85000</v>
      </c>
      <c r="O1308" s="3">
        <f t="shared" si="103"/>
        <v>6.4140094484416075</v>
      </c>
      <c r="P1308" s="3" t="str">
        <f t="shared" si="104"/>
        <v>Aug</v>
      </c>
      <c r="Q1308" s="3" t="str">
        <f t="shared" si="100"/>
        <v>low profit</v>
      </c>
    </row>
    <row r="1309" spans="1:17" x14ac:dyDescent="0.25">
      <c r="A1309" s="3" t="s">
        <v>1587</v>
      </c>
      <c r="B1309" s="4">
        <v>45890</v>
      </c>
      <c r="C1309" s="3" t="s">
        <v>2025</v>
      </c>
      <c r="D1309" s="3" t="s">
        <v>2045</v>
      </c>
      <c r="E1309" s="3" t="s">
        <v>2057</v>
      </c>
      <c r="F1309" s="3" t="s">
        <v>2060</v>
      </c>
      <c r="G1309" s="3">
        <v>8</v>
      </c>
      <c r="H1309" s="3">
        <v>45</v>
      </c>
      <c r="I1309" s="3">
        <v>63</v>
      </c>
      <c r="J1309" s="3">
        <v>26.84</v>
      </c>
      <c r="K1309" s="3">
        <v>368.71</v>
      </c>
      <c r="L1309" s="3">
        <v>8.7100000000000009</v>
      </c>
      <c r="M1309" s="3">
        <f t="shared" si="101"/>
        <v>13527.36</v>
      </c>
      <c r="N1309" s="3">
        <f t="shared" si="102"/>
        <v>360</v>
      </c>
      <c r="O1309" s="3">
        <f t="shared" si="103"/>
        <v>2.3622901467277808</v>
      </c>
      <c r="P1309" s="3" t="str">
        <f t="shared" si="104"/>
        <v>Aug</v>
      </c>
      <c r="Q1309" s="3" t="str">
        <f t="shared" si="100"/>
        <v>low profit</v>
      </c>
    </row>
    <row r="1310" spans="1:17" x14ac:dyDescent="0.25">
      <c r="A1310" s="3" t="s">
        <v>400</v>
      </c>
      <c r="B1310" s="4">
        <v>45891</v>
      </c>
      <c r="C1310" s="3" t="s">
        <v>2027</v>
      </c>
      <c r="D1310" s="3" t="s">
        <v>2047</v>
      </c>
      <c r="E1310" s="3" t="s">
        <v>2053</v>
      </c>
      <c r="F1310" s="3" t="s">
        <v>2060</v>
      </c>
      <c r="G1310" s="3">
        <v>2</v>
      </c>
      <c r="H1310" s="3">
        <v>1100</v>
      </c>
      <c r="I1310" s="3">
        <v>1298</v>
      </c>
      <c r="J1310" s="3">
        <v>0</v>
      </c>
      <c r="K1310" s="3">
        <v>2596</v>
      </c>
      <c r="L1310" s="3">
        <v>396</v>
      </c>
      <c r="M1310" s="3">
        <f t="shared" si="101"/>
        <v>0</v>
      </c>
      <c r="N1310" s="3">
        <f t="shared" si="102"/>
        <v>2200</v>
      </c>
      <c r="O1310" s="3">
        <f t="shared" si="103"/>
        <v>15.254237288135593</v>
      </c>
      <c r="P1310" s="3" t="str">
        <f t="shared" si="104"/>
        <v>Aug</v>
      </c>
      <c r="Q1310" s="3" t="str">
        <f t="shared" si="100"/>
        <v>good profit</v>
      </c>
    </row>
    <row r="1311" spans="1:17" x14ac:dyDescent="0.25">
      <c r="A1311" s="3" t="s">
        <v>1119</v>
      </c>
      <c r="B1311" s="4">
        <v>45891</v>
      </c>
      <c r="C1311" s="3" t="s">
        <v>2013</v>
      </c>
      <c r="D1311" s="3" t="s">
        <v>2033</v>
      </c>
      <c r="E1311" s="3" t="s">
        <v>2053</v>
      </c>
      <c r="F1311" s="3" t="s">
        <v>2061</v>
      </c>
      <c r="G1311" s="3">
        <v>7</v>
      </c>
      <c r="H1311" s="3">
        <v>6500</v>
      </c>
      <c r="I1311" s="3">
        <v>7150</v>
      </c>
      <c r="J1311" s="3">
        <v>7.53</v>
      </c>
      <c r="K1311" s="3">
        <v>46281.26</v>
      </c>
      <c r="L1311" s="3">
        <v>781.26</v>
      </c>
      <c r="M1311" s="3">
        <f t="shared" si="101"/>
        <v>376876.5</v>
      </c>
      <c r="N1311" s="3">
        <f t="shared" si="102"/>
        <v>45500</v>
      </c>
      <c r="O1311" s="3">
        <f t="shared" si="103"/>
        <v>1.6880698580807867</v>
      </c>
      <c r="P1311" s="3" t="str">
        <f t="shared" si="104"/>
        <v>Aug</v>
      </c>
      <c r="Q1311" s="3" t="str">
        <f t="shared" si="100"/>
        <v>low profit</v>
      </c>
    </row>
    <row r="1312" spans="1:17" x14ac:dyDescent="0.25">
      <c r="A1312" s="3" t="s">
        <v>1325</v>
      </c>
      <c r="B1312" s="4">
        <v>45891</v>
      </c>
      <c r="C1312" s="3" t="s">
        <v>2020</v>
      </c>
      <c r="D1312" s="3" t="s">
        <v>2040</v>
      </c>
      <c r="E1312" s="3" t="s">
        <v>2053</v>
      </c>
      <c r="F1312" s="3" t="s">
        <v>2062</v>
      </c>
      <c r="G1312" s="3">
        <v>6</v>
      </c>
      <c r="H1312" s="3">
        <v>350</v>
      </c>
      <c r="I1312" s="3">
        <v>455</v>
      </c>
      <c r="J1312" s="3">
        <v>16.27</v>
      </c>
      <c r="K1312" s="3">
        <v>2285.6999999999998</v>
      </c>
      <c r="L1312" s="3">
        <v>185.7</v>
      </c>
      <c r="M1312" s="3">
        <f t="shared" si="101"/>
        <v>44417.1</v>
      </c>
      <c r="N1312" s="3">
        <f t="shared" si="102"/>
        <v>2100</v>
      </c>
      <c r="O1312" s="3">
        <f t="shared" si="103"/>
        <v>8.1244257776611111</v>
      </c>
      <c r="P1312" s="3" t="str">
        <f t="shared" si="104"/>
        <v>Aug</v>
      </c>
      <c r="Q1312" s="3" t="str">
        <f t="shared" si="100"/>
        <v>low profit</v>
      </c>
    </row>
    <row r="1313" spans="1:17" x14ac:dyDescent="0.25">
      <c r="A1313" s="3" t="s">
        <v>347</v>
      </c>
      <c r="B1313" s="4">
        <v>45892</v>
      </c>
      <c r="C1313" s="3" t="s">
        <v>2024</v>
      </c>
      <c r="D1313" s="3" t="s">
        <v>2044</v>
      </c>
      <c r="E1313" s="3" t="s">
        <v>2055</v>
      </c>
      <c r="F1313" s="3" t="s">
        <v>2060</v>
      </c>
      <c r="G1313" s="3">
        <v>3</v>
      </c>
      <c r="H1313" s="3">
        <v>180</v>
      </c>
      <c r="I1313" s="3">
        <v>243</v>
      </c>
      <c r="J1313" s="3">
        <v>12.65</v>
      </c>
      <c r="K1313" s="3">
        <v>636.80999999999995</v>
      </c>
      <c r="L1313" s="3">
        <v>96.81</v>
      </c>
      <c r="M1313" s="3">
        <f t="shared" si="101"/>
        <v>9221.85</v>
      </c>
      <c r="N1313" s="3">
        <f t="shared" si="102"/>
        <v>540</v>
      </c>
      <c r="O1313" s="3">
        <f t="shared" si="103"/>
        <v>15.202336646723513</v>
      </c>
      <c r="P1313" s="3" t="str">
        <f t="shared" si="104"/>
        <v>Aug</v>
      </c>
      <c r="Q1313" s="3" t="str">
        <f t="shared" si="100"/>
        <v>good profit</v>
      </c>
    </row>
    <row r="1314" spans="1:17" x14ac:dyDescent="0.25">
      <c r="A1314" s="3" t="s">
        <v>1047</v>
      </c>
      <c r="B1314" s="4">
        <v>45892</v>
      </c>
      <c r="C1314" s="3" t="s">
        <v>2030</v>
      </c>
      <c r="D1314" s="3" t="s">
        <v>2050</v>
      </c>
      <c r="E1314" s="3" t="s">
        <v>2058</v>
      </c>
      <c r="F1314" s="3" t="s">
        <v>2062</v>
      </c>
      <c r="G1314" s="3">
        <v>2</v>
      </c>
      <c r="H1314" s="3">
        <v>1800</v>
      </c>
      <c r="I1314" s="3">
        <v>2124</v>
      </c>
      <c r="J1314" s="3">
        <v>15.36</v>
      </c>
      <c r="K1314" s="3">
        <v>3595.35</v>
      </c>
      <c r="L1314" s="3">
        <v>-4.6500000000000004</v>
      </c>
      <c r="M1314" s="3">
        <f t="shared" si="101"/>
        <v>65249.279999999999</v>
      </c>
      <c r="N1314" s="3">
        <f t="shared" si="102"/>
        <v>3600</v>
      </c>
      <c r="O1314" s="3">
        <f t="shared" si="103"/>
        <v>-0.12933372272518673</v>
      </c>
      <c r="P1314" s="3" t="str">
        <f t="shared" si="104"/>
        <v>Aug</v>
      </c>
      <c r="Q1314" s="3" t="str">
        <f t="shared" si="100"/>
        <v>loss</v>
      </c>
    </row>
    <row r="1315" spans="1:17" x14ac:dyDescent="0.25">
      <c r="A1315" s="3" t="s">
        <v>1429</v>
      </c>
      <c r="B1315" s="4">
        <v>45892</v>
      </c>
      <c r="C1315" s="3" t="s">
        <v>2021</v>
      </c>
      <c r="D1315" s="3" t="s">
        <v>2041</v>
      </c>
      <c r="E1315" s="3" t="s">
        <v>2056</v>
      </c>
      <c r="F1315" s="3" t="s">
        <v>2061</v>
      </c>
      <c r="G1315" s="3">
        <v>1</v>
      </c>
      <c r="H1315" s="3">
        <v>300</v>
      </c>
      <c r="I1315" s="3">
        <v>405</v>
      </c>
      <c r="J1315" s="3">
        <v>0</v>
      </c>
      <c r="K1315" s="3">
        <v>405</v>
      </c>
      <c r="L1315" s="3">
        <v>105</v>
      </c>
      <c r="M1315" s="3">
        <f t="shared" si="101"/>
        <v>0</v>
      </c>
      <c r="N1315" s="3">
        <f t="shared" si="102"/>
        <v>300</v>
      </c>
      <c r="O1315" s="3">
        <f t="shared" si="103"/>
        <v>25.925925925925924</v>
      </c>
      <c r="P1315" s="3" t="str">
        <f t="shared" si="104"/>
        <v>Aug</v>
      </c>
      <c r="Q1315" s="3" t="str">
        <f t="shared" si="100"/>
        <v>good profit</v>
      </c>
    </row>
    <row r="1316" spans="1:17" x14ac:dyDescent="0.25">
      <c r="A1316" s="3" t="s">
        <v>1488</v>
      </c>
      <c r="B1316" s="4">
        <v>45892</v>
      </c>
      <c r="C1316" s="3" t="s">
        <v>2013</v>
      </c>
      <c r="D1316" s="3" t="s">
        <v>2033</v>
      </c>
      <c r="E1316" s="3" t="s">
        <v>2053</v>
      </c>
      <c r="F1316" s="3" t="s">
        <v>2061</v>
      </c>
      <c r="G1316" s="3">
        <v>10</v>
      </c>
      <c r="H1316" s="3">
        <v>6500</v>
      </c>
      <c r="I1316" s="3">
        <v>7150</v>
      </c>
      <c r="J1316" s="3">
        <v>17.079999999999998</v>
      </c>
      <c r="K1316" s="3">
        <v>59288.67</v>
      </c>
      <c r="L1316" s="3">
        <v>-5711.33</v>
      </c>
      <c r="M1316" s="3">
        <f t="shared" si="101"/>
        <v>1221219.9999999998</v>
      </c>
      <c r="N1316" s="3">
        <f t="shared" si="102"/>
        <v>65000</v>
      </c>
      <c r="O1316" s="3">
        <f t="shared" si="103"/>
        <v>-9.6330884130138177</v>
      </c>
      <c r="P1316" s="3" t="str">
        <f t="shared" si="104"/>
        <v>Aug</v>
      </c>
      <c r="Q1316" s="3" t="str">
        <f t="shared" si="100"/>
        <v>loss</v>
      </c>
    </row>
    <row r="1317" spans="1:17" x14ac:dyDescent="0.25">
      <c r="A1317" s="3" t="s">
        <v>1643</v>
      </c>
      <c r="B1317" s="4">
        <v>45892</v>
      </c>
      <c r="C1317" s="3" t="s">
        <v>2021</v>
      </c>
      <c r="D1317" s="3" t="s">
        <v>2041</v>
      </c>
      <c r="E1317" s="3" t="s">
        <v>2056</v>
      </c>
      <c r="F1317" s="3" t="s">
        <v>2062</v>
      </c>
      <c r="G1317" s="3">
        <v>1</v>
      </c>
      <c r="H1317" s="3">
        <v>300</v>
      </c>
      <c r="I1317" s="3">
        <v>405</v>
      </c>
      <c r="J1317" s="3">
        <v>14.66</v>
      </c>
      <c r="K1317" s="3">
        <v>345.63</v>
      </c>
      <c r="L1317" s="3">
        <v>45.63</v>
      </c>
      <c r="M1317" s="3">
        <f t="shared" si="101"/>
        <v>5937.3</v>
      </c>
      <c r="N1317" s="3">
        <f t="shared" si="102"/>
        <v>300</v>
      </c>
      <c r="O1317" s="3">
        <f t="shared" si="103"/>
        <v>13.201978994878919</v>
      </c>
      <c r="P1317" s="3" t="str">
        <f t="shared" si="104"/>
        <v>Aug</v>
      </c>
      <c r="Q1317" s="3" t="str">
        <f t="shared" si="100"/>
        <v>good profit</v>
      </c>
    </row>
    <row r="1318" spans="1:17" x14ac:dyDescent="0.25">
      <c r="A1318" s="3" t="s">
        <v>341</v>
      </c>
      <c r="B1318" s="4">
        <v>45893</v>
      </c>
      <c r="C1318" s="3" t="s">
        <v>2021</v>
      </c>
      <c r="D1318" s="3" t="s">
        <v>2041</v>
      </c>
      <c r="E1318" s="3" t="s">
        <v>2056</v>
      </c>
      <c r="F1318" s="3" t="s">
        <v>2060</v>
      </c>
      <c r="G1318" s="3">
        <v>2</v>
      </c>
      <c r="H1318" s="3">
        <v>300</v>
      </c>
      <c r="I1318" s="3">
        <v>405</v>
      </c>
      <c r="J1318" s="3">
        <v>8.9600000000000009</v>
      </c>
      <c r="K1318" s="3">
        <v>737.45</v>
      </c>
      <c r="L1318" s="3">
        <v>137.44999999999999</v>
      </c>
      <c r="M1318" s="3">
        <f t="shared" si="101"/>
        <v>7257.6</v>
      </c>
      <c r="N1318" s="3">
        <f t="shared" si="102"/>
        <v>600</v>
      </c>
      <c r="O1318" s="3">
        <f t="shared" si="103"/>
        <v>18.638551766221436</v>
      </c>
      <c r="P1318" s="3" t="str">
        <f t="shared" si="104"/>
        <v>Aug</v>
      </c>
      <c r="Q1318" s="3" t="str">
        <f t="shared" si="100"/>
        <v>good profit</v>
      </c>
    </row>
    <row r="1319" spans="1:17" x14ac:dyDescent="0.25">
      <c r="A1319" s="3" t="s">
        <v>1214</v>
      </c>
      <c r="B1319" s="4">
        <v>45893</v>
      </c>
      <c r="C1319" s="3" t="s">
        <v>2017</v>
      </c>
      <c r="D1319" s="3" t="s">
        <v>2037</v>
      </c>
      <c r="E1319" s="3" t="s">
        <v>2055</v>
      </c>
      <c r="F1319" s="3" t="s">
        <v>2059</v>
      </c>
      <c r="G1319" s="3">
        <v>3</v>
      </c>
      <c r="H1319" s="3">
        <v>2500</v>
      </c>
      <c r="I1319" s="3">
        <v>2875</v>
      </c>
      <c r="J1319" s="3">
        <v>6.55</v>
      </c>
      <c r="K1319" s="3">
        <v>8059.68</v>
      </c>
      <c r="L1319" s="3">
        <v>559.67999999999995</v>
      </c>
      <c r="M1319" s="3">
        <f t="shared" si="101"/>
        <v>56493.75</v>
      </c>
      <c r="N1319" s="3">
        <f t="shared" si="102"/>
        <v>7500</v>
      </c>
      <c r="O1319" s="3">
        <f t="shared" si="103"/>
        <v>6.9441962956345655</v>
      </c>
      <c r="P1319" s="3" t="str">
        <f t="shared" si="104"/>
        <v>Aug</v>
      </c>
      <c r="Q1319" s="3" t="str">
        <f t="shared" si="100"/>
        <v>low profit</v>
      </c>
    </row>
    <row r="1320" spans="1:17" x14ac:dyDescent="0.25">
      <c r="A1320" s="3" t="s">
        <v>1455</v>
      </c>
      <c r="B1320" s="4">
        <v>45893</v>
      </c>
      <c r="C1320" s="3" t="s">
        <v>2024</v>
      </c>
      <c r="D1320" s="3" t="s">
        <v>2044</v>
      </c>
      <c r="E1320" s="3" t="s">
        <v>2055</v>
      </c>
      <c r="F1320" s="3" t="s">
        <v>2061</v>
      </c>
      <c r="G1320" s="3">
        <v>6</v>
      </c>
      <c r="H1320" s="3">
        <v>180</v>
      </c>
      <c r="I1320" s="3">
        <v>243</v>
      </c>
      <c r="J1320" s="3">
        <v>0</v>
      </c>
      <c r="K1320" s="3">
        <v>1458</v>
      </c>
      <c r="L1320" s="3">
        <v>378</v>
      </c>
      <c r="M1320" s="3">
        <f t="shared" si="101"/>
        <v>0</v>
      </c>
      <c r="N1320" s="3">
        <f t="shared" si="102"/>
        <v>1080</v>
      </c>
      <c r="O1320" s="3">
        <f t="shared" si="103"/>
        <v>25.925925925925924</v>
      </c>
      <c r="P1320" s="3" t="str">
        <f t="shared" si="104"/>
        <v>Aug</v>
      </c>
      <c r="Q1320" s="3" t="str">
        <f t="shared" si="100"/>
        <v>good profit</v>
      </c>
    </row>
    <row r="1321" spans="1:17" x14ac:dyDescent="0.25">
      <c r="A1321" s="3" t="s">
        <v>33</v>
      </c>
      <c r="B1321" s="4">
        <v>45894</v>
      </c>
      <c r="C1321" s="3" t="s">
        <v>2026</v>
      </c>
      <c r="D1321" s="3" t="s">
        <v>2046</v>
      </c>
      <c r="E1321" s="3" t="s">
        <v>2052</v>
      </c>
      <c r="F1321" s="3" t="s">
        <v>2060</v>
      </c>
      <c r="G1321" s="3">
        <v>8</v>
      </c>
      <c r="H1321" s="3">
        <v>3000</v>
      </c>
      <c r="I1321" s="3">
        <v>3600</v>
      </c>
      <c r="J1321" s="3">
        <v>32.54</v>
      </c>
      <c r="K1321" s="3">
        <v>19429.34</v>
      </c>
      <c r="L1321" s="3">
        <v>-4570.66</v>
      </c>
      <c r="M1321" s="3">
        <f t="shared" si="101"/>
        <v>937152</v>
      </c>
      <c r="N1321" s="3">
        <f t="shared" si="102"/>
        <v>24000</v>
      </c>
      <c r="O1321" s="3">
        <f t="shared" si="103"/>
        <v>-23.524525279808785</v>
      </c>
      <c r="P1321" s="3" t="str">
        <f t="shared" si="104"/>
        <v>Aug</v>
      </c>
      <c r="Q1321" s="3" t="str">
        <f t="shared" si="100"/>
        <v>loss</v>
      </c>
    </row>
    <row r="1322" spans="1:17" x14ac:dyDescent="0.25">
      <c r="A1322" s="3" t="s">
        <v>58</v>
      </c>
      <c r="B1322" s="4">
        <v>45894</v>
      </c>
      <c r="C1322" s="3" t="s">
        <v>2030</v>
      </c>
      <c r="D1322" s="3" t="s">
        <v>2050</v>
      </c>
      <c r="E1322" s="3" t="s">
        <v>2058</v>
      </c>
      <c r="F1322" s="3" t="s">
        <v>2059</v>
      </c>
      <c r="G1322" s="3">
        <v>9</v>
      </c>
      <c r="H1322" s="3">
        <v>1800</v>
      </c>
      <c r="I1322" s="3">
        <v>2124</v>
      </c>
      <c r="J1322" s="3">
        <v>25.63</v>
      </c>
      <c r="K1322" s="3">
        <v>14215.79</v>
      </c>
      <c r="L1322" s="3">
        <v>-1984.21</v>
      </c>
      <c r="M1322" s="3">
        <f t="shared" si="101"/>
        <v>489943.07999999996</v>
      </c>
      <c r="N1322" s="3">
        <f t="shared" si="102"/>
        <v>16200</v>
      </c>
      <c r="O1322" s="3">
        <f t="shared" si="103"/>
        <v>-13.957789190751974</v>
      </c>
      <c r="P1322" s="3" t="str">
        <f t="shared" si="104"/>
        <v>Aug</v>
      </c>
      <c r="Q1322" s="3" t="str">
        <f t="shared" si="100"/>
        <v>loss</v>
      </c>
    </row>
    <row r="1323" spans="1:17" x14ac:dyDescent="0.25">
      <c r="A1323" s="3" t="s">
        <v>942</v>
      </c>
      <c r="B1323" s="4">
        <v>45894</v>
      </c>
      <c r="C1323" s="3" t="s">
        <v>2031</v>
      </c>
      <c r="D1323" s="3" t="s">
        <v>2051</v>
      </c>
      <c r="E1323" s="3" t="s">
        <v>2058</v>
      </c>
      <c r="F1323" s="3" t="s">
        <v>2062</v>
      </c>
      <c r="G1323" s="3">
        <v>8</v>
      </c>
      <c r="H1323" s="3">
        <v>3200</v>
      </c>
      <c r="I1323" s="3">
        <v>3840</v>
      </c>
      <c r="J1323" s="3">
        <v>9.6</v>
      </c>
      <c r="K1323" s="3">
        <v>27772.39</v>
      </c>
      <c r="L1323" s="3">
        <v>2172.39</v>
      </c>
      <c r="M1323" s="3">
        <f t="shared" si="101"/>
        <v>294912</v>
      </c>
      <c r="N1323" s="3">
        <f t="shared" si="102"/>
        <v>25600</v>
      </c>
      <c r="O1323" s="3">
        <f t="shared" si="103"/>
        <v>7.8221211786238056</v>
      </c>
      <c r="P1323" s="3" t="str">
        <f t="shared" si="104"/>
        <v>Aug</v>
      </c>
      <c r="Q1323" s="3" t="str">
        <f t="shared" si="100"/>
        <v>low profit</v>
      </c>
    </row>
    <row r="1324" spans="1:17" x14ac:dyDescent="0.25">
      <c r="A1324" s="3" t="s">
        <v>1471</v>
      </c>
      <c r="B1324" s="4">
        <v>45894</v>
      </c>
      <c r="C1324" s="3" t="s">
        <v>2023</v>
      </c>
      <c r="D1324" s="3" t="s">
        <v>2043</v>
      </c>
      <c r="E1324" s="3" t="s">
        <v>2053</v>
      </c>
      <c r="F1324" s="3" t="s">
        <v>2061</v>
      </c>
      <c r="G1324" s="3">
        <v>4</v>
      </c>
      <c r="H1324" s="3">
        <v>550</v>
      </c>
      <c r="I1324" s="3">
        <v>742.5</v>
      </c>
      <c r="J1324" s="3">
        <v>17.75</v>
      </c>
      <c r="K1324" s="3">
        <v>2442.7600000000002</v>
      </c>
      <c r="L1324" s="3">
        <v>242.76</v>
      </c>
      <c r="M1324" s="3">
        <f t="shared" si="101"/>
        <v>52717.5</v>
      </c>
      <c r="N1324" s="3">
        <f t="shared" si="102"/>
        <v>2200</v>
      </c>
      <c r="O1324" s="3">
        <f t="shared" si="103"/>
        <v>9.9379390525471187</v>
      </c>
      <c r="P1324" s="3" t="str">
        <f t="shared" si="104"/>
        <v>Aug</v>
      </c>
      <c r="Q1324" s="3" t="str">
        <f t="shared" si="100"/>
        <v>low profit</v>
      </c>
    </row>
    <row r="1325" spans="1:17" x14ac:dyDescent="0.25">
      <c r="A1325" s="3" t="s">
        <v>1771</v>
      </c>
      <c r="B1325" s="4">
        <v>45894</v>
      </c>
      <c r="C1325" s="3" t="s">
        <v>2029</v>
      </c>
      <c r="D1325" s="3" t="s">
        <v>2049</v>
      </c>
      <c r="E1325" s="3" t="s">
        <v>2055</v>
      </c>
      <c r="F1325" s="3" t="s">
        <v>2061</v>
      </c>
      <c r="G1325" s="3">
        <v>1</v>
      </c>
      <c r="H1325" s="3">
        <v>1200</v>
      </c>
      <c r="I1325" s="3">
        <v>1464</v>
      </c>
      <c r="J1325" s="3">
        <v>15.32</v>
      </c>
      <c r="K1325" s="3">
        <v>1239.6600000000001</v>
      </c>
      <c r="L1325" s="3">
        <v>39.659999999999997</v>
      </c>
      <c r="M1325" s="3">
        <f t="shared" si="101"/>
        <v>22428.48</v>
      </c>
      <c r="N1325" s="3">
        <f t="shared" si="102"/>
        <v>1200</v>
      </c>
      <c r="O1325" s="3">
        <f t="shared" si="103"/>
        <v>3.1992643144087887</v>
      </c>
      <c r="P1325" s="3" t="str">
        <f t="shared" si="104"/>
        <v>Aug</v>
      </c>
      <c r="Q1325" s="3" t="str">
        <f t="shared" si="100"/>
        <v>low profit</v>
      </c>
    </row>
    <row r="1326" spans="1:17" x14ac:dyDescent="0.25">
      <c r="A1326" s="3" t="s">
        <v>113</v>
      </c>
      <c r="B1326" s="4">
        <v>45895</v>
      </c>
      <c r="C1326" s="3" t="s">
        <v>2021</v>
      </c>
      <c r="D1326" s="3" t="s">
        <v>2041</v>
      </c>
      <c r="E1326" s="3" t="s">
        <v>2056</v>
      </c>
      <c r="F1326" s="3" t="s">
        <v>2059</v>
      </c>
      <c r="G1326" s="3">
        <v>1</v>
      </c>
      <c r="H1326" s="3">
        <v>300</v>
      </c>
      <c r="I1326" s="3">
        <v>405</v>
      </c>
      <c r="J1326" s="3">
        <v>15.28</v>
      </c>
      <c r="K1326" s="3">
        <v>343.13</v>
      </c>
      <c r="L1326" s="3">
        <v>43.13</v>
      </c>
      <c r="M1326" s="3">
        <f t="shared" si="101"/>
        <v>6188.4</v>
      </c>
      <c r="N1326" s="3">
        <f t="shared" si="102"/>
        <v>300</v>
      </c>
      <c r="O1326" s="3">
        <f t="shared" si="103"/>
        <v>12.569580042549472</v>
      </c>
      <c r="P1326" s="3" t="str">
        <f t="shared" si="104"/>
        <v>Aug</v>
      </c>
      <c r="Q1326" s="3" t="str">
        <f t="shared" si="100"/>
        <v>good profit</v>
      </c>
    </row>
    <row r="1327" spans="1:17" x14ac:dyDescent="0.25">
      <c r="A1327" s="3" t="s">
        <v>338</v>
      </c>
      <c r="B1327" s="4">
        <v>45895</v>
      </c>
      <c r="C1327" s="3" t="s">
        <v>2030</v>
      </c>
      <c r="D1327" s="3" t="s">
        <v>2050</v>
      </c>
      <c r="E1327" s="3" t="s">
        <v>2058</v>
      </c>
      <c r="F1327" s="3" t="s">
        <v>2061</v>
      </c>
      <c r="G1327" s="3">
        <v>4</v>
      </c>
      <c r="H1327" s="3">
        <v>1800</v>
      </c>
      <c r="I1327" s="3">
        <v>2124</v>
      </c>
      <c r="J1327" s="3">
        <v>18.91</v>
      </c>
      <c r="K1327" s="3">
        <v>6889.37</v>
      </c>
      <c r="L1327" s="3">
        <v>-310.63</v>
      </c>
      <c r="M1327" s="3">
        <f t="shared" si="101"/>
        <v>160659.36000000002</v>
      </c>
      <c r="N1327" s="3">
        <f t="shared" si="102"/>
        <v>7200</v>
      </c>
      <c r="O1327" s="3">
        <f t="shared" si="103"/>
        <v>-4.5088302704020835</v>
      </c>
      <c r="P1327" s="3" t="str">
        <f t="shared" si="104"/>
        <v>Aug</v>
      </c>
      <c r="Q1327" s="3" t="str">
        <f t="shared" si="100"/>
        <v>loss</v>
      </c>
    </row>
    <row r="1328" spans="1:17" x14ac:dyDescent="0.25">
      <c r="A1328" s="3" t="s">
        <v>682</v>
      </c>
      <c r="B1328" s="4">
        <v>45895</v>
      </c>
      <c r="C1328" s="3" t="s">
        <v>2013</v>
      </c>
      <c r="D1328" s="3" t="s">
        <v>2033</v>
      </c>
      <c r="E1328" s="3" t="s">
        <v>2053</v>
      </c>
      <c r="F1328" s="3" t="s">
        <v>2059</v>
      </c>
      <c r="G1328" s="3">
        <v>9</v>
      </c>
      <c r="H1328" s="3">
        <v>6500</v>
      </c>
      <c r="I1328" s="3">
        <v>7150</v>
      </c>
      <c r="J1328" s="3">
        <v>8.5399999999999991</v>
      </c>
      <c r="K1328" s="3">
        <v>58855.47</v>
      </c>
      <c r="L1328" s="3">
        <v>355.47</v>
      </c>
      <c r="M1328" s="3">
        <f t="shared" si="101"/>
        <v>549549</v>
      </c>
      <c r="N1328" s="3">
        <f t="shared" si="102"/>
        <v>58500</v>
      </c>
      <c r="O1328" s="3">
        <f t="shared" si="103"/>
        <v>0.60397104975969096</v>
      </c>
      <c r="P1328" s="3" t="str">
        <f t="shared" si="104"/>
        <v>Aug</v>
      </c>
      <c r="Q1328" s="3" t="str">
        <f t="shared" si="100"/>
        <v>low profit</v>
      </c>
    </row>
    <row r="1329" spans="1:17" x14ac:dyDescent="0.25">
      <c r="A1329" s="3" t="s">
        <v>78</v>
      </c>
      <c r="B1329" s="4">
        <v>45896</v>
      </c>
      <c r="C1329" s="3" t="s">
        <v>2016</v>
      </c>
      <c r="D1329" s="3" t="s">
        <v>2036</v>
      </c>
      <c r="E1329" s="3" t="s">
        <v>2052</v>
      </c>
      <c r="F1329" s="3" t="s">
        <v>2061</v>
      </c>
      <c r="G1329" s="3">
        <v>4</v>
      </c>
      <c r="H1329" s="3">
        <v>900</v>
      </c>
      <c r="I1329" s="3">
        <v>1170</v>
      </c>
      <c r="J1329" s="3">
        <v>7.09</v>
      </c>
      <c r="K1329" s="3">
        <v>4348.0600000000004</v>
      </c>
      <c r="L1329" s="3">
        <v>748.06</v>
      </c>
      <c r="M1329" s="3">
        <f t="shared" si="101"/>
        <v>33181.199999999997</v>
      </c>
      <c r="N1329" s="3">
        <f t="shared" si="102"/>
        <v>3600</v>
      </c>
      <c r="O1329" s="3">
        <f t="shared" si="103"/>
        <v>17.20445440035326</v>
      </c>
      <c r="P1329" s="3" t="str">
        <f t="shared" si="104"/>
        <v>Aug</v>
      </c>
      <c r="Q1329" s="3" t="str">
        <f t="shared" si="100"/>
        <v>good profit</v>
      </c>
    </row>
    <row r="1330" spans="1:17" x14ac:dyDescent="0.25">
      <c r="A1330" s="3" t="s">
        <v>1014</v>
      </c>
      <c r="B1330" s="4">
        <v>45896</v>
      </c>
      <c r="C1330" s="3" t="s">
        <v>2020</v>
      </c>
      <c r="D1330" s="3" t="s">
        <v>2040</v>
      </c>
      <c r="E1330" s="3" t="s">
        <v>2053</v>
      </c>
      <c r="F1330" s="3" t="s">
        <v>2059</v>
      </c>
      <c r="G1330" s="3">
        <v>1</v>
      </c>
      <c r="H1330" s="3">
        <v>350</v>
      </c>
      <c r="I1330" s="3">
        <v>455</v>
      </c>
      <c r="J1330" s="3">
        <v>1.99</v>
      </c>
      <c r="K1330" s="3">
        <v>445.94</v>
      </c>
      <c r="L1330" s="3">
        <v>95.94</v>
      </c>
      <c r="M1330" s="3">
        <f t="shared" si="101"/>
        <v>905.45</v>
      </c>
      <c r="N1330" s="3">
        <f t="shared" si="102"/>
        <v>350</v>
      </c>
      <c r="O1330" s="3">
        <f t="shared" si="103"/>
        <v>21.514105036552003</v>
      </c>
      <c r="P1330" s="3" t="str">
        <f t="shared" si="104"/>
        <v>Aug</v>
      </c>
      <c r="Q1330" s="3" t="str">
        <f t="shared" si="100"/>
        <v>good profit</v>
      </c>
    </row>
    <row r="1331" spans="1:17" x14ac:dyDescent="0.25">
      <c r="A1331" s="3" t="s">
        <v>1233</v>
      </c>
      <c r="B1331" s="4">
        <v>45896</v>
      </c>
      <c r="C1331" s="3" t="s">
        <v>2014</v>
      </c>
      <c r="D1331" s="3" t="s">
        <v>2034</v>
      </c>
      <c r="E1331" s="3" t="s">
        <v>2052</v>
      </c>
      <c r="F1331" s="3" t="s">
        <v>2060</v>
      </c>
      <c r="G1331" s="3">
        <v>5</v>
      </c>
      <c r="H1331" s="3">
        <v>4500</v>
      </c>
      <c r="I1331" s="3">
        <v>5220</v>
      </c>
      <c r="J1331" s="3">
        <v>14.06</v>
      </c>
      <c r="K1331" s="3">
        <v>22429.34</v>
      </c>
      <c r="L1331" s="3">
        <v>-70.66</v>
      </c>
      <c r="M1331" s="3">
        <f t="shared" si="101"/>
        <v>366966</v>
      </c>
      <c r="N1331" s="3">
        <f t="shared" si="102"/>
        <v>22500</v>
      </c>
      <c r="O1331" s="3">
        <f t="shared" si="103"/>
        <v>-0.31503379056182657</v>
      </c>
      <c r="P1331" s="3" t="str">
        <f t="shared" si="104"/>
        <v>Aug</v>
      </c>
      <c r="Q1331" s="3" t="str">
        <f t="shared" si="100"/>
        <v>loss</v>
      </c>
    </row>
    <row r="1332" spans="1:17" x14ac:dyDescent="0.25">
      <c r="A1332" s="3" t="s">
        <v>1846</v>
      </c>
      <c r="B1332" s="4">
        <v>45896</v>
      </c>
      <c r="C1332" s="3" t="s">
        <v>2030</v>
      </c>
      <c r="D1332" s="3" t="s">
        <v>2050</v>
      </c>
      <c r="E1332" s="3" t="s">
        <v>2058</v>
      </c>
      <c r="F1332" s="3" t="s">
        <v>2059</v>
      </c>
      <c r="G1332" s="3">
        <v>5</v>
      </c>
      <c r="H1332" s="3">
        <v>1800</v>
      </c>
      <c r="I1332" s="3">
        <v>2124</v>
      </c>
      <c r="J1332" s="3">
        <v>20.14</v>
      </c>
      <c r="K1332" s="3">
        <v>8481.18</v>
      </c>
      <c r="L1332" s="3">
        <v>-518.82000000000005</v>
      </c>
      <c r="M1332" s="3">
        <f t="shared" si="101"/>
        <v>213886.80000000002</v>
      </c>
      <c r="N1332" s="3">
        <f t="shared" si="102"/>
        <v>9000</v>
      </c>
      <c r="O1332" s="3">
        <f t="shared" si="103"/>
        <v>-6.1173091480194977</v>
      </c>
      <c r="P1332" s="3" t="str">
        <f t="shared" si="104"/>
        <v>Aug</v>
      </c>
      <c r="Q1332" s="3" t="str">
        <f t="shared" si="100"/>
        <v>loss</v>
      </c>
    </row>
    <row r="1333" spans="1:17" x14ac:dyDescent="0.25">
      <c r="A1333" s="3" t="s">
        <v>486</v>
      </c>
      <c r="B1333" s="4">
        <v>45897</v>
      </c>
      <c r="C1333" s="3" t="s">
        <v>2028</v>
      </c>
      <c r="D1333" s="3" t="s">
        <v>2048</v>
      </c>
      <c r="E1333" s="3" t="s">
        <v>2057</v>
      </c>
      <c r="F1333" s="3" t="s">
        <v>2059</v>
      </c>
      <c r="G1333" s="3">
        <v>4</v>
      </c>
      <c r="H1333" s="3">
        <v>80</v>
      </c>
      <c r="I1333" s="3">
        <v>116</v>
      </c>
      <c r="J1333" s="3">
        <v>10.5</v>
      </c>
      <c r="K1333" s="3">
        <v>415.28</v>
      </c>
      <c r="L1333" s="3">
        <v>95.28</v>
      </c>
      <c r="M1333" s="3">
        <f t="shared" si="101"/>
        <v>4872</v>
      </c>
      <c r="N1333" s="3">
        <f t="shared" si="102"/>
        <v>320</v>
      </c>
      <c r="O1333" s="3">
        <f t="shared" si="103"/>
        <v>22.943556154883453</v>
      </c>
      <c r="P1333" s="3" t="str">
        <f t="shared" si="104"/>
        <v>Aug</v>
      </c>
      <c r="Q1333" s="3" t="str">
        <f t="shared" si="100"/>
        <v>good profit</v>
      </c>
    </row>
    <row r="1334" spans="1:17" x14ac:dyDescent="0.25">
      <c r="A1334" s="3" t="s">
        <v>992</v>
      </c>
      <c r="B1334" s="4">
        <v>45897</v>
      </c>
      <c r="C1334" s="3" t="s">
        <v>2023</v>
      </c>
      <c r="D1334" s="3" t="s">
        <v>2043</v>
      </c>
      <c r="E1334" s="3" t="s">
        <v>2053</v>
      </c>
      <c r="F1334" s="3" t="s">
        <v>2061</v>
      </c>
      <c r="G1334" s="3">
        <v>6</v>
      </c>
      <c r="H1334" s="3">
        <v>550</v>
      </c>
      <c r="I1334" s="3">
        <v>742.5</v>
      </c>
      <c r="J1334" s="3">
        <v>11.26</v>
      </c>
      <c r="K1334" s="3">
        <v>3953.48</v>
      </c>
      <c r="L1334" s="3">
        <v>653.48</v>
      </c>
      <c r="M1334" s="3">
        <f t="shared" si="101"/>
        <v>50163.299999999996</v>
      </c>
      <c r="N1334" s="3">
        <f t="shared" si="102"/>
        <v>3300</v>
      </c>
      <c r="O1334" s="3">
        <f t="shared" si="103"/>
        <v>16.529235003085891</v>
      </c>
      <c r="P1334" s="3" t="str">
        <f t="shared" si="104"/>
        <v>Aug</v>
      </c>
      <c r="Q1334" s="3" t="str">
        <f t="shared" si="100"/>
        <v>good profit</v>
      </c>
    </row>
    <row r="1335" spans="1:17" x14ac:dyDescent="0.25">
      <c r="A1335" s="3" t="s">
        <v>1647</v>
      </c>
      <c r="B1335" s="4">
        <v>45897</v>
      </c>
      <c r="C1335" s="3" t="s">
        <v>2018</v>
      </c>
      <c r="D1335" s="3" t="s">
        <v>2038</v>
      </c>
      <c r="E1335" s="3" t="s">
        <v>2053</v>
      </c>
      <c r="F1335" s="3" t="s">
        <v>2059</v>
      </c>
      <c r="G1335" s="3">
        <v>8</v>
      </c>
      <c r="H1335" s="3">
        <v>500</v>
      </c>
      <c r="I1335" s="3">
        <v>610</v>
      </c>
      <c r="J1335" s="3">
        <v>12.37</v>
      </c>
      <c r="K1335" s="3">
        <v>4276.3500000000004</v>
      </c>
      <c r="L1335" s="3">
        <v>276.35000000000002</v>
      </c>
      <c r="M1335" s="3">
        <f t="shared" si="101"/>
        <v>60365.599999999999</v>
      </c>
      <c r="N1335" s="3">
        <f t="shared" si="102"/>
        <v>4000</v>
      </c>
      <c r="O1335" s="3">
        <f t="shared" si="103"/>
        <v>6.4622867632443555</v>
      </c>
      <c r="P1335" s="3" t="str">
        <f t="shared" si="104"/>
        <v>Aug</v>
      </c>
      <c r="Q1335" s="3" t="str">
        <f t="shared" si="100"/>
        <v>low profit</v>
      </c>
    </row>
    <row r="1336" spans="1:17" x14ac:dyDescent="0.25">
      <c r="A1336" s="3" t="s">
        <v>1948</v>
      </c>
      <c r="B1336" s="4">
        <v>45897</v>
      </c>
      <c r="C1336" s="3" t="s">
        <v>2023</v>
      </c>
      <c r="D1336" s="3" t="s">
        <v>2043</v>
      </c>
      <c r="E1336" s="3" t="s">
        <v>2053</v>
      </c>
      <c r="F1336" s="3" t="s">
        <v>2059</v>
      </c>
      <c r="G1336" s="3">
        <v>10</v>
      </c>
      <c r="H1336" s="3">
        <v>550</v>
      </c>
      <c r="I1336" s="3">
        <v>742.5</v>
      </c>
      <c r="J1336" s="3">
        <v>27.8</v>
      </c>
      <c r="K1336" s="3">
        <v>5360.54</v>
      </c>
      <c r="L1336" s="3">
        <v>-139.46</v>
      </c>
      <c r="M1336" s="3">
        <f t="shared" si="101"/>
        <v>206415</v>
      </c>
      <c r="N1336" s="3">
        <f t="shared" si="102"/>
        <v>5500</v>
      </c>
      <c r="O1336" s="3">
        <f t="shared" si="103"/>
        <v>-2.6016035697896109</v>
      </c>
      <c r="P1336" s="3" t="str">
        <f t="shared" si="104"/>
        <v>Aug</v>
      </c>
      <c r="Q1336" s="3" t="str">
        <f t="shared" si="100"/>
        <v>loss</v>
      </c>
    </row>
    <row r="1337" spans="1:17" x14ac:dyDescent="0.25">
      <c r="A1337" s="3" t="s">
        <v>938</v>
      </c>
      <c r="B1337" s="4">
        <v>45898</v>
      </c>
      <c r="C1337" s="3" t="s">
        <v>2022</v>
      </c>
      <c r="D1337" s="3" t="s">
        <v>2042</v>
      </c>
      <c r="E1337" s="3" t="s">
        <v>2053</v>
      </c>
      <c r="F1337" s="3" t="s">
        <v>2061</v>
      </c>
      <c r="G1337" s="3">
        <v>9</v>
      </c>
      <c r="H1337" s="3">
        <v>8500</v>
      </c>
      <c r="I1337" s="3">
        <v>9520</v>
      </c>
      <c r="J1337" s="3">
        <v>21.13</v>
      </c>
      <c r="K1337" s="3">
        <v>67577.990000000005</v>
      </c>
      <c r="L1337" s="3">
        <v>-8922.01</v>
      </c>
      <c r="M1337" s="3">
        <f t="shared" si="101"/>
        <v>1810418.4</v>
      </c>
      <c r="N1337" s="3">
        <f t="shared" si="102"/>
        <v>76500</v>
      </c>
      <c r="O1337" s="3">
        <f t="shared" si="103"/>
        <v>-13.202538282064912</v>
      </c>
      <c r="P1337" s="3" t="str">
        <f t="shared" si="104"/>
        <v>Aug</v>
      </c>
      <c r="Q1337" s="3" t="str">
        <f t="shared" si="100"/>
        <v>loss</v>
      </c>
    </row>
    <row r="1338" spans="1:17" x14ac:dyDescent="0.25">
      <c r="A1338" s="3" t="s">
        <v>1388</v>
      </c>
      <c r="B1338" s="4">
        <v>45898</v>
      </c>
      <c r="C1338" s="3" t="s">
        <v>2027</v>
      </c>
      <c r="D1338" s="3" t="s">
        <v>2047</v>
      </c>
      <c r="E1338" s="3" t="s">
        <v>2053</v>
      </c>
      <c r="F1338" s="3" t="s">
        <v>2059</v>
      </c>
      <c r="G1338" s="3">
        <v>3</v>
      </c>
      <c r="H1338" s="3">
        <v>1100</v>
      </c>
      <c r="I1338" s="3">
        <v>1298</v>
      </c>
      <c r="J1338" s="3">
        <v>14</v>
      </c>
      <c r="K1338" s="3">
        <v>3348.75</v>
      </c>
      <c r="L1338" s="3">
        <v>48.75</v>
      </c>
      <c r="M1338" s="3">
        <f t="shared" si="101"/>
        <v>54516</v>
      </c>
      <c r="N1338" s="3">
        <f t="shared" si="102"/>
        <v>3300</v>
      </c>
      <c r="O1338" s="3">
        <f t="shared" si="103"/>
        <v>1.4557670772676372</v>
      </c>
      <c r="P1338" s="3" t="str">
        <f t="shared" si="104"/>
        <v>Aug</v>
      </c>
      <c r="Q1338" s="3" t="str">
        <f t="shared" si="100"/>
        <v>low profit</v>
      </c>
    </row>
    <row r="1339" spans="1:17" x14ac:dyDescent="0.25">
      <c r="A1339" s="3" t="s">
        <v>1615</v>
      </c>
      <c r="B1339" s="4">
        <v>45898</v>
      </c>
      <c r="C1339" s="3" t="s">
        <v>2030</v>
      </c>
      <c r="D1339" s="3" t="s">
        <v>2050</v>
      </c>
      <c r="E1339" s="3" t="s">
        <v>2058</v>
      </c>
      <c r="F1339" s="3" t="s">
        <v>2062</v>
      </c>
      <c r="G1339" s="3">
        <v>10</v>
      </c>
      <c r="H1339" s="3">
        <v>1800</v>
      </c>
      <c r="I1339" s="3">
        <v>2124</v>
      </c>
      <c r="J1339" s="3">
        <v>11.79</v>
      </c>
      <c r="K1339" s="3">
        <v>18735.73</v>
      </c>
      <c r="L1339" s="3">
        <v>735.73</v>
      </c>
      <c r="M1339" s="3">
        <f t="shared" si="101"/>
        <v>250419.59999999998</v>
      </c>
      <c r="N1339" s="3">
        <f t="shared" si="102"/>
        <v>18000</v>
      </c>
      <c r="O1339" s="3">
        <f t="shared" si="103"/>
        <v>3.9268819522911573</v>
      </c>
      <c r="P1339" s="3" t="str">
        <f t="shared" si="104"/>
        <v>Aug</v>
      </c>
      <c r="Q1339" s="3" t="str">
        <f t="shared" si="100"/>
        <v>low profit</v>
      </c>
    </row>
    <row r="1340" spans="1:17" x14ac:dyDescent="0.25">
      <c r="A1340" s="3" t="s">
        <v>1736</v>
      </c>
      <c r="B1340" s="4">
        <v>45898</v>
      </c>
      <c r="C1340" s="3" t="s">
        <v>2029</v>
      </c>
      <c r="D1340" s="3" t="s">
        <v>2049</v>
      </c>
      <c r="E1340" s="3" t="s">
        <v>2055</v>
      </c>
      <c r="F1340" s="3" t="s">
        <v>2062</v>
      </c>
      <c r="G1340" s="3">
        <v>1</v>
      </c>
      <c r="H1340" s="3">
        <v>1200</v>
      </c>
      <c r="I1340" s="3">
        <v>1464</v>
      </c>
      <c r="J1340" s="3">
        <v>11.42</v>
      </c>
      <c r="K1340" s="3">
        <v>1296.83</v>
      </c>
      <c r="L1340" s="3">
        <v>96.83</v>
      </c>
      <c r="M1340" s="3">
        <f t="shared" si="101"/>
        <v>16718.88</v>
      </c>
      <c r="N1340" s="3">
        <f t="shared" si="102"/>
        <v>1200</v>
      </c>
      <c r="O1340" s="3">
        <f t="shared" si="103"/>
        <v>7.4666687229629174</v>
      </c>
      <c r="P1340" s="3" t="str">
        <f t="shared" si="104"/>
        <v>Aug</v>
      </c>
      <c r="Q1340" s="3" t="str">
        <f t="shared" si="100"/>
        <v>low profit</v>
      </c>
    </row>
    <row r="1341" spans="1:17" x14ac:dyDescent="0.25">
      <c r="A1341" s="3" t="s">
        <v>1866</v>
      </c>
      <c r="B1341" s="4">
        <v>45898</v>
      </c>
      <c r="C1341" s="3" t="s">
        <v>2026</v>
      </c>
      <c r="D1341" s="3" t="s">
        <v>2046</v>
      </c>
      <c r="E1341" s="3" t="s">
        <v>2052</v>
      </c>
      <c r="F1341" s="3" t="s">
        <v>2060</v>
      </c>
      <c r="G1341" s="3">
        <v>9</v>
      </c>
      <c r="H1341" s="3">
        <v>3000</v>
      </c>
      <c r="I1341" s="3">
        <v>3600</v>
      </c>
      <c r="J1341" s="3">
        <v>15.24</v>
      </c>
      <c r="K1341" s="3">
        <v>27462.69</v>
      </c>
      <c r="L1341" s="3">
        <v>462.69</v>
      </c>
      <c r="M1341" s="3">
        <f t="shared" si="101"/>
        <v>493776</v>
      </c>
      <c r="N1341" s="3">
        <f t="shared" si="102"/>
        <v>27000</v>
      </c>
      <c r="O1341" s="3">
        <f t="shared" si="103"/>
        <v>1.6847948980962899</v>
      </c>
      <c r="P1341" s="3" t="str">
        <f t="shared" si="104"/>
        <v>Aug</v>
      </c>
      <c r="Q1341" s="3" t="str">
        <f t="shared" si="100"/>
        <v>low profit</v>
      </c>
    </row>
    <row r="1342" spans="1:17" x14ac:dyDescent="0.25">
      <c r="A1342" s="3" t="s">
        <v>1887</v>
      </c>
      <c r="B1342" s="4">
        <v>45898</v>
      </c>
      <c r="C1342" s="3" t="s">
        <v>2026</v>
      </c>
      <c r="D1342" s="3" t="s">
        <v>2046</v>
      </c>
      <c r="E1342" s="3" t="s">
        <v>2052</v>
      </c>
      <c r="F1342" s="3" t="s">
        <v>2061</v>
      </c>
      <c r="G1342" s="3">
        <v>2</v>
      </c>
      <c r="H1342" s="3">
        <v>3000</v>
      </c>
      <c r="I1342" s="3">
        <v>3600</v>
      </c>
      <c r="J1342" s="3">
        <v>20.92</v>
      </c>
      <c r="K1342" s="3">
        <v>5693.98</v>
      </c>
      <c r="L1342" s="3">
        <v>-306.02</v>
      </c>
      <c r="M1342" s="3">
        <f t="shared" si="101"/>
        <v>150624</v>
      </c>
      <c r="N1342" s="3">
        <f t="shared" si="102"/>
        <v>6000</v>
      </c>
      <c r="O1342" s="3">
        <f t="shared" si="103"/>
        <v>-5.3744481013280696</v>
      </c>
      <c r="P1342" s="3" t="str">
        <f t="shared" si="104"/>
        <v>Aug</v>
      </c>
      <c r="Q1342" s="3" t="str">
        <f t="shared" si="100"/>
        <v>loss</v>
      </c>
    </row>
    <row r="1343" spans="1:17" x14ac:dyDescent="0.25">
      <c r="A1343" s="3" t="s">
        <v>195</v>
      </c>
      <c r="B1343" s="4">
        <v>45899</v>
      </c>
      <c r="C1343" s="3" t="s">
        <v>2024</v>
      </c>
      <c r="D1343" s="3" t="s">
        <v>2044</v>
      </c>
      <c r="E1343" s="3" t="s">
        <v>2055</v>
      </c>
      <c r="F1343" s="3" t="s">
        <v>2060</v>
      </c>
      <c r="G1343" s="3">
        <v>4</v>
      </c>
      <c r="H1343" s="3">
        <v>180</v>
      </c>
      <c r="I1343" s="3">
        <v>243</v>
      </c>
      <c r="J1343" s="3">
        <v>8.77</v>
      </c>
      <c r="K1343" s="3">
        <v>886.74</v>
      </c>
      <c r="L1343" s="3">
        <v>166.74</v>
      </c>
      <c r="M1343" s="3">
        <f t="shared" si="101"/>
        <v>8524.4399999999987</v>
      </c>
      <c r="N1343" s="3">
        <f t="shared" si="102"/>
        <v>720</v>
      </c>
      <c r="O1343" s="3">
        <f t="shared" si="103"/>
        <v>18.803707964002978</v>
      </c>
      <c r="P1343" s="3" t="str">
        <f t="shared" si="104"/>
        <v>Aug</v>
      </c>
      <c r="Q1343" s="3" t="str">
        <f t="shared" si="100"/>
        <v>good profit</v>
      </c>
    </row>
    <row r="1344" spans="1:17" x14ac:dyDescent="0.25">
      <c r="A1344" s="3" t="s">
        <v>234</v>
      </c>
      <c r="B1344" s="4">
        <v>45899</v>
      </c>
      <c r="C1344" s="3" t="s">
        <v>2023</v>
      </c>
      <c r="D1344" s="3" t="s">
        <v>2043</v>
      </c>
      <c r="E1344" s="3" t="s">
        <v>2053</v>
      </c>
      <c r="F1344" s="3" t="s">
        <v>2061</v>
      </c>
      <c r="G1344" s="3">
        <v>9</v>
      </c>
      <c r="H1344" s="3">
        <v>550</v>
      </c>
      <c r="I1344" s="3">
        <v>742.5</v>
      </c>
      <c r="J1344" s="3">
        <v>10.54</v>
      </c>
      <c r="K1344" s="3">
        <v>5978.23</v>
      </c>
      <c r="L1344" s="3">
        <v>1028.23</v>
      </c>
      <c r="M1344" s="3">
        <f t="shared" si="101"/>
        <v>70433.549999999988</v>
      </c>
      <c r="N1344" s="3">
        <f t="shared" si="102"/>
        <v>4950</v>
      </c>
      <c r="O1344" s="3">
        <f t="shared" si="103"/>
        <v>17.199572448701371</v>
      </c>
      <c r="P1344" s="3" t="str">
        <f t="shared" si="104"/>
        <v>Aug</v>
      </c>
      <c r="Q1344" s="3" t="str">
        <f t="shared" si="100"/>
        <v>good profit</v>
      </c>
    </row>
    <row r="1345" spans="1:17" x14ac:dyDescent="0.25">
      <c r="A1345" s="3" t="s">
        <v>1227</v>
      </c>
      <c r="B1345" s="4">
        <v>45899</v>
      </c>
      <c r="C1345" s="3" t="s">
        <v>2027</v>
      </c>
      <c r="D1345" s="3" t="s">
        <v>2047</v>
      </c>
      <c r="E1345" s="3" t="s">
        <v>2053</v>
      </c>
      <c r="F1345" s="3" t="s">
        <v>2059</v>
      </c>
      <c r="G1345" s="3">
        <v>1</v>
      </c>
      <c r="H1345" s="3">
        <v>1100</v>
      </c>
      <c r="I1345" s="3">
        <v>1298</v>
      </c>
      <c r="J1345" s="3">
        <v>0.52</v>
      </c>
      <c r="K1345" s="3">
        <v>1291.26</v>
      </c>
      <c r="L1345" s="3">
        <v>191.26</v>
      </c>
      <c r="M1345" s="3">
        <f t="shared" si="101"/>
        <v>674.96</v>
      </c>
      <c r="N1345" s="3">
        <f t="shared" si="102"/>
        <v>1100</v>
      </c>
      <c r="O1345" s="3">
        <f t="shared" si="103"/>
        <v>14.811889162523425</v>
      </c>
      <c r="P1345" s="3" t="str">
        <f t="shared" si="104"/>
        <v>Aug</v>
      </c>
      <c r="Q1345" s="3" t="str">
        <f t="shared" si="100"/>
        <v>good profit</v>
      </c>
    </row>
    <row r="1346" spans="1:17" x14ac:dyDescent="0.25">
      <c r="A1346" s="3" t="s">
        <v>1613</v>
      </c>
      <c r="B1346" s="4">
        <v>45899</v>
      </c>
      <c r="C1346" s="3" t="s">
        <v>2028</v>
      </c>
      <c r="D1346" s="3" t="s">
        <v>2048</v>
      </c>
      <c r="E1346" s="3" t="s">
        <v>2057</v>
      </c>
      <c r="F1346" s="3" t="s">
        <v>2061</v>
      </c>
      <c r="G1346" s="3">
        <v>3</v>
      </c>
      <c r="H1346" s="3">
        <v>80</v>
      </c>
      <c r="I1346" s="3">
        <v>116</v>
      </c>
      <c r="J1346" s="3">
        <v>0</v>
      </c>
      <c r="K1346" s="3">
        <v>348</v>
      </c>
      <c r="L1346" s="3">
        <v>108</v>
      </c>
      <c r="M1346" s="3">
        <f t="shared" si="101"/>
        <v>0</v>
      </c>
      <c r="N1346" s="3">
        <f t="shared" si="102"/>
        <v>240</v>
      </c>
      <c r="O1346" s="3">
        <f t="shared" si="103"/>
        <v>31.03448275862069</v>
      </c>
      <c r="P1346" s="3" t="str">
        <f t="shared" si="104"/>
        <v>Aug</v>
      </c>
      <c r="Q1346" s="3" t="str">
        <f t="shared" ref="Q1346:Q1409" si="105">IF(L1346&lt;0,"loss",IF(O1346&lt;10,"low profit","good profit"))</f>
        <v>good profit</v>
      </c>
    </row>
    <row r="1347" spans="1:17" x14ac:dyDescent="0.25">
      <c r="A1347" s="3" t="s">
        <v>1698</v>
      </c>
      <c r="B1347" s="4">
        <v>45899</v>
      </c>
      <c r="C1347" s="3" t="s">
        <v>2027</v>
      </c>
      <c r="D1347" s="3" t="s">
        <v>2047</v>
      </c>
      <c r="E1347" s="3" t="s">
        <v>2053</v>
      </c>
      <c r="F1347" s="3" t="s">
        <v>2062</v>
      </c>
      <c r="G1347" s="3">
        <v>6</v>
      </c>
      <c r="H1347" s="3">
        <v>1100</v>
      </c>
      <c r="I1347" s="3">
        <v>1298</v>
      </c>
      <c r="J1347" s="3">
        <v>11.03</v>
      </c>
      <c r="K1347" s="3">
        <v>6929.06</v>
      </c>
      <c r="L1347" s="3">
        <v>329.06</v>
      </c>
      <c r="M1347" s="3">
        <f t="shared" ref="M1347:M1410" si="106">G1347*I1347*J1347</f>
        <v>85901.64</v>
      </c>
      <c r="N1347" s="3">
        <f t="shared" ref="N1347:N1410" si="107">G1347*H1347</f>
        <v>6600</v>
      </c>
      <c r="O1347" s="3">
        <f t="shared" ref="O1347:O1410" si="108">IFERROR(L1347/K1347*100,0)</f>
        <v>4.7489847107688483</v>
      </c>
      <c r="P1347" s="3" t="str">
        <f t="shared" ref="P1347:P1410" si="109">TEXT(B1347,"mmm")</f>
        <v>Aug</v>
      </c>
      <c r="Q1347" s="3" t="str">
        <f t="shared" si="105"/>
        <v>low profit</v>
      </c>
    </row>
    <row r="1348" spans="1:17" x14ac:dyDescent="0.25">
      <c r="A1348" s="3" t="s">
        <v>1794</v>
      </c>
      <c r="B1348" s="4">
        <v>45899</v>
      </c>
      <c r="C1348" s="3" t="s">
        <v>2023</v>
      </c>
      <c r="D1348" s="3" t="s">
        <v>2043</v>
      </c>
      <c r="E1348" s="3" t="s">
        <v>2053</v>
      </c>
      <c r="F1348" s="3" t="s">
        <v>2061</v>
      </c>
      <c r="G1348" s="3">
        <v>8</v>
      </c>
      <c r="H1348" s="3">
        <v>550</v>
      </c>
      <c r="I1348" s="3">
        <v>742.5</v>
      </c>
      <c r="J1348" s="3">
        <v>1.35</v>
      </c>
      <c r="K1348" s="3">
        <v>5859.63</v>
      </c>
      <c r="L1348" s="3">
        <v>1459.63</v>
      </c>
      <c r="M1348" s="3">
        <f t="shared" si="106"/>
        <v>8019.0000000000009</v>
      </c>
      <c r="N1348" s="3">
        <f t="shared" si="107"/>
        <v>4400</v>
      </c>
      <c r="O1348" s="3">
        <f t="shared" si="108"/>
        <v>24.909934586313472</v>
      </c>
      <c r="P1348" s="3" t="str">
        <f t="shared" si="109"/>
        <v>Aug</v>
      </c>
      <c r="Q1348" s="3" t="str">
        <f t="shared" si="105"/>
        <v>good profit</v>
      </c>
    </row>
    <row r="1349" spans="1:17" x14ac:dyDescent="0.25">
      <c r="A1349" s="3" t="s">
        <v>410</v>
      </c>
      <c r="B1349" s="4">
        <v>45900</v>
      </c>
      <c r="C1349" s="3" t="s">
        <v>2018</v>
      </c>
      <c r="D1349" s="3" t="s">
        <v>2038</v>
      </c>
      <c r="E1349" s="3" t="s">
        <v>2053</v>
      </c>
      <c r="F1349" s="3" t="s">
        <v>2062</v>
      </c>
      <c r="G1349" s="3">
        <v>3</v>
      </c>
      <c r="H1349" s="3">
        <v>500</v>
      </c>
      <c r="I1349" s="3">
        <v>610</v>
      </c>
      <c r="J1349" s="3">
        <v>7.41</v>
      </c>
      <c r="K1349" s="3">
        <v>1694.46</v>
      </c>
      <c r="L1349" s="3">
        <v>194.46</v>
      </c>
      <c r="M1349" s="3">
        <f t="shared" si="106"/>
        <v>13560.300000000001</v>
      </c>
      <c r="N1349" s="3">
        <f t="shared" si="107"/>
        <v>1500</v>
      </c>
      <c r="O1349" s="3">
        <f t="shared" si="108"/>
        <v>11.476222513367091</v>
      </c>
      <c r="P1349" s="3" t="str">
        <f t="shared" si="109"/>
        <v>Aug</v>
      </c>
      <c r="Q1349" s="3" t="str">
        <f t="shared" si="105"/>
        <v>good profit</v>
      </c>
    </row>
    <row r="1350" spans="1:17" x14ac:dyDescent="0.25">
      <c r="A1350" s="3" t="s">
        <v>637</v>
      </c>
      <c r="B1350" s="4">
        <v>45900</v>
      </c>
      <c r="C1350" s="3" t="s">
        <v>2027</v>
      </c>
      <c r="D1350" s="3" t="s">
        <v>2047</v>
      </c>
      <c r="E1350" s="3" t="s">
        <v>2053</v>
      </c>
      <c r="F1350" s="3" t="s">
        <v>2061</v>
      </c>
      <c r="G1350" s="3">
        <v>7</v>
      </c>
      <c r="H1350" s="3">
        <v>1100</v>
      </c>
      <c r="I1350" s="3">
        <v>1298</v>
      </c>
      <c r="J1350" s="3">
        <v>3.11</v>
      </c>
      <c r="K1350" s="3">
        <v>8803.39</v>
      </c>
      <c r="L1350" s="3">
        <v>1103.3900000000001</v>
      </c>
      <c r="M1350" s="3">
        <f t="shared" si="106"/>
        <v>28257.46</v>
      </c>
      <c r="N1350" s="3">
        <f t="shared" si="107"/>
        <v>7700</v>
      </c>
      <c r="O1350" s="3">
        <f t="shared" si="108"/>
        <v>12.53369440635937</v>
      </c>
      <c r="P1350" s="3" t="str">
        <f t="shared" si="109"/>
        <v>Aug</v>
      </c>
      <c r="Q1350" s="3" t="str">
        <f t="shared" si="105"/>
        <v>good profit</v>
      </c>
    </row>
    <row r="1351" spans="1:17" x14ac:dyDescent="0.25">
      <c r="A1351" s="3" t="s">
        <v>1019</v>
      </c>
      <c r="B1351" s="4">
        <v>45900</v>
      </c>
      <c r="C1351" s="3" t="s">
        <v>2012</v>
      </c>
      <c r="D1351" s="3" t="s">
        <v>2032</v>
      </c>
      <c r="E1351" s="3" t="s">
        <v>2052</v>
      </c>
      <c r="F1351" s="3" t="s">
        <v>2059</v>
      </c>
      <c r="G1351" s="3">
        <v>5</v>
      </c>
      <c r="H1351" s="3">
        <v>6500</v>
      </c>
      <c r="I1351" s="3">
        <v>8125</v>
      </c>
      <c r="J1351" s="3">
        <v>14.31</v>
      </c>
      <c r="K1351" s="3">
        <v>34811.22</v>
      </c>
      <c r="L1351" s="3">
        <v>2311.2199999999998</v>
      </c>
      <c r="M1351" s="3">
        <f t="shared" si="106"/>
        <v>581343.75</v>
      </c>
      <c r="N1351" s="3">
        <f t="shared" si="107"/>
        <v>32500</v>
      </c>
      <c r="O1351" s="3">
        <f t="shared" si="108"/>
        <v>6.6392961809439601</v>
      </c>
      <c r="P1351" s="3" t="str">
        <f t="shared" si="109"/>
        <v>Aug</v>
      </c>
      <c r="Q1351" s="3" t="str">
        <f t="shared" si="105"/>
        <v>low profit</v>
      </c>
    </row>
    <row r="1352" spans="1:17" x14ac:dyDescent="0.25">
      <c r="A1352" s="3" t="s">
        <v>76</v>
      </c>
      <c r="B1352" s="4">
        <v>45901</v>
      </c>
      <c r="C1352" s="3" t="s">
        <v>2016</v>
      </c>
      <c r="D1352" s="3" t="s">
        <v>2036</v>
      </c>
      <c r="E1352" s="3" t="s">
        <v>2052</v>
      </c>
      <c r="F1352" s="3" t="s">
        <v>2061</v>
      </c>
      <c r="G1352" s="3">
        <v>1</v>
      </c>
      <c r="H1352" s="3">
        <v>900</v>
      </c>
      <c r="I1352" s="3">
        <v>1170</v>
      </c>
      <c r="J1352" s="3">
        <v>11.79</v>
      </c>
      <c r="K1352" s="3">
        <v>1032.08</v>
      </c>
      <c r="L1352" s="3">
        <v>132.08000000000001</v>
      </c>
      <c r="M1352" s="3">
        <f t="shared" si="106"/>
        <v>13794.3</v>
      </c>
      <c r="N1352" s="3">
        <f t="shared" si="107"/>
        <v>900</v>
      </c>
      <c r="O1352" s="3">
        <f t="shared" si="108"/>
        <v>12.797457561429349</v>
      </c>
      <c r="P1352" s="3" t="str">
        <f t="shared" si="109"/>
        <v>Sep</v>
      </c>
      <c r="Q1352" s="3" t="str">
        <f t="shared" si="105"/>
        <v>good profit</v>
      </c>
    </row>
    <row r="1353" spans="1:17" x14ac:dyDescent="0.25">
      <c r="A1353" s="3" t="s">
        <v>1546</v>
      </c>
      <c r="B1353" s="4">
        <v>45901</v>
      </c>
      <c r="C1353" s="3" t="s">
        <v>2029</v>
      </c>
      <c r="D1353" s="3" t="s">
        <v>2049</v>
      </c>
      <c r="E1353" s="3" t="s">
        <v>2055</v>
      </c>
      <c r="F1353" s="3" t="s">
        <v>2062</v>
      </c>
      <c r="G1353" s="3">
        <v>6</v>
      </c>
      <c r="H1353" s="3">
        <v>1200</v>
      </c>
      <c r="I1353" s="3">
        <v>1464</v>
      </c>
      <c r="J1353" s="3">
        <v>18.78</v>
      </c>
      <c r="K1353" s="3">
        <v>7134.62</v>
      </c>
      <c r="L1353" s="3">
        <v>-65.38</v>
      </c>
      <c r="M1353" s="3">
        <f t="shared" si="106"/>
        <v>164963.52000000002</v>
      </c>
      <c r="N1353" s="3">
        <f t="shared" si="107"/>
        <v>7200</v>
      </c>
      <c r="O1353" s="3">
        <f t="shared" si="108"/>
        <v>-0.91637676568618931</v>
      </c>
      <c r="P1353" s="3" t="str">
        <f t="shared" si="109"/>
        <v>Sep</v>
      </c>
      <c r="Q1353" s="3" t="str">
        <f t="shared" si="105"/>
        <v>loss</v>
      </c>
    </row>
    <row r="1354" spans="1:17" x14ac:dyDescent="0.25">
      <c r="A1354" s="3" t="s">
        <v>510</v>
      </c>
      <c r="B1354" s="4">
        <v>45902</v>
      </c>
      <c r="C1354" s="3" t="s">
        <v>2015</v>
      </c>
      <c r="D1354" s="3" t="s">
        <v>2035</v>
      </c>
      <c r="E1354" s="3" t="s">
        <v>2054</v>
      </c>
      <c r="F1354" s="3" t="s">
        <v>2062</v>
      </c>
      <c r="G1354" s="3">
        <v>5</v>
      </c>
      <c r="H1354" s="3">
        <v>900</v>
      </c>
      <c r="I1354" s="3">
        <v>1170</v>
      </c>
      <c r="J1354" s="3">
        <v>7.54</v>
      </c>
      <c r="K1354" s="3">
        <v>5408.69</v>
      </c>
      <c r="L1354" s="3">
        <v>908.69</v>
      </c>
      <c r="M1354" s="3">
        <f t="shared" si="106"/>
        <v>44109</v>
      </c>
      <c r="N1354" s="3">
        <f t="shared" si="107"/>
        <v>4500</v>
      </c>
      <c r="O1354" s="3">
        <f t="shared" si="108"/>
        <v>16.80055614206028</v>
      </c>
      <c r="P1354" s="3" t="str">
        <f t="shared" si="109"/>
        <v>Sep</v>
      </c>
      <c r="Q1354" s="3" t="str">
        <f t="shared" si="105"/>
        <v>good profit</v>
      </c>
    </row>
    <row r="1355" spans="1:17" x14ac:dyDescent="0.25">
      <c r="A1355" s="3" t="s">
        <v>957</v>
      </c>
      <c r="B1355" s="4">
        <v>45902</v>
      </c>
      <c r="C1355" s="3" t="s">
        <v>2027</v>
      </c>
      <c r="D1355" s="3" t="s">
        <v>2047</v>
      </c>
      <c r="E1355" s="3" t="s">
        <v>2053</v>
      </c>
      <c r="F1355" s="3" t="s">
        <v>2061</v>
      </c>
      <c r="G1355" s="3">
        <v>10</v>
      </c>
      <c r="H1355" s="3">
        <v>1100</v>
      </c>
      <c r="I1355" s="3">
        <v>1298</v>
      </c>
      <c r="J1355" s="3">
        <v>10.91</v>
      </c>
      <c r="K1355" s="3">
        <v>11563.64</v>
      </c>
      <c r="L1355" s="3">
        <v>563.64</v>
      </c>
      <c r="M1355" s="3">
        <f t="shared" si="106"/>
        <v>141611.79999999999</v>
      </c>
      <c r="N1355" s="3">
        <f t="shared" si="107"/>
        <v>11000</v>
      </c>
      <c r="O1355" s="3">
        <f t="shared" si="108"/>
        <v>4.8742437502378149</v>
      </c>
      <c r="P1355" s="3" t="str">
        <f t="shared" si="109"/>
        <v>Sep</v>
      </c>
      <c r="Q1355" s="3" t="str">
        <f t="shared" si="105"/>
        <v>low profit</v>
      </c>
    </row>
    <row r="1356" spans="1:17" x14ac:dyDescent="0.25">
      <c r="A1356" s="3" t="s">
        <v>1125</v>
      </c>
      <c r="B1356" s="4">
        <v>45902</v>
      </c>
      <c r="C1356" s="3" t="s">
        <v>2029</v>
      </c>
      <c r="D1356" s="3" t="s">
        <v>2049</v>
      </c>
      <c r="E1356" s="3" t="s">
        <v>2055</v>
      </c>
      <c r="F1356" s="3" t="s">
        <v>2059</v>
      </c>
      <c r="G1356" s="3">
        <v>6</v>
      </c>
      <c r="H1356" s="3">
        <v>1200</v>
      </c>
      <c r="I1356" s="3">
        <v>1464</v>
      </c>
      <c r="J1356" s="3">
        <v>3.27</v>
      </c>
      <c r="K1356" s="3">
        <v>8496.81</v>
      </c>
      <c r="L1356" s="3">
        <v>1296.81</v>
      </c>
      <c r="M1356" s="3">
        <f t="shared" si="106"/>
        <v>28723.68</v>
      </c>
      <c r="N1356" s="3">
        <f t="shared" si="107"/>
        <v>7200</v>
      </c>
      <c r="O1356" s="3">
        <f t="shared" si="108"/>
        <v>15.262316092745396</v>
      </c>
      <c r="P1356" s="3" t="str">
        <f t="shared" si="109"/>
        <v>Sep</v>
      </c>
      <c r="Q1356" s="3" t="str">
        <f t="shared" si="105"/>
        <v>good profit</v>
      </c>
    </row>
    <row r="1357" spans="1:17" x14ac:dyDescent="0.25">
      <c r="A1357" s="3" t="s">
        <v>1683</v>
      </c>
      <c r="B1357" s="4">
        <v>45902</v>
      </c>
      <c r="C1357" s="3" t="s">
        <v>2027</v>
      </c>
      <c r="D1357" s="3" t="s">
        <v>2047</v>
      </c>
      <c r="E1357" s="3" t="s">
        <v>2053</v>
      </c>
      <c r="F1357" s="3" t="s">
        <v>2061</v>
      </c>
      <c r="G1357" s="3">
        <v>6</v>
      </c>
      <c r="H1357" s="3">
        <v>1100</v>
      </c>
      <c r="I1357" s="3">
        <v>1298</v>
      </c>
      <c r="J1357" s="3">
        <v>7.7</v>
      </c>
      <c r="K1357" s="3">
        <v>7187.98</v>
      </c>
      <c r="L1357" s="3">
        <v>587.98</v>
      </c>
      <c r="M1357" s="3">
        <f t="shared" si="106"/>
        <v>59967.6</v>
      </c>
      <c r="N1357" s="3">
        <f t="shared" si="107"/>
        <v>6600</v>
      </c>
      <c r="O1357" s="3">
        <f t="shared" si="108"/>
        <v>8.1800450196021703</v>
      </c>
      <c r="P1357" s="3" t="str">
        <f t="shared" si="109"/>
        <v>Sep</v>
      </c>
      <c r="Q1357" s="3" t="str">
        <f t="shared" si="105"/>
        <v>low profit</v>
      </c>
    </row>
    <row r="1358" spans="1:17" x14ac:dyDescent="0.25">
      <c r="A1358" s="3" t="s">
        <v>1913</v>
      </c>
      <c r="B1358" s="4">
        <v>45902</v>
      </c>
      <c r="C1358" s="3" t="s">
        <v>2018</v>
      </c>
      <c r="D1358" s="3" t="s">
        <v>2038</v>
      </c>
      <c r="E1358" s="3" t="s">
        <v>2053</v>
      </c>
      <c r="F1358" s="3" t="s">
        <v>2061</v>
      </c>
      <c r="G1358" s="3">
        <v>6</v>
      </c>
      <c r="H1358" s="3">
        <v>500</v>
      </c>
      <c r="I1358" s="3">
        <v>610</v>
      </c>
      <c r="J1358" s="3">
        <v>21.12</v>
      </c>
      <c r="K1358" s="3">
        <v>2887.14</v>
      </c>
      <c r="L1358" s="3">
        <v>-112.86</v>
      </c>
      <c r="M1358" s="3">
        <f t="shared" si="106"/>
        <v>77299.199999999997</v>
      </c>
      <c r="N1358" s="3">
        <f t="shared" si="107"/>
        <v>3000</v>
      </c>
      <c r="O1358" s="3">
        <f t="shared" si="108"/>
        <v>-3.9090587917454642</v>
      </c>
      <c r="P1358" s="3" t="str">
        <f t="shared" si="109"/>
        <v>Sep</v>
      </c>
      <c r="Q1358" s="3" t="str">
        <f t="shared" si="105"/>
        <v>loss</v>
      </c>
    </row>
    <row r="1359" spans="1:17" x14ac:dyDescent="0.25">
      <c r="A1359" s="3" t="s">
        <v>186</v>
      </c>
      <c r="B1359" s="4">
        <v>45903</v>
      </c>
      <c r="C1359" s="3" t="s">
        <v>2027</v>
      </c>
      <c r="D1359" s="3" t="s">
        <v>2047</v>
      </c>
      <c r="E1359" s="3" t="s">
        <v>2053</v>
      </c>
      <c r="F1359" s="3" t="s">
        <v>2061</v>
      </c>
      <c r="G1359" s="3">
        <v>1</v>
      </c>
      <c r="H1359" s="3">
        <v>1100</v>
      </c>
      <c r="I1359" s="3">
        <v>1298</v>
      </c>
      <c r="J1359" s="3">
        <v>3.22</v>
      </c>
      <c r="K1359" s="3">
        <v>1256.18</v>
      </c>
      <c r="L1359" s="3">
        <v>156.18</v>
      </c>
      <c r="M1359" s="3">
        <f t="shared" si="106"/>
        <v>4179.5600000000004</v>
      </c>
      <c r="N1359" s="3">
        <f t="shared" si="107"/>
        <v>1100</v>
      </c>
      <c r="O1359" s="3">
        <f t="shared" si="108"/>
        <v>12.432931586237641</v>
      </c>
      <c r="P1359" s="3" t="str">
        <f t="shared" si="109"/>
        <v>Sep</v>
      </c>
      <c r="Q1359" s="3" t="str">
        <f t="shared" si="105"/>
        <v>good profit</v>
      </c>
    </row>
    <row r="1360" spans="1:17" x14ac:dyDescent="0.25">
      <c r="A1360" s="3" t="s">
        <v>704</v>
      </c>
      <c r="B1360" s="4">
        <v>45903</v>
      </c>
      <c r="C1360" s="3" t="s">
        <v>2015</v>
      </c>
      <c r="D1360" s="3" t="s">
        <v>2035</v>
      </c>
      <c r="E1360" s="3" t="s">
        <v>2054</v>
      </c>
      <c r="F1360" s="3" t="s">
        <v>2060</v>
      </c>
      <c r="G1360" s="3">
        <v>9</v>
      </c>
      <c r="H1360" s="3">
        <v>900</v>
      </c>
      <c r="I1360" s="3">
        <v>1170</v>
      </c>
      <c r="J1360" s="3">
        <v>7.98</v>
      </c>
      <c r="K1360" s="3">
        <v>9690.19</v>
      </c>
      <c r="L1360" s="3">
        <v>1590.19</v>
      </c>
      <c r="M1360" s="3">
        <f t="shared" si="106"/>
        <v>84029.400000000009</v>
      </c>
      <c r="N1360" s="3">
        <f t="shared" si="107"/>
        <v>8100</v>
      </c>
      <c r="O1360" s="3">
        <f t="shared" si="108"/>
        <v>16.410307744223797</v>
      </c>
      <c r="P1360" s="3" t="str">
        <f t="shared" si="109"/>
        <v>Sep</v>
      </c>
      <c r="Q1360" s="3" t="str">
        <f t="shared" si="105"/>
        <v>good profit</v>
      </c>
    </row>
    <row r="1361" spans="1:17" x14ac:dyDescent="0.25">
      <c r="A1361" s="3" t="s">
        <v>1200</v>
      </c>
      <c r="B1361" s="4">
        <v>45903</v>
      </c>
      <c r="C1361" s="3" t="s">
        <v>2015</v>
      </c>
      <c r="D1361" s="3" t="s">
        <v>2035</v>
      </c>
      <c r="E1361" s="3" t="s">
        <v>2054</v>
      </c>
      <c r="F1361" s="3" t="s">
        <v>2060</v>
      </c>
      <c r="G1361" s="3">
        <v>2</v>
      </c>
      <c r="H1361" s="3">
        <v>900</v>
      </c>
      <c r="I1361" s="3">
        <v>1170</v>
      </c>
      <c r="J1361" s="3">
        <v>17.25</v>
      </c>
      <c r="K1361" s="3">
        <v>1936.35</v>
      </c>
      <c r="L1361" s="3">
        <v>136.35</v>
      </c>
      <c r="M1361" s="3">
        <f t="shared" si="106"/>
        <v>40365</v>
      </c>
      <c r="N1361" s="3">
        <f t="shared" si="107"/>
        <v>1800</v>
      </c>
      <c r="O1361" s="3">
        <f t="shared" si="108"/>
        <v>7.0415988844991864</v>
      </c>
      <c r="P1361" s="3" t="str">
        <f t="shared" si="109"/>
        <v>Sep</v>
      </c>
      <c r="Q1361" s="3" t="str">
        <f t="shared" si="105"/>
        <v>low profit</v>
      </c>
    </row>
    <row r="1362" spans="1:17" x14ac:dyDescent="0.25">
      <c r="A1362" s="3" t="s">
        <v>1202</v>
      </c>
      <c r="B1362" s="4">
        <v>45903</v>
      </c>
      <c r="C1362" s="3" t="s">
        <v>2025</v>
      </c>
      <c r="D1362" s="3" t="s">
        <v>2045</v>
      </c>
      <c r="E1362" s="3" t="s">
        <v>2057</v>
      </c>
      <c r="F1362" s="3" t="s">
        <v>2061</v>
      </c>
      <c r="G1362" s="3">
        <v>4</v>
      </c>
      <c r="H1362" s="3">
        <v>45</v>
      </c>
      <c r="I1362" s="3">
        <v>63</v>
      </c>
      <c r="J1362" s="3">
        <v>14.96</v>
      </c>
      <c r="K1362" s="3">
        <v>214.31</v>
      </c>
      <c r="L1362" s="3">
        <v>34.31</v>
      </c>
      <c r="M1362" s="3">
        <f t="shared" si="106"/>
        <v>3769.92</v>
      </c>
      <c r="N1362" s="3">
        <f t="shared" si="107"/>
        <v>180</v>
      </c>
      <c r="O1362" s="3">
        <f t="shared" si="108"/>
        <v>16.009518921188935</v>
      </c>
      <c r="P1362" s="3" t="str">
        <f t="shared" si="109"/>
        <v>Sep</v>
      </c>
      <c r="Q1362" s="3" t="str">
        <f t="shared" si="105"/>
        <v>good profit</v>
      </c>
    </row>
    <row r="1363" spans="1:17" x14ac:dyDescent="0.25">
      <c r="A1363" s="3" t="s">
        <v>240</v>
      </c>
      <c r="B1363" s="4">
        <v>45904</v>
      </c>
      <c r="C1363" s="3" t="s">
        <v>2028</v>
      </c>
      <c r="D1363" s="3" t="s">
        <v>2048</v>
      </c>
      <c r="E1363" s="3" t="s">
        <v>2057</v>
      </c>
      <c r="F1363" s="3" t="s">
        <v>2062</v>
      </c>
      <c r="G1363" s="3">
        <v>7</v>
      </c>
      <c r="H1363" s="3">
        <v>80</v>
      </c>
      <c r="I1363" s="3">
        <v>116</v>
      </c>
      <c r="J1363" s="3">
        <v>10.3</v>
      </c>
      <c r="K1363" s="3">
        <v>728.39</v>
      </c>
      <c r="L1363" s="3">
        <v>168.39</v>
      </c>
      <c r="M1363" s="3">
        <f t="shared" si="106"/>
        <v>8363.6</v>
      </c>
      <c r="N1363" s="3">
        <f t="shared" si="107"/>
        <v>560</v>
      </c>
      <c r="O1363" s="3">
        <f t="shared" si="108"/>
        <v>23.118109803813887</v>
      </c>
      <c r="P1363" s="3" t="str">
        <f t="shared" si="109"/>
        <v>Sep</v>
      </c>
      <c r="Q1363" s="3" t="str">
        <f t="shared" si="105"/>
        <v>good profit</v>
      </c>
    </row>
    <row r="1364" spans="1:17" x14ac:dyDescent="0.25">
      <c r="A1364" s="3" t="s">
        <v>722</v>
      </c>
      <c r="B1364" s="4">
        <v>45904</v>
      </c>
      <c r="C1364" s="3" t="s">
        <v>2022</v>
      </c>
      <c r="D1364" s="3" t="s">
        <v>2042</v>
      </c>
      <c r="E1364" s="3" t="s">
        <v>2053</v>
      </c>
      <c r="F1364" s="3" t="s">
        <v>2059</v>
      </c>
      <c r="G1364" s="3">
        <v>1</v>
      </c>
      <c r="H1364" s="3">
        <v>8500</v>
      </c>
      <c r="I1364" s="3">
        <v>9520</v>
      </c>
      <c r="J1364" s="3">
        <v>14.28</v>
      </c>
      <c r="K1364" s="3">
        <v>8160.98</v>
      </c>
      <c r="L1364" s="3">
        <v>-339.02</v>
      </c>
      <c r="M1364" s="3">
        <f t="shared" si="106"/>
        <v>135945.60000000001</v>
      </c>
      <c r="N1364" s="3">
        <f t="shared" si="107"/>
        <v>8500</v>
      </c>
      <c r="O1364" s="3">
        <f t="shared" si="108"/>
        <v>-4.1541579565199278</v>
      </c>
      <c r="P1364" s="3" t="str">
        <f t="shared" si="109"/>
        <v>Sep</v>
      </c>
      <c r="Q1364" s="3" t="str">
        <f t="shared" si="105"/>
        <v>loss</v>
      </c>
    </row>
    <row r="1365" spans="1:17" x14ac:dyDescent="0.25">
      <c r="A1365" s="3" t="s">
        <v>781</v>
      </c>
      <c r="B1365" s="4">
        <v>45904</v>
      </c>
      <c r="C1365" s="3" t="s">
        <v>2014</v>
      </c>
      <c r="D1365" s="3" t="s">
        <v>2034</v>
      </c>
      <c r="E1365" s="3" t="s">
        <v>2052</v>
      </c>
      <c r="F1365" s="3" t="s">
        <v>2060</v>
      </c>
      <c r="G1365" s="3">
        <v>7</v>
      </c>
      <c r="H1365" s="3">
        <v>4500</v>
      </c>
      <c r="I1365" s="3">
        <v>5220</v>
      </c>
      <c r="J1365" s="3">
        <v>17.440000000000001</v>
      </c>
      <c r="K1365" s="3">
        <v>30168.74</v>
      </c>
      <c r="L1365" s="3">
        <v>-1331.26</v>
      </c>
      <c r="M1365" s="3">
        <f t="shared" si="106"/>
        <v>637257.60000000009</v>
      </c>
      <c r="N1365" s="3">
        <f t="shared" si="107"/>
        <v>31500</v>
      </c>
      <c r="O1365" s="3">
        <f t="shared" si="108"/>
        <v>-4.4127132919704302</v>
      </c>
      <c r="P1365" s="3" t="str">
        <f t="shared" si="109"/>
        <v>Sep</v>
      </c>
      <c r="Q1365" s="3" t="str">
        <f t="shared" si="105"/>
        <v>loss</v>
      </c>
    </row>
    <row r="1366" spans="1:17" x14ac:dyDescent="0.25">
      <c r="A1366" s="3" t="s">
        <v>1685</v>
      </c>
      <c r="B1366" s="4">
        <v>45904</v>
      </c>
      <c r="C1366" s="3" t="s">
        <v>2031</v>
      </c>
      <c r="D1366" s="3" t="s">
        <v>2051</v>
      </c>
      <c r="E1366" s="3" t="s">
        <v>2058</v>
      </c>
      <c r="F1366" s="3" t="s">
        <v>2060</v>
      </c>
      <c r="G1366" s="3">
        <v>2</v>
      </c>
      <c r="H1366" s="3">
        <v>3200</v>
      </c>
      <c r="I1366" s="3">
        <v>3840</v>
      </c>
      <c r="J1366" s="3">
        <v>7.85</v>
      </c>
      <c r="K1366" s="3">
        <v>7076.96</v>
      </c>
      <c r="L1366" s="3">
        <v>676.96</v>
      </c>
      <c r="M1366" s="3">
        <f t="shared" si="106"/>
        <v>60288</v>
      </c>
      <c r="N1366" s="3">
        <f t="shared" si="107"/>
        <v>6400</v>
      </c>
      <c r="O1366" s="3">
        <f t="shared" si="108"/>
        <v>9.5656892224910131</v>
      </c>
      <c r="P1366" s="3" t="str">
        <f t="shared" si="109"/>
        <v>Sep</v>
      </c>
      <c r="Q1366" s="3" t="str">
        <f t="shared" si="105"/>
        <v>low profit</v>
      </c>
    </row>
    <row r="1367" spans="1:17" x14ac:dyDescent="0.25">
      <c r="A1367" s="3" t="s">
        <v>1728</v>
      </c>
      <c r="B1367" s="4">
        <v>45904</v>
      </c>
      <c r="C1367" s="3" t="s">
        <v>2024</v>
      </c>
      <c r="D1367" s="3" t="s">
        <v>2044</v>
      </c>
      <c r="E1367" s="3" t="s">
        <v>2055</v>
      </c>
      <c r="F1367" s="3" t="s">
        <v>2060</v>
      </c>
      <c r="G1367" s="3">
        <v>7</v>
      </c>
      <c r="H1367" s="3">
        <v>180</v>
      </c>
      <c r="I1367" s="3">
        <v>243</v>
      </c>
      <c r="J1367" s="3">
        <v>20.84</v>
      </c>
      <c r="K1367" s="3">
        <v>1346.58</v>
      </c>
      <c r="L1367" s="3">
        <v>86.58</v>
      </c>
      <c r="M1367" s="3">
        <f t="shared" si="106"/>
        <v>35448.839999999997</v>
      </c>
      <c r="N1367" s="3">
        <f t="shared" si="107"/>
        <v>1260</v>
      </c>
      <c r="O1367" s="3">
        <f t="shared" si="108"/>
        <v>6.4296217083277636</v>
      </c>
      <c r="P1367" s="3" t="str">
        <f t="shared" si="109"/>
        <v>Sep</v>
      </c>
      <c r="Q1367" s="3" t="str">
        <f t="shared" si="105"/>
        <v>low profit</v>
      </c>
    </row>
    <row r="1368" spans="1:17" x14ac:dyDescent="0.25">
      <c r="A1368" s="3" t="s">
        <v>1938</v>
      </c>
      <c r="B1368" s="4">
        <v>45904</v>
      </c>
      <c r="C1368" s="3" t="s">
        <v>2018</v>
      </c>
      <c r="D1368" s="3" t="s">
        <v>2038</v>
      </c>
      <c r="E1368" s="3" t="s">
        <v>2053</v>
      </c>
      <c r="F1368" s="3" t="s">
        <v>2062</v>
      </c>
      <c r="G1368" s="3">
        <v>9</v>
      </c>
      <c r="H1368" s="3">
        <v>500</v>
      </c>
      <c r="I1368" s="3">
        <v>610</v>
      </c>
      <c r="J1368" s="3">
        <v>4.5</v>
      </c>
      <c r="K1368" s="3">
        <v>5242.75</v>
      </c>
      <c r="L1368" s="3">
        <v>742.75</v>
      </c>
      <c r="M1368" s="3">
        <f t="shared" si="106"/>
        <v>24705</v>
      </c>
      <c r="N1368" s="3">
        <f t="shared" si="107"/>
        <v>4500</v>
      </c>
      <c r="O1368" s="3">
        <f t="shared" si="108"/>
        <v>14.167183253063756</v>
      </c>
      <c r="P1368" s="3" t="str">
        <f t="shared" si="109"/>
        <v>Sep</v>
      </c>
      <c r="Q1368" s="3" t="str">
        <f t="shared" si="105"/>
        <v>good profit</v>
      </c>
    </row>
    <row r="1369" spans="1:17" x14ac:dyDescent="0.25">
      <c r="A1369" s="3" t="s">
        <v>41</v>
      </c>
      <c r="B1369" s="4">
        <v>45905</v>
      </c>
      <c r="C1369" s="3" t="s">
        <v>2017</v>
      </c>
      <c r="D1369" s="3" t="s">
        <v>2037</v>
      </c>
      <c r="E1369" s="3" t="s">
        <v>2055</v>
      </c>
      <c r="F1369" s="3" t="s">
        <v>2059</v>
      </c>
      <c r="G1369" s="3">
        <v>4</v>
      </c>
      <c r="H1369" s="3">
        <v>2500</v>
      </c>
      <c r="I1369" s="3">
        <v>2875</v>
      </c>
      <c r="J1369" s="3">
        <v>14.41</v>
      </c>
      <c r="K1369" s="3">
        <v>9842.5300000000007</v>
      </c>
      <c r="L1369" s="3">
        <v>-157.47</v>
      </c>
      <c r="M1369" s="3">
        <f t="shared" si="106"/>
        <v>165715</v>
      </c>
      <c r="N1369" s="3">
        <f t="shared" si="107"/>
        <v>10000</v>
      </c>
      <c r="O1369" s="3">
        <f t="shared" si="108"/>
        <v>-1.5998935233115876</v>
      </c>
      <c r="P1369" s="3" t="str">
        <f t="shared" si="109"/>
        <v>Sep</v>
      </c>
      <c r="Q1369" s="3" t="str">
        <f t="shared" si="105"/>
        <v>loss</v>
      </c>
    </row>
    <row r="1370" spans="1:17" x14ac:dyDescent="0.25">
      <c r="A1370" s="3" t="s">
        <v>575</v>
      </c>
      <c r="B1370" s="4">
        <v>45905</v>
      </c>
      <c r="C1370" s="3" t="s">
        <v>2014</v>
      </c>
      <c r="D1370" s="3" t="s">
        <v>2034</v>
      </c>
      <c r="E1370" s="3" t="s">
        <v>2052</v>
      </c>
      <c r="F1370" s="3" t="s">
        <v>2059</v>
      </c>
      <c r="G1370" s="3">
        <v>5</v>
      </c>
      <c r="H1370" s="3">
        <v>4500</v>
      </c>
      <c r="I1370" s="3">
        <v>5220</v>
      </c>
      <c r="J1370" s="3">
        <v>10.71</v>
      </c>
      <c r="K1370" s="3">
        <v>23303.97</v>
      </c>
      <c r="L1370" s="3">
        <v>803.97</v>
      </c>
      <c r="M1370" s="3">
        <f t="shared" si="106"/>
        <v>279531</v>
      </c>
      <c r="N1370" s="3">
        <f t="shared" si="107"/>
        <v>22500</v>
      </c>
      <c r="O1370" s="3">
        <f t="shared" si="108"/>
        <v>3.4499272012451101</v>
      </c>
      <c r="P1370" s="3" t="str">
        <f t="shared" si="109"/>
        <v>Sep</v>
      </c>
      <c r="Q1370" s="3" t="str">
        <f t="shared" si="105"/>
        <v>low profit</v>
      </c>
    </row>
    <row r="1371" spans="1:17" x14ac:dyDescent="0.25">
      <c r="A1371" s="3" t="s">
        <v>659</v>
      </c>
      <c r="B1371" s="4">
        <v>45905</v>
      </c>
      <c r="C1371" s="3" t="s">
        <v>2021</v>
      </c>
      <c r="D1371" s="3" t="s">
        <v>2041</v>
      </c>
      <c r="E1371" s="3" t="s">
        <v>2056</v>
      </c>
      <c r="F1371" s="3" t="s">
        <v>2059</v>
      </c>
      <c r="G1371" s="3">
        <v>9</v>
      </c>
      <c r="H1371" s="3">
        <v>300</v>
      </c>
      <c r="I1371" s="3">
        <v>405</v>
      </c>
      <c r="J1371" s="3">
        <v>1.04</v>
      </c>
      <c r="K1371" s="3">
        <v>3607.04</v>
      </c>
      <c r="L1371" s="3">
        <v>907.04</v>
      </c>
      <c r="M1371" s="3">
        <f t="shared" si="106"/>
        <v>3790.8</v>
      </c>
      <c r="N1371" s="3">
        <f t="shared" si="107"/>
        <v>2700</v>
      </c>
      <c r="O1371" s="3">
        <f t="shared" si="108"/>
        <v>25.146380411639456</v>
      </c>
      <c r="P1371" s="3" t="str">
        <f t="shared" si="109"/>
        <v>Sep</v>
      </c>
      <c r="Q1371" s="3" t="str">
        <f t="shared" si="105"/>
        <v>good profit</v>
      </c>
    </row>
    <row r="1372" spans="1:17" x14ac:dyDescent="0.25">
      <c r="A1372" s="3" t="s">
        <v>749</v>
      </c>
      <c r="B1372" s="4">
        <v>45905</v>
      </c>
      <c r="C1372" s="3" t="s">
        <v>2031</v>
      </c>
      <c r="D1372" s="3" t="s">
        <v>2051</v>
      </c>
      <c r="E1372" s="3" t="s">
        <v>2058</v>
      </c>
      <c r="F1372" s="3" t="s">
        <v>2062</v>
      </c>
      <c r="G1372" s="3">
        <v>4</v>
      </c>
      <c r="H1372" s="3">
        <v>3200</v>
      </c>
      <c r="I1372" s="3">
        <v>3840</v>
      </c>
      <c r="J1372" s="3">
        <v>13.87</v>
      </c>
      <c r="K1372" s="3">
        <v>13228.88</v>
      </c>
      <c r="L1372" s="3">
        <v>428.88</v>
      </c>
      <c r="M1372" s="3">
        <f t="shared" si="106"/>
        <v>213043.19999999998</v>
      </c>
      <c r="N1372" s="3">
        <f t="shared" si="107"/>
        <v>12800</v>
      </c>
      <c r="O1372" s="3">
        <f t="shared" si="108"/>
        <v>3.2419978108502008</v>
      </c>
      <c r="P1372" s="3" t="str">
        <f t="shared" si="109"/>
        <v>Sep</v>
      </c>
      <c r="Q1372" s="3" t="str">
        <f t="shared" si="105"/>
        <v>low profit</v>
      </c>
    </row>
    <row r="1373" spans="1:17" x14ac:dyDescent="0.25">
      <c r="A1373" s="3" t="s">
        <v>774</v>
      </c>
      <c r="B1373" s="4">
        <v>45905</v>
      </c>
      <c r="C1373" s="3" t="s">
        <v>2025</v>
      </c>
      <c r="D1373" s="3" t="s">
        <v>2045</v>
      </c>
      <c r="E1373" s="3" t="s">
        <v>2057</v>
      </c>
      <c r="F1373" s="3" t="s">
        <v>2059</v>
      </c>
      <c r="G1373" s="3">
        <v>7</v>
      </c>
      <c r="H1373" s="3">
        <v>45</v>
      </c>
      <c r="I1373" s="3">
        <v>63</v>
      </c>
      <c r="J1373" s="3">
        <v>9.09</v>
      </c>
      <c r="K1373" s="3">
        <v>400.93</v>
      </c>
      <c r="L1373" s="3">
        <v>85.93</v>
      </c>
      <c r="M1373" s="3">
        <f t="shared" si="106"/>
        <v>4008.69</v>
      </c>
      <c r="N1373" s="3">
        <f t="shared" si="107"/>
        <v>315</v>
      </c>
      <c r="O1373" s="3">
        <f t="shared" si="108"/>
        <v>21.432669044471606</v>
      </c>
      <c r="P1373" s="3" t="str">
        <f t="shared" si="109"/>
        <v>Sep</v>
      </c>
      <c r="Q1373" s="3" t="str">
        <f t="shared" si="105"/>
        <v>good profit</v>
      </c>
    </row>
    <row r="1374" spans="1:17" x14ac:dyDescent="0.25">
      <c r="A1374" s="3" t="s">
        <v>1380</v>
      </c>
      <c r="B1374" s="4">
        <v>45905</v>
      </c>
      <c r="C1374" s="3" t="s">
        <v>2016</v>
      </c>
      <c r="D1374" s="3" t="s">
        <v>2036</v>
      </c>
      <c r="E1374" s="3" t="s">
        <v>2052</v>
      </c>
      <c r="F1374" s="3" t="s">
        <v>2059</v>
      </c>
      <c r="G1374" s="3">
        <v>1</v>
      </c>
      <c r="H1374" s="3">
        <v>900</v>
      </c>
      <c r="I1374" s="3">
        <v>1170</v>
      </c>
      <c r="J1374" s="3">
        <v>7.25</v>
      </c>
      <c r="K1374" s="3">
        <v>1085.2</v>
      </c>
      <c r="L1374" s="3">
        <v>185.2</v>
      </c>
      <c r="M1374" s="3">
        <f t="shared" si="106"/>
        <v>8482.5</v>
      </c>
      <c r="N1374" s="3">
        <f t="shared" si="107"/>
        <v>900</v>
      </c>
      <c r="O1374" s="3">
        <f t="shared" si="108"/>
        <v>17.065978621452267</v>
      </c>
      <c r="P1374" s="3" t="str">
        <f t="shared" si="109"/>
        <v>Sep</v>
      </c>
      <c r="Q1374" s="3" t="str">
        <f t="shared" si="105"/>
        <v>good profit</v>
      </c>
    </row>
    <row r="1375" spans="1:17" x14ac:dyDescent="0.25">
      <c r="A1375" s="3" t="s">
        <v>1620</v>
      </c>
      <c r="B1375" s="4">
        <v>45905</v>
      </c>
      <c r="C1375" s="3" t="s">
        <v>2031</v>
      </c>
      <c r="D1375" s="3" t="s">
        <v>2051</v>
      </c>
      <c r="E1375" s="3" t="s">
        <v>2058</v>
      </c>
      <c r="F1375" s="3" t="s">
        <v>2060</v>
      </c>
      <c r="G1375" s="3">
        <v>3</v>
      </c>
      <c r="H1375" s="3">
        <v>3200</v>
      </c>
      <c r="I1375" s="3">
        <v>3840</v>
      </c>
      <c r="J1375" s="3">
        <v>20.53</v>
      </c>
      <c r="K1375" s="3">
        <v>9155.25</v>
      </c>
      <c r="L1375" s="3">
        <v>-444.75</v>
      </c>
      <c r="M1375" s="3">
        <f t="shared" si="106"/>
        <v>236505.60000000001</v>
      </c>
      <c r="N1375" s="3">
        <f t="shared" si="107"/>
        <v>9600</v>
      </c>
      <c r="O1375" s="3">
        <f t="shared" si="108"/>
        <v>-4.8578684361431961</v>
      </c>
      <c r="P1375" s="3" t="str">
        <f t="shared" si="109"/>
        <v>Sep</v>
      </c>
      <c r="Q1375" s="3" t="str">
        <f t="shared" si="105"/>
        <v>loss</v>
      </c>
    </row>
    <row r="1376" spans="1:17" x14ac:dyDescent="0.25">
      <c r="A1376" s="3" t="s">
        <v>1727</v>
      </c>
      <c r="B1376" s="4">
        <v>45905</v>
      </c>
      <c r="C1376" s="3" t="s">
        <v>2027</v>
      </c>
      <c r="D1376" s="3" t="s">
        <v>2047</v>
      </c>
      <c r="E1376" s="3" t="s">
        <v>2053</v>
      </c>
      <c r="F1376" s="3" t="s">
        <v>2062</v>
      </c>
      <c r="G1376" s="3">
        <v>7</v>
      </c>
      <c r="H1376" s="3">
        <v>1100</v>
      </c>
      <c r="I1376" s="3">
        <v>1298</v>
      </c>
      <c r="J1376" s="3">
        <v>17.829999999999998</v>
      </c>
      <c r="K1376" s="3">
        <v>7466.06</v>
      </c>
      <c r="L1376" s="3">
        <v>-233.94</v>
      </c>
      <c r="M1376" s="3">
        <f t="shared" si="106"/>
        <v>162003.37999999998</v>
      </c>
      <c r="N1376" s="3">
        <f t="shared" si="107"/>
        <v>7700</v>
      </c>
      <c r="O1376" s="3">
        <f t="shared" si="108"/>
        <v>-3.1333795870914511</v>
      </c>
      <c r="P1376" s="3" t="str">
        <f t="shared" si="109"/>
        <v>Sep</v>
      </c>
      <c r="Q1376" s="3" t="str">
        <f t="shared" si="105"/>
        <v>loss</v>
      </c>
    </row>
    <row r="1377" spans="1:17" x14ac:dyDescent="0.25">
      <c r="A1377" s="3" t="s">
        <v>1817</v>
      </c>
      <c r="B1377" s="4">
        <v>45905</v>
      </c>
      <c r="C1377" s="3" t="s">
        <v>2018</v>
      </c>
      <c r="D1377" s="3" t="s">
        <v>2038</v>
      </c>
      <c r="E1377" s="3" t="s">
        <v>2053</v>
      </c>
      <c r="F1377" s="3" t="s">
        <v>2061</v>
      </c>
      <c r="G1377" s="3">
        <v>2</v>
      </c>
      <c r="H1377" s="3">
        <v>500</v>
      </c>
      <c r="I1377" s="3">
        <v>610</v>
      </c>
      <c r="J1377" s="3">
        <v>10.7</v>
      </c>
      <c r="K1377" s="3">
        <v>1089.51</v>
      </c>
      <c r="L1377" s="3">
        <v>89.51</v>
      </c>
      <c r="M1377" s="3">
        <f t="shared" si="106"/>
        <v>13054</v>
      </c>
      <c r="N1377" s="3">
        <f t="shared" si="107"/>
        <v>1000</v>
      </c>
      <c r="O1377" s="3">
        <f t="shared" si="108"/>
        <v>8.2156198658112363</v>
      </c>
      <c r="P1377" s="3" t="str">
        <f t="shared" si="109"/>
        <v>Sep</v>
      </c>
      <c r="Q1377" s="3" t="str">
        <f t="shared" si="105"/>
        <v>low profit</v>
      </c>
    </row>
    <row r="1378" spans="1:17" x14ac:dyDescent="0.25">
      <c r="A1378" s="3" t="s">
        <v>2003</v>
      </c>
      <c r="B1378" s="4">
        <v>45905</v>
      </c>
      <c r="C1378" s="3" t="s">
        <v>2019</v>
      </c>
      <c r="D1378" s="3" t="s">
        <v>2039</v>
      </c>
      <c r="E1378" s="3" t="s">
        <v>2053</v>
      </c>
      <c r="F1378" s="3" t="s">
        <v>2062</v>
      </c>
      <c r="G1378" s="3">
        <v>2</v>
      </c>
      <c r="H1378" s="3">
        <v>900</v>
      </c>
      <c r="I1378" s="3">
        <v>1152</v>
      </c>
      <c r="J1378" s="3">
        <v>13.44</v>
      </c>
      <c r="K1378" s="3">
        <v>1994.3</v>
      </c>
      <c r="L1378" s="3">
        <v>194.3</v>
      </c>
      <c r="M1378" s="3">
        <f t="shared" si="106"/>
        <v>30965.759999999998</v>
      </c>
      <c r="N1378" s="3">
        <f t="shared" si="107"/>
        <v>1800</v>
      </c>
      <c r="O1378" s="3">
        <f t="shared" si="108"/>
        <v>9.7427668856240288</v>
      </c>
      <c r="P1378" s="3" t="str">
        <f t="shared" si="109"/>
        <v>Sep</v>
      </c>
      <c r="Q1378" s="3" t="str">
        <f t="shared" si="105"/>
        <v>low profit</v>
      </c>
    </row>
    <row r="1379" spans="1:17" x14ac:dyDescent="0.25">
      <c r="A1379" s="3" t="s">
        <v>63</v>
      </c>
      <c r="B1379" s="4">
        <v>45906</v>
      </c>
      <c r="C1379" s="3" t="s">
        <v>2018</v>
      </c>
      <c r="D1379" s="3" t="s">
        <v>2038</v>
      </c>
      <c r="E1379" s="3" t="s">
        <v>2053</v>
      </c>
      <c r="F1379" s="3" t="s">
        <v>2062</v>
      </c>
      <c r="G1379" s="3">
        <v>3</v>
      </c>
      <c r="H1379" s="3">
        <v>500</v>
      </c>
      <c r="I1379" s="3">
        <v>610</v>
      </c>
      <c r="J1379" s="3">
        <v>13.01</v>
      </c>
      <c r="K1379" s="3">
        <v>1591.87</v>
      </c>
      <c r="L1379" s="3">
        <v>91.87</v>
      </c>
      <c r="M1379" s="3">
        <f t="shared" si="106"/>
        <v>23808.3</v>
      </c>
      <c r="N1379" s="3">
        <f t="shared" si="107"/>
        <v>1500</v>
      </c>
      <c r="O1379" s="3">
        <f t="shared" si="108"/>
        <v>5.7711999095403526</v>
      </c>
      <c r="P1379" s="3" t="str">
        <f t="shared" si="109"/>
        <v>Sep</v>
      </c>
      <c r="Q1379" s="3" t="str">
        <f t="shared" si="105"/>
        <v>low profit</v>
      </c>
    </row>
    <row r="1380" spans="1:17" x14ac:dyDescent="0.25">
      <c r="A1380" s="3" t="s">
        <v>1178</v>
      </c>
      <c r="B1380" s="4">
        <v>45906</v>
      </c>
      <c r="C1380" s="3" t="s">
        <v>2020</v>
      </c>
      <c r="D1380" s="3" t="s">
        <v>2040</v>
      </c>
      <c r="E1380" s="3" t="s">
        <v>2053</v>
      </c>
      <c r="F1380" s="3" t="s">
        <v>2059</v>
      </c>
      <c r="G1380" s="3">
        <v>4</v>
      </c>
      <c r="H1380" s="3">
        <v>350</v>
      </c>
      <c r="I1380" s="3">
        <v>455</v>
      </c>
      <c r="J1380" s="3">
        <v>23.52</v>
      </c>
      <c r="K1380" s="3">
        <v>1391.98</v>
      </c>
      <c r="L1380" s="3">
        <v>-8.02</v>
      </c>
      <c r="M1380" s="3">
        <f t="shared" si="106"/>
        <v>42806.400000000001</v>
      </c>
      <c r="N1380" s="3">
        <f t="shared" si="107"/>
        <v>1400</v>
      </c>
      <c r="O1380" s="3">
        <f t="shared" si="108"/>
        <v>-0.57615770341527894</v>
      </c>
      <c r="P1380" s="3" t="str">
        <f t="shared" si="109"/>
        <v>Sep</v>
      </c>
      <c r="Q1380" s="3" t="str">
        <f t="shared" si="105"/>
        <v>loss</v>
      </c>
    </row>
    <row r="1381" spans="1:17" x14ac:dyDescent="0.25">
      <c r="A1381" s="3" t="s">
        <v>1226</v>
      </c>
      <c r="B1381" s="4">
        <v>45906</v>
      </c>
      <c r="C1381" s="3" t="s">
        <v>2024</v>
      </c>
      <c r="D1381" s="3" t="s">
        <v>2044</v>
      </c>
      <c r="E1381" s="3" t="s">
        <v>2055</v>
      </c>
      <c r="F1381" s="3" t="s">
        <v>2062</v>
      </c>
      <c r="G1381" s="3">
        <v>8</v>
      </c>
      <c r="H1381" s="3">
        <v>180</v>
      </c>
      <c r="I1381" s="3">
        <v>243</v>
      </c>
      <c r="J1381" s="3">
        <v>0</v>
      </c>
      <c r="K1381" s="3">
        <v>1944</v>
      </c>
      <c r="L1381" s="3">
        <v>504</v>
      </c>
      <c r="M1381" s="3">
        <f t="shared" si="106"/>
        <v>0</v>
      </c>
      <c r="N1381" s="3">
        <f t="shared" si="107"/>
        <v>1440</v>
      </c>
      <c r="O1381" s="3">
        <f t="shared" si="108"/>
        <v>25.925925925925924</v>
      </c>
      <c r="P1381" s="3" t="str">
        <f t="shared" si="109"/>
        <v>Sep</v>
      </c>
      <c r="Q1381" s="3" t="str">
        <f t="shared" si="105"/>
        <v>good profit</v>
      </c>
    </row>
    <row r="1382" spans="1:17" x14ac:dyDescent="0.25">
      <c r="A1382" s="3" t="s">
        <v>1828</v>
      </c>
      <c r="B1382" s="4">
        <v>45906</v>
      </c>
      <c r="C1382" s="3" t="s">
        <v>2023</v>
      </c>
      <c r="D1382" s="3" t="s">
        <v>2043</v>
      </c>
      <c r="E1382" s="3" t="s">
        <v>2053</v>
      </c>
      <c r="F1382" s="3" t="s">
        <v>2060</v>
      </c>
      <c r="G1382" s="3">
        <v>9</v>
      </c>
      <c r="H1382" s="3">
        <v>550</v>
      </c>
      <c r="I1382" s="3">
        <v>742.5</v>
      </c>
      <c r="J1382" s="3">
        <v>7.19</v>
      </c>
      <c r="K1382" s="3">
        <v>6202.34</v>
      </c>
      <c r="L1382" s="3">
        <v>1252.3399999999999</v>
      </c>
      <c r="M1382" s="3">
        <f t="shared" si="106"/>
        <v>48047.175000000003</v>
      </c>
      <c r="N1382" s="3">
        <f t="shared" si="107"/>
        <v>4950</v>
      </c>
      <c r="O1382" s="3">
        <f t="shared" si="108"/>
        <v>20.191411628514398</v>
      </c>
      <c r="P1382" s="3" t="str">
        <f t="shared" si="109"/>
        <v>Sep</v>
      </c>
      <c r="Q1382" s="3" t="str">
        <f t="shared" si="105"/>
        <v>good profit</v>
      </c>
    </row>
    <row r="1383" spans="1:17" x14ac:dyDescent="0.25">
      <c r="A1383" s="3" t="s">
        <v>566</v>
      </c>
      <c r="B1383" s="4">
        <v>45907</v>
      </c>
      <c r="C1383" s="3" t="s">
        <v>2014</v>
      </c>
      <c r="D1383" s="3" t="s">
        <v>2034</v>
      </c>
      <c r="E1383" s="3" t="s">
        <v>2052</v>
      </c>
      <c r="F1383" s="3" t="s">
        <v>2060</v>
      </c>
      <c r="G1383" s="3">
        <v>3</v>
      </c>
      <c r="H1383" s="3">
        <v>4500</v>
      </c>
      <c r="I1383" s="3">
        <v>5220</v>
      </c>
      <c r="J1383" s="3">
        <v>24.09</v>
      </c>
      <c r="K1383" s="3">
        <v>11886.87</v>
      </c>
      <c r="L1383" s="3">
        <v>-1613.13</v>
      </c>
      <c r="M1383" s="3">
        <f t="shared" si="106"/>
        <v>377249.4</v>
      </c>
      <c r="N1383" s="3">
        <f t="shared" si="107"/>
        <v>13500</v>
      </c>
      <c r="O1383" s="3">
        <f t="shared" si="108"/>
        <v>-13.570687657894803</v>
      </c>
      <c r="P1383" s="3" t="str">
        <f t="shared" si="109"/>
        <v>Sep</v>
      </c>
      <c r="Q1383" s="3" t="str">
        <f t="shared" si="105"/>
        <v>loss</v>
      </c>
    </row>
    <row r="1384" spans="1:17" x14ac:dyDescent="0.25">
      <c r="A1384" s="3" t="s">
        <v>996</v>
      </c>
      <c r="B1384" s="4">
        <v>45907</v>
      </c>
      <c r="C1384" s="3" t="s">
        <v>2018</v>
      </c>
      <c r="D1384" s="3" t="s">
        <v>2038</v>
      </c>
      <c r="E1384" s="3" t="s">
        <v>2053</v>
      </c>
      <c r="F1384" s="3" t="s">
        <v>2059</v>
      </c>
      <c r="G1384" s="3">
        <v>1</v>
      </c>
      <c r="H1384" s="3">
        <v>500</v>
      </c>
      <c r="I1384" s="3">
        <v>610</v>
      </c>
      <c r="J1384" s="3">
        <v>8.57</v>
      </c>
      <c r="K1384" s="3">
        <v>557.70000000000005</v>
      </c>
      <c r="L1384" s="3">
        <v>57.7</v>
      </c>
      <c r="M1384" s="3">
        <f t="shared" si="106"/>
        <v>5227.7</v>
      </c>
      <c r="N1384" s="3">
        <f t="shared" si="107"/>
        <v>500</v>
      </c>
      <c r="O1384" s="3">
        <f t="shared" si="108"/>
        <v>10.346064192218037</v>
      </c>
      <c r="P1384" s="3" t="str">
        <f t="shared" si="109"/>
        <v>Sep</v>
      </c>
      <c r="Q1384" s="3" t="str">
        <f t="shared" si="105"/>
        <v>good profit</v>
      </c>
    </row>
    <row r="1385" spans="1:17" x14ac:dyDescent="0.25">
      <c r="A1385" s="3" t="s">
        <v>1159</v>
      </c>
      <c r="B1385" s="4">
        <v>45907</v>
      </c>
      <c r="C1385" s="3" t="s">
        <v>2012</v>
      </c>
      <c r="D1385" s="3" t="s">
        <v>2032</v>
      </c>
      <c r="E1385" s="3" t="s">
        <v>2052</v>
      </c>
      <c r="F1385" s="3" t="s">
        <v>2059</v>
      </c>
      <c r="G1385" s="3">
        <v>5</v>
      </c>
      <c r="H1385" s="3">
        <v>6500</v>
      </c>
      <c r="I1385" s="3">
        <v>8125</v>
      </c>
      <c r="J1385" s="3">
        <v>4</v>
      </c>
      <c r="K1385" s="3">
        <v>39000</v>
      </c>
      <c r="L1385" s="3">
        <v>6500</v>
      </c>
      <c r="M1385" s="3">
        <f t="shared" si="106"/>
        <v>162500</v>
      </c>
      <c r="N1385" s="3">
        <f t="shared" si="107"/>
        <v>32500</v>
      </c>
      <c r="O1385" s="3">
        <f t="shared" si="108"/>
        <v>16.666666666666664</v>
      </c>
      <c r="P1385" s="3" t="str">
        <f t="shared" si="109"/>
        <v>Sep</v>
      </c>
      <c r="Q1385" s="3" t="str">
        <f t="shared" si="105"/>
        <v>good profit</v>
      </c>
    </row>
    <row r="1386" spans="1:17" x14ac:dyDescent="0.25">
      <c r="A1386" s="3" t="s">
        <v>1180</v>
      </c>
      <c r="B1386" s="4">
        <v>45907</v>
      </c>
      <c r="C1386" s="3" t="s">
        <v>2027</v>
      </c>
      <c r="D1386" s="3" t="s">
        <v>2047</v>
      </c>
      <c r="E1386" s="3" t="s">
        <v>2053</v>
      </c>
      <c r="F1386" s="3" t="s">
        <v>2061</v>
      </c>
      <c r="G1386" s="3">
        <v>7</v>
      </c>
      <c r="H1386" s="3">
        <v>1100</v>
      </c>
      <c r="I1386" s="3">
        <v>1298</v>
      </c>
      <c r="J1386" s="3">
        <v>7.35</v>
      </c>
      <c r="K1386" s="3">
        <v>8418.44</v>
      </c>
      <c r="L1386" s="3">
        <v>718.44</v>
      </c>
      <c r="M1386" s="3">
        <f t="shared" si="106"/>
        <v>66782.099999999991</v>
      </c>
      <c r="N1386" s="3">
        <f t="shared" si="107"/>
        <v>7700</v>
      </c>
      <c r="O1386" s="3">
        <f t="shared" si="108"/>
        <v>8.5341227115712659</v>
      </c>
      <c r="P1386" s="3" t="str">
        <f t="shared" si="109"/>
        <v>Sep</v>
      </c>
      <c r="Q1386" s="3" t="str">
        <f t="shared" si="105"/>
        <v>low profit</v>
      </c>
    </row>
    <row r="1387" spans="1:17" x14ac:dyDescent="0.25">
      <c r="A1387" s="3" t="s">
        <v>1219</v>
      </c>
      <c r="B1387" s="4">
        <v>45907</v>
      </c>
      <c r="C1387" s="3" t="s">
        <v>2025</v>
      </c>
      <c r="D1387" s="3" t="s">
        <v>2045</v>
      </c>
      <c r="E1387" s="3" t="s">
        <v>2057</v>
      </c>
      <c r="F1387" s="3" t="s">
        <v>2061</v>
      </c>
      <c r="G1387" s="3">
        <v>3</v>
      </c>
      <c r="H1387" s="3">
        <v>45</v>
      </c>
      <c r="I1387" s="3">
        <v>63</v>
      </c>
      <c r="J1387" s="3">
        <v>22.28</v>
      </c>
      <c r="K1387" s="3">
        <v>146.88</v>
      </c>
      <c r="L1387" s="3">
        <v>11.88</v>
      </c>
      <c r="M1387" s="3">
        <f t="shared" si="106"/>
        <v>4210.92</v>
      </c>
      <c r="N1387" s="3">
        <f t="shared" si="107"/>
        <v>135</v>
      </c>
      <c r="O1387" s="3">
        <f t="shared" si="108"/>
        <v>8.0882352941176467</v>
      </c>
      <c r="P1387" s="3" t="str">
        <f t="shared" si="109"/>
        <v>Sep</v>
      </c>
      <c r="Q1387" s="3" t="str">
        <f t="shared" si="105"/>
        <v>low profit</v>
      </c>
    </row>
    <row r="1388" spans="1:17" x14ac:dyDescent="0.25">
      <c r="A1388" s="3" t="s">
        <v>476</v>
      </c>
      <c r="B1388" s="4">
        <v>45908</v>
      </c>
      <c r="C1388" s="3" t="s">
        <v>2028</v>
      </c>
      <c r="D1388" s="3" t="s">
        <v>2048</v>
      </c>
      <c r="E1388" s="3" t="s">
        <v>2057</v>
      </c>
      <c r="F1388" s="3" t="s">
        <v>2059</v>
      </c>
      <c r="G1388" s="3">
        <v>5</v>
      </c>
      <c r="H1388" s="3">
        <v>80</v>
      </c>
      <c r="I1388" s="3">
        <v>116</v>
      </c>
      <c r="J1388" s="3">
        <v>8.44</v>
      </c>
      <c r="K1388" s="3">
        <v>531.07000000000005</v>
      </c>
      <c r="L1388" s="3">
        <v>131.07</v>
      </c>
      <c r="M1388" s="3">
        <f t="shared" si="106"/>
        <v>4895.2</v>
      </c>
      <c r="N1388" s="3">
        <f t="shared" si="107"/>
        <v>400</v>
      </c>
      <c r="O1388" s="3">
        <f t="shared" si="108"/>
        <v>24.680362287457395</v>
      </c>
      <c r="P1388" s="3" t="str">
        <f t="shared" si="109"/>
        <v>Sep</v>
      </c>
      <c r="Q1388" s="3" t="str">
        <f t="shared" si="105"/>
        <v>good profit</v>
      </c>
    </row>
    <row r="1389" spans="1:17" x14ac:dyDescent="0.25">
      <c r="A1389" s="3" t="s">
        <v>477</v>
      </c>
      <c r="B1389" s="4">
        <v>45908</v>
      </c>
      <c r="C1389" s="3" t="s">
        <v>2024</v>
      </c>
      <c r="D1389" s="3" t="s">
        <v>2044</v>
      </c>
      <c r="E1389" s="3" t="s">
        <v>2055</v>
      </c>
      <c r="F1389" s="3" t="s">
        <v>2062</v>
      </c>
      <c r="G1389" s="3">
        <v>5</v>
      </c>
      <c r="H1389" s="3">
        <v>180</v>
      </c>
      <c r="I1389" s="3">
        <v>243</v>
      </c>
      <c r="J1389" s="3">
        <v>0</v>
      </c>
      <c r="K1389" s="3">
        <v>1215</v>
      </c>
      <c r="L1389" s="3">
        <v>315</v>
      </c>
      <c r="M1389" s="3">
        <f t="shared" si="106"/>
        <v>0</v>
      </c>
      <c r="N1389" s="3">
        <f t="shared" si="107"/>
        <v>900</v>
      </c>
      <c r="O1389" s="3">
        <f t="shared" si="108"/>
        <v>25.925925925925924</v>
      </c>
      <c r="P1389" s="3" t="str">
        <f t="shared" si="109"/>
        <v>Sep</v>
      </c>
      <c r="Q1389" s="3" t="str">
        <f t="shared" si="105"/>
        <v>good profit</v>
      </c>
    </row>
    <row r="1390" spans="1:17" x14ac:dyDescent="0.25">
      <c r="A1390" s="3" t="s">
        <v>806</v>
      </c>
      <c r="B1390" s="4">
        <v>45908</v>
      </c>
      <c r="C1390" s="3" t="s">
        <v>2017</v>
      </c>
      <c r="D1390" s="3" t="s">
        <v>2037</v>
      </c>
      <c r="E1390" s="3" t="s">
        <v>2055</v>
      </c>
      <c r="F1390" s="3" t="s">
        <v>2059</v>
      </c>
      <c r="G1390" s="3">
        <v>8</v>
      </c>
      <c r="H1390" s="3">
        <v>2500</v>
      </c>
      <c r="I1390" s="3">
        <v>2875</v>
      </c>
      <c r="J1390" s="3">
        <v>6.67</v>
      </c>
      <c r="K1390" s="3">
        <v>21466.13</v>
      </c>
      <c r="L1390" s="3">
        <v>1466.13</v>
      </c>
      <c r="M1390" s="3">
        <f t="shared" si="106"/>
        <v>153410</v>
      </c>
      <c r="N1390" s="3">
        <f t="shared" si="107"/>
        <v>20000</v>
      </c>
      <c r="O1390" s="3">
        <f t="shared" si="108"/>
        <v>6.8299688858681096</v>
      </c>
      <c r="P1390" s="3" t="str">
        <f t="shared" si="109"/>
        <v>Sep</v>
      </c>
      <c r="Q1390" s="3" t="str">
        <f t="shared" si="105"/>
        <v>low profit</v>
      </c>
    </row>
    <row r="1391" spans="1:17" x14ac:dyDescent="0.25">
      <c r="A1391" s="3" t="s">
        <v>838</v>
      </c>
      <c r="B1391" s="4">
        <v>45908</v>
      </c>
      <c r="C1391" s="3" t="s">
        <v>2030</v>
      </c>
      <c r="D1391" s="3" t="s">
        <v>2050</v>
      </c>
      <c r="E1391" s="3" t="s">
        <v>2058</v>
      </c>
      <c r="F1391" s="3" t="s">
        <v>2059</v>
      </c>
      <c r="G1391" s="3">
        <v>2</v>
      </c>
      <c r="H1391" s="3">
        <v>1800</v>
      </c>
      <c r="I1391" s="3">
        <v>2124</v>
      </c>
      <c r="J1391" s="3">
        <v>7.13</v>
      </c>
      <c r="K1391" s="3">
        <v>3944.95</v>
      </c>
      <c r="L1391" s="3">
        <v>344.95</v>
      </c>
      <c r="M1391" s="3">
        <f t="shared" si="106"/>
        <v>30288.239999999998</v>
      </c>
      <c r="N1391" s="3">
        <f t="shared" si="107"/>
        <v>3600</v>
      </c>
      <c r="O1391" s="3">
        <f t="shared" si="108"/>
        <v>8.744090546141269</v>
      </c>
      <c r="P1391" s="3" t="str">
        <f t="shared" si="109"/>
        <v>Sep</v>
      </c>
      <c r="Q1391" s="3" t="str">
        <f t="shared" si="105"/>
        <v>low profit</v>
      </c>
    </row>
    <row r="1392" spans="1:17" x14ac:dyDescent="0.25">
      <c r="A1392" s="3" t="s">
        <v>1905</v>
      </c>
      <c r="B1392" s="4">
        <v>45908</v>
      </c>
      <c r="C1392" s="3" t="s">
        <v>2012</v>
      </c>
      <c r="D1392" s="3" t="s">
        <v>2032</v>
      </c>
      <c r="E1392" s="3" t="s">
        <v>2052</v>
      </c>
      <c r="F1392" s="3" t="s">
        <v>2060</v>
      </c>
      <c r="G1392" s="3">
        <v>9</v>
      </c>
      <c r="H1392" s="3">
        <v>6500</v>
      </c>
      <c r="I1392" s="3">
        <v>8125</v>
      </c>
      <c r="J1392" s="3">
        <v>21.17</v>
      </c>
      <c r="K1392" s="3">
        <v>57646.54</v>
      </c>
      <c r="L1392" s="3">
        <v>-853.46</v>
      </c>
      <c r="M1392" s="3">
        <f t="shared" si="106"/>
        <v>1548056.2500000002</v>
      </c>
      <c r="N1392" s="3">
        <f t="shared" si="107"/>
        <v>58500</v>
      </c>
      <c r="O1392" s="3">
        <f t="shared" si="108"/>
        <v>-1.4805051612811453</v>
      </c>
      <c r="P1392" s="3" t="str">
        <f t="shared" si="109"/>
        <v>Sep</v>
      </c>
      <c r="Q1392" s="3" t="str">
        <f t="shared" si="105"/>
        <v>loss</v>
      </c>
    </row>
    <row r="1393" spans="1:17" x14ac:dyDescent="0.25">
      <c r="A1393" s="3" t="s">
        <v>156</v>
      </c>
      <c r="B1393" s="4">
        <v>45909</v>
      </c>
      <c r="C1393" s="3" t="s">
        <v>2013</v>
      </c>
      <c r="D1393" s="3" t="s">
        <v>2033</v>
      </c>
      <c r="E1393" s="3" t="s">
        <v>2053</v>
      </c>
      <c r="F1393" s="3" t="s">
        <v>2062</v>
      </c>
      <c r="G1393" s="3">
        <v>2</v>
      </c>
      <c r="H1393" s="3">
        <v>6500</v>
      </c>
      <c r="I1393" s="3">
        <v>7150</v>
      </c>
      <c r="J1393" s="3">
        <v>14.97</v>
      </c>
      <c r="K1393" s="3">
        <v>12159.64</v>
      </c>
      <c r="L1393" s="3">
        <v>-840.36</v>
      </c>
      <c r="M1393" s="3">
        <f t="shared" si="106"/>
        <v>214071</v>
      </c>
      <c r="N1393" s="3">
        <f t="shared" si="107"/>
        <v>13000</v>
      </c>
      <c r="O1393" s="3">
        <f t="shared" si="108"/>
        <v>-6.9110598669039556</v>
      </c>
      <c r="P1393" s="3" t="str">
        <f t="shared" si="109"/>
        <v>Sep</v>
      </c>
      <c r="Q1393" s="3" t="str">
        <f t="shared" si="105"/>
        <v>loss</v>
      </c>
    </row>
    <row r="1394" spans="1:17" x14ac:dyDescent="0.25">
      <c r="A1394" s="3" t="s">
        <v>213</v>
      </c>
      <c r="B1394" s="4">
        <v>45909</v>
      </c>
      <c r="C1394" s="3" t="s">
        <v>2017</v>
      </c>
      <c r="D1394" s="3" t="s">
        <v>2037</v>
      </c>
      <c r="E1394" s="3" t="s">
        <v>2055</v>
      </c>
      <c r="F1394" s="3" t="s">
        <v>2060</v>
      </c>
      <c r="G1394" s="3">
        <v>1</v>
      </c>
      <c r="H1394" s="3">
        <v>2500</v>
      </c>
      <c r="I1394" s="3">
        <v>2875</v>
      </c>
      <c r="J1394" s="3">
        <v>3.45</v>
      </c>
      <c r="K1394" s="3">
        <v>2775.9</v>
      </c>
      <c r="L1394" s="3">
        <v>275.89999999999998</v>
      </c>
      <c r="M1394" s="3">
        <f t="shared" si="106"/>
        <v>9918.75</v>
      </c>
      <c r="N1394" s="3">
        <f t="shared" si="107"/>
        <v>2500</v>
      </c>
      <c r="O1394" s="3">
        <f t="shared" si="108"/>
        <v>9.9391188443387719</v>
      </c>
      <c r="P1394" s="3" t="str">
        <f t="shared" si="109"/>
        <v>Sep</v>
      </c>
      <c r="Q1394" s="3" t="str">
        <f t="shared" si="105"/>
        <v>low profit</v>
      </c>
    </row>
    <row r="1395" spans="1:17" x14ac:dyDescent="0.25">
      <c r="A1395" s="3" t="s">
        <v>799</v>
      </c>
      <c r="B1395" s="4">
        <v>45909</v>
      </c>
      <c r="C1395" s="3" t="s">
        <v>2022</v>
      </c>
      <c r="D1395" s="3" t="s">
        <v>2042</v>
      </c>
      <c r="E1395" s="3" t="s">
        <v>2053</v>
      </c>
      <c r="F1395" s="3" t="s">
        <v>2060</v>
      </c>
      <c r="G1395" s="3">
        <v>2</v>
      </c>
      <c r="H1395" s="3">
        <v>8500</v>
      </c>
      <c r="I1395" s="3">
        <v>9520</v>
      </c>
      <c r="J1395" s="3">
        <v>9.11</v>
      </c>
      <c r="K1395" s="3">
        <v>17305.740000000002</v>
      </c>
      <c r="L1395" s="3">
        <v>305.74</v>
      </c>
      <c r="M1395" s="3">
        <f t="shared" si="106"/>
        <v>173454.4</v>
      </c>
      <c r="N1395" s="3">
        <f t="shared" si="107"/>
        <v>17000</v>
      </c>
      <c r="O1395" s="3">
        <f t="shared" si="108"/>
        <v>1.7666970612062818</v>
      </c>
      <c r="P1395" s="3" t="str">
        <f t="shared" si="109"/>
        <v>Sep</v>
      </c>
      <c r="Q1395" s="3" t="str">
        <f t="shared" si="105"/>
        <v>low profit</v>
      </c>
    </row>
    <row r="1396" spans="1:17" x14ac:dyDescent="0.25">
      <c r="A1396" s="3" t="s">
        <v>1174</v>
      </c>
      <c r="B1396" s="4">
        <v>45909</v>
      </c>
      <c r="C1396" s="3" t="s">
        <v>2024</v>
      </c>
      <c r="D1396" s="3" t="s">
        <v>2044</v>
      </c>
      <c r="E1396" s="3" t="s">
        <v>2055</v>
      </c>
      <c r="F1396" s="3" t="s">
        <v>2061</v>
      </c>
      <c r="G1396" s="3">
        <v>6</v>
      </c>
      <c r="H1396" s="3">
        <v>180</v>
      </c>
      <c r="I1396" s="3">
        <v>243</v>
      </c>
      <c r="J1396" s="3">
        <v>15.72</v>
      </c>
      <c r="K1396" s="3">
        <v>1228.8699999999999</v>
      </c>
      <c r="L1396" s="3">
        <v>148.87</v>
      </c>
      <c r="M1396" s="3">
        <f t="shared" si="106"/>
        <v>22919.760000000002</v>
      </c>
      <c r="N1396" s="3">
        <f t="shared" si="107"/>
        <v>1080</v>
      </c>
      <c r="O1396" s="3">
        <f t="shared" si="108"/>
        <v>12.114381504959843</v>
      </c>
      <c r="P1396" s="3" t="str">
        <f t="shared" si="109"/>
        <v>Sep</v>
      </c>
      <c r="Q1396" s="3" t="str">
        <f t="shared" si="105"/>
        <v>good profit</v>
      </c>
    </row>
    <row r="1397" spans="1:17" x14ac:dyDescent="0.25">
      <c r="A1397" s="3" t="s">
        <v>1487</v>
      </c>
      <c r="B1397" s="4">
        <v>45909</v>
      </c>
      <c r="C1397" s="3" t="s">
        <v>2015</v>
      </c>
      <c r="D1397" s="3" t="s">
        <v>2035</v>
      </c>
      <c r="E1397" s="3" t="s">
        <v>2054</v>
      </c>
      <c r="F1397" s="3" t="s">
        <v>2062</v>
      </c>
      <c r="G1397" s="3">
        <v>9</v>
      </c>
      <c r="H1397" s="3">
        <v>900</v>
      </c>
      <c r="I1397" s="3">
        <v>1170</v>
      </c>
      <c r="J1397" s="3">
        <v>8.9600000000000009</v>
      </c>
      <c r="K1397" s="3">
        <v>9586.7199999999993</v>
      </c>
      <c r="L1397" s="3">
        <v>1486.72</v>
      </c>
      <c r="M1397" s="3">
        <f t="shared" si="106"/>
        <v>94348.800000000003</v>
      </c>
      <c r="N1397" s="3">
        <f t="shared" si="107"/>
        <v>8100</v>
      </c>
      <c r="O1397" s="3">
        <f t="shared" si="108"/>
        <v>15.508119565398804</v>
      </c>
      <c r="P1397" s="3" t="str">
        <f t="shared" si="109"/>
        <v>Sep</v>
      </c>
      <c r="Q1397" s="3" t="str">
        <f t="shared" si="105"/>
        <v>good profit</v>
      </c>
    </row>
    <row r="1398" spans="1:17" x14ac:dyDescent="0.25">
      <c r="A1398" s="3" t="s">
        <v>1659</v>
      </c>
      <c r="B1398" s="4">
        <v>45909</v>
      </c>
      <c r="C1398" s="3" t="s">
        <v>2020</v>
      </c>
      <c r="D1398" s="3" t="s">
        <v>2040</v>
      </c>
      <c r="E1398" s="3" t="s">
        <v>2053</v>
      </c>
      <c r="F1398" s="3" t="s">
        <v>2060</v>
      </c>
      <c r="G1398" s="3">
        <v>6</v>
      </c>
      <c r="H1398" s="3">
        <v>350</v>
      </c>
      <c r="I1398" s="3">
        <v>455</v>
      </c>
      <c r="J1398" s="3">
        <v>13.18</v>
      </c>
      <c r="K1398" s="3">
        <v>2370.0500000000002</v>
      </c>
      <c r="L1398" s="3">
        <v>270.05</v>
      </c>
      <c r="M1398" s="3">
        <f t="shared" si="106"/>
        <v>35981.4</v>
      </c>
      <c r="N1398" s="3">
        <f t="shared" si="107"/>
        <v>2100</v>
      </c>
      <c r="O1398" s="3">
        <f t="shared" si="108"/>
        <v>11.394274382396997</v>
      </c>
      <c r="P1398" s="3" t="str">
        <f t="shared" si="109"/>
        <v>Sep</v>
      </c>
      <c r="Q1398" s="3" t="str">
        <f t="shared" si="105"/>
        <v>good profit</v>
      </c>
    </row>
    <row r="1399" spans="1:17" x14ac:dyDescent="0.25">
      <c r="A1399" s="3" t="s">
        <v>1712</v>
      </c>
      <c r="B1399" s="4">
        <v>45909</v>
      </c>
      <c r="C1399" s="3" t="s">
        <v>2021</v>
      </c>
      <c r="D1399" s="3" t="s">
        <v>2041</v>
      </c>
      <c r="E1399" s="3" t="s">
        <v>2056</v>
      </c>
      <c r="F1399" s="3" t="s">
        <v>2061</v>
      </c>
      <c r="G1399" s="3">
        <v>3</v>
      </c>
      <c r="H1399" s="3">
        <v>300</v>
      </c>
      <c r="I1399" s="3">
        <v>405</v>
      </c>
      <c r="J1399" s="3">
        <v>3.95</v>
      </c>
      <c r="K1399" s="3">
        <v>1166.99</v>
      </c>
      <c r="L1399" s="3">
        <v>266.99</v>
      </c>
      <c r="M1399" s="3">
        <f t="shared" si="106"/>
        <v>4799.25</v>
      </c>
      <c r="N1399" s="3">
        <f t="shared" si="107"/>
        <v>900</v>
      </c>
      <c r="O1399" s="3">
        <f t="shared" si="108"/>
        <v>22.878516525420096</v>
      </c>
      <c r="P1399" s="3" t="str">
        <f t="shared" si="109"/>
        <v>Sep</v>
      </c>
      <c r="Q1399" s="3" t="str">
        <f t="shared" si="105"/>
        <v>good profit</v>
      </c>
    </row>
    <row r="1400" spans="1:17" x14ac:dyDescent="0.25">
      <c r="A1400" s="3" t="s">
        <v>103</v>
      </c>
      <c r="B1400" s="4">
        <v>45910</v>
      </c>
      <c r="C1400" s="3" t="s">
        <v>2028</v>
      </c>
      <c r="D1400" s="3" t="s">
        <v>2048</v>
      </c>
      <c r="E1400" s="3" t="s">
        <v>2057</v>
      </c>
      <c r="F1400" s="3" t="s">
        <v>2059</v>
      </c>
      <c r="G1400" s="3">
        <v>3</v>
      </c>
      <c r="H1400" s="3">
        <v>80</v>
      </c>
      <c r="I1400" s="3">
        <v>116</v>
      </c>
      <c r="J1400" s="3">
        <v>2.2799999999999998</v>
      </c>
      <c r="K1400" s="3">
        <v>340.05</v>
      </c>
      <c r="L1400" s="3">
        <v>100.05</v>
      </c>
      <c r="M1400" s="3">
        <f t="shared" si="106"/>
        <v>793.43999999999994</v>
      </c>
      <c r="N1400" s="3">
        <f t="shared" si="107"/>
        <v>240</v>
      </c>
      <c r="O1400" s="3">
        <f t="shared" si="108"/>
        <v>29.422143802381999</v>
      </c>
      <c r="P1400" s="3" t="str">
        <f t="shared" si="109"/>
        <v>Sep</v>
      </c>
      <c r="Q1400" s="3" t="str">
        <f t="shared" si="105"/>
        <v>good profit</v>
      </c>
    </row>
    <row r="1401" spans="1:17" x14ac:dyDescent="0.25">
      <c r="A1401" s="3" t="s">
        <v>146</v>
      </c>
      <c r="B1401" s="4">
        <v>45910</v>
      </c>
      <c r="C1401" s="3" t="s">
        <v>2025</v>
      </c>
      <c r="D1401" s="3" t="s">
        <v>2045</v>
      </c>
      <c r="E1401" s="3" t="s">
        <v>2057</v>
      </c>
      <c r="F1401" s="3" t="s">
        <v>2060</v>
      </c>
      <c r="G1401" s="3">
        <v>9</v>
      </c>
      <c r="H1401" s="3">
        <v>45</v>
      </c>
      <c r="I1401" s="3">
        <v>63</v>
      </c>
      <c r="J1401" s="3">
        <v>11.32</v>
      </c>
      <c r="K1401" s="3">
        <v>502.84</v>
      </c>
      <c r="L1401" s="3">
        <v>97.84</v>
      </c>
      <c r="M1401" s="3">
        <f t="shared" si="106"/>
        <v>6418.4400000000005</v>
      </c>
      <c r="N1401" s="3">
        <f t="shared" si="107"/>
        <v>405</v>
      </c>
      <c r="O1401" s="3">
        <f t="shared" si="108"/>
        <v>19.457481505051312</v>
      </c>
      <c r="P1401" s="3" t="str">
        <f t="shared" si="109"/>
        <v>Sep</v>
      </c>
      <c r="Q1401" s="3" t="str">
        <f t="shared" si="105"/>
        <v>good profit</v>
      </c>
    </row>
    <row r="1402" spans="1:17" x14ac:dyDescent="0.25">
      <c r="A1402" s="3" t="s">
        <v>135</v>
      </c>
      <c r="B1402" s="4">
        <v>45911</v>
      </c>
      <c r="C1402" s="3" t="s">
        <v>2018</v>
      </c>
      <c r="D1402" s="3" t="s">
        <v>2038</v>
      </c>
      <c r="E1402" s="3" t="s">
        <v>2053</v>
      </c>
      <c r="F1402" s="3" t="s">
        <v>2062</v>
      </c>
      <c r="G1402" s="3">
        <v>10</v>
      </c>
      <c r="H1402" s="3">
        <v>500</v>
      </c>
      <c r="I1402" s="3">
        <v>610</v>
      </c>
      <c r="J1402" s="3">
        <v>0</v>
      </c>
      <c r="K1402" s="3">
        <v>6100</v>
      </c>
      <c r="L1402" s="3">
        <v>1100</v>
      </c>
      <c r="M1402" s="3">
        <f t="shared" si="106"/>
        <v>0</v>
      </c>
      <c r="N1402" s="3">
        <f t="shared" si="107"/>
        <v>5000</v>
      </c>
      <c r="O1402" s="3">
        <f t="shared" si="108"/>
        <v>18.032786885245901</v>
      </c>
      <c r="P1402" s="3" t="str">
        <f t="shared" si="109"/>
        <v>Sep</v>
      </c>
      <c r="Q1402" s="3" t="str">
        <f t="shared" si="105"/>
        <v>good profit</v>
      </c>
    </row>
    <row r="1403" spans="1:17" x14ac:dyDescent="0.25">
      <c r="A1403" s="3" t="s">
        <v>446</v>
      </c>
      <c r="B1403" s="4">
        <v>45911</v>
      </c>
      <c r="C1403" s="3" t="s">
        <v>2019</v>
      </c>
      <c r="D1403" s="3" t="s">
        <v>2039</v>
      </c>
      <c r="E1403" s="3" t="s">
        <v>2053</v>
      </c>
      <c r="F1403" s="3" t="s">
        <v>2062</v>
      </c>
      <c r="G1403" s="3">
        <v>8</v>
      </c>
      <c r="H1403" s="3">
        <v>900</v>
      </c>
      <c r="I1403" s="3">
        <v>1152</v>
      </c>
      <c r="J1403" s="3">
        <v>7.92</v>
      </c>
      <c r="K1403" s="3">
        <v>8486.42</v>
      </c>
      <c r="L1403" s="3">
        <v>1286.42</v>
      </c>
      <c r="M1403" s="3">
        <f t="shared" si="106"/>
        <v>72990.720000000001</v>
      </c>
      <c r="N1403" s="3">
        <f t="shared" si="107"/>
        <v>7200</v>
      </c>
      <c r="O1403" s="3">
        <f t="shared" si="108"/>
        <v>15.158570987530668</v>
      </c>
      <c r="P1403" s="3" t="str">
        <f t="shared" si="109"/>
        <v>Sep</v>
      </c>
      <c r="Q1403" s="3" t="str">
        <f t="shared" si="105"/>
        <v>good profit</v>
      </c>
    </row>
    <row r="1404" spans="1:17" x14ac:dyDescent="0.25">
      <c r="A1404" s="3" t="s">
        <v>504</v>
      </c>
      <c r="B1404" s="4">
        <v>45911</v>
      </c>
      <c r="C1404" s="3" t="s">
        <v>2025</v>
      </c>
      <c r="D1404" s="3" t="s">
        <v>2045</v>
      </c>
      <c r="E1404" s="3" t="s">
        <v>2057</v>
      </c>
      <c r="F1404" s="3" t="s">
        <v>2060</v>
      </c>
      <c r="G1404" s="3">
        <v>2</v>
      </c>
      <c r="H1404" s="3">
        <v>45</v>
      </c>
      <c r="I1404" s="3">
        <v>63</v>
      </c>
      <c r="J1404" s="3">
        <v>2.54</v>
      </c>
      <c r="K1404" s="3">
        <v>122.8</v>
      </c>
      <c r="L1404" s="3">
        <v>32.799999999999997</v>
      </c>
      <c r="M1404" s="3">
        <f t="shared" si="106"/>
        <v>320.04000000000002</v>
      </c>
      <c r="N1404" s="3">
        <f t="shared" si="107"/>
        <v>90</v>
      </c>
      <c r="O1404" s="3">
        <f t="shared" si="108"/>
        <v>26.710097719869708</v>
      </c>
      <c r="P1404" s="3" t="str">
        <f t="shared" si="109"/>
        <v>Sep</v>
      </c>
      <c r="Q1404" s="3" t="str">
        <f t="shared" si="105"/>
        <v>good profit</v>
      </c>
    </row>
    <row r="1405" spans="1:17" x14ac:dyDescent="0.25">
      <c r="A1405" s="3" t="s">
        <v>660</v>
      </c>
      <c r="B1405" s="4">
        <v>45911</v>
      </c>
      <c r="C1405" s="3" t="s">
        <v>2023</v>
      </c>
      <c r="D1405" s="3" t="s">
        <v>2043</v>
      </c>
      <c r="E1405" s="3" t="s">
        <v>2053</v>
      </c>
      <c r="F1405" s="3" t="s">
        <v>2060</v>
      </c>
      <c r="G1405" s="3">
        <v>6</v>
      </c>
      <c r="H1405" s="3">
        <v>550</v>
      </c>
      <c r="I1405" s="3">
        <v>742.5</v>
      </c>
      <c r="J1405" s="3">
        <v>6.84</v>
      </c>
      <c r="K1405" s="3">
        <v>4150.2</v>
      </c>
      <c r="L1405" s="3">
        <v>850.2</v>
      </c>
      <c r="M1405" s="3">
        <f t="shared" si="106"/>
        <v>30472.2</v>
      </c>
      <c r="N1405" s="3">
        <f t="shared" si="107"/>
        <v>3300</v>
      </c>
      <c r="O1405" s="3">
        <f t="shared" si="108"/>
        <v>20.485759722423015</v>
      </c>
      <c r="P1405" s="3" t="str">
        <f t="shared" si="109"/>
        <v>Sep</v>
      </c>
      <c r="Q1405" s="3" t="str">
        <f t="shared" si="105"/>
        <v>good profit</v>
      </c>
    </row>
    <row r="1406" spans="1:17" x14ac:dyDescent="0.25">
      <c r="A1406" s="3" t="s">
        <v>1823</v>
      </c>
      <c r="B1406" s="4">
        <v>45911</v>
      </c>
      <c r="C1406" s="3" t="s">
        <v>2031</v>
      </c>
      <c r="D1406" s="3" t="s">
        <v>2051</v>
      </c>
      <c r="E1406" s="3" t="s">
        <v>2058</v>
      </c>
      <c r="F1406" s="3" t="s">
        <v>2060</v>
      </c>
      <c r="G1406" s="3">
        <v>6</v>
      </c>
      <c r="H1406" s="3">
        <v>3200</v>
      </c>
      <c r="I1406" s="3">
        <v>3840</v>
      </c>
      <c r="J1406" s="3">
        <v>21.77</v>
      </c>
      <c r="K1406" s="3">
        <v>18024.23</v>
      </c>
      <c r="L1406" s="3">
        <v>-1175.77</v>
      </c>
      <c r="M1406" s="3">
        <f t="shared" si="106"/>
        <v>501580.79999999999</v>
      </c>
      <c r="N1406" s="3">
        <f t="shared" si="107"/>
        <v>19200</v>
      </c>
      <c r="O1406" s="3">
        <f t="shared" si="108"/>
        <v>-6.5232745032658812</v>
      </c>
      <c r="P1406" s="3" t="str">
        <f t="shared" si="109"/>
        <v>Sep</v>
      </c>
      <c r="Q1406" s="3" t="str">
        <f t="shared" si="105"/>
        <v>loss</v>
      </c>
    </row>
    <row r="1407" spans="1:17" x14ac:dyDescent="0.25">
      <c r="A1407" s="3" t="s">
        <v>1874</v>
      </c>
      <c r="B1407" s="4">
        <v>45911</v>
      </c>
      <c r="C1407" s="3" t="s">
        <v>2026</v>
      </c>
      <c r="D1407" s="3" t="s">
        <v>2046</v>
      </c>
      <c r="E1407" s="3" t="s">
        <v>2052</v>
      </c>
      <c r="F1407" s="3" t="s">
        <v>2059</v>
      </c>
      <c r="G1407" s="3">
        <v>8</v>
      </c>
      <c r="H1407" s="3">
        <v>3000</v>
      </c>
      <c r="I1407" s="3">
        <v>3600</v>
      </c>
      <c r="J1407" s="3">
        <v>11.32</v>
      </c>
      <c r="K1407" s="3">
        <v>25538.97</v>
      </c>
      <c r="L1407" s="3">
        <v>1538.97</v>
      </c>
      <c r="M1407" s="3">
        <f t="shared" si="106"/>
        <v>326016</v>
      </c>
      <c r="N1407" s="3">
        <f t="shared" si="107"/>
        <v>24000</v>
      </c>
      <c r="O1407" s="3">
        <f t="shared" si="108"/>
        <v>6.0259673745652238</v>
      </c>
      <c r="P1407" s="3" t="str">
        <f t="shared" si="109"/>
        <v>Sep</v>
      </c>
      <c r="Q1407" s="3" t="str">
        <f t="shared" si="105"/>
        <v>low profit</v>
      </c>
    </row>
    <row r="1408" spans="1:17" x14ac:dyDescent="0.25">
      <c r="A1408" s="3" t="s">
        <v>295</v>
      </c>
      <c r="B1408" s="4">
        <v>45912</v>
      </c>
      <c r="C1408" s="3" t="s">
        <v>2019</v>
      </c>
      <c r="D1408" s="3" t="s">
        <v>2039</v>
      </c>
      <c r="E1408" s="3" t="s">
        <v>2053</v>
      </c>
      <c r="F1408" s="3" t="s">
        <v>2062</v>
      </c>
      <c r="G1408" s="3">
        <v>7</v>
      </c>
      <c r="H1408" s="3">
        <v>900</v>
      </c>
      <c r="I1408" s="3">
        <v>1152</v>
      </c>
      <c r="J1408" s="3">
        <v>9.81</v>
      </c>
      <c r="K1408" s="3">
        <v>7273.31</v>
      </c>
      <c r="L1408" s="3">
        <v>973.31</v>
      </c>
      <c r="M1408" s="3">
        <f t="shared" si="106"/>
        <v>79107.840000000011</v>
      </c>
      <c r="N1408" s="3">
        <f t="shared" si="107"/>
        <v>6300</v>
      </c>
      <c r="O1408" s="3">
        <f t="shared" si="108"/>
        <v>13.381940272035703</v>
      </c>
      <c r="P1408" s="3" t="str">
        <f t="shared" si="109"/>
        <v>Sep</v>
      </c>
      <c r="Q1408" s="3" t="str">
        <f t="shared" si="105"/>
        <v>good profit</v>
      </c>
    </row>
    <row r="1409" spans="1:17" x14ac:dyDescent="0.25">
      <c r="A1409" s="3" t="s">
        <v>868</v>
      </c>
      <c r="B1409" s="4">
        <v>45912</v>
      </c>
      <c r="C1409" s="3" t="s">
        <v>2027</v>
      </c>
      <c r="D1409" s="3" t="s">
        <v>2047</v>
      </c>
      <c r="E1409" s="3" t="s">
        <v>2053</v>
      </c>
      <c r="F1409" s="3" t="s">
        <v>2060</v>
      </c>
      <c r="G1409" s="3">
        <v>2</v>
      </c>
      <c r="H1409" s="3">
        <v>1100</v>
      </c>
      <c r="I1409" s="3">
        <v>1298</v>
      </c>
      <c r="J1409" s="3">
        <v>3.8</v>
      </c>
      <c r="K1409" s="3">
        <v>2497.31</v>
      </c>
      <c r="L1409" s="3">
        <v>297.31</v>
      </c>
      <c r="M1409" s="3">
        <f t="shared" si="106"/>
        <v>9864.7999999999993</v>
      </c>
      <c r="N1409" s="3">
        <f t="shared" si="107"/>
        <v>2200</v>
      </c>
      <c r="O1409" s="3">
        <f t="shared" si="108"/>
        <v>11.905210005966421</v>
      </c>
      <c r="P1409" s="3" t="str">
        <f t="shared" si="109"/>
        <v>Sep</v>
      </c>
      <c r="Q1409" s="3" t="str">
        <f t="shared" si="105"/>
        <v>good profit</v>
      </c>
    </row>
    <row r="1410" spans="1:17" x14ac:dyDescent="0.25">
      <c r="A1410" s="3" t="s">
        <v>878</v>
      </c>
      <c r="B1410" s="4">
        <v>45912</v>
      </c>
      <c r="C1410" s="3" t="s">
        <v>2023</v>
      </c>
      <c r="D1410" s="3" t="s">
        <v>2043</v>
      </c>
      <c r="E1410" s="3" t="s">
        <v>2053</v>
      </c>
      <c r="F1410" s="3" t="s">
        <v>2061</v>
      </c>
      <c r="G1410" s="3">
        <v>9</v>
      </c>
      <c r="H1410" s="3">
        <v>550</v>
      </c>
      <c r="I1410" s="3">
        <v>742.5</v>
      </c>
      <c r="J1410" s="3">
        <v>14.53</v>
      </c>
      <c r="K1410" s="3">
        <v>5711.45</v>
      </c>
      <c r="L1410" s="3">
        <v>761.45</v>
      </c>
      <c r="M1410" s="3">
        <f t="shared" si="106"/>
        <v>97096.724999999991</v>
      </c>
      <c r="N1410" s="3">
        <f t="shared" si="107"/>
        <v>4950</v>
      </c>
      <c r="O1410" s="3">
        <f t="shared" si="108"/>
        <v>13.331991000534016</v>
      </c>
      <c r="P1410" s="3" t="str">
        <f t="shared" si="109"/>
        <v>Sep</v>
      </c>
      <c r="Q1410" s="3" t="str">
        <f t="shared" ref="Q1410:Q1473" si="110">IF(L1410&lt;0,"loss",IF(O1410&lt;10,"low profit","good profit"))</f>
        <v>good profit</v>
      </c>
    </row>
    <row r="1411" spans="1:17" x14ac:dyDescent="0.25">
      <c r="A1411" s="3" t="s">
        <v>1708</v>
      </c>
      <c r="B1411" s="4">
        <v>45912</v>
      </c>
      <c r="C1411" s="3" t="s">
        <v>2030</v>
      </c>
      <c r="D1411" s="3" t="s">
        <v>2050</v>
      </c>
      <c r="E1411" s="3" t="s">
        <v>2058</v>
      </c>
      <c r="F1411" s="3" t="s">
        <v>2060</v>
      </c>
      <c r="G1411" s="3">
        <v>3</v>
      </c>
      <c r="H1411" s="3">
        <v>1800</v>
      </c>
      <c r="I1411" s="3">
        <v>2124</v>
      </c>
      <c r="J1411" s="3">
        <v>4</v>
      </c>
      <c r="K1411" s="3">
        <v>6117.12</v>
      </c>
      <c r="L1411" s="3">
        <v>717.12</v>
      </c>
      <c r="M1411" s="3">
        <f t="shared" ref="M1411:M1474" si="111">G1411*I1411*J1411</f>
        <v>25488</v>
      </c>
      <c r="N1411" s="3">
        <f t="shared" ref="N1411:N1474" si="112">G1411*H1411</f>
        <v>5400</v>
      </c>
      <c r="O1411" s="3">
        <f t="shared" ref="O1411:O1474" si="113">IFERROR(L1411/K1411*100,0)</f>
        <v>11.72316384180791</v>
      </c>
      <c r="P1411" s="3" t="str">
        <f t="shared" ref="P1411:P1474" si="114">TEXT(B1411,"mmm")</f>
        <v>Sep</v>
      </c>
      <c r="Q1411" s="3" t="str">
        <f t="shared" si="110"/>
        <v>good profit</v>
      </c>
    </row>
    <row r="1412" spans="1:17" x14ac:dyDescent="0.25">
      <c r="A1412" s="3" t="s">
        <v>1873</v>
      </c>
      <c r="B1412" s="4">
        <v>45912</v>
      </c>
      <c r="C1412" s="3" t="s">
        <v>2015</v>
      </c>
      <c r="D1412" s="3" t="s">
        <v>2035</v>
      </c>
      <c r="E1412" s="3" t="s">
        <v>2054</v>
      </c>
      <c r="F1412" s="3" t="s">
        <v>2060</v>
      </c>
      <c r="G1412" s="3">
        <v>7</v>
      </c>
      <c r="H1412" s="3">
        <v>900</v>
      </c>
      <c r="I1412" s="3">
        <v>1170</v>
      </c>
      <c r="J1412" s="3">
        <v>0</v>
      </c>
      <c r="K1412" s="3">
        <v>8190</v>
      </c>
      <c r="L1412" s="3">
        <v>1890</v>
      </c>
      <c r="M1412" s="3">
        <f t="shared" si="111"/>
        <v>0</v>
      </c>
      <c r="N1412" s="3">
        <f t="shared" si="112"/>
        <v>6300</v>
      </c>
      <c r="O1412" s="3">
        <f t="shared" si="113"/>
        <v>23.076923076923077</v>
      </c>
      <c r="P1412" s="3" t="str">
        <f t="shared" si="114"/>
        <v>Sep</v>
      </c>
      <c r="Q1412" s="3" t="str">
        <f t="shared" si="110"/>
        <v>good profit</v>
      </c>
    </row>
    <row r="1413" spans="1:17" x14ac:dyDescent="0.25">
      <c r="A1413" s="3" t="s">
        <v>99</v>
      </c>
      <c r="B1413" s="4">
        <v>45913</v>
      </c>
      <c r="C1413" s="3" t="s">
        <v>2023</v>
      </c>
      <c r="D1413" s="3" t="s">
        <v>2043</v>
      </c>
      <c r="E1413" s="3" t="s">
        <v>2053</v>
      </c>
      <c r="F1413" s="3" t="s">
        <v>2059</v>
      </c>
      <c r="G1413" s="3">
        <v>9</v>
      </c>
      <c r="H1413" s="3">
        <v>550</v>
      </c>
      <c r="I1413" s="3">
        <v>742.5</v>
      </c>
      <c r="J1413" s="3">
        <v>1.62</v>
      </c>
      <c r="K1413" s="3">
        <v>6574.06</v>
      </c>
      <c r="L1413" s="3">
        <v>1624.06</v>
      </c>
      <c r="M1413" s="3">
        <f t="shared" si="111"/>
        <v>10825.650000000001</v>
      </c>
      <c r="N1413" s="3">
        <f t="shared" si="112"/>
        <v>4950</v>
      </c>
      <c r="O1413" s="3">
        <f t="shared" si="113"/>
        <v>24.704064155179598</v>
      </c>
      <c r="P1413" s="3" t="str">
        <f t="shared" si="114"/>
        <v>Sep</v>
      </c>
      <c r="Q1413" s="3" t="str">
        <f t="shared" si="110"/>
        <v>good profit</v>
      </c>
    </row>
    <row r="1414" spans="1:17" x14ac:dyDescent="0.25">
      <c r="A1414" s="3" t="s">
        <v>175</v>
      </c>
      <c r="B1414" s="4">
        <v>45913</v>
      </c>
      <c r="C1414" s="3" t="s">
        <v>2021</v>
      </c>
      <c r="D1414" s="3" t="s">
        <v>2041</v>
      </c>
      <c r="E1414" s="3" t="s">
        <v>2056</v>
      </c>
      <c r="F1414" s="3" t="s">
        <v>2060</v>
      </c>
      <c r="G1414" s="3">
        <v>1</v>
      </c>
      <c r="H1414" s="3">
        <v>300</v>
      </c>
      <c r="I1414" s="3">
        <v>405</v>
      </c>
      <c r="J1414" s="3">
        <v>11.55</v>
      </c>
      <c r="K1414" s="3">
        <v>358.21</v>
      </c>
      <c r="L1414" s="3">
        <v>58.21</v>
      </c>
      <c r="M1414" s="3">
        <f t="shared" si="111"/>
        <v>4677.75</v>
      </c>
      <c r="N1414" s="3">
        <f t="shared" si="112"/>
        <v>300</v>
      </c>
      <c r="O1414" s="3">
        <f t="shared" si="113"/>
        <v>16.250244270120881</v>
      </c>
      <c r="P1414" s="3" t="str">
        <f t="shared" si="114"/>
        <v>Sep</v>
      </c>
      <c r="Q1414" s="3" t="str">
        <f t="shared" si="110"/>
        <v>good profit</v>
      </c>
    </row>
    <row r="1415" spans="1:17" x14ac:dyDescent="0.25">
      <c r="A1415" s="3" t="s">
        <v>205</v>
      </c>
      <c r="B1415" s="4">
        <v>45913</v>
      </c>
      <c r="C1415" s="3" t="s">
        <v>2028</v>
      </c>
      <c r="D1415" s="3" t="s">
        <v>2048</v>
      </c>
      <c r="E1415" s="3" t="s">
        <v>2057</v>
      </c>
      <c r="F1415" s="3" t="s">
        <v>2060</v>
      </c>
      <c r="G1415" s="3">
        <v>4</v>
      </c>
      <c r="H1415" s="3">
        <v>80</v>
      </c>
      <c r="I1415" s="3">
        <v>116</v>
      </c>
      <c r="J1415" s="3">
        <v>0.22</v>
      </c>
      <c r="K1415" s="3">
        <v>462.99</v>
      </c>
      <c r="L1415" s="3">
        <v>142.99</v>
      </c>
      <c r="M1415" s="3">
        <f t="shared" si="111"/>
        <v>102.08</v>
      </c>
      <c r="N1415" s="3">
        <f t="shared" si="112"/>
        <v>320</v>
      </c>
      <c r="O1415" s="3">
        <f t="shared" si="113"/>
        <v>30.884036372275858</v>
      </c>
      <c r="P1415" s="3" t="str">
        <f t="shared" si="114"/>
        <v>Sep</v>
      </c>
      <c r="Q1415" s="3" t="str">
        <f t="shared" si="110"/>
        <v>good profit</v>
      </c>
    </row>
    <row r="1416" spans="1:17" x14ac:dyDescent="0.25">
      <c r="A1416" s="3" t="s">
        <v>283</v>
      </c>
      <c r="B1416" s="4">
        <v>45913</v>
      </c>
      <c r="C1416" s="3" t="s">
        <v>2022</v>
      </c>
      <c r="D1416" s="3" t="s">
        <v>2042</v>
      </c>
      <c r="E1416" s="3" t="s">
        <v>2053</v>
      </c>
      <c r="F1416" s="3" t="s">
        <v>2062</v>
      </c>
      <c r="G1416" s="3">
        <v>2</v>
      </c>
      <c r="H1416" s="3">
        <v>8500</v>
      </c>
      <c r="I1416" s="3">
        <v>9520</v>
      </c>
      <c r="J1416" s="3">
        <v>19.850000000000001</v>
      </c>
      <c r="K1416" s="3">
        <v>15260.51</v>
      </c>
      <c r="L1416" s="3">
        <v>-1739.49</v>
      </c>
      <c r="M1416" s="3">
        <f t="shared" si="111"/>
        <v>377944</v>
      </c>
      <c r="N1416" s="3">
        <f t="shared" si="112"/>
        <v>17000</v>
      </c>
      <c r="O1416" s="3">
        <f t="shared" si="113"/>
        <v>-11.398636087522632</v>
      </c>
      <c r="P1416" s="3" t="str">
        <f t="shared" si="114"/>
        <v>Sep</v>
      </c>
      <c r="Q1416" s="3" t="str">
        <f t="shared" si="110"/>
        <v>loss</v>
      </c>
    </row>
    <row r="1417" spans="1:17" x14ac:dyDescent="0.25">
      <c r="A1417" s="3" t="s">
        <v>344</v>
      </c>
      <c r="B1417" s="4">
        <v>45913</v>
      </c>
      <c r="C1417" s="3" t="s">
        <v>2020</v>
      </c>
      <c r="D1417" s="3" t="s">
        <v>2040</v>
      </c>
      <c r="E1417" s="3" t="s">
        <v>2053</v>
      </c>
      <c r="F1417" s="3" t="s">
        <v>2060</v>
      </c>
      <c r="G1417" s="3">
        <v>4</v>
      </c>
      <c r="H1417" s="3">
        <v>350</v>
      </c>
      <c r="I1417" s="3">
        <v>455</v>
      </c>
      <c r="J1417" s="3">
        <v>7.08</v>
      </c>
      <c r="K1417" s="3">
        <v>1691.07</v>
      </c>
      <c r="L1417" s="3">
        <v>291.07</v>
      </c>
      <c r="M1417" s="3">
        <f t="shared" si="111"/>
        <v>12885.6</v>
      </c>
      <c r="N1417" s="3">
        <f t="shared" si="112"/>
        <v>1400</v>
      </c>
      <c r="O1417" s="3">
        <f t="shared" si="113"/>
        <v>17.212179271112372</v>
      </c>
      <c r="P1417" s="3" t="str">
        <f t="shared" si="114"/>
        <v>Sep</v>
      </c>
      <c r="Q1417" s="3" t="str">
        <f t="shared" si="110"/>
        <v>good profit</v>
      </c>
    </row>
    <row r="1418" spans="1:17" x14ac:dyDescent="0.25">
      <c r="A1418" s="3" t="s">
        <v>1453</v>
      </c>
      <c r="B1418" s="4">
        <v>45913</v>
      </c>
      <c r="C1418" s="3" t="s">
        <v>2029</v>
      </c>
      <c r="D1418" s="3" t="s">
        <v>2049</v>
      </c>
      <c r="E1418" s="3" t="s">
        <v>2055</v>
      </c>
      <c r="F1418" s="3" t="s">
        <v>2061</v>
      </c>
      <c r="G1418" s="3">
        <v>9</v>
      </c>
      <c r="H1418" s="3">
        <v>1200</v>
      </c>
      <c r="I1418" s="3">
        <v>1464</v>
      </c>
      <c r="J1418" s="3">
        <v>14.98</v>
      </c>
      <c r="K1418" s="3">
        <v>11201.68</v>
      </c>
      <c r="L1418" s="3">
        <v>401.68</v>
      </c>
      <c r="M1418" s="3">
        <f t="shared" si="111"/>
        <v>197376.48</v>
      </c>
      <c r="N1418" s="3">
        <f t="shared" si="112"/>
        <v>10800</v>
      </c>
      <c r="O1418" s="3">
        <f t="shared" si="113"/>
        <v>3.5858906878253971</v>
      </c>
      <c r="P1418" s="3" t="str">
        <f t="shared" si="114"/>
        <v>Sep</v>
      </c>
      <c r="Q1418" s="3" t="str">
        <f t="shared" si="110"/>
        <v>low profit</v>
      </c>
    </row>
    <row r="1419" spans="1:17" x14ac:dyDescent="0.25">
      <c r="A1419" s="3" t="s">
        <v>1775</v>
      </c>
      <c r="B1419" s="4">
        <v>45913</v>
      </c>
      <c r="C1419" s="3" t="s">
        <v>2027</v>
      </c>
      <c r="D1419" s="3" t="s">
        <v>2047</v>
      </c>
      <c r="E1419" s="3" t="s">
        <v>2053</v>
      </c>
      <c r="F1419" s="3" t="s">
        <v>2059</v>
      </c>
      <c r="G1419" s="3">
        <v>10</v>
      </c>
      <c r="H1419" s="3">
        <v>1100</v>
      </c>
      <c r="I1419" s="3">
        <v>1298</v>
      </c>
      <c r="J1419" s="3">
        <v>18.5</v>
      </c>
      <c r="K1419" s="3">
        <v>10578.58</v>
      </c>
      <c r="L1419" s="3">
        <v>-421.42</v>
      </c>
      <c r="M1419" s="3">
        <f t="shared" si="111"/>
        <v>240130</v>
      </c>
      <c r="N1419" s="3">
        <f t="shared" si="112"/>
        <v>11000</v>
      </c>
      <c r="O1419" s="3">
        <f t="shared" si="113"/>
        <v>-3.9837104791002198</v>
      </c>
      <c r="P1419" s="3" t="str">
        <f t="shared" si="114"/>
        <v>Sep</v>
      </c>
      <c r="Q1419" s="3" t="str">
        <f t="shared" si="110"/>
        <v>loss</v>
      </c>
    </row>
    <row r="1420" spans="1:17" x14ac:dyDescent="0.25">
      <c r="A1420" s="3" t="s">
        <v>922</v>
      </c>
      <c r="B1420" s="4">
        <v>45914</v>
      </c>
      <c r="C1420" s="3" t="s">
        <v>2014</v>
      </c>
      <c r="D1420" s="3" t="s">
        <v>2034</v>
      </c>
      <c r="E1420" s="3" t="s">
        <v>2052</v>
      </c>
      <c r="F1420" s="3" t="s">
        <v>2060</v>
      </c>
      <c r="G1420" s="3">
        <v>5</v>
      </c>
      <c r="H1420" s="3">
        <v>4500</v>
      </c>
      <c r="I1420" s="3">
        <v>5220</v>
      </c>
      <c r="J1420" s="3">
        <v>7.16</v>
      </c>
      <c r="K1420" s="3">
        <v>24231.599999999999</v>
      </c>
      <c r="L1420" s="3">
        <v>1731.6</v>
      </c>
      <c r="M1420" s="3">
        <f t="shared" si="111"/>
        <v>186876</v>
      </c>
      <c r="N1420" s="3">
        <f t="shared" si="112"/>
        <v>22500</v>
      </c>
      <c r="O1420" s="3">
        <f t="shared" si="113"/>
        <v>7.1460407071757537</v>
      </c>
      <c r="P1420" s="3" t="str">
        <f t="shared" si="114"/>
        <v>Sep</v>
      </c>
      <c r="Q1420" s="3" t="str">
        <f t="shared" si="110"/>
        <v>low profit</v>
      </c>
    </row>
    <row r="1421" spans="1:17" x14ac:dyDescent="0.25">
      <c r="A1421" s="3" t="s">
        <v>1298</v>
      </c>
      <c r="B1421" s="4">
        <v>45914</v>
      </c>
      <c r="C1421" s="3" t="s">
        <v>2027</v>
      </c>
      <c r="D1421" s="3" t="s">
        <v>2047</v>
      </c>
      <c r="E1421" s="3" t="s">
        <v>2053</v>
      </c>
      <c r="F1421" s="3" t="s">
        <v>2059</v>
      </c>
      <c r="G1421" s="3">
        <v>2</v>
      </c>
      <c r="H1421" s="3">
        <v>1100</v>
      </c>
      <c r="I1421" s="3">
        <v>1298</v>
      </c>
      <c r="J1421" s="3">
        <v>0</v>
      </c>
      <c r="K1421" s="3">
        <v>2596</v>
      </c>
      <c r="L1421" s="3">
        <v>396</v>
      </c>
      <c r="M1421" s="3">
        <f t="shared" si="111"/>
        <v>0</v>
      </c>
      <c r="N1421" s="3">
        <f t="shared" si="112"/>
        <v>2200</v>
      </c>
      <c r="O1421" s="3">
        <f t="shared" si="113"/>
        <v>15.254237288135593</v>
      </c>
      <c r="P1421" s="3" t="str">
        <f t="shared" si="114"/>
        <v>Sep</v>
      </c>
      <c r="Q1421" s="3" t="str">
        <f t="shared" si="110"/>
        <v>good profit</v>
      </c>
    </row>
    <row r="1422" spans="1:17" x14ac:dyDescent="0.25">
      <c r="A1422" s="3" t="s">
        <v>1757</v>
      </c>
      <c r="B1422" s="4">
        <v>45914</v>
      </c>
      <c r="C1422" s="3" t="s">
        <v>2029</v>
      </c>
      <c r="D1422" s="3" t="s">
        <v>2049</v>
      </c>
      <c r="E1422" s="3" t="s">
        <v>2055</v>
      </c>
      <c r="F1422" s="3" t="s">
        <v>2060</v>
      </c>
      <c r="G1422" s="3">
        <v>4</v>
      </c>
      <c r="H1422" s="3">
        <v>1200</v>
      </c>
      <c r="I1422" s="3">
        <v>1464</v>
      </c>
      <c r="J1422" s="3">
        <v>18.600000000000001</v>
      </c>
      <c r="K1422" s="3">
        <v>4766.59</v>
      </c>
      <c r="L1422" s="3">
        <v>-33.409999999999997</v>
      </c>
      <c r="M1422" s="3">
        <f t="shared" si="111"/>
        <v>108921.60000000001</v>
      </c>
      <c r="N1422" s="3">
        <f t="shared" si="112"/>
        <v>4800</v>
      </c>
      <c r="O1422" s="3">
        <f t="shared" si="113"/>
        <v>-0.70092036445341421</v>
      </c>
      <c r="P1422" s="3" t="str">
        <f t="shared" si="114"/>
        <v>Sep</v>
      </c>
      <c r="Q1422" s="3" t="str">
        <f t="shared" si="110"/>
        <v>loss</v>
      </c>
    </row>
    <row r="1423" spans="1:17" x14ac:dyDescent="0.25">
      <c r="A1423" s="3" t="s">
        <v>62</v>
      </c>
      <c r="B1423" s="4">
        <v>45915</v>
      </c>
      <c r="C1423" s="3" t="s">
        <v>2016</v>
      </c>
      <c r="D1423" s="3" t="s">
        <v>2036</v>
      </c>
      <c r="E1423" s="3" t="s">
        <v>2052</v>
      </c>
      <c r="F1423" s="3" t="s">
        <v>2062</v>
      </c>
      <c r="G1423" s="3">
        <v>1</v>
      </c>
      <c r="H1423" s="3">
        <v>900</v>
      </c>
      <c r="I1423" s="3">
        <v>1170</v>
      </c>
      <c r="J1423" s="3">
        <v>12.18</v>
      </c>
      <c r="K1423" s="3">
        <v>1027.49</v>
      </c>
      <c r="L1423" s="3">
        <v>127.49</v>
      </c>
      <c r="M1423" s="3">
        <f t="shared" si="111"/>
        <v>14250.6</v>
      </c>
      <c r="N1423" s="3">
        <f t="shared" si="112"/>
        <v>900</v>
      </c>
      <c r="O1423" s="3">
        <f t="shared" si="113"/>
        <v>12.407906646293394</v>
      </c>
      <c r="P1423" s="3" t="str">
        <f t="shared" si="114"/>
        <v>Sep</v>
      </c>
      <c r="Q1423" s="3" t="str">
        <f t="shared" si="110"/>
        <v>good profit</v>
      </c>
    </row>
    <row r="1424" spans="1:17" x14ac:dyDescent="0.25">
      <c r="A1424" s="3" t="s">
        <v>301</v>
      </c>
      <c r="B1424" s="4">
        <v>45915</v>
      </c>
      <c r="C1424" s="3" t="s">
        <v>2019</v>
      </c>
      <c r="D1424" s="3" t="s">
        <v>2039</v>
      </c>
      <c r="E1424" s="3" t="s">
        <v>2053</v>
      </c>
      <c r="F1424" s="3" t="s">
        <v>2062</v>
      </c>
      <c r="G1424" s="3">
        <v>1</v>
      </c>
      <c r="H1424" s="3">
        <v>900</v>
      </c>
      <c r="I1424" s="3">
        <v>1152</v>
      </c>
      <c r="J1424" s="3">
        <v>11.54</v>
      </c>
      <c r="K1424" s="3">
        <v>1019.08</v>
      </c>
      <c r="L1424" s="3">
        <v>119.08</v>
      </c>
      <c r="M1424" s="3">
        <f t="shared" si="111"/>
        <v>13294.079999999998</v>
      </c>
      <c r="N1424" s="3">
        <f t="shared" si="112"/>
        <v>900</v>
      </c>
      <c r="O1424" s="3">
        <f t="shared" si="113"/>
        <v>11.685049260116967</v>
      </c>
      <c r="P1424" s="3" t="str">
        <f t="shared" si="114"/>
        <v>Sep</v>
      </c>
      <c r="Q1424" s="3" t="str">
        <f t="shared" si="110"/>
        <v>good profit</v>
      </c>
    </row>
    <row r="1425" spans="1:17" x14ac:dyDescent="0.25">
      <c r="A1425" s="3" t="s">
        <v>353</v>
      </c>
      <c r="B1425" s="4">
        <v>45915</v>
      </c>
      <c r="C1425" s="3" t="s">
        <v>2027</v>
      </c>
      <c r="D1425" s="3" t="s">
        <v>2047</v>
      </c>
      <c r="E1425" s="3" t="s">
        <v>2053</v>
      </c>
      <c r="F1425" s="3" t="s">
        <v>2059</v>
      </c>
      <c r="G1425" s="3">
        <v>4</v>
      </c>
      <c r="H1425" s="3">
        <v>1100</v>
      </c>
      <c r="I1425" s="3">
        <v>1298</v>
      </c>
      <c r="J1425" s="3">
        <v>22.25</v>
      </c>
      <c r="K1425" s="3">
        <v>4036.56</v>
      </c>
      <c r="L1425" s="3">
        <v>-363.44</v>
      </c>
      <c r="M1425" s="3">
        <f t="shared" si="111"/>
        <v>115522</v>
      </c>
      <c r="N1425" s="3">
        <f t="shared" si="112"/>
        <v>4400</v>
      </c>
      <c r="O1425" s="3">
        <f t="shared" si="113"/>
        <v>-9.003706126008284</v>
      </c>
      <c r="P1425" s="3" t="str">
        <f t="shared" si="114"/>
        <v>Sep</v>
      </c>
      <c r="Q1425" s="3" t="str">
        <f t="shared" si="110"/>
        <v>loss</v>
      </c>
    </row>
    <row r="1426" spans="1:17" x14ac:dyDescent="0.25">
      <c r="A1426" s="3" t="s">
        <v>1022</v>
      </c>
      <c r="B1426" s="4">
        <v>45915</v>
      </c>
      <c r="C1426" s="3" t="s">
        <v>2023</v>
      </c>
      <c r="D1426" s="3" t="s">
        <v>2043</v>
      </c>
      <c r="E1426" s="3" t="s">
        <v>2053</v>
      </c>
      <c r="F1426" s="3" t="s">
        <v>2060</v>
      </c>
      <c r="G1426" s="3">
        <v>4</v>
      </c>
      <c r="H1426" s="3">
        <v>550</v>
      </c>
      <c r="I1426" s="3">
        <v>742.5</v>
      </c>
      <c r="J1426" s="3">
        <v>12.67</v>
      </c>
      <c r="K1426" s="3">
        <v>2593.71</v>
      </c>
      <c r="L1426" s="3">
        <v>393.71</v>
      </c>
      <c r="M1426" s="3">
        <f t="shared" si="111"/>
        <v>37629.9</v>
      </c>
      <c r="N1426" s="3">
        <f t="shared" si="112"/>
        <v>2200</v>
      </c>
      <c r="O1426" s="3">
        <f t="shared" si="113"/>
        <v>15.179414815071846</v>
      </c>
      <c r="P1426" s="3" t="str">
        <f t="shared" si="114"/>
        <v>Sep</v>
      </c>
      <c r="Q1426" s="3" t="str">
        <f t="shared" si="110"/>
        <v>good profit</v>
      </c>
    </row>
    <row r="1427" spans="1:17" x14ac:dyDescent="0.25">
      <c r="A1427" s="3" t="s">
        <v>1044</v>
      </c>
      <c r="B1427" s="4">
        <v>45915</v>
      </c>
      <c r="C1427" s="3" t="s">
        <v>2017</v>
      </c>
      <c r="D1427" s="3" t="s">
        <v>2037</v>
      </c>
      <c r="E1427" s="3" t="s">
        <v>2055</v>
      </c>
      <c r="F1427" s="3" t="s">
        <v>2062</v>
      </c>
      <c r="G1427" s="3">
        <v>5</v>
      </c>
      <c r="H1427" s="3">
        <v>2500</v>
      </c>
      <c r="I1427" s="3">
        <v>2875</v>
      </c>
      <c r="J1427" s="3">
        <v>7.49</v>
      </c>
      <c r="K1427" s="3">
        <v>13298.19</v>
      </c>
      <c r="L1427" s="3">
        <v>798.19</v>
      </c>
      <c r="M1427" s="3">
        <f t="shared" si="111"/>
        <v>107668.75</v>
      </c>
      <c r="N1427" s="3">
        <f t="shared" si="112"/>
        <v>12500</v>
      </c>
      <c r="O1427" s="3">
        <f t="shared" si="113"/>
        <v>6.0022454183614471</v>
      </c>
      <c r="P1427" s="3" t="str">
        <f t="shared" si="114"/>
        <v>Sep</v>
      </c>
      <c r="Q1427" s="3" t="str">
        <f t="shared" si="110"/>
        <v>low profit</v>
      </c>
    </row>
    <row r="1428" spans="1:17" x14ac:dyDescent="0.25">
      <c r="A1428" s="3" t="s">
        <v>1506</v>
      </c>
      <c r="B1428" s="4">
        <v>45915</v>
      </c>
      <c r="C1428" s="3" t="s">
        <v>2022</v>
      </c>
      <c r="D1428" s="3" t="s">
        <v>2042</v>
      </c>
      <c r="E1428" s="3" t="s">
        <v>2053</v>
      </c>
      <c r="F1428" s="3" t="s">
        <v>2062</v>
      </c>
      <c r="G1428" s="3">
        <v>4</v>
      </c>
      <c r="H1428" s="3">
        <v>8500</v>
      </c>
      <c r="I1428" s="3">
        <v>9520</v>
      </c>
      <c r="J1428" s="3">
        <v>18.670000000000002</v>
      </c>
      <c r="K1428" s="3">
        <v>30971.42</v>
      </c>
      <c r="L1428" s="3">
        <v>-3028.58</v>
      </c>
      <c r="M1428" s="3">
        <f t="shared" si="111"/>
        <v>710953.60000000009</v>
      </c>
      <c r="N1428" s="3">
        <f t="shared" si="112"/>
        <v>34000</v>
      </c>
      <c r="O1428" s="3">
        <f t="shared" si="113"/>
        <v>-9.7786281675170219</v>
      </c>
      <c r="P1428" s="3" t="str">
        <f t="shared" si="114"/>
        <v>Sep</v>
      </c>
      <c r="Q1428" s="3" t="str">
        <f t="shared" si="110"/>
        <v>loss</v>
      </c>
    </row>
    <row r="1429" spans="1:17" x14ac:dyDescent="0.25">
      <c r="A1429" s="3" t="s">
        <v>500</v>
      </c>
      <c r="B1429" s="4">
        <v>45916</v>
      </c>
      <c r="C1429" s="3" t="s">
        <v>2018</v>
      </c>
      <c r="D1429" s="3" t="s">
        <v>2038</v>
      </c>
      <c r="E1429" s="3" t="s">
        <v>2053</v>
      </c>
      <c r="F1429" s="3" t="s">
        <v>2062</v>
      </c>
      <c r="G1429" s="3">
        <v>10</v>
      </c>
      <c r="H1429" s="3">
        <v>500</v>
      </c>
      <c r="I1429" s="3">
        <v>610</v>
      </c>
      <c r="J1429" s="3">
        <v>0</v>
      </c>
      <c r="K1429" s="3">
        <v>6100</v>
      </c>
      <c r="L1429" s="3">
        <v>1100</v>
      </c>
      <c r="M1429" s="3">
        <f t="shared" si="111"/>
        <v>0</v>
      </c>
      <c r="N1429" s="3">
        <f t="shared" si="112"/>
        <v>5000</v>
      </c>
      <c r="O1429" s="3">
        <f t="shared" si="113"/>
        <v>18.032786885245901</v>
      </c>
      <c r="P1429" s="3" t="str">
        <f t="shared" si="114"/>
        <v>Sep</v>
      </c>
      <c r="Q1429" s="3" t="str">
        <f t="shared" si="110"/>
        <v>good profit</v>
      </c>
    </row>
    <row r="1430" spans="1:17" x14ac:dyDescent="0.25">
      <c r="A1430" s="3" t="s">
        <v>691</v>
      </c>
      <c r="B1430" s="4">
        <v>45916</v>
      </c>
      <c r="C1430" s="3" t="s">
        <v>2025</v>
      </c>
      <c r="D1430" s="3" t="s">
        <v>2045</v>
      </c>
      <c r="E1430" s="3" t="s">
        <v>2057</v>
      </c>
      <c r="F1430" s="3" t="s">
        <v>2059</v>
      </c>
      <c r="G1430" s="3">
        <v>6</v>
      </c>
      <c r="H1430" s="3">
        <v>45</v>
      </c>
      <c r="I1430" s="3">
        <v>63</v>
      </c>
      <c r="J1430" s="3">
        <v>8.61</v>
      </c>
      <c r="K1430" s="3">
        <v>345.44</v>
      </c>
      <c r="L1430" s="3">
        <v>75.44</v>
      </c>
      <c r="M1430" s="3">
        <f t="shared" si="111"/>
        <v>3254.58</v>
      </c>
      <c r="N1430" s="3">
        <f t="shared" si="112"/>
        <v>270</v>
      </c>
      <c r="O1430" s="3">
        <f t="shared" si="113"/>
        <v>21.838814265863824</v>
      </c>
      <c r="P1430" s="3" t="str">
        <f t="shared" si="114"/>
        <v>Sep</v>
      </c>
      <c r="Q1430" s="3" t="str">
        <f t="shared" si="110"/>
        <v>good profit</v>
      </c>
    </row>
    <row r="1431" spans="1:17" x14ac:dyDescent="0.25">
      <c r="A1431" s="3" t="s">
        <v>1035</v>
      </c>
      <c r="B1431" s="4">
        <v>45916</v>
      </c>
      <c r="C1431" s="3" t="s">
        <v>2012</v>
      </c>
      <c r="D1431" s="3" t="s">
        <v>2032</v>
      </c>
      <c r="E1431" s="3" t="s">
        <v>2052</v>
      </c>
      <c r="F1431" s="3" t="s">
        <v>2060</v>
      </c>
      <c r="G1431" s="3">
        <v>3</v>
      </c>
      <c r="H1431" s="3">
        <v>6500</v>
      </c>
      <c r="I1431" s="3">
        <v>8125</v>
      </c>
      <c r="J1431" s="3">
        <v>17.739999999999998</v>
      </c>
      <c r="K1431" s="3">
        <v>20050.939999999999</v>
      </c>
      <c r="L1431" s="3">
        <v>550.94000000000005</v>
      </c>
      <c r="M1431" s="3">
        <f t="shared" si="111"/>
        <v>432412.49999999994</v>
      </c>
      <c r="N1431" s="3">
        <f t="shared" si="112"/>
        <v>19500</v>
      </c>
      <c r="O1431" s="3">
        <f t="shared" si="113"/>
        <v>2.7477016040145754</v>
      </c>
      <c r="P1431" s="3" t="str">
        <f t="shared" si="114"/>
        <v>Sep</v>
      </c>
      <c r="Q1431" s="3" t="str">
        <f t="shared" si="110"/>
        <v>low profit</v>
      </c>
    </row>
    <row r="1432" spans="1:17" x14ac:dyDescent="0.25">
      <c r="A1432" s="3" t="s">
        <v>1312</v>
      </c>
      <c r="B1432" s="4">
        <v>45916</v>
      </c>
      <c r="C1432" s="3" t="s">
        <v>2028</v>
      </c>
      <c r="D1432" s="3" t="s">
        <v>2048</v>
      </c>
      <c r="E1432" s="3" t="s">
        <v>2057</v>
      </c>
      <c r="F1432" s="3" t="s">
        <v>2061</v>
      </c>
      <c r="G1432" s="3">
        <v>6</v>
      </c>
      <c r="H1432" s="3">
        <v>80</v>
      </c>
      <c r="I1432" s="3">
        <v>116</v>
      </c>
      <c r="J1432" s="3">
        <v>8.32</v>
      </c>
      <c r="K1432" s="3">
        <v>638.1</v>
      </c>
      <c r="L1432" s="3">
        <v>158.1</v>
      </c>
      <c r="M1432" s="3">
        <f t="shared" si="111"/>
        <v>5790.72</v>
      </c>
      <c r="N1432" s="3">
        <f t="shared" si="112"/>
        <v>480</v>
      </c>
      <c r="O1432" s="3">
        <f t="shared" si="113"/>
        <v>24.776680771039018</v>
      </c>
      <c r="P1432" s="3" t="str">
        <f t="shared" si="114"/>
        <v>Sep</v>
      </c>
      <c r="Q1432" s="3" t="str">
        <f t="shared" si="110"/>
        <v>good profit</v>
      </c>
    </row>
    <row r="1433" spans="1:17" x14ac:dyDescent="0.25">
      <c r="A1433" s="3" t="s">
        <v>158</v>
      </c>
      <c r="B1433" s="4">
        <v>45917</v>
      </c>
      <c r="C1433" s="3" t="s">
        <v>2028</v>
      </c>
      <c r="D1433" s="3" t="s">
        <v>2048</v>
      </c>
      <c r="E1433" s="3" t="s">
        <v>2057</v>
      </c>
      <c r="F1433" s="3" t="s">
        <v>2060</v>
      </c>
      <c r="G1433" s="3">
        <v>6</v>
      </c>
      <c r="H1433" s="3">
        <v>80</v>
      </c>
      <c r="I1433" s="3">
        <v>116</v>
      </c>
      <c r="J1433" s="3">
        <v>21.24</v>
      </c>
      <c r="K1433" s="3">
        <v>548.14</v>
      </c>
      <c r="L1433" s="3">
        <v>68.14</v>
      </c>
      <c r="M1433" s="3">
        <f t="shared" si="111"/>
        <v>14783.039999999999</v>
      </c>
      <c r="N1433" s="3">
        <f t="shared" si="112"/>
        <v>480</v>
      </c>
      <c r="O1433" s="3">
        <f t="shared" si="113"/>
        <v>12.431130733024411</v>
      </c>
      <c r="P1433" s="3" t="str">
        <f t="shared" si="114"/>
        <v>Sep</v>
      </c>
      <c r="Q1433" s="3" t="str">
        <f t="shared" si="110"/>
        <v>good profit</v>
      </c>
    </row>
    <row r="1434" spans="1:17" x14ac:dyDescent="0.25">
      <c r="A1434" s="3" t="s">
        <v>159</v>
      </c>
      <c r="B1434" s="4">
        <v>45917</v>
      </c>
      <c r="C1434" s="3" t="s">
        <v>2019</v>
      </c>
      <c r="D1434" s="3" t="s">
        <v>2039</v>
      </c>
      <c r="E1434" s="3" t="s">
        <v>2053</v>
      </c>
      <c r="F1434" s="3" t="s">
        <v>2062</v>
      </c>
      <c r="G1434" s="3">
        <v>10</v>
      </c>
      <c r="H1434" s="3">
        <v>900</v>
      </c>
      <c r="I1434" s="3">
        <v>1152</v>
      </c>
      <c r="J1434" s="3">
        <v>11.13</v>
      </c>
      <c r="K1434" s="3">
        <v>10237.709999999999</v>
      </c>
      <c r="L1434" s="3">
        <v>1237.71</v>
      </c>
      <c r="M1434" s="3">
        <f t="shared" si="111"/>
        <v>128217.60000000001</v>
      </c>
      <c r="N1434" s="3">
        <f t="shared" si="112"/>
        <v>9000</v>
      </c>
      <c r="O1434" s="3">
        <f t="shared" si="113"/>
        <v>12.089715375801816</v>
      </c>
      <c r="P1434" s="3" t="str">
        <f t="shared" si="114"/>
        <v>Sep</v>
      </c>
      <c r="Q1434" s="3" t="str">
        <f t="shared" si="110"/>
        <v>good profit</v>
      </c>
    </row>
    <row r="1435" spans="1:17" x14ac:dyDescent="0.25">
      <c r="A1435" s="3" t="s">
        <v>430</v>
      </c>
      <c r="B1435" s="4">
        <v>45917</v>
      </c>
      <c r="C1435" s="3" t="s">
        <v>2015</v>
      </c>
      <c r="D1435" s="3" t="s">
        <v>2035</v>
      </c>
      <c r="E1435" s="3" t="s">
        <v>2054</v>
      </c>
      <c r="F1435" s="3" t="s">
        <v>2061</v>
      </c>
      <c r="G1435" s="3">
        <v>8</v>
      </c>
      <c r="H1435" s="3">
        <v>900</v>
      </c>
      <c r="I1435" s="3">
        <v>1170</v>
      </c>
      <c r="J1435" s="3">
        <v>14.69</v>
      </c>
      <c r="K1435" s="3">
        <v>7985.1</v>
      </c>
      <c r="L1435" s="3">
        <v>785.1</v>
      </c>
      <c r="M1435" s="3">
        <f t="shared" si="111"/>
        <v>137498.4</v>
      </c>
      <c r="N1435" s="3">
        <f t="shared" si="112"/>
        <v>7200</v>
      </c>
      <c r="O1435" s="3">
        <f t="shared" si="113"/>
        <v>9.8320622158770714</v>
      </c>
      <c r="P1435" s="3" t="str">
        <f t="shared" si="114"/>
        <v>Sep</v>
      </c>
      <c r="Q1435" s="3" t="str">
        <f t="shared" si="110"/>
        <v>low profit</v>
      </c>
    </row>
    <row r="1436" spans="1:17" x14ac:dyDescent="0.25">
      <c r="A1436" s="3" t="s">
        <v>484</v>
      </c>
      <c r="B1436" s="4">
        <v>45917</v>
      </c>
      <c r="C1436" s="3" t="s">
        <v>2018</v>
      </c>
      <c r="D1436" s="3" t="s">
        <v>2038</v>
      </c>
      <c r="E1436" s="3" t="s">
        <v>2053</v>
      </c>
      <c r="F1436" s="3" t="s">
        <v>2060</v>
      </c>
      <c r="G1436" s="3">
        <v>10</v>
      </c>
      <c r="H1436" s="3">
        <v>500</v>
      </c>
      <c r="I1436" s="3">
        <v>610</v>
      </c>
      <c r="J1436" s="3">
        <v>6.19</v>
      </c>
      <c r="K1436" s="3">
        <v>5722.44</v>
      </c>
      <c r="L1436" s="3">
        <v>722.44</v>
      </c>
      <c r="M1436" s="3">
        <f t="shared" si="111"/>
        <v>37759</v>
      </c>
      <c r="N1436" s="3">
        <f t="shared" si="112"/>
        <v>5000</v>
      </c>
      <c r="O1436" s="3">
        <f t="shared" si="113"/>
        <v>12.624684575111317</v>
      </c>
      <c r="P1436" s="3" t="str">
        <f t="shared" si="114"/>
        <v>Sep</v>
      </c>
      <c r="Q1436" s="3" t="str">
        <f t="shared" si="110"/>
        <v>good profit</v>
      </c>
    </row>
    <row r="1437" spans="1:17" x14ac:dyDescent="0.25">
      <c r="A1437" s="3" t="s">
        <v>523</v>
      </c>
      <c r="B1437" s="4">
        <v>45917</v>
      </c>
      <c r="C1437" s="3" t="s">
        <v>2025</v>
      </c>
      <c r="D1437" s="3" t="s">
        <v>2045</v>
      </c>
      <c r="E1437" s="3" t="s">
        <v>2057</v>
      </c>
      <c r="F1437" s="3" t="s">
        <v>2059</v>
      </c>
      <c r="G1437" s="3">
        <v>1</v>
      </c>
      <c r="H1437" s="3">
        <v>45</v>
      </c>
      <c r="I1437" s="3">
        <v>63</v>
      </c>
      <c r="J1437" s="3">
        <v>20.47</v>
      </c>
      <c r="K1437" s="3">
        <v>50.1</v>
      </c>
      <c r="L1437" s="3">
        <v>5.0999999999999996</v>
      </c>
      <c r="M1437" s="3">
        <f t="shared" si="111"/>
        <v>1289.6099999999999</v>
      </c>
      <c r="N1437" s="3">
        <f t="shared" si="112"/>
        <v>45</v>
      </c>
      <c r="O1437" s="3">
        <f t="shared" si="113"/>
        <v>10.179640718562872</v>
      </c>
      <c r="P1437" s="3" t="str">
        <f t="shared" si="114"/>
        <v>Sep</v>
      </c>
      <c r="Q1437" s="3" t="str">
        <f t="shared" si="110"/>
        <v>good profit</v>
      </c>
    </row>
    <row r="1438" spans="1:17" x14ac:dyDescent="0.25">
      <c r="A1438" s="3" t="s">
        <v>703</v>
      </c>
      <c r="B1438" s="4">
        <v>45917</v>
      </c>
      <c r="C1438" s="3" t="s">
        <v>2026</v>
      </c>
      <c r="D1438" s="3" t="s">
        <v>2046</v>
      </c>
      <c r="E1438" s="3" t="s">
        <v>2052</v>
      </c>
      <c r="F1438" s="3" t="s">
        <v>2059</v>
      </c>
      <c r="G1438" s="3">
        <v>4</v>
      </c>
      <c r="H1438" s="3">
        <v>3000</v>
      </c>
      <c r="I1438" s="3">
        <v>3600</v>
      </c>
      <c r="J1438" s="3">
        <v>4</v>
      </c>
      <c r="K1438" s="3">
        <v>13824</v>
      </c>
      <c r="L1438" s="3">
        <v>1824</v>
      </c>
      <c r="M1438" s="3">
        <f t="shared" si="111"/>
        <v>57600</v>
      </c>
      <c r="N1438" s="3">
        <f t="shared" si="112"/>
        <v>12000</v>
      </c>
      <c r="O1438" s="3">
        <f t="shared" si="113"/>
        <v>13.194444444444445</v>
      </c>
      <c r="P1438" s="3" t="str">
        <f t="shared" si="114"/>
        <v>Sep</v>
      </c>
      <c r="Q1438" s="3" t="str">
        <f t="shared" si="110"/>
        <v>good profit</v>
      </c>
    </row>
    <row r="1439" spans="1:17" x14ac:dyDescent="0.25">
      <c r="A1439" s="3" t="s">
        <v>718</v>
      </c>
      <c r="B1439" s="4">
        <v>45917</v>
      </c>
      <c r="C1439" s="3" t="s">
        <v>2017</v>
      </c>
      <c r="D1439" s="3" t="s">
        <v>2037</v>
      </c>
      <c r="E1439" s="3" t="s">
        <v>2055</v>
      </c>
      <c r="F1439" s="3" t="s">
        <v>2060</v>
      </c>
      <c r="G1439" s="3">
        <v>6</v>
      </c>
      <c r="H1439" s="3">
        <v>2500</v>
      </c>
      <c r="I1439" s="3">
        <v>2875</v>
      </c>
      <c r="J1439" s="3">
        <v>6.76</v>
      </c>
      <c r="K1439" s="3">
        <v>16084.02</v>
      </c>
      <c r="L1439" s="3">
        <v>1084.02</v>
      </c>
      <c r="M1439" s="3">
        <f t="shared" si="111"/>
        <v>116610</v>
      </c>
      <c r="N1439" s="3">
        <f t="shared" si="112"/>
        <v>15000</v>
      </c>
      <c r="O1439" s="3">
        <f t="shared" si="113"/>
        <v>6.7397329772034595</v>
      </c>
      <c r="P1439" s="3" t="str">
        <f t="shared" si="114"/>
        <v>Sep</v>
      </c>
      <c r="Q1439" s="3" t="str">
        <f t="shared" si="110"/>
        <v>low profit</v>
      </c>
    </row>
    <row r="1440" spans="1:17" x14ac:dyDescent="0.25">
      <c r="A1440" s="3" t="s">
        <v>914</v>
      </c>
      <c r="B1440" s="4">
        <v>45917</v>
      </c>
      <c r="C1440" s="3" t="s">
        <v>2022</v>
      </c>
      <c r="D1440" s="3" t="s">
        <v>2042</v>
      </c>
      <c r="E1440" s="3" t="s">
        <v>2053</v>
      </c>
      <c r="F1440" s="3" t="s">
        <v>2062</v>
      </c>
      <c r="G1440" s="3">
        <v>10</v>
      </c>
      <c r="H1440" s="3">
        <v>8500</v>
      </c>
      <c r="I1440" s="3">
        <v>9520</v>
      </c>
      <c r="J1440" s="3">
        <v>14</v>
      </c>
      <c r="K1440" s="3">
        <v>81870.52</v>
      </c>
      <c r="L1440" s="3">
        <v>-3129.48</v>
      </c>
      <c r="M1440" s="3">
        <f t="shared" si="111"/>
        <v>1332800</v>
      </c>
      <c r="N1440" s="3">
        <f t="shared" si="112"/>
        <v>85000</v>
      </c>
      <c r="O1440" s="3">
        <f t="shared" si="113"/>
        <v>-3.8224748053389672</v>
      </c>
      <c r="P1440" s="3" t="str">
        <f t="shared" si="114"/>
        <v>Sep</v>
      </c>
      <c r="Q1440" s="3" t="str">
        <f t="shared" si="110"/>
        <v>loss</v>
      </c>
    </row>
    <row r="1441" spans="1:17" x14ac:dyDescent="0.25">
      <c r="A1441" s="3" t="s">
        <v>1115</v>
      </c>
      <c r="B1441" s="4">
        <v>45917</v>
      </c>
      <c r="C1441" s="3" t="s">
        <v>2028</v>
      </c>
      <c r="D1441" s="3" t="s">
        <v>2048</v>
      </c>
      <c r="E1441" s="3" t="s">
        <v>2057</v>
      </c>
      <c r="F1441" s="3" t="s">
        <v>2062</v>
      </c>
      <c r="G1441" s="3">
        <v>5</v>
      </c>
      <c r="H1441" s="3">
        <v>80</v>
      </c>
      <c r="I1441" s="3">
        <v>116</v>
      </c>
      <c r="J1441" s="3">
        <v>3.49</v>
      </c>
      <c r="K1441" s="3">
        <v>559.74</v>
      </c>
      <c r="L1441" s="3">
        <v>159.74</v>
      </c>
      <c r="M1441" s="3">
        <f t="shared" si="111"/>
        <v>2024.2</v>
      </c>
      <c r="N1441" s="3">
        <f t="shared" si="112"/>
        <v>400</v>
      </c>
      <c r="O1441" s="3">
        <f t="shared" si="113"/>
        <v>28.538249901740091</v>
      </c>
      <c r="P1441" s="3" t="str">
        <f t="shared" si="114"/>
        <v>Sep</v>
      </c>
      <c r="Q1441" s="3" t="str">
        <f t="shared" si="110"/>
        <v>good profit</v>
      </c>
    </row>
    <row r="1442" spans="1:17" x14ac:dyDescent="0.25">
      <c r="A1442" s="3" t="s">
        <v>1234</v>
      </c>
      <c r="B1442" s="4">
        <v>45917</v>
      </c>
      <c r="C1442" s="3" t="s">
        <v>2028</v>
      </c>
      <c r="D1442" s="3" t="s">
        <v>2048</v>
      </c>
      <c r="E1442" s="3" t="s">
        <v>2057</v>
      </c>
      <c r="F1442" s="3" t="s">
        <v>2059</v>
      </c>
      <c r="G1442" s="3">
        <v>4</v>
      </c>
      <c r="H1442" s="3">
        <v>80</v>
      </c>
      <c r="I1442" s="3">
        <v>116</v>
      </c>
      <c r="J1442" s="3">
        <v>7.05</v>
      </c>
      <c r="K1442" s="3">
        <v>431.29</v>
      </c>
      <c r="L1442" s="3">
        <v>111.29</v>
      </c>
      <c r="M1442" s="3">
        <f t="shared" si="111"/>
        <v>3271.2</v>
      </c>
      <c r="N1442" s="3">
        <f t="shared" si="112"/>
        <v>320</v>
      </c>
      <c r="O1442" s="3">
        <f t="shared" si="113"/>
        <v>25.803983398641282</v>
      </c>
      <c r="P1442" s="3" t="str">
        <f t="shared" si="114"/>
        <v>Sep</v>
      </c>
      <c r="Q1442" s="3" t="str">
        <f t="shared" si="110"/>
        <v>good profit</v>
      </c>
    </row>
    <row r="1443" spans="1:17" x14ac:dyDescent="0.25">
      <c r="A1443" s="3" t="s">
        <v>1307</v>
      </c>
      <c r="B1443" s="4">
        <v>45917</v>
      </c>
      <c r="C1443" s="3" t="s">
        <v>2027</v>
      </c>
      <c r="D1443" s="3" t="s">
        <v>2047</v>
      </c>
      <c r="E1443" s="3" t="s">
        <v>2053</v>
      </c>
      <c r="F1443" s="3" t="s">
        <v>2059</v>
      </c>
      <c r="G1443" s="3">
        <v>5</v>
      </c>
      <c r="H1443" s="3">
        <v>1100</v>
      </c>
      <c r="I1443" s="3">
        <v>1298</v>
      </c>
      <c r="J1443" s="3">
        <v>12.13</v>
      </c>
      <c r="K1443" s="3">
        <v>5702.77</v>
      </c>
      <c r="L1443" s="3">
        <v>202.77</v>
      </c>
      <c r="M1443" s="3">
        <f t="shared" si="111"/>
        <v>78723.700000000012</v>
      </c>
      <c r="N1443" s="3">
        <f t="shared" si="112"/>
        <v>5500</v>
      </c>
      <c r="O1443" s="3">
        <f t="shared" si="113"/>
        <v>3.5556405045267478</v>
      </c>
      <c r="P1443" s="3" t="str">
        <f t="shared" si="114"/>
        <v>Sep</v>
      </c>
      <c r="Q1443" s="3" t="str">
        <f t="shared" si="110"/>
        <v>low profit</v>
      </c>
    </row>
    <row r="1444" spans="1:17" x14ac:dyDescent="0.25">
      <c r="A1444" s="3" t="s">
        <v>1372</v>
      </c>
      <c r="B1444" s="4">
        <v>45917</v>
      </c>
      <c r="C1444" s="3" t="s">
        <v>2028</v>
      </c>
      <c r="D1444" s="3" t="s">
        <v>2048</v>
      </c>
      <c r="E1444" s="3" t="s">
        <v>2057</v>
      </c>
      <c r="F1444" s="3" t="s">
        <v>2059</v>
      </c>
      <c r="G1444" s="3">
        <v>6</v>
      </c>
      <c r="H1444" s="3">
        <v>80</v>
      </c>
      <c r="I1444" s="3">
        <v>116</v>
      </c>
      <c r="J1444" s="3">
        <v>7.35</v>
      </c>
      <c r="K1444" s="3">
        <v>644.80999999999995</v>
      </c>
      <c r="L1444" s="3">
        <v>164.81</v>
      </c>
      <c r="M1444" s="3">
        <f t="shared" si="111"/>
        <v>5115.5999999999995</v>
      </c>
      <c r="N1444" s="3">
        <f t="shared" si="112"/>
        <v>480</v>
      </c>
      <c r="O1444" s="3">
        <f t="shared" si="113"/>
        <v>25.559467129852209</v>
      </c>
      <c r="P1444" s="3" t="str">
        <f t="shared" si="114"/>
        <v>Sep</v>
      </c>
      <c r="Q1444" s="3" t="str">
        <f t="shared" si="110"/>
        <v>good profit</v>
      </c>
    </row>
    <row r="1445" spans="1:17" x14ac:dyDescent="0.25">
      <c r="A1445" s="3" t="s">
        <v>1674</v>
      </c>
      <c r="B1445" s="4">
        <v>45917</v>
      </c>
      <c r="C1445" s="3" t="s">
        <v>2016</v>
      </c>
      <c r="D1445" s="3" t="s">
        <v>2036</v>
      </c>
      <c r="E1445" s="3" t="s">
        <v>2052</v>
      </c>
      <c r="F1445" s="3" t="s">
        <v>2060</v>
      </c>
      <c r="G1445" s="3">
        <v>3</v>
      </c>
      <c r="H1445" s="3">
        <v>900</v>
      </c>
      <c r="I1445" s="3">
        <v>1170</v>
      </c>
      <c r="J1445" s="3">
        <v>5.23</v>
      </c>
      <c r="K1445" s="3">
        <v>3326.31</v>
      </c>
      <c r="L1445" s="3">
        <v>626.30999999999995</v>
      </c>
      <c r="M1445" s="3">
        <f t="shared" si="111"/>
        <v>18357.300000000003</v>
      </c>
      <c r="N1445" s="3">
        <f t="shared" si="112"/>
        <v>2700</v>
      </c>
      <c r="O1445" s="3">
        <f t="shared" si="113"/>
        <v>18.82897264536378</v>
      </c>
      <c r="P1445" s="3" t="str">
        <f t="shared" si="114"/>
        <v>Sep</v>
      </c>
      <c r="Q1445" s="3" t="str">
        <f t="shared" si="110"/>
        <v>good profit</v>
      </c>
    </row>
    <row r="1446" spans="1:17" x14ac:dyDescent="0.25">
      <c r="A1446" s="3" t="s">
        <v>270</v>
      </c>
      <c r="B1446" s="4">
        <v>45918</v>
      </c>
      <c r="C1446" s="3" t="s">
        <v>2030</v>
      </c>
      <c r="D1446" s="3" t="s">
        <v>2050</v>
      </c>
      <c r="E1446" s="3" t="s">
        <v>2058</v>
      </c>
      <c r="F1446" s="3" t="s">
        <v>2062</v>
      </c>
      <c r="G1446" s="3">
        <v>1</v>
      </c>
      <c r="H1446" s="3">
        <v>1800</v>
      </c>
      <c r="I1446" s="3">
        <v>2124</v>
      </c>
      <c r="J1446" s="3">
        <v>12.36</v>
      </c>
      <c r="K1446" s="3">
        <v>1861.44</v>
      </c>
      <c r="L1446" s="3">
        <v>61.44</v>
      </c>
      <c r="M1446" s="3">
        <f t="shared" si="111"/>
        <v>26252.639999999999</v>
      </c>
      <c r="N1446" s="3">
        <f t="shared" si="112"/>
        <v>1800</v>
      </c>
      <c r="O1446" s="3">
        <f t="shared" si="113"/>
        <v>3.3006704486848895</v>
      </c>
      <c r="P1446" s="3" t="str">
        <f t="shared" si="114"/>
        <v>Sep</v>
      </c>
      <c r="Q1446" s="3" t="str">
        <f t="shared" si="110"/>
        <v>low profit</v>
      </c>
    </row>
    <row r="1447" spans="1:17" x14ac:dyDescent="0.25">
      <c r="A1447" s="3" t="s">
        <v>271</v>
      </c>
      <c r="B1447" s="4">
        <v>45918</v>
      </c>
      <c r="C1447" s="3" t="s">
        <v>2026</v>
      </c>
      <c r="D1447" s="3" t="s">
        <v>2046</v>
      </c>
      <c r="E1447" s="3" t="s">
        <v>2052</v>
      </c>
      <c r="F1447" s="3" t="s">
        <v>2062</v>
      </c>
      <c r="G1447" s="3">
        <v>1</v>
      </c>
      <c r="H1447" s="3">
        <v>3000</v>
      </c>
      <c r="I1447" s="3">
        <v>3600</v>
      </c>
      <c r="J1447" s="3">
        <v>9.27</v>
      </c>
      <c r="K1447" s="3">
        <v>3266.38</v>
      </c>
      <c r="L1447" s="3">
        <v>266.38</v>
      </c>
      <c r="M1447" s="3">
        <f t="shared" si="111"/>
        <v>33372</v>
      </c>
      <c r="N1447" s="3">
        <f t="shared" si="112"/>
        <v>3000</v>
      </c>
      <c r="O1447" s="3">
        <f t="shared" si="113"/>
        <v>8.1552054568053922</v>
      </c>
      <c r="P1447" s="3" t="str">
        <f t="shared" si="114"/>
        <v>Sep</v>
      </c>
      <c r="Q1447" s="3" t="str">
        <f t="shared" si="110"/>
        <v>low profit</v>
      </c>
    </row>
    <row r="1448" spans="1:17" x14ac:dyDescent="0.25">
      <c r="A1448" s="3" t="s">
        <v>385</v>
      </c>
      <c r="B1448" s="4">
        <v>45918</v>
      </c>
      <c r="C1448" s="3" t="s">
        <v>2023</v>
      </c>
      <c r="D1448" s="3" t="s">
        <v>2043</v>
      </c>
      <c r="E1448" s="3" t="s">
        <v>2053</v>
      </c>
      <c r="F1448" s="3" t="s">
        <v>2061</v>
      </c>
      <c r="G1448" s="3">
        <v>5</v>
      </c>
      <c r="H1448" s="3">
        <v>550</v>
      </c>
      <c r="I1448" s="3">
        <v>742.5</v>
      </c>
      <c r="J1448" s="3">
        <v>21.7</v>
      </c>
      <c r="K1448" s="3">
        <v>2907</v>
      </c>
      <c r="L1448" s="3">
        <v>157</v>
      </c>
      <c r="M1448" s="3">
        <f t="shared" si="111"/>
        <v>80561.25</v>
      </c>
      <c r="N1448" s="3">
        <f t="shared" si="112"/>
        <v>2750</v>
      </c>
      <c r="O1448" s="3">
        <f t="shared" si="113"/>
        <v>5.4007567939456482</v>
      </c>
      <c r="P1448" s="3" t="str">
        <f t="shared" si="114"/>
        <v>Sep</v>
      </c>
      <c r="Q1448" s="3" t="str">
        <f t="shared" si="110"/>
        <v>low profit</v>
      </c>
    </row>
    <row r="1449" spans="1:17" x14ac:dyDescent="0.25">
      <c r="A1449" s="3" t="s">
        <v>519</v>
      </c>
      <c r="B1449" s="4">
        <v>45918</v>
      </c>
      <c r="C1449" s="3" t="s">
        <v>2012</v>
      </c>
      <c r="D1449" s="3" t="s">
        <v>2032</v>
      </c>
      <c r="E1449" s="3" t="s">
        <v>2052</v>
      </c>
      <c r="F1449" s="3" t="s">
        <v>2059</v>
      </c>
      <c r="G1449" s="3">
        <v>3</v>
      </c>
      <c r="H1449" s="3">
        <v>6500</v>
      </c>
      <c r="I1449" s="3">
        <v>8125</v>
      </c>
      <c r="J1449" s="3">
        <v>16.28</v>
      </c>
      <c r="K1449" s="3">
        <v>20405.8</v>
      </c>
      <c r="L1449" s="3">
        <v>905.8</v>
      </c>
      <c r="M1449" s="3">
        <f t="shared" si="111"/>
        <v>396825</v>
      </c>
      <c r="N1449" s="3">
        <f t="shared" si="112"/>
        <v>19500</v>
      </c>
      <c r="O1449" s="3">
        <f t="shared" si="113"/>
        <v>4.4389340285605074</v>
      </c>
      <c r="P1449" s="3" t="str">
        <f t="shared" si="114"/>
        <v>Sep</v>
      </c>
      <c r="Q1449" s="3" t="str">
        <f t="shared" si="110"/>
        <v>low profit</v>
      </c>
    </row>
    <row r="1450" spans="1:17" x14ac:dyDescent="0.25">
      <c r="A1450" s="3" t="s">
        <v>71</v>
      </c>
      <c r="B1450" s="4">
        <v>45919</v>
      </c>
      <c r="C1450" s="3" t="s">
        <v>2025</v>
      </c>
      <c r="D1450" s="3" t="s">
        <v>2045</v>
      </c>
      <c r="E1450" s="3" t="s">
        <v>2057</v>
      </c>
      <c r="F1450" s="3" t="s">
        <v>2062</v>
      </c>
      <c r="G1450" s="3">
        <v>8</v>
      </c>
      <c r="H1450" s="3">
        <v>45</v>
      </c>
      <c r="I1450" s="3">
        <v>63</v>
      </c>
      <c r="J1450" s="3">
        <v>13.37</v>
      </c>
      <c r="K1450" s="3">
        <v>436.63</v>
      </c>
      <c r="L1450" s="3">
        <v>76.63</v>
      </c>
      <c r="M1450" s="3">
        <f t="shared" si="111"/>
        <v>6738.48</v>
      </c>
      <c r="N1450" s="3">
        <f t="shared" si="112"/>
        <v>360</v>
      </c>
      <c r="O1450" s="3">
        <f t="shared" si="113"/>
        <v>17.550328653551063</v>
      </c>
      <c r="P1450" s="3" t="str">
        <f t="shared" si="114"/>
        <v>Sep</v>
      </c>
      <c r="Q1450" s="3" t="str">
        <f t="shared" si="110"/>
        <v>good profit</v>
      </c>
    </row>
    <row r="1451" spans="1:17" x14ac:dyDescent="0.25">
      <c r="A1451" s="3" t="s">
        <v>665</v>
      </c>
      <c r="B1451" s="4">
        <v>45919</v>
      </c>
      <c r="C1451" s="3" t="s">
        <v>2014</v>
      </c>
      <c r="D1451" s="3" t="s">
        <v>2034</v>
      </c>
      <c r="E1451" s="3" t="s">
        <v>2052</v>
      </c>
      <c r="F1451" s="3" t="s">
        <v>2061</v>
      </c>
      <c r="G1451" s="3">
        <v>2</v>
      </c>
      <c r="H1451" s="3">
        <v>4500</v>
      </c>
      <c r="I1451" s="3">
        <v>5220</v>
      </c>
      <c r="J1451" s="3">
        <v>12.65</v>
      </c>
      <c r="K1451" s="3">
        <v>9118.8700000000008</v>
      </c>
      <c r="L1451" s="3">
        <v>118.87</v>
      </c>
      <c r="M1451" s="3">
        <f t="shared" si="111"/>
        <v>132066</v>
      </c>
      <c r="N1451" s="3">
        <f t="shared" si="112"/>
        <v>9000</v>
      </c>
      <c r="O1451" s="3">
        <f t="shared" si="113"/>
        <v>1.3035606385440301</v>
      </c>
      <c r="P1451" s="3" t="str">
        <f t="shared" si="114"/>
        <v>Sep</v>
      </c>
      <c r="Q1451" s="3" t="str">
        <f t="shared" si="110"/>
        <v>low profit</v>
      </c>
    </row>
    <row r="1452" spans="1:17" x14ac:dyDescent="0.25">
      <c r="A1452" s="3" t="s">
        <v>925</v>
      </c>
      <c r="B1452" s="4">
        <v>45919</v>
      </c>
      <c r="C1452" s="3" t="s">
        <v>2013</v>
      </c>
      <c r="D1452" s="3" t="s">
        <v>2033</v>
      </c>
      <c r="E1452" s="3" t="s">
        <v>2053</v>
      </c>
      <c r="F1452" s="3" t="s">
        <v>2062</v>
      </c>
      <c r="G1452" s="3">
        <v>8</v>
      </c>
      <c r="H1452" s="3">
        <v>6500</v>
      </c>
      <c r="I1452" s="3">
        <v>7150</v>
      </c>
      <c r="J1452" s="3">
        <v>14.57</v>
      </c>
      <c r="K1452" s="3">
        <v>48867.11</v>
      </c>
      <c r="L1452" s="3">
        <v>-3132.89</v>
      </c>
      <c r="M1452" s="3">
        <f t="shared" si="111"/>
        <v>833404</v>
      </c>
      <c r="N1452" s="3">
        <f t="shared" si="112"/>
        <v>52000</v>
      </c>
      <c r="O1452" s="3">
        <f t="shared" si="113"/>
        <v>-6.4110400635519467</v>
      </c>
      <c r="P1452" s="3" t="str">
        <f t="shared" si="114"/>
        <v>Sep</v>
      </c>
      <c r="Q1452" s="3" t="str">
        <f t="shared" si="110"/>
        <v>loss</v>
      </c>
    </row>
    <row r="1453" spans="1:17" x14ac:dyDescent="0.25">
      <c r="A1453" s="3" t="s">
        <v>931</v>
      </c>
      <c r="B1453" s="4">
        <v>45919</v>
      </c>
      <c r="C1453" s="3" t="s">
        <v>2023</v>
      </c>
      <c r="D1453" s="3" t="s">
        <v>2043</v>
      </c>
      <c r="E1453" s="3" t="s">
        <v>2053</v>
      </c>
      <c r="F1453" s="3" t="s">
        <v>2059</v>
      </c>
      <c r="G1453" s="3">
        <v>8</v>
      </c>
      <c r="H1453" s="3">
        <v>550</v>
      </c>
      <c r="I1453" s="3">
        <v>742.5</v>
      </c>
      <c r="J1453" s="3">
        <v>2.14</v>
      </c>
      <c r="K1453" s="3">
        <v>5812.79</v>
      </c>
      <c r="L1453" s="3">
        <v>1412.79</v>
      </c>
      <c r="M1453" s="3">
        <f t="shared" si="111"/>
        <v>12711.6</v>
      </c>
      <c r="N1453" s="3">
        <f t="shared" si="112"/>
        <v>4400</v>
      </c>
      <c r="O1453" s="3">
        <f t="shared" si="113"/>
        <v>24.304851886959618</v>
      </c>
      <c r="P1453" s="3" t="str">
        <f t="shared" si="114"/>
        <v>Sep</v>
      </c>
      <c r="Q1453" s="3" t="str">
        <f t="shared" si="110"/>
        <v>good profit</v>
      </c>
    </row>
    <row r="1454" spans="1:17" x14ac:dyDescent="0.25">
      <c r="A1454" s="3" t="s">
        <v>1122</v>
      </c>
      <c r="B1454" s="4">
        <v>45919</v>
      </c>
      <c r="C1454" s="3" t="s">
        <v>2025</v>
      </c>
      <c r="D1454" s="3" t="s">
        <v>2045</v>
      </c>
      <c r="E1454" s="3" t="s">
        <v>2057</v>
      </c>
      <c r="F1454" s="3" t="s">
        <v>2059</v>
      </c>
      <c r="G1454" s="3">
        <v>9</v>
      </c>
      <c r="H1454" s="3">
        <v>45</v>
      </c>
      <c r="I1454" s="3">
        <v>63</v>
      </c>
      <c r="J1454" s="3">
        <v>9.5399999999999991</v>
      </c>
      <c r="K1454" s="3">
        <v>512.9</v>
      </c>
      <c r="L1454" s="3">
        <v>107.9</v>
      </c>
      <c r="M1454" s="3">
        <f t="shared" si="111"/>
        <v>5409.1799999999994</v>
      </c>
      <c r="N1454" s="3">
        <f t="shared" si="112"/>
        <v>405</v>
      </c>
      <c r="O1454" s="3">
        <f t="shared" si="113"/>
        <v>21.037239227919674</v>
      </c>
      <c r="P1454" s="3" t="str">
        <f t="shared" si="114"/>
        <v>Sep</v>
      </c>
      <c r="Q1454" s="3" t="str">
        <f t="shared" si="110"/>
        <v>good profit</v>
      </c>
    </row>
    <row r="1455" spans="1:17" x14ac:dyDescent="0.25">
      <c r="A1455" s="3" t="s">
        <v>1910</v>
      </c>
      <c r="B1455" s="4">
        <v>45919</v>
      </c>
      <c r="C1455" s="3" t="s">
        <v>2025</v>
      </c>
      <c r="D1455" s="3" t="s">
        <v>2045</v>
      </c>
      <c r="E1455" s="3" t="s">
        <v>2057</v>
      </c>
      <c r="F1455" s="3" t="s">
        <v>2059</v>
      </c>
      <c r="G1455" s="3">
        <v>7</v>
      </c>
      <c r="H1455" s="3">
        <v>45</v>
      </c>
      <c r="I1455" s="3">
        <v>63</v>
      </c>
      <c r="J1455" s="3">
        <v>9.9499999999999993</v>
      </c>
      <c r="K1455" s="3">
        <v>397.13</v>
      </c>
      <c r="L1455" s="3">
        <v>82.13</v>
      </c>
      <c r="M1455" s="3">
        <f t="shared" si="111"/>
        <v>4387.95</v>
      </c>
      <c r="N1455" s="3">
        <f t="shared" si="112"/>
        <v>315</v>
      </c>
      <c r="O1455" s="3">
        <f t="shared" si="113"/>
        <v>20.680885352403493</v>
      </c>
      <c r="P1455" s="3" t="str">
        <f t="shared" si="114"/>
        <v>Sep</v>
      </c>
      <c r="Q1455" s="3" t="str">
        <f t="shared" si="110"/>
        <v>good profit</v>
      </c>
    </row>
    <row r="1456" spans="1:17" x14ac:dyDescent="0.25">
      <c r="A1456" s="3" t="s">
        <v>154</v>
      </c>
      <c r="B1456" s="4">
        <v>45920</v>
      </c>
      <c r="C1456" s="3" t="s">
        <v>2023</v>
      </c>
      <c r="D1456" s="3" t="s">
        <v>2043</v>
      </c>
      <c r="E1456" s="3" t="s">
        <v>2053</v>
      </c>
      <c r="F1456" s="3" t="s">
        <v>2062</v>
      </c>
      <c r="G1456" s="3">
        <v>8</v>
      </c>
      <c r="H1456" s="3">
        <v>550</v>
      </c>
      <c r="I1456" s="3">
        <v>742.5</v>
      </c>
      <c r="J1456" s="3">
        <v>15.49</v>
      </c>
      <c r="K1456" s="3">
        <v>5019.9399999999996</v>
      </c>
      <c r="L1456" s="3">
        <v>619.94000000000005</v>
      </c>
      <c r="M1456" s="3">
        <f t="shared" si="111"/>
        <v>92010.6</v>
      </c>
      <c r="N1456" s="3">
        <f t="shared" si="112"/>
        <v>4400</v>
      </c>
      <c r="O1456" s="3">
        <f t="shared" si="113"/>
        <v>12.349549994621452</v>
      </c>
      <c r="P1456" s="3" t="str">
        <f t="shared" si="114"/>
        <v>Sep</v>
      </c>
      <c r="Q1456" s="3" t="str">
        <f t="shared" si="110"/>
        <v>good profit</v>
      </c>
    </row>
    <row r="1457" spans="1:17" x14ac:dyDescent="0.25">
      <c r="A1457" s="3" t="s">
        <v>688</v>
      </c>
      <c r="B1457" s="4">
        <v>45920</v>
      </c>
      <c r="C1457" s="3" t="s">
        <v>2024</v>
      </c>
      <c r="D1457" s="3" t="s">
        <v>2044</v>
      </c>
      <c r="E1457" s="3" t="s">
        <v>2055</v>
      </c>
      <c r="F1457" s="3" t="s">
        <v>2059</v>
      </c>
      <c r="G1457" s="3">
        <v>3</v>
      </c>
      <c r="H1457" s="3">
        <v>180</v>
      </c>
      <c r="I1457" s="3">
        <v>243</v>
      </c>
      <c r="J1457" s="3">
        <v>2.7</v>
      </c>
      <c r="K1457" s="3">
        <v>709.3</v>
      </c>
      <c r="L1457" s="3">
        <v>169.3</v>
      </c>
      <c r="M1457" s="3">
        <f t="shared" si="111"/>
        <v>1968.3000000000002</v>
      </c>
      <c r="N1457" s="3">
        <f t="shared" si="112"/>
        <v>540</v>
      </c>
      <c r="O1457" s="3">
        <f t="shared" si="113"/>
        <v>23.868602847878194</v>
      </c>
      <c r="P1457" s="3" t="str">
        <f t="shared" si="114"/>
        <v>Sep</v>
      </c>
      <c r="Q1457" s="3" t="str">
        <f t="shared" si="110"/>
        <v>good profit</v>
      </c>
    </row>
    <row r="1458" spans="1:17" x14ac:dyDescent="0.25">
      <c r="A1458" s="3" t="s">
        <v>1475</v>
      </c>
      <c r="B1458" s="4">
        <v>45920</v>
      </c>
      <c r="C1458" s="3" t="s">
        <v>2017</v>
      </c>
      <c r="D1458" s="3" t="s">
        <v>2037</v>
      </c>
      <c r="E1458" s="3" t="s">
        <v>2055</v>
      </c>
      <c r="F1458" s="3" t="s">
        <v>2060</v>
      </c>
      <c r="G1458" s="3">
        <v>4</v>
      </c>
      <c r="H1458" s="3">
        <v>2500</v>
      </c>
      <c r="I1458" s="3">
        <v>2875</v>
      </c>
      <c r="J1458" s="3">
        <v>10.59</v>
      </c>
      <c r="K1458" s="3">
        <v>10282.35</v>
      </c>
      <c r="L1458" s="3">
        <v>282.35000000000002</v>
      </c>
      <c r="M1458" s="3">
        <f t="shared" si="111"/>
        <v>121785</v>
      </c>
      <c r="N1458" s="3">
        <f t="shared" si="112"/>
        <v>10000</v>
      </c>
      <c r="O1458" s="3">
        <f t="shared" si="113"/>
        <v>2.7459676046818093</v>
      </c>
      <c r="P1458" s="3" t="str">
        <f t="shared" si="114"/>
        <v>Sep</v>
      </c>
      <c r="Q1458" s="3" t="str">
        <f t="shared" si="110"/>
        <v>low profit</v>
      </c>
    </row>
    <row r="1459" spans="1:17" x14ac:dyDescent="0.25">
      <c r="A1459" s="3" t="s">
        <v>14</v>
      </c>
      <c r="B1459" s="4">
        <v>45921</v>
      </c>
      <c r="C1459" s="3" t="s">
        <v>2014</v>
      </c>
      <c r="D1459" s="3" t="s">
        <v>2034</v>
      </c>
      <c r="E1459" s="3" t="s">
        <v>2052</v>
      </c>
      <c r="F1459" s="3" t="s">
        <v>2061</v>
      </c>
      <c r="G1459" s="3">
        <v>2</v>
      </c>
      <c r="H1459" s="3">
        <v>4500</v>
      </c>
      <c r="I1459" s="3">
        <v>5220</v>
      </c>
      <c r="J1459" s="3">
        <v>9.3000000000000007</v>
      </c>
      <c r="K1459" s="3">
        <v>9468.82</v>
      </c>
      <c r="L1459" s="3">
        <v>468.82</v>
      </c>
      <c r="M1459" s="3">
        <f t="shared" si="111"/>
        <v>97092.000000000015</v>
      </c>
      <c r="N1459" s="3">
        <f t="shared" si="112"/>
        <v>9000</v>
      </c>
      <c r="O1459" s="3">
        <f t="shared" si="113"/>
        <v>4.9511977205185023</v>
      </c>
      <c r="P1459" s="3" t="str">
        <f t="shared" si="114"/>
        <v>Sep</v>
      </c>
      <c r="Q1459" s="3" t="str">
        <f t="shared" si="110"/>
        <v>low profit</v>
      </c>
    </row>
    <row r="1460" spans="1:17" x14ac:dyDescent="0.25">
      <c r="A1460" s="3" t="s">
        <v>242</v>
      </c>
      <c r="B1460" s="4">
        <v>45921</v>
      </c>
      <c r="C1460" s="3" t="s">
        <v>2017</v>
      </c>
      <c r="D1460" s="3" t="s">
        <v>2037</v>
      </c>
      <c r="E1460" s="3" t="s">
        <v>2055</v>
      </c>
      <c r="F1460" s="3" t="s">
        <v>2059</v>
      </c>
      <c r="G1460" s="3">
        <v>7</v>
      </c>
      <c r="H1460" s="3">
        <v>2500</v>
      </c>
      <c r="I1460" s="3">
        <v>2875</v>
      </c>
      <c r="J1460" s="3">
        <v>20.73</v>
      </c>
      <c r="K1460" s="3">
        <v>15952.66</v>
      </c>
      <c r="L1460" s="3">
        <v>-1547.34</v>
      </c>
      <c r="M1460" s="3">
        <f t="shared" si="111"/>
        <v>417191.25</v>
      </c>
      <c r="N1460" s="3">
        <f t="shared" si="112"/>
        <v>17500</v>
      </c>
      <c r="O1460" s="3">
        <f t="shared" si="113"/>
        <v>-9.6995736134287309</v>
      </c>
      <c r="P1460" s="3" t="str">
        <f t="shared" si="114"/>
        <v>Sep</v>
      </c>
      <c r="Q1460" s="3" t="str">
        <f t="shared" si="110"/>
        <v>loss</v>
      </c>
    </row>
    <row r="1461" spans="1:17" x14ac:dyDescent="0.25">
      <c r="A1461" s="3" t="s">
        <v>860</v>
      </c>
      <c r="B1461" s="4">
        <v>45921</v>
      </c>
      <c r="C1461" s="3" t="s">
        <v>2028</v>
      </c>
      <c r="D1461" s="3" t="s">
        <v>2048</v>
      </c>
      <c r="E1461" s="3" t="s">
        <v>2057</v>
      </c>
      <c r="F1461" s="3" t="s">
        <v>2062</v>
      </c>
      <c r="G1461" s="3">
        <v>5</v>
      </c>
      <c r="H1461" s="3">
        <v>80</v>
      </c>
      <c r="I1461" s="3">
        <v>116</v>
      </c>
      <c r="J1461" s="3">
        <v>2.5499999999999998</v>
      </c>
      <c r="K1461" s="3">
        <v>565.20000000000005</v>
      </c>
      <c r="L1461" s="3">
        <v>165.2</v>
      </c>
      <c r="M1461" s="3">
        <f t="shared" si="111"/>
        <v>1479</v>
      </c>
      <c r="N1461" s="3">
        <f t="shared" si="112"/>
        <v>400</v>
      </c>
      <c r="O1461" s="3">
        <f t="shared" si="113"/>
        <v>29.228591648973811</v>
      </c>
      <c r="P1461" s="3" t="str">
        <f t="shared" si="114"/>
        <v>Sep</v>
      </c>
      <c r="Q1461" s="3" t="str">
        <f t="shared" si="110"/>
        <v>good profit</v>
      </c>
    </row>
    <row r="1462" spans="1:17" x14ac:dyDescent="0.25">
      <c r="A1462" s="3" t="s">
        <v>1278</v>
      </c>
      <c r="B1462" s="4">
        <v>45921</v>
      </c>
      <c r="C1462" s="3" t="s">
        <v>2021</v>
      </c>
      <c r="D1462" s="3" t="s">
        <v>2041</v>
      </c>
      <c r="E1462" s="3" t="s">
        <v>2056</v>
      </c>
      <c r="F1462" s="3" t="s">
        <v>2062</v>
      </c>
      <c r="G1462" s="3">
        <v>9</v>
      </c>
      <c r="H1462" s="3">
        <v>300</v>
      </c>
      <c r="I1462" s="3">
        <v>405</v>
      </c>
      <c r="J1462" s="3">
        <v>18.62</v>
      </c>
      <c r="K1462" s="3">
        <v>2966.31</v>
      </c>
      <c r="L1462" s="3">
        <v>266.31</v>
      </c>
      <c r="M1462" s="3">
        <f t="shared" si="111"/>
        <v>67869.900000000009</v>
      </c>
      <c r="N1462" s="3">
        <f t="shared" si="112"/>
        <v>2700</v>
      </c>
      <c r="O1462" s="3">
        <f t="shared" si="113"/>
        <v>8.9778209290330402</v>
      </c>
      <c r="P1462" s="3" t="str">
        <f t="shared" si="114"/>
        <v>Sep</v>
      </c>
      <c r="Q1462" s="3" t="str">
        <f t="shared" si="110"/>
        <v>low profit</v>
      </c>
    </row>
    <row r="1463" spans="1:17" x14ac:dyDescent="0.25">
      <c r="A1463" s="3" t="s">
        <v>1375</v>
      </c>
      <c r="B1463" s="4">
        <v>45921</v>
      </c>
      <c r="C1463" s="3" t="s">
        <v>2027</v>
      </c>
      <c r="D1463" s="3" t="s">
        <v>2047</v>
      </c>
      <c r="E1463" s="3" t="s">
        <v>2053</v>
      </c>
      <c r="F1463" s="3" t="s">
        <v>2061</v>
      </c>
      <c r="G1463" s="3">
        <v>4</v>
      </c>
      <c r="H1463" s="3">
        <v>1100</v>
      </c>
      <c r="I1463" s="3">
        <v>1298</v>
      </c>
      <c r="J1463" s="3">
        <v>12.64</v>
      </c>
      <c r="K1463" s="3">
        <v>4535.55</v>
      </c>
      <c r="L1463" s="3">
        <v>135.55000000000001</v>
      </c>
      <c r="M1463" s="3">
        <f t="shared" si="111"/>
        <v>65626.880000000005</v>
      </c>
      <c r="N1463" s="3">
        <f t="shared" si="112"/>
        <v>4400</v>
      </c>
      <c r="O1463" s="3">
        <f t="shared" si="113"/>
        <v>2.9886121859531922</v>
      </c>
      <c r="P1463" s="3" t="str">
        <f t="shared" si="114"/>
        <v>Sep</v>
      </c>
      <c r="Q1463" s="3" t="str">
        <f t="shared" si="110"/>
        <v>low profit</v>
      </c>
    </row>
    <row r="1464" spans="1:17" x14ac:dyDescent="0.25">
      <c r="A1464" s="3" t="s">
        <v>1399</v>
      </c>
      <c r="B1464" s="4">
        <v>45921</v>
      </c>
      <c r="C1464" s="3" t="s">
        <v>2031</v>
      </c>
      <c r="D1464" s="3" t="s">
        <v>2051</v>
      </c>
      <c r="E1464" s="3" t="s">
        <v>2058</v>
      </c>
      <c r="F1464" s="3" t="s">
        <v>2062</v>
      </c>
      <c r="G1464" s="3">
        <v>6</v>
      </c>
      <c r="H1464" s="3">
        <v>3200</v>
      </c>
      <c r="I1464" s="3">
        <v>3840</v>
      </c>
      <c r="J1464" s="3">
        <v>5.36</v>
      </c>
      <c r="K1464" s="3">
        <v>21806.03</v>
      </c>
      <c r="L1464" s="3">
        <v>2606.0300000000002</v>
      </c>
      <c r="M1464" s="3">
        <f t="shared" si="111"/>
        <v>123494.40000000001</v>
      </c>
      <c r="N1464" s="3">
        <f t="shared" si="112"/>
        <v>19200</v>
      </c>
      <c r="O1464" s="3">
        <f t="shared" si="113"/>
        <v>11.950960353626957</v>
      </c>
      <c r="P1464" s="3" t="str">
        <f t="shared" si="114"/>
        <v>Sep</v>
      </c>
      <c r="Q1464" s="3" t="str">
        <f t="shared" si="110"/>
        <v>good profit</v>
      </c>
    </row>
    <row r="1465" spans="1:17" x14ac:dyDescent="0.25">
      <c r="A1465" s="3" t="s">
        <v>1474</v>
      </c>
      <c r="B1465" s="4">
        <v>45921</v>
      </c>
      <c r="C1465" s="3" t="s">
        <v>2014</v>
      </c>
      <c r="D1465" s="3" t="s">
        <v>2034</v>
      </c>
      <c r="E1465" s="3" t="s">
        <v>2052</v>
      </c>
      <c r="F1465" s="3" t="s">
        <v>2059</v>
      </c>
      <c r="G1465" s="3">
        <v>3</v>
      </c>
      <c r="H1465" s="3">
        <v>4500</v>
      </c>
      <c r="I1465" s="3">
        <v>5220</v>
      </c>
      <c r="J1465" s="3">
        <v>16.239999999999998</v>
      </c>
      <c r="K1465" s="3">
        <v>13116.34</v>
      </c>
      <c r="L1465" s="3">
        <v>-383.66</v>
      </c>
      <c r="M1465" s="3">
        <f t="shared" si="111"/>
        <v>254318.39999999997</v>
      </c>
      <c r="N1465" s="3">
        <f t="shared" si="112"/>
        <v>13500</v>
      </c>
      <c r="O1465" s="3">
        <f t="shared" si="113"/>
        <v>-2.9250537878707021</v>
      </c>
      <c r="P1465" s="3" t="str">
        <f t="shared" si="114"/>
        <v>Sep</v>
      </c>
      <c r="Q1465" s="3" t="str">
        <f t="shared" si="110"/>
        <v>loss</v>
      </c>
    </row>
    <row r="1466" spans="1:17" x14ac:dyDescent="0.25">
      <c r="A1466" s="3" t="s">
        <v>1559</v>
      </c>
      <c r="B1466" s="4">
        <v>45921</v>
      </c>
      <c r="C1466" s="3" t="s">
        <v>2028</v>
      </c>
      <c r="D1466" s="3" t="s">
        <v>2048</v>
      </c>
      <c r="E1466" s="3" t="s">
        <v>2057</v>
      </c>
      <c r="F1466" s="3" t="s">
        <v>2060</v>
      </c>
      <c r="G1466" s="3">
        <v>5</v>
      </c>
      <c r="H1466" s="3">
        <v>80</v>
      </c>
      <c r="I1466" s="3">
        <v>116</v>
      </c>
      <c r="J1466" s="3">
        <v>15.79</v>
      </c>
      <c r="K1466" s="3">
        <v>488.44</v>
      </c>
      <c r="L1466" s="3">
        <v>88.44</v>
      </c>
      <c r="M1466" s="3">
        <f t="shared" si="111"/>
        <v>9158.1999999999989</v>
      </c>
      <c r="N1466" s="3">
        <f t="shared" si="112"/>
        <v>400</v>
      </c>
      <c r="O1466" s="3">
        <f t="shared" si="113"/>
        <v>18.106625174023421</v>
      </c>
      <c r="P1466" s="3" t="str">
        <f t="shared" si="114"/>
        <v>Sep</v>
      </c>
      <c r="Q1466" s="3" t="str">
        <f t="shared" si="110"/>
        <v>good profit</v>
      </c>
    </row>
    <row r="1467" spans="1:17" x14ac:dyDescent="0.25">
      <c r="A1467" s="3" t="s">
        <v>735</v>
      </c>
      <c r="B1467" s="4">
        <v>45922</v>
      </c>
      <c r="C1467" s="3" t="s">
        <v>2015</v>
      </c>
      <c r="D1467" s="3" t="s">
        <v>2035</v>
      </c>
      <c r="E1467" s="3" t="s">
        <v>2054</v>
      </c>
      <c r="F1467" s="3" t="s">
        <v>2061</v>
      </c>
      <c r="G1467" s="3">
        <v>7</v>
      </c>
      <c r="H1467" s="3">
        <v>900</v>
      </c>
      <c r="I1467" s="3">
        <v>1170</v>
      </c>
      <c r="J1467" s="3">
        <v>0</v>
      </c>
      <c r="K1467" s="3">
        <v>8190</v>
      </c>
      <c r="L1467" s="3">
        <v>1890</v>
      </c>
      <c r="M1467" s="3">
        <f t="shared" si="111"/>
        <v>0</v>
      </c>
      <c r="N1467" s="3">
        <f t="shared" si="112"/>
        <v>6300</v>
      </c>
      <c r="O1467" s="3">
        <f t="shared" si="113"/>
        <v>23.076923076923077</v>
      </c>
      <c r="P1467" s="3" t="str">
        <f t="shared" si="114"/>
        <v>Sep</v>
      </c>
      <c r="Q1467" s="3" t="str">
        <f t="shared" si="110"/>
        <v>good profit</v>
      </c>
    </row>
    <row r="1468" spans="1:17" x14ac:dyDescent="0.25">
      <c r="A1468" s="3" t="s">
        <v>846</v>
      </c>
      <c r="B1468" s="4">
        <v>45922</v>
      </c>
      <c r="C1468" s="3" t="s">
        <v>2023</v>
      </c>
      <c r="D1468" s="3" t="s">
        <v>2043</v>
      </c>
      <c r="E1468" s="3" t="s">
        <v>2053</v>
      </c>
      <c r="F1468" s="3" t="s">
        <v>2059</v>
      </c>
      <c r="G1468" s="3">
        <v>2</v>
      </c>
      <c r="H1468" s="3">
        <v>550</v>
      </c>
      <c r="I1468" s="3">
        <v>742.5</v>
      </c>
      <c r="J1468" s="3">
        <v>5.6</v>
      </c>
      <c r="K1468" s="3">
        <v>1401.91</v>
      </c>
      <c r="L1468" s="3">
        <v>301.91000000000003</v>
      </c>
      <c r="M1468" s="3">
        <f t="shared" si="111"/>
        <v>8316</v>
      </c>
      <c r="N1468" s="3">
        <f t="shared" si="112"/>
        <v>1100</v>
      </c>
      <c r="O1468" s="3">
        <f t="shared" si="113"/>
        <v>21.535619262292158</v>
      </c>
      <c r="P1468" s="3" t="str">
        <f t="shared" si="114"/>
        <v>Sep</v>
      </c>
      <c r="Q1468" s="3" t="str">
        <f t="shared" si="110"/>
        <v>good profit</v>
      </c>
    </row>
    <row r="1469" spans="1:17" x14ac:dyDescent="0.25">
      <c r="A1469" s="3" t="s">
        <v>964</v>
      </c>
      <c r="B1469" s="4">
        <v>45922</v>
      </c>
      <c r="C1469" s="3" t="s">
        <v>2016</v>
      </c>
      <c r="D1469" s="3" t="s">
        <v>2036</v>
      </c>
      <c r="E1469" s="3" t="s">
        <v>2052</v>
      </c>
      <c r="F1469" s="3" t="s">
        <v>2060</v>
      </c>
      <c r="G1469" s="3">
        <v>1</v>
      </c>
      <c r="H1469" s="3">
        <v>900</v>
      </c>
      <c r="I1469" s="3">
        <v>1170</v>
      </c>
      <c r="J1469" s="3">
        <v>15.56</v>
      </c>
      <c r="K1469" s="3">
        <v>987.95</v>
      </c>
      <c r="L1469" s="3">
        <v>87.95</v>
      </c>
      <c r="M1469" s="3">
        <f t="shared" si="111"/>
        <v>18205.2</v>
      </c>
      <c r="N1469" s="3">
        <f t="shared" si="112"/>
        <v>900</v>
      </c>
      <c r="O1469" s="3">
        <f t="shared" si="113"/>
        <v>8.9022723822055774</v>
      </c>
      <c r="P1469" s="3" t="str">
        <f t="shared" si="114"/>
        <v>Sep</v>
      </c>
      <c r="Q1469" s="3" t="str">
        <f t="shared" si="110"/>
        <v>low profit</v>
      </c>
    </row>
    <row r="1470" spans="1:17" x14ac:dyDescent="0.25">
      <c r="A1470" s="3" t="s">
        <v>1305</v>
      </c>
      <c r="B1470" s="4">
        <v>45922</v>
      </c>
      <c r="C1470" s="3" t="s">
        <v>2018</v>
      </c>
      <c r="D1470" s="3" t="s">
        <v>2038</v>
      </c>
      <c r="E1470" s="3" t="s">
        <v>2053</v>
      </c>
      <c r="F1470" s="3" t="s">
        <v>2062</v>
      </c>
      <c r="G1470" s="3">
        <v>5</v>
      </c>
      <c r="H1470" s="3">
        <v>500</v>
      </c>
      <c r="I1470" s="3">
        <v>610</v>
      </c>
      <c r="J1470" s="3">
        <v>11.6</v>
      </c>
      <c r="K1470" s="3">
        <v>2696.12</v>
      </c>
      <c r="L1470" s="3">
        <v>196.12</v>
      </c>
      <c r="M1470" s="3">
        <f t="shared" si="111"/>
        <v>35380</v>
      </c>
      <c r="N1470" s="3">
        <f t="shared" si="112"/>
        <v>2500</v>
      </c>
      <c r="O1470" s="3">
        <f t="shared" si="113"/>
        <v>7.274156936634868</v>
      </c>
      <c r="P1470" s="3" t="str">
        <f t="shared" si="114"/>
        <v>Sep</v>
      </c>
      <c r="Q1470" s="3" t="str">
        <f t="shared" si="110"/>
        <v>low profit</v>
      </c>
    </row>
    <row r="1471" spans="1:17" x14ac:dyDescent="0.25">
      <c r="A1471" s="3" t="s">
        <v>1726</v>
      </c>
      <c r="B1471" s="4">
        <v>45922</v>
      </c>
      <c r="C1471" s="3" t="s">
        <v>2021</v>
      </c>
      <c r="D1471" s="3" t="s">
        <v>2041</v>
      </c>
      <c r="E1471" s="3" t="s">
        <v>2056</v>
      </c>
      <c r="F1471" s="3" t="s">
        <v>2061</v>
      </c>
      <c r="G1471" s="3">
        <v>8</v>
      </c>
      <c r="H1471" s="3">
        <v>300</v>
      </c>
      <c r="I1471" s="3">
        <v>405</v>
      </c>
      <c r="J1471" s="3">
        <v>8.5</v>
      </c>
      <c r="K1471" s="3">
        <v>2964.64</v>
      </c>
      <c r="L1471" s="3">
        <v>564.64</v>
      </c>
      <c r="M1471" s="3">
        <f t="shared" si="111"/>
        <v>27540</v>
      </c>
      <c r="N1471" s="3">
        <f t="shared" si="112"/>
        <v>2400</v>
      </c>
      <c r="O1471" s="3">
        <f t="shared" si="113"/>
        <v>19.045820065842733</v>
      </c>
      <c r="P1471" s="3" t="str">
        <f t="shared" si="114"/>
        <v>Sep</v>
      </c>
      <c r="Q1471" s="3" t="str">
        <f t="shared" si="110"/>
        <v>good profit</v>
      </c>
    </row>
    <row r="1472" spans="1:17" x14ac:dyDescent="0.25">
      <c r="A1472" s="3" t="s">
        <v>100</v>
      </c>
      <c r="B1472" s="4">
        <v>45923</v>
      </c>
      <c r="C1472" s="3" t="s">
        <v>2027</v>
      </c>
      <c r="D1472" s="3" t="s">
        <v>2047</v>
      </c>
      <c r="E1472" s="3" t="s">
        <v>2053</v>
      </c>
      <c r="F1472" s="3" t="s">
        <v>2062</v>
      </c>
      <c r="G1472" s="3">
        <v>4</v>
      </c>
      <c r="H1472" s="3">
        <v>1100</v>
      </c>
      <c r="I1472" s="3">
        <v>1298</v>
      </c>
      <c r="J1472" s="3">
        <v>21.97</v>
      </c>
      <c r="K1472" s="3">
        <v>4051.38</v>
      </c>
      <c r="L1472" s="3">
        <v>-348.62</v>
      </c>
      <c r="M1472" s="3">
        <f t="shared" si="111"/>
        <v>114068.23999999999</v>
      </c>
      <c r="N1472" s="3">
        <f t="shared" si="112"/>
        <v>4400</v>
      </c>
      <c r="O1472" s="3">
        <f t="shared" si="113"/>
        <v>-8.6049691709985243</v>
      </c>
      <c r="P1472" s="3" t="str">
        <f t="shared" si="114"/>
        <v>Sep</v>
      </c>
      <c r="Q1472" s="3" t="str">
        <f t="shared" si="110"/>
        <v>loss</v>
      </c>
    </row>
    <row r="1473" spans="1:17" x14ac:dyDescent="0.25">
      <c r="A1473" s="3" t="s">
        <v>141</v>
      </c>
      <c r="B1473" s="4">
        <v>45923</v>
      </c>
      <c r="C1473" s="3" t="s">
        <v>2018</v>
      </c>
      <c r="D1473" s="3" t="s">
        <v>2038</v>
      </c>
      <c r="E1473" s="3" t="s">
        <v>2053</v>
      </c>
      <c r="F1473" s="3" t="s">
        <v>2060</v>
      </c>
      <c r="G1473" s="3">
        <v>3</v>
      </c>
      <c r="H1473" s="3">
        <v>500</v>
      </c>
      <c r="I1473" s="3">
        <v>610</v>
      </c>
      <c r="J1473" s="3">
        <v>11.47</v>
      </c>
      <c r="K1473" s="3">
        <v>1620.03</v>
      </c>
      <c r="L1473" s="3">
        <v>120.03</v>
      </c>
      <c r="M1473" s="3">
        <f t="shared" si="111"/>
        <v>20990.100000000002</v>
      </c>
      <c r="N1473" s="3">
        <f t="shared" si="112"/>
        <v>1500</v>
      </c>
      <c r="O1473" s="3">
        <f t="shared" si="113"/>
        <v>7.4091220532953095</v>
      </c>
      <c r="P1473" s="3" t="str">
        <f t="shared" si="114"/>
        <v>Sep</v>
      </c>
      <c r="Q1473" s="3" t="str">
        <f t="shared" si="110"/>
        <v>low profit</v>
      </c>
    </row>
    <row r="1474" spans="1:17" x14ac:dyDescent="0.25">
      <c r="A1474" s="3" t="s">
        <v>296</v>
      </c>
      <c r="B1474" s="4">
        <v>45923</v>
      </c>
      <c r="C1474" s="3" t="s">
        <v>2024</v>
      </c>
      <c r="D1474" s="3" t="s">
        <v>2044</v>
      </c>
      <c r="E1474" s="3" t="s">
        <v>2055</v>
      </c>
      <c r="F1474" s="3" t="s">
        <v>2060</v>
      </c>
      <c r="G1474" s="3">
        <v>10</v>
      </c>
      <c r="H1474" s="3">
        <v>180</v>
      </c>
      <c r="I1474" s="3">
        <v>243</v>
      </c>
      <c r="J1474" s="3">
        <v>13.83</v>
      </c>
      <c r="K1474" s="3">
        <v>2093.9299999999998</v>
      </c>
      <c r="L1474" s="3">
        <v>293.93</v>
      </c>
      <c r="M1474" s="3">
        <f t="shared" si="111"/>
        <v>33606.9</v>
      </c>
      <c r="N1474" s="3">
        <f t="shared" si="112"/>
        <v>1800</v>
      </c>
      <c r="O1474" s="3">
        <f t="shared" si="113"/>
        <v>14.037240977492086</v>
      </c>
      <c r="P1474" s="3" t="str">
        <f t="shared" si="114"/>
        <v>Sep</v>
      </c>
      <c r="Q1474" s="3" t="str">
        <f t="shared" ref="Q1474:Q1537" si="115">IF(L1474&lt;0,"loss",IF(O1474&lt;10,"low profit","good profit"))</f>
        <v>good profit</v>
      </c>
    </row>
    <row r="1475" spans="1:17" x14ac:dyDescent="0.25">
      <c r="A1475" s="3" t="s">
        <v>1028</v>
      </c>
      <c r="B1475" s="4">
        <v>45923</v>
      </c>
      <c r="C1475" s="3" t="s">
        <v>2024</v>
      </c>
      <c r="D1475" s="3" t="s">
        <v>2044</v>
      </c>
      <c r="E1475" s="3" t="s">
        <v>2055</v>
      </c>
      <c r="F1475" s="3" t="s">
        <v>2062</v>
      </c>
      <c r="G1475" s="3">
        <v>8</v>
      </c>
      <c r="H1475" s="3">
        <v>180</v>
      </c>
      <c r="I1475" s="3">
        <v>243</v>
      </c>
      <c r="J1475" s="3">
        <v>0</v>
      </c>
      <c r="K1475" s="3">
        <v>1944</v>
      </c>
      <c r="L1475" s="3">
        <v>504</v>
      </c>
      <c r="M1475" s="3">
        <f t="shared" ref="M1475:M1538" si="116">G1475*I1475*J1475</f>
        <v>0</v>
      </c>
      <c r="N1475" s="3">
        <f t="shared" ref="N1475:N1538" si="117">G1475*H1475</f>
        <v>1440</v>
      </c>
      <c r="O1475" s="3">
        <f t="shared" ref="O1475:O1538" si="118">IFERROR(L1475/K1475*100,0)</f>
        <v>25.925925925925924</v>
      </c>
      <c r="P1475" s="3" t="str">
        <f t="shared" ref="P1475:P1538" si="119">TEXT(B1475,"mmm")</f>
        <v>Sep</v>
      </c>
      <c r="Q1475" s="3" t="str">
        <f t="shared" si="115"/>
        <v>good profit</v>
      </c>
    </row>
    <row r="1476" spans="1:17" x14ac:dyDescent="0.25">
      <c r="A1476" s="3" t="s">
        <v>1763</v>
      </c>
      <c r="B1476" s="4">
        <v>45923</v>
      </c>
      <c r="C1476" s="3" t="s">
        <v>2022</v>
      </c>
      <c r="D1476" s="3" t="s">
        <v>2042</v>
      </c>
      <c r="E1476" s="3" t="s">
        <v>2053</v>
      </c>
      <c r="F1476" s="3" t="s">
        <v>2059</v>
      </c>
      <c r="G1476" s="3">
        <v>10</v>
      </c>
      <c r="H1476" s="3">
        <v>8500</v>
      </c>
      <c r="I1476" s="3">
        <v>9520</v>
      </c>
      <c r="J1476" s="3">
        <v>25.42</v>
      </c>
      <c r="K1476" s="3">
        <v>71003.53</v>
      </c>
      <c r="L1476" s="3">
        <v>-13996.47</v>
      </c>
      <c r="M1476" s="3">
        <f t="shared" si="116"/>
        <v>2419984</v>
      </c>
      <c r="N1476" s="3">
        <f t="shared" si="117"/>
        <v>85000</v>
      </c>
      <c r="O1476" s="3">
        <f t="shared" si="118"/>
        <v>-19.712357963047751</v>
      </c>
      <c r="P1476" s="3" t="str">
        <f t="shared" si="119"/>
        <v>Sep</v>
      </c>
      <c r="Q1476" s="3" t="str">
        <f t="shared" si="115"/>
        <v>loss</v>
      </c>
    </row>
    <row r="1477" spans="1:17" x14ac:dyDescent="0.25">
      <c r="A1477" s="3" t="s">
        <v>144</v>
      </c>
      <c r="B1477" s="4">
        <v>45924</v>
      </c>
      <c r="C1477" s="3" t="s">
        <v>2017</v>
      </c>
      <c r="D1477" s="3" t="s">
        <v>2037</v>
      </c>
      <c r="E1477" s="3" t="s">
        <v>2055</v>
      </c>
      <c r="F1477" s="3" t="s">
        <v>2061</v>
      </c>
      <c r="G1477" s="3">
        <v>9</v>
      </c>
      <c r="H1477" s="3">
        <v>2500</v>
      </c>
      <c r="I1477" s="3">
        <v>2875</v>
      </c>
      <c r="J1477" s="3">
        <v>23.23</v>
      </c>
      <c r="K1477" s="3">
        <v>19864.25</v>
      </c>
      <c r="L1477" s="3">
        <v>-2635.75</v>
      </c>
      <c r="M1477" s="3">
        <f t="shared" si="116"/>
        <v>601076.25</v>
      </c>
      <c r="N1477" s="3">
        <f t="shared" si="117"/>
        <v>22500</v>
      </c>
      <c r="O1477" s="3">
        <f t="shared" si="118"/>
        <v>-13.268812061869943</v>
      </c>
      <c r="P1477" s="3" t="str">
        <f t="shared" si="119"/>
        <v>Sep</v>
      </c>
      <c r="Q1477" s="3" t="str">
        <f t="shared" si="115"/>
        <v>loss</v>
      </c>
    </row>
    <row r="1478" spans="1:17" x14ac:dyDescent="0.25">
      <c r="A1478" s="3" t="s">
        <v>672</v>
      </c>
      <c r="B1478" s="4">
        <v>45924</v>
      </c>
      <c r="C1478" s="3" t="s">
        <v>2012</v>
      </c>
      <c r="D1478" s="3" t="s">
        <v>2032</v>
      </c>
      <c r="E1478" s="3" t="s">
        <v>2052</v>
      </c>
      <c r="F1478" s="3" t="s">
        <v>2062</v>
      </c>
      <c r="G1478" s="3">
        <v>1</v>
      </c>
      <c r="H1478" s="3">
        <v>6500</v>
      </c>
      <c r="I1478" s="3">
        <v>8125</v>
      </c>
      <c r="J1478" s="3">
        <v>5.36</v>
      </c>
      <c r="K1478" s="3">
        <v>7689.21</v>
      </c>
      <c r="L1478" s="3">
        <v>1189.21</v>
      </c>
      <c r="M1478" s="3">
        <f t="shared" si="116"/>
        <v>43550</v>
      </c>
      <c r="N1478" s="3">
        <f t="shared" si="117"/>
        <v>6500</v>
      </c>
      <c r="O1478" s="3">
        <f t="shared" si="118"/>
        <v>15.465958141343519</v>
      </c>
      <c r="P1478" s="3" t="str">
        <f t="shared" si="119"/>
        <v>Sep</v>
      </c>
      <c r="Q1478" s="3" t="str">
        <f t="shared" si="115"/>
        <v>good profit</v>
      </c>
    </row>
    <row r="1479" spans="1:17" x14ac:dyDescent="0.25">
      <c r="A1479" s="3" t="s">
        <v>875</v>
      </c>
      <c r="B1479" s="4">
        <v>45924</v>
      </c>
      <c r="C1479" s="3" t="s">
        <v>2021</v>
      </c>
      <c r="D1479" s="3" t="s">
        <v>2041</v>
      </c>
      <c r="E1479" s="3" t="s">
        <v>2056</v>
      </c>
      <c r="F1479" s="3" t="s">
        <v>2059</v>
      </c>
      <c r="G1479" s="3">
        <v>7</v>
      </c>
      <c r="H1479" s="3">
        <v>300</v>
      </c>
      <c r="I1479" s="3">
        <v>405</v>
      </c>
      <c r="J1479" s="3">
        <v>14.29</v>
      </c>
      <c r="K1479" s="3">
        <v>2430</v>
      </c>
      <c r="L1479" s="3">
        <v>330</v>
      </c>
      <c r="M1479" s="3">
        <f t="shared" si="116"/>
        <v>40512.149999999994</v>
      </c>
      <c r="N1479" s="3">
        <f t="shared" si="117"/>
        <v>2100</v>
      </c>
      <c r="O1479" s="3">
        <f t="shared" si="118"/>
        <v>13.580246913580247</v>
      </c>
      <c r="P1479" s="3" t="str">
        <f t="shared" si="119"/>
        <v>Sep</v>
      </c>
      <c r="Q1479" s="3" t="str">
        <f t="shared" si="115"/>
        <v>good profit</v>
      </c>
    </row>
    <row r="1480" spans="1:17" x14ac:dyDescent="0.25">
      <c r="A1480" s="3" t="s">
        <v>978</v>
      </c>
      <c r="B1480" s="4">
        <v>45924</v>
      </c>
      <c r="C1480" s="3" t="s">
        <v>2018</v>
      </c>
      <c r="D1480" s="3" t="s">
        <v>2038</v>
      </c>
      <c r="E1480" s="3" t="s">
        <v>2053</v>
      </c>
      <c r="F1480" s="3" t="s">
        <v>2059</v>
      </c>
      <c r="G1480" s="3">
        <v>3</v>
      </c>
      <c r="H1480" s="3">
        <v>500</v>
      </c>
      <c r="I1480" s="3">
        <v>610</v>
      </c>
      <c r="J1480" s="3">
        <v>18.18</v>
      </c>
      <c r="K1480" s="3">
        <v>1497.39</v>
      </c>
      <c r="L1480" s="3">
        <v>-2.61</v>
      </c>
      <c r="M1480" s="3">
        <f t="shared" si="116"/>
        <v>33269.4</v>
      </c>
      <c r="N1480" s="3">
        <f t="shared" si="117"/>
        <v>1500</v>
      </c>
      <c r="O1480" s="3">
        <f t="shared" si="118"/>
        <v>-0.17430328772063389</v>
      </c>
      <c r="P1480" s="3" t="str">
        <f t="shared" si="119"/>
        <v>Sep</v>
      </c>
      <c r="Q1480" s="3" t="str">
        <f t="shared" si="115"/>
        <v>loss</v>
      </c>
    </row>
    <row r="1481" spans="1:17" x14ac:dyDescent="0.25">
      <c r="A1481" s="3" t="s">
        <v>1195</v>
      </c>
      <c r="B1481" s="4">
        <v>45924</v>
      </c>
      <c r="C1481" s="3" t="s">
        <v>2028</v>
      </c>
      <c r="D1481" s="3" t="s">
        <v>2048</v>
      </c>
      <c r="E1481" s="3" t="s">
        <v>2057</v>
      </c>
      <c r="F1481" s="3" t="s">
        <v>2061</v>
      </c>
      <c r="G1481" s="3">
        <v>9</v>
      </c>
      <c r="H1481" s="3">
        <v>80</v>
      </c>
      <c r="I1481" s="3">
        <v>116</v>
      </c>
      <c r="J1481" s="3">
        <v>16.8</v>
      </c>
      <c r="K1481" s="3">
        <v>868.59</v>
      </c>
      <c r="L1481" s="3">
        <v>148.59</v>
      </c>
      <c r="M1481" s="3">
        <f t="shared" si="116"/>
        <v>17539.2</v>
      </c>
      <c r="N1481" s="3">
        <f t="shared" si="117"/>
        <v>720</v>
      </c>
      <c r="O1481" s="3">
        <f t="shared" si="118"/>
        <v>17.107035540358513</v>
      </c>
      <c r="P1481" s="3" t="str">
        <f t="shared" si="119"/>
        <v>Sep</v>
      </c>
      <c r="Q1481" s="3" t="str">
        <f t="shared" si="115"/>
        <v>good profit</v>
      </c>
    </row>
    <row r="1482" spans="1:17" x14ac:dyDescent="0.25">
      <c r="A1482" s="3" t="s">
        <v>1597</v>
      </c>
      <c r="B1482" s="4">
        <v>45924</v>
      </c>
      <c r="C1482" s="3" t="s">
        <v>2012</v>
      </c>
      <c r="D1482" s="3" t="s">
        <v>2032</v>
      </c>
      <c r="E1482" s="3" t="s">
        <v>2052</v>
      </c>
      <c r="F1482" s="3" t="s">
        <v>2062</v>
      </c>
      <c r="G1482" s="3">
        <v>7</v>
      </c>
      <c r="H1482" s="3">
        <v>6500</v>
      </c>
      <c r="I1482" s="3">
        <v>8125</v>
      </c>
      <c r="J1482" s="3">
        <v>17.940000000000001</v>
      </c>
      <c r="K1482" s="3">
        <v>46669.26</v>
      </c>
      <c r="L1482" s="3">
        <v>1169.26</v>
      </c>
      <c r="M1482" s="3">
        <f t="shared" si="116"/>
        <v>1020337.5000000001</v>
      </c>
      <c r="N1482" s="3">
        <f t="shared" si="117"/>
        <v>45500</v>
      </c>
      <c r="O1482" s="3">
        <f t="shared" si="118"/>
        <v>2.5054179132045373</v>
      </c>
      <c r="P1482" s="3" t="str">
        <f t="shared" si="119"/>
        <v>Sep</v>
      </c>
      <c r="Q1482" s="3" t="str">
        <f t="shared" si="115"/>
        <v>low profit</v>
      </c>
    </row>
    <row r="1483" spans="1:17" x14ac:dyDescent="0.25">
      <c r="A1483" s="3" t="s">
        <v>330</v>
      </c>
      <c r="B1483" s="4">
        <v>45925</v>
      </c>
      <c r="C1483" s="3" t="s">
        <v>2029</v>
      </c>
      <c r="D1483" s="3" t="s">
        <v>2049</v>
      </c>
      <c r="E1483" s="3" t="s">
        <v>2055</v>
      </c>
      <c r="F1483" s="3" t="s">
        <v>2059</v>
      </c>
      <c r="G1483" s="3">
        <v>3</v>
      </c>
      <c r="H1483" s="3">
        <v>1200</v>
      </c>
      <c r="I1483" s="3">
        <v>1464</v>
      </c>
      <c r="J1483" s="3">
        <v>8.7200000000000006</v>
      </c>
      <c r="K1483" s="3">
        <v>4009.01</v>
      </c>
      <c r="L1483" s="3">
        <v>409.01</v>
      </c>
      <c r="M1483" s="3">
        <f t="shared" si="116"/>
        <v>38298.240000000005</v>
      </c>
      <c r="N1483" s="3">
        <f t="shared" si="117"/>
        <v>3600</v>
      </c>
      <c r="O1483" s="3">
        <f t="shared" si="118"/>
        <v>10.202269388203073</v>
      </c>
      <c r="P1483" s="3" t="str">
        <f t="shared" si="119"/>
        <v>Sep</v>
      </c>
      <c r="Q1483" s="3" t="str">
        <f t="shared" si="115"/>
        <v>good profit</v>
      </c>
    </row>
    <row r="1484" spans="1:17" x14ac:dyDescent="0.25">
      <c r="A1484" s="3" t="s">
        <v>673</v>
      </c>
      <c r="B1484" s="4">
        <v>45925</v>
      </c>
      <c r="C1484" s="3" t="s">
        <v>2022</v>
      </c>
      <c r="D1484" s="3" t="s">
        <v>2042</v>
      </c>
      <c r="E1484" s="3" t="s">
        <v>2053</v>
      </c>
      <c r="F1484" s="3" t="s">
        <v>2060</v>
      </c>
      <c r="G1484" s="3">
        <v>5</v>
      </c>
      <c r="H1484" s="3">
        <v>8500</v>
      </c>
      <c r="I1484" s="3">
        <v>9520</v>
      </c>
      <c r="J1484" s="3">
        <v>12.85</v>
      </c>
      <c r="K1484" s="3">
        <v>41484.92</v>
      </c>
      <c r="L1484" s="3">
        <v>-1015.08</v>
      </c>
      <c r="M1484" s="3">
        <f t="shared" si="116"/>
        <v>611660</v>
      </c>
      <c r="N1484" s="3">
        <f t="shared" si="117"/>
        <v>42500</v>
      </c>
      <c r="O1484" s="3">
        <f t="shared" si="118"/>
        <v>-2.4468650295095182</v>
      </c>
      <c r="P1484" s="3" t="str">
        <f t="shared" si="119"/>
        <v>Sep</v>
      </c>
      <c r="Q1484" s="3" t="str">
        <f t="shared" si="115"/>
        <v>loss</v>
      </c>
    </row>
    <row r="1485" spans="1:17" x14ac:dyDescent="0.25">
      <c r="A1485" s="3" t="s">
        <v>687</v>
      </c>
      <c r="B1485" s="4">
        <v>45925</v>
      </c>
      <c r="C1485" s="3" t="s">
        <v>2017</v>
      </c>
      <c r="D1485" s="3" t="s">
        <v>2037</v>
      </c>
      <c r="E1485" s="3" t="s">
        <v>2055</v>
      </c>
      <c r="F1485" s="3" t="s">
        <v>2061</v>
      </c>
      <c r="G1485" s="3">
        <v>3</v>
      </c>
      <c r="H1485" s="3">
        <v>2500</v>
      </c>
      <c r="I1485" s="3">
        <v>2875</v>
      </c>
      <c r="J1485" s="3">
        <v>17.809999999999999</v>
      </c>
      <c r="K1485" s="3">
        <v>7088.6</v>
      </c>
      <c r="L1485" s="3">
        <v>-411.4</v>
      </c>
      <c r="M1485" s="3">
        <f t="shared" si="116"/>
        <v>153611.25</v>
      </c>
      <c r="N1485" s="3">
        <f t="shared" si="117"/>
        <v>7500</v>
      </c>
      <c r="O1485" s="3">
        <f t="shared" si="118"/>
        <v>-5.8036847896622739</v>
      </c>
      <c r="P1485" s="3" t="str">
        <f t="shared" si="119"/>
        <v>Sep</v>
      </c>
      <c r="Q1485" s="3" t="str">
        <f t="shared" si="115"/>
        <v>loss</v>
      </c>
    </row>
    <row r="1486" spans="1:17" x14ac:dyDescent="0.25">
      <c r="A1486" s="3" t="s">
        <v>873</v>
      </c>
      <c r="B1486" s="4">
        <v>45925</v>
      </c>
      <c r="C1486" s="3" t="s">
        <v>2028</v>
      </c>
      <c r="D1486" s="3" t="s">
        <v>2048</v>
      </c>
      <c r="E1486" s="3" t="s">
        <v>2057</v>
      </c>
      <c r="F1486" s="3" t="s">
        <v>2060</v>
      </c>
      <c r="G1486" s="3">
        <v>4</v>
      </c>
      <c r="H1486" s="3">
        <v>80</v>
      </c>
      <c r="I1486" s="3">
        <v>116</v>
      </c>
      <c r="J1486" s="3">
        <v>26.05</v>
      </c>
      <c r="K1486" s="3">
        <v>343.12</v>
      </c>
      <c r="L1486" s="3">
        <v>23.12</v>
      </c>
      <c r="M1486" s="3">
        <f t="shared" si="116"/>
        <v>12087.2</v>
      </c>
      <c r="N1486" s="3">
        <f t="shared" si="117"/>
        <v>320</v>
      </c>
      <c r="O1486" s="3">
        <f t="shared" si="118"/>
        <v>6.7381674049895075</v>
      </c>
      <c r="P1486" s="3" t="str">
        <f t="shared" si="119"/>
        <v>Sep</v>
      </c>
      <c r="Q1486" s="3" t="str">
        <f t="shared" si="115"/>
        <v>low profit</v>
      </c>
    </row>
    <row r="1487" spans="1:17" x14ac:dyDescent="0.25">
      <c r="A1487" s="3" t="s">
        <v>930</v>
      </c>
      <c r="B1487" s="4">
        <v>45925</v>
      </c>
      <c r="C1487" s="3" t="s">
        <v>2027</v>
      </c>
      <c r="D1487" s="3" t="s">
        <v>2047</v>
      </c>
      <c r="E1487" s="3" t="s">
        <v>2053</v>
      </c>
      <c r="F1487" s="3" t="s">
        <v>2061</v>
      </c>
      <c r="G1487" s="3">
        <v>1</v>
      </c>
      <c r="H1487" s="3">
        <v>1100</v>
      </c>
      <c r="I1487" s="3">
        <v>1298</v>
      </c>
      <c r="J1487" s="3">
        <v>12.93</v>
      </c>
      <c r="K1487" s="3">
        <v>1130.18</v>
      </c>
      <c r="L1487" s="3">
        <v>30.18</v>
      </c>
      <c r="M1487" s="3">
        <f t="shared" si="116"/>
        <v>16783.14</v>
      </c>
      <c r="N1487" s="3">
        <f t="shared" si="117"/>
        <v>1100</v>
      </c>
      <c r="O1487" s="3">
        <f t="shared" si="118"/>
        <v>2.6703710913305843</v>
      </c>
      <c r="P1487" s="3" t="str">
        <f t="shared" si="119"/>
        <v>Sep</v>
      </c>
      <c r="Q1487" s="3" t="str">
        <f t="shared" si="115"/>
        <v>low profit</v>
      </c>
    </row>
    <row r="1488" spans="1:17" x14ac:dyDescent="0.25">
      <c r="A1488" s="3" t="s">
        <v>991</v>
      </c>
      <c r="B1488" s="4">
        <v>45925</v>
      </c>
      <c r="C1488" s="3" t="s">
        <v>2015</v>
      </c>
      <c r="D1488" s="3" t="s">
        <v>2035</v>
      </c>
      <c r="E1488" s="3" t="s">
        <v>2054</v>
      </c>
      <c r="F1488" s="3" t="s">
        <v>2062</v>
      </c>
      <c r="G1488" s="3">
        <v>6</v>
      </c>
      <c r="H1488" s="3">
        <v>900</v>
      </c>
      <c r="I1488" s="3">
        <v>1170</v>
      </c>
      <c r="J1488" s="3">
        <v>7.55</v>
      </c>
      <c r="K1488" s="3">
        <v>6489.92</v>
      </c>
      <c r="L1488" s="3">
        <v>1089.92</v>
      </c>
      <c r="M1488" s="3">
        <f t="shared" si="116"/>
        <v>53001</v>
      </c>
      <c r="N1488" s="3">
        <f t="shared" si="117"/>
        <v>5400</v>
      </c>
      <c r="O1488" s="3">
        <f t="shared" si="118"/>
        <v>16.794043686208767</v>
      </c>
      <c r="P1488" s="3" t="str">
        <f t="shared" si="119"/>
        <v>Sep</v>
      </c>
      <c r="Q1488" s="3" t="str">
        <f t="shared" si="115"/>
        <v>good profit</v>
      </c>
    </row>
    <row r="1489" spans="1:17" x14ac:dyDescent="0.25">
      <c r="A1489" s="3" t="s">
        <v>1046</v>
      </c>
      <c r="B1489" s="4">
        <v>45925</v>
      </c>
      <c r="C1489" s="3" t="s">
        <v>2023</v>
      </c>
      <c r="D1489" s="3" t="s">
        <v>2043</v>
      </c>
      <c r="E1489" s="3" t="s">
        <v>2053</v>
      </c>
      <c r="F1489" s="3" t="s">
        <v>2062</v>
      </c>
      <c r="G1489" s="3">
        <v>7</v>
      </c>
      <c r="H1489" s="3">
        <v>550</v>
      </c>
      <c r="I1489" s="3">
        <v>742.5</v>
      </c>
      <c r="J1489" s="3">
        <v>4.7300000000000004</v>
      </c>
      <c r="K1489" s="3">
        <v>4951.45</v>
      </c>
      <c r="L1489" s="3">
        <v>1101.45</v>
      </c>
      <c r="M1489" s="3">
        <f t="shared" si="116"/>
        <v>24584.175000000003</v>
      </c>
      <c r="N1489" s="3">
        <f t="shared" si="117"/>
        <v>3850</v>
      </c>
      <c r="O1489" s="3">
        <f t="shared" si="118"/>
        <v>22.244998939704534</v>
      </c>
      <c r="P1489" s="3" t="str">
        <f t="shared" si="119"/>
        <v>Sep</v>
      </c>
      <c r="Q1489" s="3" t="str">
        <f t="shared" si="115"/>
        <v>good profit</v>
      </c>
    </row>
    <row r="1490" spans="1:17" x14ac:dyDescent="0.25">
      <c r="A1490" s="3" t="s">
        <v>1514</v>
      </c>
      <c r="B1490" s="4">
        <v>45925</v>
      </c>
      <c r="C1490" s="3" t="s">
        <v>2021</v>
      </c>
      <c r="D1490" s="3" t="s">
        <v>2041</v>
      </c>
      <c r="E1490" s="3" t="s">
        <v>2056</v>
      </c>
      <c r="F1490" s="3" t="s">
        <v>2061</v>
      </c>
      <c r="G1490" s="3">
        <v>2</v>
      </c>
      <c r="H1490" s="3">
        <v>300</v>
      </c>
      <c r="I1490" s="3">
        <v>405</v>
      </c>
      <c r="J1490" s="3">
        <v>3.09</v>
      </c>
      <c r="K1490" s="3">
        <v>784.95</v>
      </c>
      <c r="L1490" s="3">
        <v>184.95</v>
      </c>
      <c r="M1490" s="3">
        <f t="shared" si="116"/>
        <v>2502.9</v>
      </c>
      <c r="N1490" s="3">
        <f t="shared" si="117"/>
        <v>600</v>
      </c>
      <c r="O1490" s="3">
        <f t="shared" si="118"/>
        <v>23.562010319128603</v>
      </c>
      <c r="P1490" s="3" t="str">
        <f t="shared" si="119"/>
        <v>Sep</v>
      </c>
      <c r="Q1490" s="3" t="str">
        <f t="shared" si="115"/>
        <v>good profit</v>
      </c>
    </row>
    <row r="1491" spans="1:17" x14ac:dyDescent="0.25">
      <c r="A1491" s="3" t="s">
        <v>302</v>
      </c>
      <c r="B1491" s="4">
        <v>45926</v>
      </c>
      <c r="C1491" s="3" t="s">
        <v>2028</v>
      </c>
      <c r="D1491" s="3" t="s">
        <v>2048</v>
      </c>
      <c r="E1491" s="3" t="s">
        <v>2057</v>
      </c>
      <c r="F1491" s="3" t="s">
        <v>2059</v>
      </c>
      <c r="G1491" s="3">
        <v>1</v>
      </c>
      <c r="H1491" s="3">
        <v>80</v>
      </c>
      <c r="I1491" s="3">
        <v>116</v>
      </c>
      <c r="J1491" s="3">
        <v>12.56</v>
      </c>
      <c r="K1491" s="3">
        <v>101.43</v>
      </c>
      <c r="L1491" s="3">
        <v>21.43</v>
      </c>
      <c r="M1491" s="3">
        <f t="shared" si="116"/>
        <v>1456.96</v>
      </c>
      <c r="N1491" s="3">
        <f t="shared" si="117"/>
        <v>80</v>
      </c>
      <c r="O1491" s="3">
        <f t="shared" si="118"/>
        <v>21.127871438430443</v>
      </c>
      <c r="P1491" s="3" t="str">
        <f t="shared" si="119"/>
        <v>Sep</v>
      </c>
      <c r="Q1491" s="3" t="str">
        <f t="shared" si="115"/>
        <v>good profit</v>
      </c>
    </row>
    <row r="1492" spans="1:17" x14ac:dyDescent="0.25">
      <c r="A1492" s="3" t="s">
        <v>352</v>
      </c>
      <c r="B1492" s="4">
        <v>45926</v>
      </c>
      <c r="C1492" s="3" t="s">
        <v>2015</v>
      </c>
      <c r="D1492" s="3" t="s">
        <v>2035</v>
      </c>
      <c r="E1492" s="3" t="s">
        <v>2054</v>
      </c>
      <c r="F1492" s="3" t="s">
        <v>2060</v>
      </c>
      <c r="G1492" s="3">
        <v>4</v>
      </c>
      <c r="H1492" s="3">
        <v>900</v>
      </c>
      <c r="I1492" s="3">
        <v>1170</v>
      </c>
      <c r="J1492" s="3">
        <v>12.66</v>
      </c>
      <c r="K1492" s="3">
        <v>4087.61</v>
      </c>
      <c r="L1492" s="3">
        <v>487.61</v>
      </c>
      <c r="M1492" s="3">
        <f t="shared" si="116"/>
        <v>59248.800000000003</v>
      </c>
      <c r="N1492" s="3">
        <f t="shared" si="117"/>
        <v>3600</v>
      </c>
      <c r="O1492" s="3">
        <f t="shared" si="118"/>
        <v>11.928975611665496</v>
      </c>
      <c r="P1492" s="3" t="str">
        <f t="shared" si="119"/>
        <v>Sep</v>
      </c>
      <c r="Q1492" s="3" t="str">
        <f t="shared" si="115"/>
        <v>good profit</v>
      </c>
    </row>
    <row r="1493" spans="1:17" x14ac:dyDescent="0.25">
      <c r="A1493" s="3" t="s">
        <v>716</v>
      </c>
      <c r="B1493" s="4">
        <v>45926</v>
      </c>
      <c r="C1493" s="3" t="s">
        <v>2029</v>
      </c>
      <c r="D1493" s="3" t="s">
        <v>2049</v>
      </c>
      <c r="E1493" s="3" t="s">
        <v>2055</v>
      </c>
      <c r="F1493" s="3" t="s">
        <v>2060</v>
      </c>
      <c r="G1493" s="3">
        <v>4</v>
      </c>
      <c r="H1493" s="3">
        <v>1200</v>
      </c>
      <c r="I1493" s="3">
        <v>1464</v>
      </c>
      <c r="J1493" s="3">
        <v>21.6</v>
      </c>
      <c r="K1493" s="3">
        <v>4591.1000000000004</v>
      </c>
      <c r="L1493" s="3">
        <v>-208.9</v>
      </c>
      <c r="M1493" s="3">
        <f t="shared" si="116"/>
        <v>126489.60000000001</v>
      </c>
      <c r="N1493" s="3">
        <f t="shared" si="117"/>
        <v>4800</v>
      </c>
      <c r="O1493" s="3">
        <f t="shared" si="118"/>
        <v>-4.5501078172986862</v>
      </c>
      <c r="P1493" s="3" t="str">
        <f t="shared" si="119"/>
        <v>Sep</v>
      </c>
      <c r="Q1493" s="3" t="str">
        <f t="shared" si="115"/>
        <v>loss</v>
      </c>
    </row>
    <row r="1494" spans="1:17" x14ac:dyDescent="0.25">
      <c r="A1494" s="3" t="s">
        <v>1347</v>
      </c>
      <c r="B1494" s="4">
        <v>45926</v>
      </c>
      <c r="C1494" s="3" t="s">
        <v>2013</v>
      </c>
      <c r="D1494" s="3" t="s">
        <v>2033</v>
      </c>
      <c r="E1494" s="3" t="s">
        <v>2053</v>
      </c>
      <c r="F1494" s="3" t="s">
        <v>2059</v>
      </c>
      <c r="G1494" s="3">
        <v>5</v>
      </c>
      <c r="H1494" s="3">
        <v>6500</v>
      </c>
      <c r="I1494" s="3">
        <v>7150</v>
      </c>
      <c r="J1494" s="3">
        <v>10.35</v>
      </c>
      <c r="K1494" s="3">
        <v>32048.81</v>
      </c>
      <c r="L1494" s="3">
        <v>-451.19</v>
      </c>
      <c r="M1494" s="3">
        <f t="shared" si="116"/>
        <v>370012.5</v>
      </c>
      <c r="N1494" s="3">
        <f t="shared" si="117"/>
        <v>32500</v>
      </c>
      <c r="O1494" s="3">
        <f t="shared" si="118"/>
        <v>-1.4078213824475854</v>
      </c>
      <c r="P1494" s="3" t="str">
        <f t="shared" si="119"/>
        <v>Sep</v>
      </c>
      <c r="Q1494" s="3" t="str">
        <f t="shared" si="115"/>
        <v>loss</v>
      </c>
    </row>
    <row r="1495" spans="1:17" x14ac:dyDescent="0.25">
      <c r="A1495" s="3" t="s">
        <v>108</v>
      </c>
      <c r="B1495" s="4">
        <v>45927</v>
      </c>
      <c r="C1495" s="3" t="s">
        <v>2020</v>
      </c>
      <c r="D1495" s="3" t="s">
        <v>2040</v>
      </c>
      <c r="E1495" s="3" t="s">
        <v>2053</v>
      </c>
      <c r="F1495" s="3" t="s">
        <v>2062</v>
      </c>
      <c r="G1495" s="3">
        <v>10</v>
      </c>
      <c r="H1495" s="3">
        <v>350</v>
      </c>
      <c r="I1495" s="3">
        <v>455</v>
      </c>
      <c r="J1495" s="3">
        <v>10.61</v>
      </c>
      <c r="K1495" s="3">
        <v>4067.24</v>
      </c>
      <c r="L1495" s="3">
        <v>567.24</v>
      </c>
      <c r="M1495" s="3">
        <f t="shared" si="116"/>
        <v>48275.5</v>
      </c>
      <c r="N1495" s="3">
        <f t="shared" si="117"/>
        <v>3500</v>
      </c>
      <c r="O1495" s="3">
        <f t="shared" si="118"/>
        <v>13.946558354068117</v>
      </c>
      <c r="P1495" s="3" t="str">
        <f t="shared" si="119"/>
        <v>Sep</v>
      </c>
      <c r="Q1495" s="3" t="str">
        <f t="shared" si="115"/>
        <v>good profit</v>
      </c>
    </row>
    <row r="1496" spans="1:17" x14ac:dyDescent="0.25">
      <c r="A1496" s="3" t="s">
        <v>550</v>
      </c>
      <c r="B1496" s="4">
        <v>45927</v>
      </c>
      <c r="C1496" s="3" t="s">
        <v>2031</v>
      </c>
      <c r="D1496" s="3" t="s">
        <v>2051</v>
      </c>
      <c r="E1496" s="3" t="s">
        <v>2058</v>
      </c>
      <c r="F1496" s="3" t="s">
        <v>2062</v>
      </c>
      <c r="G1496" s="3">
        <v>8</v>
      </c>
      <c r="H1496" s="3">
        <v>3200</v>
      </c>
      <c r="I1496" s="3">
        <v>3840</v>
      </c>
      <c r="J1496" s="3">
        <v>27.5</v>
      </c>
      <c r="K1496" s="3">
        <v>22272.43</v>
      </c>
      <c r="L1496" s="3">
        <v>-3327.57</v>
      </c>
      <c r="M1496" s="3">
        <f t="shared" si="116"/>
        <v>844800</v>
      </c>
      <c r="N1496" s="3">
        <f t="shared" si="117"/>
        <v>25600</v>
      </c>
      <c r="O1496" s="3">
        <f t="shared" si="118"/>
        <v>-14.940309611479305</v>
      </c>
      <c r="P1496" s="3" t="str">
        <f t="shared" si="119"/>
        <v>Sep</v>
      </c>
      <c r="Q1496" s="3" t="str">
        <f t="shared" si="115"/>
        <v>loss</v>
      </c>
    </row>
    <row r="1497" spans="1:17" x14ac:dyDescent="0.25">
      <c r="A1497" s="3" t="s">
        <v>653</v>
      </c>
      <c r="B1497" s="4">
        <v>45927</v>
      </c>
      <c r="C1497" s="3" t="s">
        <v>2020</v>
      </c>
      <c r="D1497" s="3" t="s">
        <v>2040</v>
      </c>
      <c r="E1497" s="3" t="s">
        <v>2053</v>
      </c>
      <c r="F1497" s="3" t="s">
        <v>2060</v>
      </c>
      <c r="G1497" s="3">
        <v>9</v>
      </c>
      <c r="H1497" s="3">
        <v>350</v>
      </c>
      <c r="I1497" s="3">
        <v>455</v>
      </c>
      <c r="J1497" s="3">
        <v>3.53</v>
      </c>
      <c r="K1497" s="3">
        <v>3950.45</v>
      </c>
      <c r="L1497" s="3">
        <v>800.45</v>
      </c>
      <c r="M1497" s="3">
        <f t="shared" si="116"/>
        <v>14455.349999999999</v>
      </c>
      <c r="N1497" s="3">
        <f t="shared" si="117"/>
        <v>3150</v>
      </c>
      <c r="O1497" s="3">
        <f t="shared" si="118"/>
        <v>20.262248604589352</v>
      </c>
      <c r="P1497" s="3" t="str">
        <f t="shared" si="119"/>
        <v>Sep</v>
      </c>
      <c r="Q1497" s="3" t="str">
        <f t="shared" si="115"/>
        <v>good profit</v>
      </c>
    </row>
    <row r="1498" spans="1:17" x14ac:dyDescent="0.25">
      <c r="A1498" s="3" t="s">
        <v>823</v>
      </c>
      <c r="B1498" s="4">
        <v>45927</v>
      </c>
      <c r="C1498" s="3" t="s">
        <v>2016</v>
      </c>
      <c r="D1498" s="3" t="s">
        <v>2036</v>
      </c>
      <c r="E1498" s="3" t="s">
        <v>2052</v>
      </c>
      <c r="F1498" s="3" t="s">
        <v>2061</v>
      </c>
      <c r="G1498" s="3">
        <v>9</v>
      </c>
      <c r="H1498" s="3">
        <v>900</v>
      </c>
      <c r="I1498" s="3">
        <v>1170</v>
      </c>
      <c r="J1498" s="3">
        <v>7.96</v>
      </c>
      <c r="K1498" s="3">
        <v>9691.8799999999992</v>
      </c>
      <c r="L1498" s="3">
        <v>1591.88</v>
      </c>
      <c r="M1498" s="3">
        <f t="shared" si="116"/>
        <v>83818.8</v>
      </c>
      <c r="N1498" s="3">
        <f t="shared" si="117"/>
        <v>8100</v>
      </c>
      <c r="O1498" s="3">
        <f t="shared" si="118"/>
        <v>16.424883510732698</v>
      </c>
      <c r="P1498" s="3" t="str">
        <f t="shared" si="119"/>
        <v>Sep</v>
      </c>
      <c r="Q1498" s="3" t="str">
        <f t="shared" si="115"/>
        <v>good profit</v>
      </c>
    </row>
    <row r="1499" spans="1:17" x14ac:dyDescent="0.25">
      <c r="A1499" s="3" t="s">
        <v>1935</v>
      </c>
      <c r="B1499" s="4">
        <v>45927</v>
      </c>
      <c r="C1499" s="3" t="s">
        <v>2025</v>
      </c>
      <c r="D1499" s="3" t="s">
        <v>2045</v>
      </c>
      <c r="E1499" s="3" t="s">
        <v>2057</v>
      </c>
      <c r="F1499" s="3" t="s">
        <v>2060</v>
      </c>
      <c r="G1499" s="3">
        <v>2</v>
      </c>
      <c r="H1499" s="3">
        <v>45</v>
      </c>
      <c r="I1499" s="3">
        <v>63</v>
      </c>
      <c r="J1499" s="3">
        <v>7.32</v>
      </c>
      <c r="K1499" s="3">
        <v>116.78</v>
      </c>
      <c r="L1499" s="3">
        <v>26.78</v>
      </c>
      <c r="M1499" s="3">
        <f t="shared" si="116"/>
        <v>922.32</v>
      </c>
      <c r="N1499" s="3">
        <f t="shared" si="117"/>
        <v>90</v>
      </c>
      <c r="O1499" s="3">
        <f t="shared" si="118"/>
        <v>22.932008905634525</v>
      </c>
      <c r="P1499" s="3" t="str">
        <f t="shared" si="119"/>
        <v>Sep</v>
      </c>
      <c r="Q1499" s="3" t="str">
        <f t="shared" si="115"/>
        <v>good profit</v>
      </c>
    </row>
    <row r="1500" spans="1:17" x14ac:dyDescent="0.25">
      <c r="A1500" s="3" t="s">
        <v>311</v>
      </c>
      <c r="B1500" s="4">
        <v>45928</v>
      </c>
      <c r="C1500" s="3" t="s">
        <v>2029</v>
      </c>
      <c r="D1500" s="3" t="s">
        <v>2049</v>
      </c>
      <c r="E1500" s="3" t="s">
        <v>2055</v>
      </c>
      <c r="F1500" s="3" t="s">
        <v>2060</v>
      </c>
      <c r="G1500" s="3">
        <v>8</v>
      </c>
      <c r="H1500" s="3">
        <v>1200</v>
      </c>
      <c r="I1500" s="3">
        <v>1464</v>
      </c>
      <c r="J1500" s="3">
        <v>7.08</v>
      </c>
      <c r="K1500" s="3">
        <v>10882.91</v>
      </c>
      <c r="L1500" s="3">
        <v>1282.9100000000001</v>
      </c>
      <c r="M1500" s="3">
        <f t="shared" si="116"/>
        <v>82920.960000000006</v>
      </c>
      <c r="N1500" s="3">
        <f t="shared" si="117"/>
        <v>9600</v>
      </c>
      <c r="O1500" s="3">
        <f t="shared" si="118"/>
        <v>11.788299269221193</v>
      </c>
      <c r="P1500" s="3" t="str">
        <f t="shared" si="119"/>
        <v>Sep</v>
      </c>
      <c r="Q1500" s="3" t="str">
        <f t="shared" si="115"/>
        <v>good profit</v>
      </c>
    </row>
    <row r="1501" spans="1:17" x14ac:dyDescent="0.25">
      <c r="A1501" s="3" t="s">
        <v>768</v>
      </c>
      <c r="B1501" s="4">
        <v>45928</v>
      </c>
      <c r="C1501" s="3" t="s">
        <v>2012</v>
      </c>
      <c r="D1501" s="3" t="s">
        <v>2032</v>
      </c>
      <c r="E1501" s="3" t="s">
        <v>2052</v>
      </c>
      <c r="F1501" s="3" t="s">
        <v>2062</v>
      </c>
      <c r="G1501" s="3">
        <v>8</v>
      </c>
      <c r="H1501" s="3">
        <v>6500</v>
      </c>
      <c r="I1501" s="3">
        <v>8125</v>
      </c>
      <c r="J1501" s="3">
        <v>21.76</v>
      </c>
      <c r="K1501" s="3">
        <v>50856.98</v>
      </c>
      <c r="L1501" s="3">
        <v>-1143.02</v>
      </c>
      <c r="M1501" s="3">
        <f t="shared" si="116"/>
        <v>1414400</v>
      </c>
      <c r="N1501" s="3">
        <f t="shared" si="117"/>
        <v>52000</v>
      </c>
      <c r="O1501" s="3">
        <f t="shared" si="118"/>
        <v>-2.2475184330646449</v>
      </c>
      <c r="P1501" s="3" t="str">
        <f t="shared" si="119"/>
        <v>Sep</v>
      </c>
      <c r="Q1501" s="3" t="str">
        <f t="shared" si="115"/>
        <v>loss</v>
      </c>
    </row>
    <row r="1502" spans="1:17" x14ac:dyDescent="0.25">
      <c r="A1502" s="3" t="s">
        <v>1804</v>
      </c>
      <c r="B1502" s="4">
        <v>45928</v>
      </c>
      <c r="C1502" s="3" t="s">
        <v>2028</v>
      </c>
      <c r="D1502" s="3" t="s">
        <v>2048</v>
      </c>
      <c r="E1502" s="3" t="s">
        <v>2057</v>
      </c>
      <c r="F1502" s="3" t="s">
        <v>2061</v>
      </c>
      <c r="G1502" s="3">
        <v>7</v>
      </c>
      <c r="H1502" s="3">
        <v>80</v>
      </c>
      <c r="I1502" s="3">
        <v>116</v>
      </c>
      <c r="J1502" s="3">
        <v>8.8699999999999992</v>
      </c>
      <c r="K1502" s="3">
        <v>740</v>
      </c>
      <c r="L1502" s="3">
        <v>180</v>
      </c>
      <c r="M1502" s="3">
        <f t="shared" si="116"/>
        <v>7202.44</v>
      </c>
      <c r="N1502" s="3">
        <f t="shared" si="117"/>
        <v>560</v>
      </c>
      <c r="O1502" s="3">
        <f t="shared" si="118"/>
        <v>24.324324324324326</v>
      </c>
      <c r="P1502" s="3" t="str">
        <f t="shared" si="119"/>
        <v>Sep</v>
      </c>
      <c r="Q1502" s="3" t="str">
        <f t="shared" si="115"/>
        <v>good profit</v>
      </c>
    </row>
    <row r="1503" spans="1:17" x14ac:dyDescent="0.25">
      <c r="A1503" s="3" t="s">
        <v>1897</v>
      </c>
      <c r="B1503" s="4">
        <v>45928</v>
      </c>
      <c r="C1503" s="3" t="s">
        <v>2020</v>
      </c>
      <c r="D1503" s="3" t="s">
        <v>2040</v>
      </c>
      <c r="E1503" s="3" t="s">
        <v>2053</v>
      </c>
      <c r="F1503" s="3" t="s">
        <v>2061</v>
      </c>
      <c r="G1503" s="3">
        <v>2</v>
      </c>
      <c r="H1503" s="3">
        <v>350</v>
      </c>
      <c r="I1503" s="3">
        <v>455</v>
      </c>
      <c r="J1503" s="3">
        <v>0</v>
      </c>
      <c r="K1503" s="3">
        <v>910</v>
      </c>
      <c r="L1503" s="3">
        <v>210</v>
      </c>
      <c r="M1503" s="3">
        <f t="shared" si="116"/>
        <v>0</v>
      </c>
      <c r="N1503" s="3">
        <f t="shared" si="117"/>
        <v>700</v>
      </c>
      <c r="O1503" s="3">
        <f t="shared" si="118"/>
        <v>23.076923076923077</v>
      </c>
      <c r="P1503" s="3" t="str">
        <f t="shared" si="119"/>
        <v>Sep</v>
      </c>
      <c r="Q1503" s="3" t="str">
        <f t="shared" si="115"/>
        <v>good profit</v>
      </c>
    </row>
    <row r="1504" spans="1:17" x14ac:dyDescent="0.25">
      <c r="A1504" s="3" t="s">
        <v>1925</v>
      </c>
      <c r="B1504" s="4">
        <v>45928</v>
      </c>
      <c r="C1504" s="3" t="s">
        <v>2025</v>
      </c>
      <c r="D1504" s="3" t="s">
        <v>2045</v>
      </c>
      <c r="E1504" s="3" t="s">
        <v>2057</v>
      </c>
      <c r="F1504" s="3" t="s">
        <v>2060</v>
      </c>
      <c r="G1504" s="3">
        <v>3</v>
      </c>
      <c r="H1504" s="3">
        <v>45</v>
      </c>
      <c r="I1504" s="3">
        <v>63</v>
      </c>
      <c r="J1504" s="3">
        <v>10.210000000000001</v>
      </c>
      <c r="K1504" s="3">
        <v>169.71</v>
      </c>
      <c r="L1504" s="3">
        <v>34.71</v>
      </c>
      <c r="M1504" s="3">
        <f t="shared" si="116"/>
        <v>1929.69</v>
      </c>
      <c r="N1504" s="3">
        <f t="shared" si="117"/>
        <v>135</v>
      </c>
      <c r="O1504" s="3">
        <f t="shared" si="118"/>
        <v>20.452536680219197</v>
      </c>
      <c r="P1504" s="3" t="str">
        <f t="shared" si="119"/>
        <v>Sep</v>
      </c>
      <c r="Q1504" s="3" t="str">
        <f t="shared" si="115"/>
        <v>good profit</v>
      </c>
    </row>
    <row r="1505" spans="1:17" x14ac:dyDescent="0.25">
      <c r="A1505" s="3" t="s">
        <v>51</v>
      </c>
      <c r="B1505" s="4">
        <v>45929</v>
      </c>
      <c r="C1505" s="3" t="s">
        <v>2013</v>
      </c>
      <c r="D1505" s="3" t="s">
        <v>2033</v>
      </c>
      <c r="E1505" s="3" t="s">
        <v>2053</v>
      </c>
      <c r="F1505" s="3" t="s">
        <v>2059</v>
      </c>
      <c r="G1505" s="3">
        <v>6</v>
      </c>
      <c r="H1505" s="3">
        <v>6500</v>
      </c>
      <c r="I1505" s="3">
        <v>7150</v>
      </c>
      <c r="J1505" s="3">
        <v>15.18</v>
      </c>
      <c r="K1505" s="3">
        <v>36386.71</v>
      </c>
      <c r="L1505" s="3">
        <v>-2613.29</v>
      </c>
      <c r="M1505" s="3">
        <f t="shared" si="116"/>
        <v>651222</v>
      </c>
      <c r="N1505" s="3">
        <f t="shared" si="117"/>
        <v>39000</v>
      </c>
      <c r="O1505" s="3">
        <f t="shared" si="118"/>
        <v>-7.1819903475747058</v>
      </c>
      <c r="P1505" s="3" t="str">
        <f t="shared" si="119"/>
        <v>Sep</v>
      </c>
      <c r="Q1505" s="3" t="str">
        <f t="shared" si="115"/>
        <v>loss</v>
      </c>
    </row>
    <row r="1506" spans="1:17" x14ac:dyDescent="0.25">
      <c r="A1506" s="3" t="s">
        <v>772</v>
      </c>
      <c r="B1506" s="4">
        <v>45929</v>
      </c>
      <c r="C1506" s="3" t="s">
        <v>2013</v>
      </c>
      <c r="D1506" s="3" t="s">
        <v>2033</v>
      </c>
      <c r="E1506" s="3" t="s">
        <v>2053</v>
      </c>
      <c r="F1506" s="3" t="s">
        <v>2061</v>
      </c>
      <c r="G1506" s="3">
        <v>10</v>
      </c>
      <c r="H1506" s="3">
        <v>6500</v>
      </c>
      <c r="I1506" s="3">
        <v>7150</v>
      </c>
      <c r="J1506" s="3">
        <v>11.22</v>
      </c>
      <c r="K1506" s="3">
        <v>63476.27</v>
      </c>
      <c r="L1506" s="3">
        <v>-1523.73</v>
      </c>
      <c r="M1506" s="3">
        <f t="shared" si="116"/>
        <v>802230</v>
      </c>
      <c r="N1506" s="3">
        <f t="shared" si="117"/>
        <v>65000</v>
      </c>
      <c r="O1506" s="3">
        <f t="shared" si="118"/>
        <v>-2.4004718613743372</v>
      </c>
      <c r="P1506" s="3" t="str">
        <f t="shared" si="119"/>
        <v>Sep</v>
      </c>
      <c r="Q1506" s="3" t="str">
        <f t="shared" si="115"/>
        <v>loss</v>
      </c>
    </row>
    <row r="1507" spans="1:17" x14ac:dyDescent="0.25">
      <c r="A1507" s="3" t="s">
        <v>1527</v>
      </c>
      <c r="B1507" s="4">
        <v>45929</v>
      </c>
      <c r="C1507" s="3" t="s">
        <v>2019</v>
      </c>
      <c r="D1507" s="3" t="s">
        <v>2039</v>
      </c>
      <c r="E1507" s="3" t="s">
        <v>2053</v>
      </c>
      <c r="F1507" s="3" t="s">
        <v>2059</v>
      </c>
      <c r="G1507" s="3">
        <v>5</v>
      </c>
      <c r="H1507" s="3">
        <v>900</v>
      </c>
      <c r="I1507" s="3">
        <v>1152</v>
      </c>
      <c r="J1507" s="3">
        <v>24.44</v>
      </c>
      <c r="K1507" s="3">
        <v>4352.5200000000004</v>
      </c>
      <c r="L1507" s="3">
        <v>-147.47999999999999</v>
      </c>
      <c r="M1507" s="3">
        <f t="shared" si="116"/>
        <v>140774.39999999999</v>
      </c>
      <c r="N1507" s="3">
        <f t="shared" si="117"/>
        <v>4500</v>
      </c>
      <c r="O1507" s="3">
        <f t="shared" si="118"/>
        <v>-3.3883819028976312</v>
      </c>
      <c r="P1507" s="3" t="str">
        <f t="shared" si="119"/>
        <v>Sep</v>
      </c>
      <c r="Q1507" s="3" t="str">
        <f t="shared" si="115"/>
        <v>loss</v>
      </c>
    </row>
    <row r="1508" spans="1:17" x14ac:dyDescent="0.25">
      <c r="A1508" s="3" t="s">
        <v>1656</v>
      </c>
      <c r="B1508" s="4">
        <v>45929</v>
      </c>
      <c r="C1508" s="3" t="s">
        <v>2018</v>
      </c>
      <c r="D1508" s="3" t="s">
        <v>2038</v>
      </c>
      <c r="E1508" s="3" t="s">
        <v>2053</v>
      </c>
      <c r="F1508" s="3" t="s">
        <v>2061</v>
      </c>
      <c r="G1508" s="3">
        <v>4</v>
      </c>
      <c r="H1508" s="3">
        <v>500</v>
      </c>
      <c r="I1508" s="3">
        <v>610</v>
      </c>
      <c r="J1508" s="3">
        <v>5.45</v>
      </c>
      <c r="K1508" s="3">
        <v>2307.0700000000002</v>
      </c>
      <c r="L1508" s="3">
        <v>307.07</v>
      </c>
      <c r="M1508" s="3">
        <f t="shared" si="116"/>
        <v>13298</v>
      </c>
      <c r="N1508" s="3">
        <f t="shared" si="117"/>
        <v>2000</v>
      </c>
      <c r="O1508" s="3">
        <f t="shared" si="118"/>
        <v>13.309955918112584</v>
      </c>
      <c r="P1508" s="3" t="str">
        <f t="shared" si="119"/>
        <v>Sep</v>
      </c>
      <c r="Q1508" s="3" t="str">
        <f t="shared" si="115"/>
        <v>good profit</v>
      </c>
    </row>
    <row r="1509" spans="1:17" x14ac:dyDescent="0.25">
      <c r="A1509" s="3" t="s">
        <v>1867</v>
      </c>
      <c r="B1509" s="4">
        <v>45929</v>
      </c>
      <c r="C1509" s="3" t="s">
        <v>2022</v>
      </c>
      <c r="D1509" s="3" t="s">
        <v>2042</v>
      </c>
      <c r="E1509" s="3" t="s">
        <v>2053</v>
      </c>
      <c r="F1509" s="3" t="s">
        <v>2060</v>
      </c>
      <c r="G1509" s="3">
        <v>4</v>
      </c>
      <c r="H1509" s="3">
        <v>8500</v>
      </c>
      <c r="I1509" s="3">
        <v>9520</v>
      </c>
      <c r="J1509" s="3">
        <v>11.74</v>
      </c>
      <c r="K1509" s="3">
        <v>33607.61</v>
      </c>
      <c r="L1509" s="3">
        <v>-392.39</v>
      </c>
      <c r="M1509" s="3">
        <f t="shared" si="116"/>
        <v>447059.20000000001</v>
      </c>
      <c r="N1509" s="3">
        <f t="shared" si="117"/>
        <v>34000</v>
      </c>
      <c r="O1509" s="3">
        <f t="shared" si="118"/>
        <v>-1.1675629418456117</v>
      </c>
      <c r="P1509" s="3" t="str">
        <f t="shared" si="119"/>
        <v>Sep</v>
      </c>
      <c r="Q1509" s="3" t="str">
        <f t="shared" si="115"/>
        <v>loss</v>
      </c>
    </row>
    <row r="1510" spans="1:17" x14ac:dyDescent="0.25">
      <c r="A1510" s="3" t="s">
        <v>1965</v>
      </c>
      <c r="B1510" s="4">
        <v>45929</v>
      </c>
      <c r="C1510" s="3" t="s">
        <v>2025</v>
      </c>
      <c r="D1510" s="3" t="s">
        <v>2045</v>
      </c>
      <c r="E1510" s="3" t="s">
        <v>2057</v>
      </c>
      <c r="F1510" s="3" t="s">
        <v>2060</v>
      </c>
      <c r="G1510" s="3">
        <v>3</v>
      </c>
      <c r="H1510" s="3">
        <v>45</v>
      </c>
      <c r="I1510" s="3">
        <v>63</v>
      </c>
      <c r="J1510" s="3">
        <v>17.04</v>
      </c>
      <c r="K1510" s="3">
        <v>156.80000000000001</v>
      </c>
      <c r="L1510" s="3">
        <v>21.8</v>
      </c>
      <c r="M1510" s="3">
        <f t="shared" si="116"/>
        <v>3220.56</v>
      </c>
      <c r="N1510" s="3">
        <f t="shared" si="117"/>
        <v>135</v>
      </c>
      <c r="O1510" s="3">
        <f t="shared" si="118"/>
        <v>13.903061224489797</v>
      </c>
      <c r="P1510" s="3" t="str">
        <f t="shared" si="119"/>
        <v>Sep</v>
      </c>
      <c r="Q1510" s="3" t="str">
        <f t="shared" si="115"/>
        <v>good profit</v>
      </c>
    </row>
    <row r="1511" spans="1:17" x14ac:dyDescent="0.25">
      <c r="A1511" s="3" t="s">
        <v>162</v>
      </c>
      <c r="B1511" s="4">
        <v>45930</v>
      </c>
      <c r="C1511" s="3" t="s">
        <v>2016</v>
      </c>
      <c r="D1511" s="3" t="s">
        <v>2036</v>
      </c>
      <c r="E1511" s="3" t="s">
        <v>2052</v>
      </c>
      <c r="F1511" s="3" t="s">
        <v>2059</v>
      </c>
      <c r="G1511" s="3">
        <v>2</v>
      </c>
      <c r="H1511" s="3">
        <v>900</v>
      </c>
      <c r="I1511" s="3">
        <v>1170</v>
      </c>
      <c r="J1511" s="3">
        <v>0</v>
      </c>
      <c r="K1511" s="3">
        <v>2340</v>
      </c>
      <c r="L1511" s="3">
        <v>540</v>
      </c>
      <c r="M1511" s="3">
        <f t="shared" si="116"/>
        <v>0</v>
      </c>
      <c r="N1511" s="3">
        <f t="shared" si="117"/>
        <v>1800</v>
      </c>
      <c r="O1511" s="3">
        <f t="shared" si="118"/>
        <v>23.076923076923077</v>
      </c>
      <c r="P1511" s="3" t="str">
        <f t="shared" si="119"/>
        <v>Sep</v>
      </c>
      <c r="Q1511" s="3" t="str">
        <f t="shared" si="115"/>
        <v>good profit</v>
      </c>
    </row>
    <row r="1512" spans="1:17" x14ac:dyDescent="0.25">
      <c r="A1512" s="3" t="s">
        <v>312</v>
      </c>
      <c r="B1512" s="4">
        <v>45930</v>
      </c>
      <c r="C1512" s="3" t="s">
        <v>2025</v>
      </c>
      <c r="D1512" s="3" t="s">
        <v>2045</v>
      </c>
      <c r="E1512" s="3" t="s">
        <v>2057</v>
      </c>
      <c r="F1512" s="3" t="s">
        <v>2060</v>
      </c>
      <c r="G1512" s="3">
        <v>1</v>
      </c>
      <c r="H1512" s="3">
        <v>45</v>
      </c>
      <c r="I1512" s="3">
        <v>63</v>
      </c>
      <c r="J1512" s="3">
        <v>15.72</v>
      </c>
      <c r="K1512" s="3">
        <v>53.1</v>
      </c>
      <c r="L1512" s="3">
        <v>8.1</v>
      </c>
      <c r="M1512" s="3">
        <f t="shared" si="116"/>
        <v>990.36</v>
      </c>
      <c r="N1512" s="3">
        <f t="shared" si="117"/>
        <v>45</v>
      </c>
      <c r="O1512" s="3">
        <f t="shared" si="118"/>
        <v>15.254237288135592</v>
      </c>
      <c r="P1512" s="3" t="str">
        <f t="shared" si="119"/>
        <v>Sep</v>
      </c>
      <c r="Q1512" s="3" t="str">
        <f t="shared" si="115"/>
        <v>good profit</v>
      </c>
    </row>
    <row r="1513" spans="1:17" x14ac:dyDescent="0.25">
      <c r="A1513" s="3" t="s">
        <v>434</v>
      </c>
      <c r="B1513" s="4">
        <v>45930</v>
      </c>
      <c r="C1513" s="3" t="s">
        <v>2023</v>
      </c>
      <c r="D1513" s="3" t="s">
        <v>2043</v>
      </c>
      <c r="E1513" s="3" t="s">
        <v>2053</v>
      </c>
      <c r="F1513" s="3" t="s">
        <v>2062</v>
      </c>
      <c r="G1513" s="3">
        <v>6</v>
      </c>
      <c r="H1513" s="3">
        <v>550</v>
      </c>
      <c r="I1513" s="3">
        <v>742.5</v>
      </c>
      <c r="J1513" s="3">
        <v>0</v>
      </c>
      <c r="K1513" s="3">
        <v>4455</v>
      </c>
      <c r="L1513" s="3">
        <v>1155</v>
      </c>
      <c r="M1513" s="3">
        <f t="shared" si="116"/>
        <v>0</v>
      </c>
      <c r="N1513" s="3">
        <f t="shared" si="117"/>
        <v>3300</v>
      </c>
      <c r="O1513" s="3">
        <f t="shared" si="118"/>
        <v>25.925925925925924</v>
      </c>
      <c r="P1513" s="3" t="str">
        <f t="shared" si="119"/>
        <v>Sep</v>
      </c>
      <c r="Q1513" s="3" t="str">
        <f t="shared" si="115"/>
        <v>good profit</v>
      </c>
    </row>
    <row r="1514" spans="1:17" x14ac:dyDescent="0.25">
      <c r="A1514" s="3" t="s">
        <v>763</v>
      </c>
      <c r="B1514" s="4">
        <v>45930</v>
      </c>
      <c r="C1514" s="3" t="s">
        <v>2014</v>
      </c>
      <c r="D1514" s="3" t="s">
        <v>2034</v>
      </c>
      <c r="E1514" s="3" t="s">
        <v>2052</v>
      </c>
      <c r="F1514" s="3" t="s">
        <v>2062</v>
      </c>
      <c r="G1514" s="3">
        <v>2</v>
      </c>
      <c r="H1514" s="3">
        <v>4500</v>
      </c>
      <c r="I1514" s="3">
        <v>5220</v>
      </c>
      <c r="J1514" s="3">
        <v>26.62</v>
      </c>
      <c r="K1514" s="3">
        <v>7661.02</v>
      </c>
      <c r="L1514" s="3">
        <v>-1338.98</v>
      </c>
      <c r="M1514" s="3">
        <f t="shared" si="116"/>
        <v>277912.8</v>
      </c>
      <c r="N1514" s="3">
        <f t="shared" si="117"/>
        <v>9000</v>
      </c>
      <c r="O1514" s="3">
        <f t="shared" si="118"/>
        <v>-17.477829322988324</v>
      </c>
      <c r="P1514" s="3" t="str">
        <f t="shared" si="119"/>
        <v>Sep</v>
      </c>
      <c r="Q1514" s="3" t="str">
        <f t="shared" si="115"/>
        <v>loss</v>
      </c>
    </row>
    <row r="1515" spans="1:17" x14ac:dyDescent="0.25">
      <c r="A1515" s="3" t="s">
        <v>1172</v>
      </c>
      <c r="B1515" s="4">
        <v>45930</v>
      </c>
      <c r="C1515" s="3" t="s">
        <v>2015</v>
      </c>
      <c r="D1515" s="3" t="s">
        <v>2035</v>
      </c>
      <c r="E1515" s="3" t="s">
        <v>2054</v>
      </c>
      <c r="F1515" s="3" t="s">
        <v>2060</v>
      </c>
      <c r="G1515" s="3">
        <v>4</v>
      </c>
      <c r="H1515" s="3">
        <v>900</v>
      </c>
      <c r="I1515" s="3">
        <v>1170</v>
      </c>
      <c r="J1515" s="3">
        <v>14.55</v>
      </c>
      <c r="K1515" s="3">
        <v>3999.12</v>
      </c>
      <c r="L1515" s="3">
        <v>399.12</v>
      </c>
      <c r="M1515" s="3">
        <f t="shared" si="116"/>
        <v>68094</v>
      </c>
      <c r="N1515" s="3">
        <f t="shared" si="117"/>
        <v>3600</v>
      </c>
      <c r="O1515" s="3">
        <f t="shared" si="118"/>
        <v>9.9801956430414709</v>
      </c>
      <c r="P1515" s="3" t="str">
        <f t="shared" si="119"/>
        <v>Sep</v>
      </c>
      <c r="Q1515" s="3" t="str">
        <f t="shared" si="115"/>
        <v>low profit</v>
      </c>
    </row>
    <row r="1516" spans="1:17" x14ac:dyDescent="0.25">
      <c r="A1516" s="3" t="s">
        <v>1435</v>
      </c>
      <c r="B1516" s="4">
        <v>45930</v>
      </c>
      <c r="C1516" s="3" t="s">
        <v>2028</v>
      </c>
      <c r="D1516" s="3" t="s">
        <v>2048</v>
      </c>
      <c r="E1516" s="3" t="s">
        <v>2057</v>
      </c>
      <c r="F1516" s="3" t="s">
        <v>2059</v>
      </c>
      <c r="G1516" s="3">
        <v>4</v>
      </c>
      <c r="H1516" s="3">
        <v>80</v>
      </c>
      <c r="I1516" s="3">
        <v>116</v>
      </c>
      <c r="J1516" s="3">
        <v>9.01</v>
      </c>
      <c r="K1516" s="3">
        <v>422.2</v>
      </c>
      <c r="L1516" s="3">
        <v>102.2</v>
      </c>
      <c r="M1516" s="3">
        <f t="shared" si="116"/>
        <v>4180.6400000000003</v>
      </c>
      <c r="N1516" s="3">
        <f t="shared" si="117"/>
        <v>320</v>
      </c>
      <c r="O1516" s="3">
        <f t="shared" si="118"/>
        <v>24.206537186167694</v>
      </c>
      <c r="P1516" s="3" t="str">
        <f t="shared" si="119"/>
        <v>Sep</v>
      </c>
      <c r="Q1516" s="3" t="str">
        <f t="shared" si="115"/>
        <v>good profit</v>
      </c>
    </row>
    <row r="1517" spans="1:17" x14ac:dyDescent="0.25">
      <c r="A1517" s="3" t="s">
        <v>1680</v>
      </c>
      <c r="B1517" s="4">
        <v>45930</v>
      </c>
      <c r="C1517" s="3" t="s">
        <v>2030</v>
      </c>
      <c r="D1517" s="3" t="s">
        <v>2050</v>
      </c>
      <c r="E1517" s="3" t="s">
        <v>2058</v>
      </c>
      <c r="F1517" s="3" t="s">
        <v>2062</v>
      </c>
      <c r="G1517" s="3">
        <v>5</v>
      </c>
      <c r="H1517" s="3">
        <v>1800</v>
      </c>
      <c r="I1517" s="3">
        <v>2124</v>
      </c>
      <c r="J1517" s="3">
        <v>6.26</v>
      </c>
      <c r="K1517" s="3">
        <v>9955.09</v>
      </c>
      <c r="L1517" s="3">
        <v>955.09</v>
      </c>
      <c r="M1517" s="3">
        <f t="shared" si="116"/>
        <v>66481.2</v>
      </c>
      <c r="N1517" s="3">
        <f t="shared" si="117"/>
        <v>9000</v>
      </c>
      <c r="O1517" s="3">
        <f t="shared" si="118"/>
        <v>9.5939865937927227</v>
      </c>
      <c r="P1517" s="3" t="str">
        <f t="shared" si="119"/>
        <v>Sep</v>
      </c>
      <c r="Q1517" s="3" t="str">
        <f t="shared" si="115"/>
        <v>low profit</v>
      </c>
    </row>
    <row r="1518" spans="1:17" x14ac:dyDescent="0.25">
      <c r="A1518" s="3" t="s">
        <v>1879</v>
      </c>
      <c r="B1518" s="4">
        <v>45930</v>
      </c>
      <c r="C1518" s="3" t="s">
        <v>2017</v>
      </c>
      <c r="D1518" s="3" t="s">
        <v>2037</v>
      </c>
      <c r="E1518" s="3" t="s">
        <v>2055</v>
      </c>
      <c r="F1518" s="3" t="s">
        <v>2062</v>
      </c>
      <c r="G1518" s="3">
        <v>3</v>
      </c>
      <c r="H1518" s="3">
        <v>2500</v>
      </c>
      <c r="I1518" s="3">
        <v>2875</v>
      </c>
      <c r="J1518" s="3">
        <v>12.23</v>
      </c>
      <c r="K1518" s="3">
        <v>7570.54</v>
      </c>
      <c r="L1518" s="3">
        <v>70.540000000000006</v>
      </c>
      <c r="M1518" s="3">
        <f t="shared" si="116"/>
        <v>105483.75</v>
      </c>
      <c r="N1518" s="3">
        <f t="shared" si="117"/>
        <v>7500</v>
      </c>
      <c r="O1518" s="3">
        <f t="shared" si="118"/>
        <v>0.93176972844737638</v>
      </c>
      <c r="P1518" s="3" t="str">
        <f t="shared" si="119"/>
        <v>Sep</v>
      </c>
      <c r="Q1518" s="3" t="str">
        <f t="shared" si="115"/>
        <v>low profit</v>
      </c>
    </row>
    <row r="1519" spans="1:17" x14ac:dyDescent="0.25">
      <c r="A1519" s="3" t="s">
        <v>1137</v>
      </c>
      <c r="B1519" s="4">
        <v>45931</v>
      </c>
      <c r="C1519" s="3" t="s">
        <v>2018</v>
      </c>
      <c r="D1519" s="3" t="s">
        <v>2038</v>
      </c>
      <c r="E1519" s="3" t="s">
        <v>2053</v>
      </c>
      <c r="F1519" s="3" t="s">
        <v>2060</v>
      </c>
      <c r="G1519" s="3">
        <v>6</v>
      </c>
      <c r="H1519" s="3">
        <v>500</v>
      </c>
      <c r="I1519" s="3">
        <v>610</v>
      </c>
      <c r="J1519" s="3">
        <v>10.8</v>
      </c>
      <c r="K1519" s="3">
        <v>3264.67</v>
      </c>
      <c r="L1519" s="3">
        <v>264.67</v>
      </c>
      <c r="M1519" s="3">
        <f t="shared" si="116"/>
        <v>39528</v>
      </c>
      <c r="N1519" s="3">
        <f t="shared" si="117"/>
        <v>3000</v>
      </c>
      <c r="O1519" s="3">
        <f t="shared" si="118"/>
        <v>8.1070981140513432</v>
      </c>
      <c r="P1519" s="3" t="str">
        <f t="shared" si="119"/>
        <v>Oct</v>
      </c>
      <c r="Q1519" s="3" t="str">
        <f t="shared" si="115"/>
        <v>low profit</v>
      </c>
    </row>
    <row r="1520" spans="1:17" x14ac:dyDescent="0.25">
      <c r="A1520" s="3" t="s">
        <v>1391</v>
      </c>
      <c r="B1520" s="4">
        <v>45931</v>
      </c>
      <c r="C1520" s="3" t="s">
        <v>2029</v>
      </c>
      <c r="D1520" s="3" t="s">
        <v>2049</v>
      </c>
      <c r="E1520" s="3" t="s">
        <v>2055</v>
      </c>
      <c r="F1520" s="3" t="s">
        <v>2059</v>
      </c>
      <c r="G1520" s="3">
        <v>4</v>
      </c>
      <c r="H1520" s="3">
        <v>1200</v>
      </c>
      <c r="I1520" s="3">
        <v>1464</v>
      </c>
      <c r="J1520" s="3">
        <v>0</v>
      </c>
      <c r="K1520" s="3">
        <v>5856</v>
      </c>
      <c r="L1520" s="3">
        <v>1056</v>
      </c>
      <c r="M1520" s="3">
        <f t="shared" si="116"/>
        <v>0</v>
      </c>
      <c r="N1520" s="3">
        <f t="shared" si="117"/>
        <v>4800</v>
      </c>
      <c r="O1520" s="3">
        <f t="shared" si="118"/>
        <v>18.032786885245901</v>
      </c>
      <c r="P1520" s="3" t="str">
        <f t="shared" si="119"/>
        <v>Oct</v>
      </c>
      <c r="Q1520" s="3" t="str">
        <f t="shared" si="115"/>
        <v>good profit</v>
      </c>
    </row>
    <row r="1521" spans="1:17" x14ac:dyDescent="0.25">
      <c r="A1521" s="3" t="s">
        <v>1477</v>
      </c>
      <c r="B1521" s="4">
        <v>45931</v>
      </c>
      <c r="C1521" s="3" t="s">
        <v>2020</v>
      </c>
      <c r="D1521" s="3" t="s">
        <v>2040</v>
      </c>
      <c r="E1521" s="3" t="s">
        <v>2053</v>
      </c>
      <c r="F1521" s="3" t="s">
        <v>2060</v>
      </c>
      <c r="G1521" s="3">
        <v>9</v>
      </c>
      <c r="H1521" s="3">
        <v>350</v>
      </c>
      <c r="I1521" s="3">
        <v>455</v>
      </c>
      <c r="J1521" s="3">
        <v>14.88</v>
      </c>
      <c r="K1521" s="3">
        <v>3485.77</v>
      </c>
      <c r="L1521" s="3">
        <v>335.77</v>
      </c>
      <c r="M1521" s="3">
        <f t="shared" si="116"/>
        <v>60933.600000000006</v>
      </c>
      <c r="N1521" s="3">
        <f t="shared" si="117"/>
        <v>3150</v>
      </c>
      <c r="O1521" s="3">
        <f t="shared" si="118"/>
        <v>9.6325919380796776</v>
      </c>
      <c r="P1521" s="3" t="str">
        <f t="shared" si="119"/>
        <v>Oct</v>
      </c>
      <c r="Q1521" s="3" t="str">
        <f t="shared" si="115"/>
        <v>low profit</v>
      </c>
    </row>
    <row r="1522" spans="1:17" x14ac:dyDescent="0.25">
      <c r="A1522" s="3" t="s">
        <v>1669</v>
      </c>
      <c r="B1522" s="4">
        <v>45931</v>
      </c>
      <c r="C1522" s="3" t="s">
        <v>2029</v>
      </c>
      <c r="D1522" s="3" t="s">
        <v>2049</v>
      </c>
      <c r="E1522" s="3" t="s">
        <v>2055</v>
      </c>
      <c r="F1522" s="3" t="s">
        <v>2062</v>
      </c>
      <c r="G1522" s="3">
        <v>4</v>
      </c>
      <c r="H1522" s="3">
        <v>1200</v>
      </c>
      <c r="I1522" s="3">
        <v>1464</v>
      </c>
      <c r="J1522" s="3">
        <v>0</v>
      </c>
      <c r="K1522" s="3">
        <v>5856</v>
      </c>
      <c r="L1522" s="3">
        <v>1056</v>
      </c>
      <c r="M1522" s="3">
        <f t="shared" si="116"/>
        <v>0</v>
      </c>
      <c r="N1522" s="3">
        <f t="shared" si="117"/>
        <v>4800</v>
      </c>
      <c r="O1522" s="3">
        <f t="shared" si="118"/>
        <v>18.032786885245901</v>
      </c>
      <c r="P1522" s="3" t="str">
        <f t="shared" si="119"/>
        <v>Oct</v>
      </c>
      <c r="Q1522" s="3" t="str">
        <f t="shared" si="115"/>
        <v>good profit</v>
      </c>
    </row>
    <row r="1523" spans="1:17" x14ac:dyDescent="0.25">
      <c r="A1523" s="3" t="s">
        <v>1748</v>
      </c>
      <c r="B1523" s="4">
        <v>45931</v>
      </c>
      <c r="C1523" s="3" t="s">
        <v>2024</v>
      </c>
      <c r="D1523" s="3" t="s">
        <v>2044</v>
      </c>
      <c r="E1523" s="3" t="s">
        <v>2055</v>
      </c>
      <c r="F1523" s="3" t="s">
        <v>2062</v>
      </c>
      <c r="G1523" s="3">
        <v>7</v>
      </c>
      <c r="H1523" s="3">
        <v>180</v>
      </c>
      <c r="I1523" s="3">
        <v>243</v>
      </c>
      <c r="J1523" s="3">
        <v>1.53</v>
      </c>
      <c r="K1523" s="3">
        <v>1674.89</v>
      </c>
      <c r="L1523" s="3">
        <v>414.89</v>
      </c>
      <c r="M1523" s="3">
        <f t="shared" si="116"/>
        <v>2602.5300000000002</v>
      </c>
      <c r="N1523" s="3">
        <f t="shared" si="117"/>
        <v>1260</v>
      </c>
      <c r="O1523" s="3">
        <f t="shared" si="118"/>
        <v>24.771179002800181</v>
      </c>
      <c r="P1523" s="3" t="str">
        <f t="shared" si="119"/>
        <v>Oct</v>
      </c>
      <c r="Q1523" s="3" t="str">
        <f t="shared" si="115"/>
        <v>good profit</v>
      </c>
    </row>
    <row r="1524" spans="1:17" x14ac:dyDescent="0.25">
      <c r="A1524" s="3" t="s">
        <v>705</v>
      </c>
      <c r="B1524" s="4">
        <v>45932</v>
      </c>
      <c r="C1524" s="3" t="s">
        <v>2017</v>
      </c>
      <c r="D1524" s="3" t="s">
        <v>2037</v>
      </c>
      <c r="E1524" s="3" t="s">
        <v>2055</v>
      </c>
      <c r="F1524" s="3" t="s">
        <v>2060</v>
      </c>
      <c r="G1524" s="3">
        <v>9</v>
      </c>
      <c r="H1524" s="3">
        <v>2500</v>
      </c>
      <c r="I1524" s="3">
        <v>2875</v>
      </c>
      <c r="J1524" s="3">
        <v>0</v>
      </c>
      <c r="K1524" s="3">
        <v>25875</v>
      </c>
      <c r="L1524" s="3">
        <v>3375</v>
      </c>
      <c r="M1524" s="3">
        <f t="shared" si="116"/>
        <v>0</v>
      </c>
      <c r="N1524" s="3">
        <f t="shared" si="117"/>
        <v>22500</v>
      </c>
      <c r="O1524" s="3">
        <f t="shared" si="118"/>
        <v>13.043478260869565</v>
      </c>
      <c r="P1524" s="3" t="str">
        <f t="shared" si="119"/>
        <v>Oct</v>
      </c>
      <c r="Q1524" s="3" t="str">
        <f t="shared" si="115"/>
        <v>good profit</v>
      </c>
    </row>
    <row r="1525" spans="1:17" x14ac:dyDescent="0.25">
      <c r="A1525" s="3" t="s">
        <v>830</v>
      </c>
      <c r="B1525" s="4">
        <v>45932</v>
      </c>
      <c r="C1525" s="3" t="s">
        <v>2017</v>
      </c>
      <c r="D1525" s="3" t="s">
        <v>2037</v>
      </c>
      <c r="E1525" s="3" t="s">
        <v>2055</v>
      </c>
      <c r="F1525" s="3" t="s">
        <v>2062</v>
      </c>
      <c r="G1525" s="3">
        <v>8</v>
      </c>
      <c r="H1525" s="3">
        <v>2500</v>
      </c>
      <c r="I1525" s="3">
        <v>2875</v>
      </c>
      <c r="J1525" s="3">
        <v>10.65</v>
      </c>
      <c r="K1525" s="3">
        <v>20550.48</v>
      </c>
      <c r="L1525" s="3">
        <v>550.48</v>
      </c>
      <c r="M1525" s="3">
        <f t="shared" si="116"/>
        <v>244950</v>
      </c>
      <c r="N1525" s="3">
        <f t="shared" si="117"/>
        <v>20000</v>
      </c>
      <c r="O1525" s="3">
        <f t="shared" si="118"/>
        <v>2.6786722256609092</v>
      </c>
      <c r="P1525" s="3" t="str">
        <f t="shared" si="119"/>
        <v>Oct</v>
      </c>
      <c r="Q1525" s="3" t="str">
        <f t="shared" si="115"/>
        <v>low profit</v>
      </c>
    </row>
    <row r="1526" spans="1:17" x14ac:dyDescent="0.25">
      <c r="A1526" s="3" t="s">
        <v>841</v>
      </c>
      <c r="B1526" s="4">
        <v>45932</v>
      </c>
      <c r="C1526" s="3" t="s">
        <v>2015</v>
      </c>
      <c r="D1526" s="3" t="s">
        <v>2035</v>
      </c>
      <c r="E1526" s="3" t="s">
        <v>2054</v>
      </c>
      <c r="F1526" s="3" t="s">
        <v>2062</v>
      </c>
      <c r="G1526" s="3">
        <v>9</v>
      </c>
      <c r="H1526" s="3">
        <v>900</v>
      </c>
      <c r="I1526" s="3">
        <v>1170</v>
      </c>
      <c r="J1526" s="3">
        <v>0</v>
      </c>
      <c r="K1526" s="3">
        <v>10530</v>
      </c>
      <c r="L1526" s="3">
        <v>2430</v>
      </c>
      <c r="M1526" s="3">
        <f t="shared" si="116"/>
        <v>0</v>
      </c>
      <c r="N1526" s="3">
        <f t="shared" si="117"/>
        <v>8100</v>
      </c>
      <c r="O1526" s="3">
        <f t="shared" si="118"/>
        <v>23.076923076923077</v>
      </c>
      <c r="P1526" s="3" t="str">
        <f t="shared" si="119"/>
        <v>Oct</v>
      </c>
      <c r="Q1526" s="3" t="str">
        <f t="shared" si="115"/>
        <v>good profit</v>
      </c>
    </row>
    <row r="1527" spans="1:17" x14ac:dyDescent="0.25">
      <c r="A1527" s="3" t="s">
        <v>1095</v>
      </c>
      <c r="B1527" s="4">
        <v>45932</v>
      </c>
      <c r="C1527" s="3" t="s">
        <v>2023</v>
      </c>
      <c r="D1527" s="3" t="s">
        <v>2043</v>
      </c>
      <c r="E1527" s="3" t="s">
        <v>2053</v>
      </c>
      <c r="F1527" s="3" t="s">
        <v>2060</v>
      </c>
      <c r="G1527" s="3">
        <v>3</v>
      </c>
      <c r="H1527" s="3">
        <v>550</v>
      </c>
      <c r="I1527" s="3">
        <v>742.5</v>
      </c>
      <c r="J1527" s="3">
        <v>19.23</v>
      </c>
      <c r="K1527" s="3">
        <v>1799.22</v>
      </c>
      <c r="L1527" s="3">
        <v>149.22</v>
      </c>
      <c r="M1527" s="3">
        <f t="shared" si="116"/>
        <v>42834.825000000004</v>
      </c>
      <c r="N1527" s="3">
        <f t="shared" si="117"/>
        <v>1650</v>
      </c>
      <c r="O1527" s="3">
        <f t="shared" si="118"/>
        <v>8.2935938906859636</v>
      </c>
      <c r="P1527" s="3" t="str">
        <f t="shared" si="119"/>
        <v>Oct</v>
      </c>
      <c r="Q1527" s="3" t="str">
        <f t="shared" si="115"/>
        <v>low profit</v>
      </c>
    </row>
    <row r="1528" spans="1:17" x14ac:dyDescent="0.25">
      <c r="A1528" s="3" t="s">
        <v>1181</v>
      </c>
      <c r="B1528" s="4">
        <v>45932</v>
      </c>
      <c r="C1528" s="3" t="s">
        <v>2023</v>
      </c>
      <c r="D1528" s="3" t="s">
        <v>2043</v>
      </c>
      <c r="E1528" s="3" t="s">
        <v>2053</v>
      </c>
      <c r="F1528" s="3" t="s">
        <v>2061</v>
      </c>
      <c r="G1528" s="3">
        <v>2</v>
      </c>
      <c r="H1528" s="3">
        <v>550</v>
      </c>
      <c r="I1528" s="3">
        <v>742.5</v>
      </c>
      <c r="J1528" s="3">
        <v>0</v>
      </c>
      <c r="K1528" s="3">
        <v>1485</v>
      </c>
      <c r="L1528" s="3">
        <v>385</v>
      </c>
      <c r="M1528" s="3">
        <f t="shared" si="116"/>
        <v>0</v>
      </c>
      <c r="N1528" s="3">
        <f t="shared" si="117"/>
        <v>1100</v>
      </c>
      <c r="O1528" s="3">
        <f t="shared" si="118"/>
        <v>25.925925925925924</v>
      </c>
      <c r="P1528" s="3" t="str">
        <f t="shared" si="119"/>
        <v>Oct</v>
      </c>
      <c r="Q1528" s="3" t="str">
        <f t="shared" si="115"/>
        <v>good profit</v>
      </c>
    </row>
    <row r="1529" spans="1:17" x14ac:dyDescent="0.25">
      <c r="A1529" s="3" t="s">
        <v>1350</v>
      </c>
      <c r="B1529" s="4">
        <v>45932</v>
      </c>
      <c r="C1529" s="3" t="s">
        <v>2019</v>
      </c>
      <c r="D1529" s="3" t="s">
        <v>2039</v>
      </c>
      <c r="E1529" s="3" t="s">
        <v>2053</v>
      </c>
      <c r="F1529" s="3" t="s">
        <v>2060</v>
      </c>
      <c r="G1529" s="3">
        <v>3</v>
      </c>
      <c r="H1529" s="3">
        <v>900</v>
      </c>
      <c r="I1529" s="3">
        <v>1152</v>
      </c>
      <c r="J1529" s="3">
        <v>15.68</v>
      </c>
      <c r="K1529" s="3">
        <v>2914.11</v>
      </c>
      <c r="L1529" s="3">
        <v>214.11</v>
      </c>
      <c r="M1529" s="3">
        <f t="shared" si="116"/>
        <v>54190.080000000002</v>
      </c>
      <c r="N1529" s="3">
        <f t="shared" si="117"/>
        <v>2700</v>
      </c>
      <c r="O1529" s="3">
        <f t="shared" si="118"/>
        <v>7.3473547669785972</v>
      </c>
      <c r="P1529" s="3" t="str">
        <f t="shared" si="119"/>
        <v>Oct</v>
      </c>
      <c r="Q1529" s="3" t="str">
        <f t="shared" si="115"/>
        <v>low profit</v>
      </c>
    </row>
    <row r="1530" spans="1:17" x14ac:dyDescent="0.25">
      <c r="A1530" s="3" t="s">
        <v>98</v>
      </c>
      <c r="B1530" s="4">
        <v>45933</v>
      </c>
      <c r="C1530" s="3" t="s">
        <v>2019</v>
      </c>
      <c r="D1530" s="3" t="s">
        <v>2039</v>
      </c>
      <c r="E1530" s="3" t="s">
        <v>2053</v>
      </c>
      <c r="F1530" s="3" t="s">
        <v>2059</v>
      </c>
      <c r="G1530" s="3">
        <v>5</v>
      </c>
      <c r="H1530" s="3">
        <v>900</v>
      </c>
      <c r="I1530" s="3">
        <v>1152</v>
      </c>
      <c r="J1530" s="3">
        <v>3.27</v>
      </c>
      <c r="K1530" s="3">
        <v>5571.37</v>
      </c>
      <c r="L1530" s="3">
        <v>1071.3699999999999</v>
      </c>
      <c r="M1530" s="3">
        <f t="shared" si="116"/>
        <v>18835.2</v>
      </c>
      <c r="N1530" s="3">
        <f t="shared" si="117"/>
        <v>4500</v>
      </c>
      <c r="O1530" s="3">
        <f t="shared" si="118"/>
        <v>19.229920109416536</v>
      </c>
      <c r="P1530" s="3" t="str">
        <f t="shared" si="119"/>
        <v>Oct</v>
      </c>
      <c r="Q1530" s="3" t="str">
        <f t="shared" si="115"/>
        <v>good profit</v>
      </c>
    </row>
    <row r="1531" spans="1:17" x14ac:dyDescent="0.25">
      <c r="A1531" s="3" t="s">
        <v>882</v>
      </c>
      <c r="B1531" s="4">
        <v>45933</v>
      </c>
      <c r="C1531" s="3" t="s">
        <v>2028</v>
      </c>
      <c r="D1531" s="3" t="s">
        <v>2048</v>
      </c>
      <c r="E1531" s="3" t="s">
        <v>2057</v>
      </c>
      <c r="F1531" s="3" t="s">
        <v>2062</v>
      </c>
      <c r="G1531" s="3">
        <v>5</v>
      </c>
      <c r="H1531" s="3">
        <v>80</v>
      </c>
      <c r="I1531" s="3">
        <v>116</v>
      </c>
      <c r="J1531" s="3">
        <v>8.83</v>
      </c>
      <c r="K1531" s="3">
        <v>528.79999999999995</v>
      </c>
      <c r="L1531" s="3">
        <v>128.80000000000001</v>
      </c>
      <c r="M1531" s="3">
        <f t="shared" si="116"/>
        <v>5121.3999999999996</v>
      </c>
      <c r="N1531" s="3">
        <f t="shared" si="117"/>
        <v>400</v>
      </c>
      <c r="O1531" s="3">
        <f t="shared" si="118"/>
        <v>24.357034795763997</v>
      </c>
      <c r="P1531" s="3" t="str">
        <f t="shared" si="119"/>
        <v>Oct</v>
      </c>
      <c r="Q1531" s="3" t="str">
        <f t="shared" si="115"/>
        <v>good profit</v>
      </c>
    </row>
    <row r="1532" spans="1:17" x14ac:dyDescent="0.25">
      <c r="A1532" s="3" t="s">
        <v>907</v>
      </c>
      <c r="B1532" s="4">
        <v>45933</v>
      </c>
      <c r="C1532" s="3" t="s">
        <v>2020</v>
      </c>
      <c r="D1532" s="3" t="s">
        <v>2040</v>
      </c>
      <c r="E1532" s="3" t="s">
        <v>2053</v>
      </c>
      <c r="F1532" s="3" t="s">
        <v>2059</v>
      </c>
      <c r="G1532" s="3">
        <v>3</v>
      </c>
      <c r="H1532" s="3">
        <v>350</v>
      </c>
      <c r="I1532" s="3">
        <v>455</v>
      </c>
      <c r="J1532" s="3">
        <v>16.14</v>
      </c>
      <c r="K1532" s="3">
        <v>1144.72</v>
      </c>
      <c r="L1532" s="3">
        <v>94.72</v>
      </c>
      <c r="M1532" s="3">
        <f t="shared" si="116"/>
        <v>22031.100000000002</v>
      </c>
      <c r="N1532" s="3">
        <f t="shared" si="117"/>
        <v>1050</v>
      </c>
      <c r="O1532" s="3">
        <f t="shared" si="118"/>
        <v>8.2745125445523779</v>
      </c>
      <c r="P1532" s="3" t="str">
        <f t="shared" si="119"/>
        <v>Oct</v>
      </c>
      <c r="Q1532" s="3" t="str">
        <f t="shared" si="115"/>
        <v>low profit</v>
      </c>
    </row>
    <row r="1533" spans="1:17" x14ac:dyDescent="0.25">
      <c r="A1533" s="3" t="s">
        <v>237</v>
      </c>
      <c r="B1533" s="4">
        <v>45934</v>
      </c>
      <c r="C1533" s="3" t="s">
        <v>2027</v>
      </c>
      <c r="D1533" s="3" t="s">
        <v>2047</v>
      </c>
      <c r="E1533" s="3" t="s">
        <v>2053</v>
      </c>
      <c r="F1533" s="3" t="s">
        <v>2061</v>
      </c>
      <c r="G1533" s="3">
        <v>5</v>
      </c>
      <c r="H1533" s="3">
        <v>1100</v>
      </c>
      <c r="I1533" s="3">
        <v>1298</v>
      </c>
      <c r="J1533" s="3">
        <v>0</v>
      </c>
      <c r="K1533" s="3">
        <v>6490</v>
      </c>
      <c r="L1533" s="3">
        <v>990</v>
      </c>
      <c r="M1533" s="3">
        <f t="shared" si="116"/>
        <v>0</v>
      </c>
      <c r="N1533" s="3">
        <f t="shared" si="117"/>
        <v>5500</v>
      </c>
      <c r="O1533" s="3">
        <f t="shared" si="118"/>
        <v>15.254237288135593</v>
      </c>
      <c r="P1533" s="3" t="str">
        <f t="shared" si="119"/>
        <v>Oct</v>
      </c>
      <c r="Q1533" s="3" t="str">
        <f t="shared" si="115"/>
        <v>good profit</v>
      </c>
    </row>
    <row r="1534" spans="1:17" x14ac:dyDescent="0.25">
      <c r="A1534" s="3" t="s">
        <v>262</v>
      </c>
      <c r="B1534" s="4">
        <v>45934</v>
      </c>
      <c r="C1534" s="3" t="s">
        <v>2020</v>
      </c>
      <c r="D1534" s="3" t="s">
        <v>2040</v>
      </c>
      <c r="E1534" s="3" t="s">
        <v>2053</v>
      </c>
      <c r="F1534" s="3" t="s">
        <v>2059</v>
      </c>
      <c r="G1534" s="3">
        <v>7</v>
      </c>
      <c r="H1534" s="3">
        <v>350</v>
      </c>
      <c r="I1534" s="3">
        <v>455</v>
      </c>
      <c r="J1534" s="3">
        <v>12.53</v>
      </c>
      <c r="K1534" s="3">
        <v>2785.84</v>
      </c>
      <c r="L1534" s="3">
        <v>335.84</v>
      </c>
      <c r="M1534" s="3">
        <f t="shared" si="116"/>
        <v>39908.049999999996</v>
      </c>
      <c r="N1534" s="3">
        <f t="shared" si="117"/>
        <v>2450</v>
      </c>
      <c r="O1534" s="3">
        <f t="shared" si="118"/>
        <v>12.055250839962092</v>
      </c>
      <c r="P1534" s="3" t="str">
        <f t="shared" si="119"/>
        <v>Oct</v>
      </c>
      <c r="Q1534" s="3" t="str">
        <f t="shared" si="115"/>
        <v>good profit</v>
      </c>
    </row>
    <row r="1535" spans="1:17" x14ac:dyDescent="0.25">
      <c r="A1535" s="3" t="s">
        <v>641</v>
      </c>
      <c r="B1535" s="4">
        <v>45934</v>
      </c>
      <c r="C1535" s="3" t="s">
        <v>2024</v>
      </c>
      <c r="D1535" s="3" t="s">
        <v>2044</v>
      </c>
      <c r="E1535" s="3" t="s">
        <v>2055</v>
      </c>
      <c r="F1535" s="3" t="s">
        <v>2060</v>
      </c>
      <c r="G1535" s="3">
        <v>2</v>
      </c>
      <c r="H1535" s="3">
        <v>180</v>
      </c>
      <c r="I1535" s="3">
        <v>243</v>
      </c>
      <c r="J1535" s="3">
        <v>9.01</v>
      </c>
      <c r="K1535" s="3">
        <v>442.23</v>
      </c>
      <c r="L1535" s="3">
        <v>82.23</v>
      </c>
      <c r="M1535" s="3">
        <f t="shared" si="116"/>
        <v>4378.8599999999997</v>
      </c>
      <c r="N1535" s="3">
        <f t="shared" si="117"/>
        <v>360</v>
      </c>
      <c r="O1535" s="3">
        <f t="shared" si="118"/>
        <v>18.594396580964656</v>
      </c>
      <c r="P1535" s="3" t="str">
        <f t="shared" si="119"/>
        <v>Oct</v>
      </c>
      <c r="Q1535" s="3" t="str">
        <f t="shared" si="115"/>
        <v>good profit</v>
      </c>
    </row>
    <row r="1536" spans="1:17" x14ac:dyDescent="0.25">
      <c r="A1536" s="3" t="s">
        <v>747</v>
      </c>
      <c r="B1536" s="4">
        <v>45934</v>
      </c>
      <c r="C1536" s="3" t="s">
        <v>2030</v>
      </c>
      <c r="D1536" s="3" t="s">
        <v>2050</v>
      </c>
      <c r="E1536" s="3" t="s">
        <v>2058</v>
      </c>
      <c r="F1536" s="3" t="s">
        <v>2061</v>
      </c>
      <c r="G1536" s="3">
        <v>8</v>
      </c>
      <c r="H1536" s="3">
        <v>1800</v>
      </c>
      <c r="I1536" s="3">
        <v>2124</v>
      </c>
      <c r="J1536" s="3">
        <v>8.98</v>
      </c>
      <c r="K1536" s="3">
        <v>15465.6</v>
      </c>
      <c r="L1536" s="3">
        <v>1065.5999999999999</v>
      </c>
      <c r="M1536" s="3">
        <f t="shared" si="116"/>
        <v>152588.16</v>
      </c>
      <c r="N1536" s="3">
        <f t="shared" si="117"/>
        <v>14400</v>
      </c>
      <c r="O1536" s="3">
        <f t="shared" si="118"/>
        <v>6.8901303538175043</v>
      </c>
      <c r="P1536" s="3" t="str">
        <f t="shared" si="119"/>
        <v>Oct</v>
      </c>
      <c r="Q1536" s="3" t="str">
        <f t="shared" si="115"/>
        <v>low profit</v>
      </c>
    </row>
    <row r="1537" spans="1:17" x14ac:dyDescent="0.25">
      <c r="A1537" s="3" t="s">
        <v>971</v>
      </c>
      <c r="B1537" s="4">
        <v>45934</v>
      </c>
      <c r="C1537" s="3" t="s">
        <v>2029</v>
      </c>
      <c r="D1537" s="3" t="s">
        <v>2049</v>
      </c>
      <c r="E1537" s="3" t="s">
        <v>2055</v>
      </c>
      <c r="F1537" s="3" t="s">
        <v>2059</v>
      </c>
      <c r="G1537" s="3">
        <v>6</v>
      </c>
      <c r="H1537" s="3">
        <v>1200</v>
      </c>
      <c r="I1537" s="3">
        <v>1464</v>
      </c>
      <c r="J1537" s="3">
        <v>14.05</v>
      </c>
      <c r="K1537" s="3">
        <v>7549.57</v>
      </c>
      <c r="L1537" s="3">
        <v>349.57</v>
      </c>
      <c r="M1537" s="3">
        <f t="shared" si="116"/>
        <v>123415.20000000001</v>
      </c>
      <c r="N1537" s="3">
        <f t="shared" si="117"/>
        <v>7200</v>
      </c>
      <c r="O1537" s="3">
        <f t="shared" si="118"/>
        <v>4.6303299393210473</v>
      </c>
      <c r="P1537" s="3" t="str">
        <f t="shared" si="119"/>
        <v>Oct</v>
      </c>
      <c r="Q1537" s="3" t="str">
        <f t="shared" si="115"/>
        <v>low profit</v>
      </c>
    </row>
    <row r="1538" spans="1:17" x14ac:dyDescent="0.25">
      <c r="A1538" s="3" t="s">
        <v>1060</v>
      </c>
      <c r="B1538" s="4">
        <v>45934</v>
      </c>
      <c r="C1538" s="3" t="s">
        <v>2019</v>
      </c>
      <c r="D1538" s="3" t="s">
        <v>2039</v>
      </c>
      <c r="E1538" s="3" t="s">
        <v>2053</v>
      </c>
      <c r="F1538" s="3" t="s">
        <v>2062</v>
      </c>
      <c r="G1538" s="3">
        <v>9</v>
      </c>
      <c r="H1538" s="3">
        <v>900</v>
      </c>
      <c r="I1538" s="3">
        <v>1152</v>
      </c>
      <c r="J1538" s="3">
        <v>3.82</v>
      </c>
      <c r="K1538" s="3">
        <v>9972.0400000000009</v>
      </c>
      <c r="L1538" s="3">
        <v>1872.04</v>
      </c>
      <c r="M1538" s="3">
        <f t="shared" si="116"/>
        <v>39605.759999999995</v>
      </c>
      <c r="N1538" s="3">
        <f t="shared" si="117"/>
        <v>8100</v>
      </c>
      <c r="O1538" s="3">
        <f t="shared" si="118"/>
        <v>18.772888997637391</v>
      </c>
      <c r="P1538" s="3" t="str">
        <f t="shared" si="119"/>
        <v>Oct</v>
      </c>
      <c r="Q1538" s="3" t="str">
        <f t="shared" ref="Q1538:Q1601" si="120">IF(L1538&lt;0,"loss",IF(O1538&lt;10,"low profit","good profit"))</f>
        <v>good profit</v>
      </c>
    </row>
    <row r="1539" spans="1:17" x14ac:dyDescent="0.25">
      <c r="A1539" s="3" t="s">
        <v>1265</v>
      </c>
      <c r="B1539" s="4">
        <v>45934</v>
      </c>
      <c r="C1539" s="3" t="s">
        <v>2015</v>
      </c>
      <c r="D1539" s="3" t="s">
        <v>2035</v>
      </c>
      <c r="E1539" s="3" t="s">
        <v>2054</v>
      </c>
      <c r="F1539" s="3" t="s">
        <v>2060</v>
      </c>
      <c r="G1539" s="3">
        <v>10</v>
      </c>
      <c r="H1539" s="3">
        <v>900</v>
      </c>
      <c r="I1539" s="3">
        <v>1170</v>
      </c>
      <c r="J1539" s="3">
        <v>10.51</v>
      </c>
      <c r="K1539" s="3">
        <v>10470.31</v>
      </c>
      <c r="L1539" s="3">
        <v>1470.31</v>
      </c>
      <c r="M1539" s="3">
        <f t="shared" ref="M1539:M1602" si="121">G1539*I1539*J1539</f>
        <v>122967</v>
      </c>
      <c r="N1539" s="3">
        <f t="shared" ref="N1539:N1602" si="122">G1539*H1539</f>
        <v>9000</v>
      </c>
      <c r="O1539" s="3">
        <f t="shared" ref="O1539:O1602" si="123">IFERROR(L1539/K1539*100,0)</f>
        <v>14.042659672922769</v>
      </c>
      <c r="P1539" s="3" t="str">
        <f t="shared" ref="P1539:P1602" si="124">TEXT(B1539,"mmm")</f>
        <v>Oct</v>
      </c>
      <c r="Q1539" s="3" t="str">
        <f t="shared" si="120"/>
        <v>good profit</v>
      </c>
    </row>
    <row r="1540" spans="1:17" x14ac:dyDescent="0.25">
      <c r="A1540" s="3" t="s">
        <v>1628</v>
      </c>
      <c r="B1540" s="4">
        <v>45934</v>
      </c>
      <c r="C1540" s="3" t="s">
        <v>2017</v>
      </c>
      <c r="D1540" s="3" t="s">
        <v>2037</v>
      </c>
      <c r="E1540" s="3" t="s">
        <v>2055</v>
      </c>
      <c r="F1540" s="3" t="s">
        <v>2061</v>
      </c>
      <c r="G1540" s="3">
        <v>5</v>
      </c>
      <c r="H1540" s="3">
        <v>2500</v>
      </c>
      <c r="I1540" s="3">
        <v>2875</v>
      </c>
      <c r="J1540" s="3">
        <v>8.84</v>
      </c>
      <c r="K1540" s="3">
        <v>13104.26</v>
      </c>
      <c r="L1540" s="3">
        <v>604.26</v>
      </c>
      <c r="M1540" s="3">
        <f t="shared" si="121"/>
        <v>127075</v>
      </c>
      <c r="N1540" s="3">
        <f t="shared" si="122"/>
        <v>12500</v>
      </c>
      <c r="O1540" s="3">
        <f t="shared" si="123"/>
        <v>4.6111722447509429</v>
      </c>
      <c r="P1540" s="3" t="str">
        <f t="shared" si="124"/>
        <v>Oct</v>
      </c>
      <c r="Q1540" s="3" t="str">
        <f t="shared" si="120"/>
        <v>low profit</v>
      </c>
    </row>
    <row r="1541" spans="1:17" x14ac:dyDescent="0.25">
      <c r="A1541" s="3" t="s">
        <v>319</v>
      </c>
      <c r="B1541" s="4">
        <v>45935</v>
      </c>
      <c r="C1541" s="3" t="s">
        <v>2025</v>
      </c>
      <c r="D1541" s="3" t="s">
        <v>2045</v>
      </c>
      <c r="E1541" s="3" t="s">
        <v>2057</v>
      </c>
      <c r="F1541" s="3" t="s">
        <v>2059</v>
      </c>
      <c r="G1541" s="3">
        <v>9</v>
      </c>
      <c r="H1541" s="3">
        <v>45</v>
      </c>
      <c r="I1541" s="3">
        <v>63</v>
      </c>
      <c r="J1541" s="3">
        <v>14.28</v>
      </c>
      <c r="K1541" s="3">
        <v>486.05</v>
      </c>
      <c r="L1541" s="3">
        <v>81.05</v>
      </c>
      <c r="M1541" s="3">
        <f t="shared" si="121"/>
        <v>8096.7599999999993</v>
      </c>
      <c r="N1541" s="3">
        <f t="shared" si="122"/>
        <v>405</v>
      </c>
      <c r="O1541" s="3">
        <f t="shared" si="123"/>
        <v>16.675239172924595</v>
      </c>
      <c r="P1541" s="3" t="str">
        <f t="shared" si="124"/>
        <v>Oct</v>
      </c>
      <c r="Q1541" s="3" t="str">
        <f t="shared" si="120"/>
        <v>good profit</v>
      </c>
    </row>
    <row r="1542" spans="1:17" x14ac:dyDescent="0.25">
      <c r="A1542" s="3" t="s">
        <v>361</v>
      </c>
      <c r="B1542" s="4">
        <v>45935</v>
      </c>
      <c r="C1542" s="3" t="s">
        <v>2022</v>
      </c>
      <c r="D1542" s="3" t="s">
        <v>2042</v>
      </c>
      <c r="E1542" s="3" t="s">
        <v>2053</v>
      </c>
      <c r="F1542" s="3" t="s">
        <v>2061</v>
      </c>
      <c r="G1542" s="3">
        <v>4</v>
      </c>
      <c r="H1542" s="3">
        <v>8500</v>
      </c>
      <c r="I1542" s="3">
        <v>9520</v>
      </c>
      <c r="J1542" s="3">
        <v>4</v>
      </c>
      <c r="K1542" s="3">
        <v>36556.800000000003</v>
      </c>
      <c r="L1542" s="3">
        <v>2556.8000000000002</v>
      </c>
      <c r="M1542" s="3">
        <f t="shared" si="121"/>
        <v>152320</v>
      </c>
      <c r="N1542" s="3">
        <f t="shared" si="122"/>
        <v>34000</v>
      </c>
      <c r="O1542" s="3">
        <f t="shared" si="123"/>
        <v>6.9940476190476195</v>
      </c>
      <c r="P1542" s="3" t="str">
        <f t="shared" si="124"/>
        <v>Oct</v>
      </c>
      <c r="Q1542" s="3" t="str">
        <f t="shared" si="120"/>
        <v>low profit</v>
      </c>
    </row>
    <row r="1543" spans="1:17" x14ac:dyDescent="0.25">
      <c r="A1543" s="3" t="s">
        <v>1145</v>
      </c>
      <c r="B1543" s="4">
        <v>45935</v>
      </c>
      <c r="C1543" s="3" t="s">
        <v>2018</v>
      </c>
      <c r="D1543" s="3" t="s">
        <v>2038</v>
      </c>
      <c r="E1543" s="3" t="s">
        <v>2053</v>
      </c>
      <c r="F1543" s="3" t="s">
        <v>2061</v>
      </c>
      <c r="G1543" s="3">
        <v>1</v>
      </c>
      <c r="H1543" s="3">
        <v>500</v>
      </c>
      <c r="I1543" s="3">
        <v>610</v>
      </c>
      <c r="J1543" s="3">
        <v>10.94</v>
      </c>
      <c r="K1543" s="3">
        <v>543.26</v>
      </c>
      <c r="L1543" s="3">
        <v>43.26</v>
      </c>
      <c r="M1543" s="3">
        <f t="shared" si="121"/>
        <v>6673.4</v>
      </c>
      <c r="N1543" s="3">
        <f t="shared" si="122"/>
        <v>500</v>
      </c>
      <c r="O1543" s="3">
        <f t="shared" si="123"/>
        <v>7.9630379560431468</v>
      </c>
      <c r="P1543" s="3" t="str">
        <f t="shared" si="124"/>
        <v>Oct</v>
      </c>
      <c r="Q1543" s="3" t="str">
        <f t="shared" si="120"/>
        <v>low profit</v>
      </c>
    </row>
    <row r="1544" spans="1:17" x14ac:dyDescent="0.25">
      <c r="A1544" s="3" t="s">
        <v>1586</v>
      </c>
      <c r="B1544" s="4">
        <v>45935</v>
      </c>
      <c r="C1544" s="3" t="s">
        <v>2020</v>
      </c>
      <c r="D1544" s="3" t="s">
        <v>2040</v>
      </c>
      <c r="E1544" s="3" t="s">
        <v>2053</v>
      </c>
      <c r="F1544" s="3" t="s">
        <v>2062</v>
      </c>
      <c r="G1544" s="3">
        <v>2</v>
      </c>
      <c r="H1544" s="3">
        <v>350</v>
      </c>
      <c r="I1544" s="3">
        <v>455</v>
      </c>
      <c r="J1544" s="3">
        <v>13.63</v>
      </c>
      <c r="K1544" s="3">
        <v>785.97</v>
      </c>
      <c r="L1544" s="3">
        <v>85.97</v>
      </c>
      <c r="M1544" s="3">
        <f t="shared" si="121"/>
        <v>12403.300000000001</v>
      </c>
      <c r="N1544" s="3">
        <f t="shared" si="122"/>
        <v>700</v>
      </c>
      <c r="O1544" s="3">
        <f t="shared" si="123"/>
        <v>10.938076516915404</v>
      </c>
      <c r="P1544" s="3" t="str">
        <f t="shared" si="124"/>
        <v>Oct</v>
      </c>
      <c r="Q1544" s="3" t="str">
        <f t="shared" si="120"/>
        <v>good profit</v>
      </c>
    </row>
    <row r="1545" spans="1:17" x14ac:dyDescent="0.25">
      <c r="A1545" s="3" t="s">
        <v>1717</v>
      </c>
      <c r="B1545" s="4">
        <v>45935</v>
      </c>
      <c r="C1545" s="3" t="s">
        <v>2016</v>
      </c>
      <c r="D1545" s="3" t="s">
        <v>2036</v>
      </c>
      <c r="E1545" s="3" t="s">
        <v>2052</v>
      </c>
      <c r="F1545" s="3" t="s">
        <v>2060</v>
      </c>
      <c r="G1545" s="3">
        <v>3</v>
      </c>
      <c r="H1545" s="3">
        <v>900</v>
      </c>
      <c r="I1545" s="3">
        <v>1170</v>
      </c>
      <c r="J1545" s="3">
        <v>21.26</v>
      </c>
      <c r="K1545" s="3">
        <v>2763.6</v>
      </c>
      <c r="L1545" s="3">
        <v>63.6</v>
      </c>
      <c r="M1545" s="3">
        <f t="shared" si="121"/>
        <v>74622.600000000006</v>
      </c>
      <c r="N1545" s="3">
        <f t="shared" si="122"/>
        <v>2700</v>
      </c>
      <c r="O1545" s="3">
        <f t="shared" si="123"/>
        <v>2.3013460703430311</v>
      </c>
      <c r="P1545" s="3" t="str">
        <f t="shared" si="124"/>
        <v>Oct</v>
      </c>
      <c r="Q1545" s="3" t="str">
        <f t="shared" si="120"/>
        <v>low profit</v>
      </c>
    </row>
    <row r="1546" spans="1:17" x14ac:dyDescent="0.25">
      <c r="A1546" s="3" t="s">
        <v>1769</v>
      </c>
      <c r="B1546" s="4">
        <v>45935</v>
      </c>
      <c r="C1546" s="3" t="s">
        <v>2025</v>
      </c>
      <c r="D1546" s="3" t="s">
        <v>2045</v>
      </c>
      <c r="E1546" s="3" t="s">
        <v>2057</v>
      </c>
      <c r="F1546" s="3" t="s">
        <v>2059</v>
      </c>
      <c r="G1546" s="3">
        <v>6</v>
      </c>
      <c r="H1546" s="3">
        <v>45</v>
      </c>
      <c r="I1546" s="3">
        <v>63</v>
      </c>
      <c r="J1546" s="3">
        <v>16.86</v>
      </c>
      <c r="K1546" s="3">
        <v>314.27</v>
      </c>
      <c r="L1546" s="3">
        <v>44.27</v>
      </c>
      <c r="M1546" s="3">
        <f t="shared" si="121"/>
        <v>6373.08</v>
      </c>
      <c r="N1546" s="3">
        <f t="shared" si="122"/>
        <v>270</v>
      </c>
      <c r="O1546" s="3">
        <f t="shared" si="123"/>
        <v>14.086613421580171</v>
      </c>
      <c r="P1546" s="3" t="str">
        <f t="shared" si="124"/>
        <v>Oct</v>
      </c>
      <c r="Q1546" s="3" t="str">
        <f t="shared" si="120"/>
        <v>good profit</v>
      </c>
    </row>
    <row r="1547" spans="1:17" x14ac:dyDescent="0.25">
      <c r="A1547" s="3" t="s">
        <v>34</v>
      </c>
      <c r="B1547" s="4">
        <v>45936</v>
      </c>
      <c r="C1547" s="3" t="s">
        <v>2014</v>
      </c>
      <c r="D1547" s="3" t="s">
        <v>2034</v>
      </c>
      <c r="E1547" s="3" t="s">
        <v>2052</v>
      </c>
      <c r="F1547" s="3" t="s">
        <v>2060</v>
      </c>
      <c r="G1547" s="3">
        <v>10</v>
      </c>
      <c r="H1547" s="3">
        <v>4500</v>
      </c>
      <c r="I1547" s="3">
        <v>5220</v>
      </c>
      <c r="J1547" s="3">
        <v>18.87</v>
      </c>
      <c r="K1547" s="3">
        <v>42350.559999999998</v>
      </c>
      <c r="L1547" s="3">
        <v>-2649.44</v>
      </c>
      <c r="M1547" s="3">
        <f t="shared" si="121"/>
        <v>985014</v>
      </c>
      <c r="N1547" s="3">
        <f t="shared" si="122"/>
        <v>45000</v>
      </c>
      <c r="O1547" s="3">
        <f t="shared" si="123"/>
        <v>-6.2559739469796858</v>
      </c>
      <c r="P1547" s="3" t="str">
        <f t="shared" si="124"/>
        <v>Oct</v>
      </c>
      <c r="Q1547" s="3" t="str">
        <f t="shared" si="120"/>
        <v>loss</v>
      </c>
    </row>
    <row r="1548" spans="1:17" x14ac:dyDescent="0.25">
      <c r="A1548" s="3" t="s">
        <v>667</v>
      </c>
      <c r="B1548" s="4">
        <v>45936</v>
      </c>
      <c r="C1548" s="3" t="s">
        <v>2027</v>
      </c>
      <c r="D1548" s="3" t="s">
        <v>2047</v>
      </c>
      <c r="E1548" s="3" t="s">
        <v>2053</v>
      </c>
      <c r="F1548" s="3" t="s">
        <v>2059</v>
      </c>
      <c r="G1548" s="3">
        <v>7</v>
      </c>
      <c r="H1548" s="3">
        <v>1100</v>
      </c>
      <c r="I1548" s="3">
        <v>1298</v>
      </c>
      <c r="J1548" s="3">
        <v>4.05</v>
      </c>
      <c r="K1548" s="3">
        <v>8717.85</v>
      </c>
      <c r="L1548" s="3">
        <v>1017.85</v>
      </c>
      <c r="M1548" s="3">
        <f t="shared" si="121"/>
        <v>36798.299999999996</v>
      </c>
      <c r="N1548" s="3">
        <f t="shared" si="122"/>
        <v>7700</v>
      </c>
      <c r="O1548" s="3">
        <f t="shared" si="123"/>
        <v>11.675470442827072</v>
      </c>
      <c r="P1548" s="3" t="str">
        <f t="shared" si="124"/>
        <v>Oct</v>
      </c>
      <c r="Q1548" s="3" t="str">
        <f t="shared" si="120"/>
        <v>good profit</v>
      </c>
    </row>
    <row r="1549" spans="1:17" x14ac:dyDescent="0.25">
      <c r="A1549" s="3" t="s">
        <v>760</v>
      </c>
      <c r="B1549" s="4">
        <v>45936</v>
      </c>
      <c r="C1549" s="3" t="s">
        <v>2022</v>
      </c>
      <c r="D1549" s="3" t="s">
        <v>2042</v>
      </c>
      <c r="E1549" s="3" t="s">
        <v>2053</v>
      </c>
      <c r="F1549" s="3" t="s">
        <v>2062</v>
      </c>
      <c r="G1549" s="3">
        <v>6</v>
      </c>
      <c r="H1549" s="3">
        <v>8500</v>
      </c>
      <c r="I1549" s="3">
        <v>9520</v>
      </c>
      <c r="J1549" s="3">
        <v>12.37</v>
      </c>
      <c r="K1549" s="3">
        <v>50054.1</v>
      </c>
      <c r="L1549" s="3">
        <v>-945.9</v>
      </c>
      <c r="M1549" s="3">
        <f t="shared" si="121"/>
        <v>706574.39999999991</v>
      </c>
      <c r="N1549" s="3">
        <f t="shared" si="122"/>
        <v>51000</v>
      </c>
      <c r="O1549" s="3">
        <f t="shared" si="123"/>
        <v>-1.8897552847818662</v>
      </c>
      <c r="P1549" s="3" t="str">
        <f t="shared" si="124"/>
        <v>Oct</v>
      </c>
      <c r="Q1549" s="3" t="str">
        <f t="shared" si="120"/>
        <v>loss</v>
      </c>
    </row>
    <row r="1550" spans="1:17" x14ac:dyDescent="0.25">
      <c r="A1550" s="3" t="s">
        <v>1057</v>
      </c>
      <c r="B1550" s="4">
        <v>45936</v>
      </c>
      <c r="C1550" s="3" t="s">
        <v>2023</v>
      </c>
      <c r="D1550" s="3" t="s">
        <v>2043</v>
      </c>
      <c r="E1550" s="3" t="s">
        <v>2053</v>
      </c>
      <c r="F1550" s="3" t="s">
        <v>2060</v>
      </c>
      <c r="G1550" s="3">
        <v>2</v>
      </c>
      <c r="H1550" s="3">
        <v>550</v>
      </c>
      <c r="I1550" s="3">
        <v>742.5</v>
      </c>
      <c r="J1550" s="3">
        <v>17.77</v>
      </c>
      <c r="K1550" s="3">
        <v>1221.0999999999999</v>
      </c>
      <c r="L1550" s="3">
        <v>121.1</v>
      </c>
      <c r="M1550" s="3">
        <f t="shared" si="121"/>
        <v>26388.45</v>
      </c>
      <c r="N1550" s="3">
        <f t="shared" si="122"/>
        <v>1100</v>
      </c>
      <c r="O1550" s="3">
        <f t="shared" si="123"/>
        <v>9.9172876914257628</v>
      </c>
      <c r="P1550" s="3" t="str">
        <f t="shared" si="124"/>
        <v>Oct</v>
      </c>
      <c r="Q1550" s="3" t="str">
        <f t="shared" si="120"/>
        <v>low profit</v>
      </c>
    </row>
    <row r="1551" spans="1:17" x14ac:dyDescent="0.25">
      <c r="A1551" s="3" t="s">
        <v>1791</v>
      </c>
      <c r="B1551" s="4">
        <v>45936</v>
      </c>
      <c r="C1551" s="3" t="s">
        <v>2030</v>
      </c>
      <c r="D1551" s="3" t="s">
        <v>2050</v>
      </c>
      <c r="E1551" s="3" t="s">
        <v>2058</v>
      </c>
      <c r="F1551" s="3" t="s">
        <v>2062</v>
      </c>
      <c r="G1551" s="3">
        <v>2</v>
      </c>
      <c r="H1551" s="3">
        <v>1800</v>
      </c>
      <c r="I1551" s="3">
        <v>2124</v>
      </c>
      <c r="J1551" s="3">
        <v>7.24</v>
      </c>
      <c r="K1551" s="3">
        <v>3940.29</v>
      </c>
      <c r="L1551" s="3">
        <v>340.29</v>
      </c>
      <c r="M1551" s="3">
        <f t="shared" si="121"/>
        <v>30755.52</v>
      </c>
      <c r="N1551" s="3">
        <f t="shared" si="122"/>
        <v>3600</v>
      </c>
      <c r="O1551" s="3">
        <f t="shared" si="123"/>
        <v>8.6361663735410357</v>
      </c>
      <c r="P1551" s="3" t="str">
        <f t="shared" si="124"/>
        <v>Oct</v>
      </c>
      <c r="Q1551" s="3" t="str">
        <f t="shared" si="120"/>
        <v>low profit</v>
      </c>
    </row>
    <row r="1552" spans="1:17" x14ac:dyDescent="0.25">
      <c r="A1552" s="3" t="s">
        <v>1819</v>
      </c>
      <c r="B1552" s="4">
        <v>45936</v>
      </c>
      <c r="C1552" s="3" t="s">
        <v>2017</v>
      </c>
      <c r="D1552" s="3" t="s">
        <v>2037</v>
      </c>
      <c r="E1552" s="3" t="s">
        <v>2055</v>
      </c>
      <c r="F1552" s="3" t="s">
        <v>2062</v>
      </c>
      <c r="G1552" s="3">
        <v>9</v>
      </c>
      <c r="H1552" s="3">
        <v>2500</v>
      </c>
      <c r="I1552" s="3">
        <v>2875</v>
      </c>
      <c r="J1552" s="3">
        <v>17.22</v>
      </c>
      <c r="K1552" s="3">
        <v>21420.18</v>
      </c>
      <c r="L1552" s="3">
        <v>-1079.82</v>
      </c>
      <c r="M1552" s="3">
        <f t="shared" si="121"/>
        <v>445567.49999999994</v>
      </c>
      <c r="N1552" s="3">
        <f t="shared" si="122"/>
        <v>22500</v>
      </c>
      <c r="O1552" s="3">
        <f t="shared" si="123"/>
        <v>-5.0411341081167382</v>
      </c>
      <c r="P1552" s="3" t="str">
        <f t="shared" si="124"/>
        <v>Oct</v>
      </c>
      <c r="Q1552" s="3" t="str">
        <f t="shared" si="120"/>
        <v>loss</v>
      </c>
    </row>
    <row r="1553" spans="1:17" x14ac:dyDescent="0.25">
      <c r="A1553" s="3" t="s">
        <v>528</v>
      </c>
      <c r="B1553" s="4">
        <v>45937</v>
      </c>
      <c r="C1553" s="3" t="s">
        <v>2027</v>
      </c>
      <c r="D1553" s="3" t="s">
        <v>2047</v>
      </c>
      <c r="E1553" s="3" t="s">
        <v>2053</v>
      </c>
      <c r="F1553" s="3" t="s">
        <v>2060</v>
      </c>
      <c r="G1553" s="3">
        <v>1</v>
      </c>
      <c r="H1553" s="3">
        <v>1100</v>
      </c>
      <c r="I1553" s="3">
        <v>1298</v>
      </c>
      <c r="J1553" s="3">
        <v>12.27</v>
      </c>
      <c r="K1553" s="3">
        <v>1138.71</v>
      </c>
      <c r="L1553" s="3">
        <v>38.71</v>
      </c>
      <c r="M1553" s="3">
        <f t="shared" si="121"/>
        <v>15926.46</v>
      </c>
      <c r="N1553" s="3">
        <f t="shared" si="122"/>
        <v>1100</v>
      </c>
      <c r="O1553" s="3">
        <f t="shared" si="123"/>
        <v>3.3994607933538825</v>
      </c>
      <c r="P1553" s="3" t="str">
        <f t="shared" si="124"/>
        <v>Oct</v>
      </c>
      <c r="Q1553" s="3" t="str">
        <f t="shared" si="120"/>
        <v>low profit</v>
      </c>
    </row>
    <row r="1554" spans="1:17" x14ac:dyDescent="0.25">
      <c r="A1554" s="3" t="s">
        <v>1167</v>
      </c>
      <c r="B1554" s="4">
        <v>45937</v>
      </c>
      <c r="C1554" s="3" t="s">
        <v>2017</v>
      </c>
      <c r="D1554" s="3" t="s">
        <v>2037</v>
      </c>
      <c r="E1554" s="3" t="s">
        <v>2055</v>
      </c>
      <c r="F1554" s="3" t="s">
        <v>2059</v>
      </c>
      <c r="G1554" s="3">
        <v>7</v>
      </c>
      <c r="H1554" s="3">
        <v>2500</v>
      </c>
      <c r="I1554" s="3">
        <v>2875</v>
      </c>
      <c r="J1554" s="3">
        <v>3.16</v>
      </c>
      <c r="K1554" s="3">
        <v>19489.52</v>
      </c>
      <c r="L1554" s="3">
        <v>1989.52</v>
      </c>
      <c r="M1554" s="3">
        <f t="shared" si="121"/>
        <v>63595</v>
      </c>
      <c r="N1554" s="3">
        <f t="shared" si="122"/>
        <v>17500</v>
      </c>
      <c r="O1554" s="3">
        <f t="shared" si="123"/>
        <v>10.208152894478674</v>
      </c>
      <c r="P1554" s="3" t="str">
        <f t="shared" si="124"/>
        <v>Oct</v>
      </c>
      <c r="Q1554" s="3" t="str">
        <f t="shared" si="120"/>
        <v>good profit</v>
      </c>
    </row>
    <row r="1555" spans="1:17" x14ac:dyDescent="0.25">
      <c r="A1555" s="3" t="s">
        <v>1505</v>
      </c>
      <c r="B1555" s="4">
        <v>45937</v>
      </c>
      <c r="C1555" s="3" t="s">
        <v>2023</v>
      </c>
      <c r="D1555" s="3" t="s">
        <v>2043</v>
      </c>
      <c r="E1555" s="3" t="s">
        <v>2053</v>
      </c>
      <c r="F1555" s="3" t="s">
        <v>2061</v>
      </c>
      <c r="G1555" s="3">
        <v>2</v>
      </c>
      <c r="H1555" s="3">
        <v>550</v>
      </c>
      <c r="I1555" s="3">
        <v>742.5</v>
      </c>
      <c r="J1555" s="3">
        <v>10.42</v>
      </c>
      <c r="K1555" s="3">
        <v>1330.22</v>
      </c>
      <c r="L1555" s="3">
        <v>230.22</v>
      </c>
      <c r="M1555" s="3">
        <f t="shared" si="121"/>
        <v>15473.7</v>
      </c>
      <c r="N1555" s="3">
        <f t="shared" si="122"/>
        <v>1100</v>
      </c>
      <c r="O1555" s="3">
        <f t="shared" si="123"/>
        <v>17.306911638676308</v>
      </c>
      <c r="P1555" s="3" t="str">
        <f t="shared" si="124"/>
        <v>Oct</v>
      </c>
      <c r="Q1555" s="3" t="str">
        <f t="shared" si="120"/>
        <v>good profit</v>
      </c>
    </row>
    <row r="1556" spans="1:17" x14ac:dyDescent="0.25">
      <c r="A1556" s="3" t="s">
        <v>1806</v>
      </c>
      <c r="B1556" s="4">
        <v>45937</v>
      </c>
      <c r="C1556" s="3" t="s">
        <v>2028</v>
      </c>
      <c r="D1556" s="3" t="s">
        <v>2048</v>
      </c>
      <c r="E1556" s="3" t="s">
        <v>2057</v>
      </c>
      <c r="F1556" s="3" t="s">
        <v>2061</v>
      </c>
      <c r="G1556" s="3">
        <v>9</v>
      </c>
      <c r="H1556" s="3">
        <v>80</v>
      </c>
      <c r="I1556" s="3">
        <v>116</v>
      </c>
      <c r="J1556" s="3">
        <v>8.64</v>
      </c>
      <c r="K1556" s="3">
        <v>953.8</v>
      </c>
      <c r="L1556" s="3">
        <v>233.8</v>
      </c>
      <c r="M1556" s="3">
        <f t="shared" si="121"/>
        <v>9020.16</v>
      </c>
      <c r="N1556" s="3">
        <f t="shared" si="122"/>
        <v>720</v>
      </c>
      <c r="O1556" s="3">
        <f t="shared" si="123"/>
        <v>24.512476410148881</v>
      </c>
      <c r="P1556" s="3" t="str">
        <f t="shared" si="124"/>
        <v>Oct</v>
      </c>
      <c r="Q1556" s="3" t="str">
        <f t="shared" si="120"/>
        <v>good profit</v>
      </c>
    </row>
    <row r="1557" spans="1:17" x14ac:dyDescent="0.25">
      <c r="A1557" s="3" t="s">
        <v>2005</v>
      </c>
      <c r="B1557" s="4">
        <v>45937</v>
      </c>
      <c r="C1557" s="3" t="s">
        <v>2020</v>
      </c>
      <c r="D1557" s="3" t="s">
        <v>2040</v>
      </c>
      <c r="E1557" s="3" t="s">
        <v>2053</v>
      </c>
      <c r="F1557" s="3" t="s">
        <v>2060</v>
      </c>
      <c r="G1557" s="3">
        <v>8</v>
      </c>
      <c r="H1557" s="3">
        <v>350</v>
      </c>
      <c r="I1557" s="3">
        <v>455</v>
      </c>
      <c r="J1557" s="3">
        <v>6.97</v>
      </c>
      <c r="K1557" s="3">
        <v>3386.31</v>
      </c>
      <c r="L1557" s="3">
        <v>586.30999999999995</v>
      </c>
      <c r="M1557" s="3">
        <f t="shared" si="121"/>
        <v>25370.799999999999</v>
      </c>
      <c r="N1557" s="3">
        <f t="shared" si="122"/>
        <v>2800</v>
      </c>
      <c r="O1557" s="3">
        <f t="shared" si="123"/>
        <v>17.314126586166061</v>
      </c>
      <c r="P1557" s="3" t="str">
        <f t="shared" si="124"/>
        <v>Oct</v>
      </c>
      <c r="Q1557" s="3" t="str">
        <f t="shared" si="120"/>
        <v>good profit</v>
      </c>
    </row>
    <row r="1558" spans="1:17" x14ac:dyDescent="0.25">
      <c r="A1558" s="3" t="s">
        <v>102</v>
      </c>
      <c r="B1558" s="4">
        <v>45938</v>
      </c>
      <c r="C1558" s="3" t="s">
        <v>2012</v>
      </c>
      <c r="D1558" s="3" t="s">
        <v>2032</v>
      </c>
      <c r="E1558" s="3" t="s">
        <v>2052</v>
      </c>
      <c r="F1558" s="3" t="s">
        <v>2061</v>
      </c>
      <c r="G1558" s="3">
        <v>10</v>
      </c>
      <c r="H1558" s="3">
        <v>6500</v>
      </c>
      <c r="I1558" s="3">
        <v>8125</v>
      </c>
      <c r="J1558" s="3">
        <v>12.72</v>
      </c>
      <c r="K1558" s="3">
        <v>70915.78</v>
      </c>
      <c r="L1558" s="3">
        <v>5915.78</v>
      </c>
      <c r="M1558" s="3">
        <f t="shared" si="121"/>
        <v>1033500</v>
      </c>
      <c r="N1558" s="3">
        <f t="shared" si="122"/>
        <v>65000</v>
      </c>
      <c r="O1558" s="3">
        <f t="shared" si="123"/>
        <v>8.341979739911201</v>
      </c>
      <c r="P1558" s="3" t="str">
        <f t="shared" si="124"/>
        <v>Oct</v>
      </c>
      <c r="Q1558" s="3" t="str">
        <f t="shared" si="120"/>
        <v>low profit</v>
      </c>
    </row>
    <row r="1559" spans="1:17" x14ac:dyDescent="0.25">
      <c r="A1559" s="3" t="s">
        <v>374</v>
      </c>
      <c r="B1559" s="4">
        <v>45938</v>
      </c>
      <c r="C1559" s="3" t="s">
        <v>2017</v>
      </c>
      <c r="D1559" s="3" t="s">
        <v>2037</v>
      </c>
      <c r="E1559" s="3" t="s">
        <v>2055</v>
      </c>
      <c r="F1559" s="3" t="s">
        <v>2060</v>
      </c>
      <c r="G1559" s="3">
        <v>7</v>
      </c>
      <c r="H1559" s="3">
        <v>2500</v>
      </c>
      <c r="I1559" s="3">
        <v>2875</v>
      </c>
      <c r="J1559" s="3">
        <v>3.35</v>
      </c>
      <c r="K1559" s="3">
        <v>19451</v>
      </c>
      <c r="L1559" s="3">
        <v>1951</v>
      </c>
      <c r="M1559" s="3">
        <f t="shared" si="121"/>
        <v>67418.75</v>
      </c>
      <c r="N1559" s="3">
        <f t="shared" si="122"/>
        <v>17500</v>
      </c>
      <c r="O1559" s="3">
        <f t="shared" si="123"/>
        <v>10.030332630713074</v>
      </c>
      <c r="P1559" s="3" t="str">
        <f t="shared" si="124"/>
        <v>Oct</v>
      </c>
      <c r="Q1559" s="3" t="str">
        <f t="shared" si="120"/>
        <v>good profit</v>
      </c>
    </row>
    <row r="1560" spans="1:17" x14ac:dyDescent="0.25">
      <c r="A1560" s="3" t="s">
        <v>730</v>
      </c>
      <c r="B1560" s="4">
        <v>45938</v>
      </c>
      <c r="C1560" s="3" t="s">
        <v>2030</v>
      </c>
      <c r="D1560" s="3" t="s">
        <v>2050</v>
      </c>
      <c r="E1560" s="3" t="s">
        <v>2058</v>
      </c>
      <c r="F1560" s="3" t="s">
        <v>2062</v>
      </c>
      <c r="G1560" s="3">
        <v>10</v>
      </c>
      <c r="H1560" s="3">
        <v>1800</v>
      </c>
      <c r="I1560" s="3">
        <v>2124</v>
      </c>
      <c r="J1560" s="3">
        <v>22.42</v>
      </c>
      <c r="K1560" s="3">
        <v>16476.98</v>
      </c>
      <c r="L1560" s="3">
        <v>-1523.02</v>
      </c>
      <c r="M1560" s="3">
        <f t="shared" si="121"/>
        <v>476200.80000000005</v>
      </c>
      <c r="N1560" s="3">
        <f t="shared" si="122"/>
        <v>18000</v>
      </c>
      <c r="O1560" s="3">
        <f t="shared" si="123"/>
        <v>-9.2433200744311161</v>
      </c>
      <c r="P1560" s="3" t="str">
        <f t="shared" si="124"/>
        <v>Oct</v>
      </c>
      <c r="Q1560" s="3" t="str">
        <f t="shared" si="120"/>
        <v>loss</v>
      </c>
    </row>
    <row r="1561" spans="1:17" x14ac:dyDescent="0.25">
      <c r="A1561" s="3" t="s">
        <v>821</v>
      </c>
      <c r="B1561" s="4">
        <v>45938</v>
      </c>
      <c r="C1561" s="3" t="s">
        <v>2014</v>
      </c>
      <c r="D1561" s="3" t="s">
        <v>2034</v>
      </c>
      <c r="E1561" s="3" t="s">
        <v>2052</v>
      </c>
      <c r="F1561" s="3" t="s">
        <v>2060</v>
      </c>
      <c r="G1561" s="3">
        <v>10</v>
      </c>
      <c r="H1561" s="3">
        <v>4500</v>
      </c>
      <c r="I1561" s="3">
        <v>5220</v>
      </c>
      <c r="J1561" s="3">
        <v>22.93</v>
      </c>
      <c r="K1561" s="3">
        <v>40229.58</v>
      </c>
      <c r="L1561" s="3">
        <v>-4770.42</v>
      </c>
      <c r="M1561" s="3">
        <f t="shared" si="121"/>
        <v>1196946</v>
      </c>
      <c r="N1561" s="3">
        <f t="shared" si="122"/>
        <v>45000</v>
      </c>
      <c r="O1561" s="3">
        <f t="shared" si="123"/>
        <v>-11.857991060309354</v>
      </c>
      <c r="P1561" s="3" t="str">
        <f t="shared" si="124"/>
        <v>Oct</v>
      </c>
      <c r="Q1561" s="3" t="str">
        <f t="shared" si="120"/>
        <v>loss</v>
      </c>
    </row>
    <row r="1562" spans="1:17" x14ac:dyDescent="0.25">
      <c r="A1562" s="3" t="s">
        <v>1352</v>
      </c>
      <c r="B1562" s="4">
        <v>45938</v>
      </c>
      <c r="C1562" s="3" t="s">
        <v>2029</v>
      </c>
      <c r="D1562" s="3" t="s">
        <v>2049</v>
      </c>
      <c r="E1562" s="3" t="s">
        <v>2055</v>
      </c>
      <c r="F1562" s="3" t="s">
        <v>2061</v>
      </c>
      <c r="G1562" s="3">
        <v>7</v>
      </c>
      <c r="H1562" s="3">
        <v>1200</v>
      </c>
      <c r="I1562" s="3">
        <v>1464</v>
      </c>
      <c r="J1562" s="3">
        <v>8.76</v>
      </c>
      <c r="K1562" s="3">
        <v>9349.9</v>
      </c>
      <c r="L1562" s="3">
        <v>949.9</v>
      </c>
      <c r="M1562" s="3">
        <f t="shared" si="121"/>
        <v>89772.479999999996</v>
      </c>
      <c r="N1562" s="3">
        <f t="shared" si="122"/>
        <v>8400</v>
      </c>
      <c r="O1562" s="3">
        <f t="shared" si="123"/>
        <v>10.159466946170548</v>
      </c>
      <c r="P1562" s="3" t="str">
        <f t="shared" si="124"/>
        <v>Oct</v>
      </c>
      <c r="Q1562" s="3" t="str">
        <f t="shared" si="120"/>
        <v>good profit</v>
      </c>
    </row>
    <row r="1563" spans="1:17" x14ac:dyDescent="0.25">
      <c r="A1563" s="3" t="s">
        <v>1436</v>
      </c>
      <c r="B1563" s="4">
        <v>45938</v>
      </c>
      <c r="C1563" s="3" t="s">
        <v>2024</v>
      </c>
      <c r="D1563" s="3" t="s">
        <v>2044</v>
      </c>
      <c r="E1563" s="3" t="s">
        <v>2055</v>
      </c>
      <c r="F1563" s="3" t="s">
        <v>2059</v>
      </c>
      <c r="G1563" s="3">
        <v>6</v>
      </c>
      <c r="H1563" s="3">
        <v>180</v>
      </c>
      <c r="I1563" s="3">
        <v>243</v>
      </c>
      <c r="J1563" s="3">
        <v>2.99</v>
      </c>
      <c r="K1563" s="3">
        <v>1414.43</v>
      </c>
      <c r="L1563" s="3">
        <v>334.43</v>
      </c>
      <c r="M1563" s="3">
        <f t="shared" si="121"/>
        <v>4359.42</v>
      </c>
      <c r="N1563" s="3">
        <f t="shared" si="122"/>
        <v>1080</v>
      </c>
      <c r="O1563" s="3">
        <f t="shared" si="123"/>
        <v>23.644153475251514</v>
      </c>
      <c r="P1563" s="3" t="str">
        <f t="shared" si="124"/>
        <v>Oct</v>
      </c>
      <c r="Q1563" s="3" t="str">
        <f t="shared" si="120"/>
        <v>good profit</v>
      </c>
    </row>
    <row r="1564" spans="1:17" x14ac:dyDescent="0.25">
      <c r="A1564" s="3" t="s">
        <v>208</v>
      </c>
      <c r="B1564" s="4">
        <v>45939</v>
      </c>
      <c r="C1564" s="3" t="s">
        <v>2019</v>
      </c>
      <c r="D1564" s="3" t="s">
        <v>2039</v>
      </c>
      <c r="E1564" s="3" t="s">
        <v>2053</v>
      </c>
      <c r="F1564" s="3" t="s">
        <v>2062</v>
      </c>
      <c r="G1564" s="3">
        <v>7</v>
      </c>
      <c r="H1564" s="3">
        <v>900</v>
      </c>
      <c r="I1564" s="3">
        <v>1152</v>
      </c>
      <c r="J1564" s="3">
        <v>10.74</v>
      </c>
      <c r="K1564" s="3">
        <v>7197.84</v>
      </c>
      <c r="L1564" s="3">
        <v>897.84</v>
      </c>
      <c r="M1564" s="3">
        <f t="shared" si="121"/>
        <v>86607.360000000001</v>
      </c>
      <c r="N1564" s="3">
        <f t="shared" si="122"/>
        <v>6300</v>
      </c>
      <c r="O1564" s="3">
        <f t="shared" si="123"/>
        <v>12.473742122636791</v>
      </c>
      <c r="P1564" s="3" t="str">
        <f t="shared" si="124"/>
        <v>Oct</v>
      </c>
      <c r="Q1564" s="3" t="str">
        <f t="shared" si="120"/>
        <v>good profit</v>
      </c>
    </row>
    <row r="1565" spans="1:17" x14ac:dyDescent="0.25">
      <c r="A1565" s="3" t="s">
        <v>1279</v>
      </c>
      <c r="B1565" s="4">
        <v>45939</v>
      </c>
      <c r="C1565" s="3" t="s">
        <v>2020</v>
      </c>
      <c r="D1565" s="3" t="s">
        <v>2040</v>
      </c>
      <c r="E1565" s="3" t="s">
        <v>2053</v>
      </c>
      <c r="F1565" s="3" t="s">
        <v>2061</v>
      </c>
      <c r="G1565" s="3">
        <v>2</v>
      </c>
      <c r="H1565" s="3">
        <v>350</v>
      </c>
      <c r="I1565" s="3">
        <v>455</v>
      </c>
      <c r="J1565" s="3">
        <v>0</v>
      </c>
      <c r="K1565" s="3">
        <v>910</v>
      </c>
      <c r="L1565" s="3">
        <v>210</v>
      </c>
      <c r="M1565" s="3">
        <f t="shared" si="121"/>
        <v>0</v>
      </c>
      <c r="N1565" s="3">
        <f t="shared" si="122"/>
        <v>700</v>
      </c>
      <c r="O1565" s="3">
        <f t="shared" si="123"/>
        <v>23.076923076923077</v>
      </c>
      <c r="P1565" s="3" t="str">
        <f t="shared" si="124"/>
        <v>Oct</v>
      </c>
      <c r="Q1565" s="3" t="str">
        <f t="shared" si="120"/>
        <v>good profit</v>
      </c>
    </row>
    <row r="1566" spans="1:17" x14ac:dyDescent="0.25">
      <c r="A1566" s="3" t="s">
        <v>1614</v>
      </c>
      <c r="B1566" s="4">
        <v>45939</v>
      </c>
      <c r="C1566" s="3" t="s">
        <v>2025</v>
      </c>
      <c r="D1566" s="3" t="s">
        <v>2045</v>
      </c>
      <c r="E1566" s="3" t="s">
        <v>2057</v>
      </c>
      <c r="F1566" s="3" t="s">
        <v>2060</v>
      </c>
      <c r="G1566" s="3">
        <v>3</v>
      </c>
      <c r="H1566" s="3">
        <v>45</v>
      </c>
      <c r="I1566" s="3">
        <v>63</v>
      </c>
      <c r="J1566" s="3">
        <v>0</v>
      </c>
      <c r="K1566" s="3">
        <v>189</v>
      </c>
      <c r="L1566" s="3">
        <v>54</v>
      </c>
      <c r="M1566" s="3">
        <f t="shared" si="121"/>
        <v>0</v>
      </c>
      <c r="N1566" s="3">
        <f t="shared" si="122"/>
        <v>135</v>
      </c>
      <c r="O1566" s="3">
        <f t="shared" si="123"/>
        <v>28.571428571428569</v>
      </c>
      <c r="P1566" s="3" t="str">
        <f t="shared" si="124"/>
        <v>Oct</v>
      </c>
      <c r="Q1566" s="3" t="str">
        <f t="shared" si="120"/>
        <v>good profit</v>
      </c>
    </row>
    <row r="1567" spans="1:17" x14ac:dyDescent="0.25">
      <c r="A1567" s="3" t="s">
        <v>1781</v>
      </c>
      <c r="B1567" s="4">
        <v>45939</v>
      </c>
      <c r="C1567" s="3" t="s">
        <v>2025</v>
      </c>
      <c r="D1567" s="3" t="s">
        <v>2045</v>
      </c>
      <c r="E1567" s="3" t="s">
        <v>2057</v>
      </c>
      <c r="F1567" s="3" t="s">
        <v>2060</v>
      </c>
      <c r="G1567" s="3">
        <v>6</v>
      </c>
      <c r="H1567" s="3">
        <v>45</v>
      </c>
      <c r="I1567" s="3">
        <v>63</v>
      </c>
      <c r="J1567" s="3">
        <v>10.51</v>
      </c>
      <c r="K1567" s="3">
        <v>338.29</v>
      </c>
      <c r="L1567" s="3">
        <v>68.290000000000006</v>
      </c>
      <c r="M1567" s="3">
        <f t="shared" si="121"/>
        <v>3972.7799999999997</v>
      </c>
      <c r="N1567" s="3">
        <f t="shared" si="122"/>
        <v>270</v>
      </c>
      <c r="O1567" s="3">
        <f t="shared" si="123"/>
        <v>20.186821957492093</v>
      </c>
      <c r="P1567" s="3" t="str">
        <f t="shared" si="124"/>
        <v>Oct</v>
      </c>
      <c r="Q1567" s="3" t="str">
        <f t="shared" si="120"/>
        <v>good profit</v>
      </c>
    </row>
    <row r="1568" spans="1:17" x14ac:dyDescent="0.25">
      <c r="A1568" s="3" t="s">
        <v>356</v>
      </c>
      <c r="B1568" s="4">
        <v>45940</v>
      </c>
      <c r="C1568" s="3" t="s">
        <v>2021</v>
      </c>
      <c r="D1568" s="3" t="s">
        <v>2041</v>
      </c>
      <c r="E1568" s="3" t="s">
        <v>2056</v>
      </c>
      <c r="F1568" s="3" t="s">
        <v>2059</v>
      </c>
      <c r="G1568" s="3">
        <v>1</v>
      </c>
      <c r="H1568" s="3">
        <v>300</v>
      </c>
      <c r="I1568" s="3">
        <v>405</v>
      </c>
      <c r="J1568" s="3">
        <v>17</v>
      </c>
      <c r="K1568" s="3">
        <v>336.13</v>
      </c>
      <c r="L1568" s="3">
        <v>36.130000000000003</v>
      </c>
      <c r="M1568" s="3">
        <f t="shared" si="121"/>
        <v>6885</v>
      </c>
      <c r="N1568" s="3">
        <f t="shared" si="122"/>
        <v>300</v>
      </c>
      <c r="O1568" s="3">
        <f t="shared" si="123"/>
        <v>10.748817421830841</v>
      </c>
      <c r="P1568" s="3" t="str">
        <f t="shared" si="124"/>
        <v>Oct</v>
      </c>
      <c r="Q1568" s="3" t="str">
        <f t="shared" si="120"/>
        <v>good profit</v>
      </c>
    </row>
    <row r="1569" spans="1:17" x14ac:dyDescent="0.25">
      <c r="A1569" s="3" t="s">
        <v>692</v>
      </c>
      <c r="B1569" s="4">
        <v>45940</v>
      </c>
      <c r="C1569" s="3" t="s">
        <v>2024</v>
      </c>
      <c r="D1569" s="3" t="s">
        <v>2044</v>
      </c>
      <c r="E1569" s="3" t="s">
        <v>2055</v>
      </c>
      <c r="F1569" s="3" t="s">
        <v>2061</v>
      </c>
      <c r="G1569" s="3">
        <v>6</v>
      </c>
      <c r="H1569" s="3">
        <v>180</v>
      </c>
      <c r="I1569" s="3">
        <v>243</v>
      </c>
      <c r="J1569" s="3">
        <v>7.52</v>
      </c>
      <c r="K1569" s="3">
        <v>1348.39</v>
      </c>
      <c r="L1569" s="3">
        <v>268.39</v>
      </c>
      <c r="M1569" s="3">
        <f t="shared" si="121"/>
        <v>10964.16</v>
      </c>
      <c r="N1569" s="3">
        <f t="shared" si="122"/>
        <v>1080</v>
      </c>
      <c r="O1569" s="3">
        <f t="shared" si="123"/>
        <v>19.904478674567443</v>
      </c>
      <c r="P1569" s="3" t="str">
        <f t="shared" si="124"/>
        <v>Oct</v>
      </c>
      <c r="Q1569" s="3" t="str">
        <f t="shared" si="120"/>
        <v>good profit</v>
      </c>
    </row>
    <row r="1570" spans="1:17" x14ac:dyDescent="0.25">
      <c r="A1570" s="3" t="s">
        <v>724</v>
      </c>
      <c r="B1570" s="4">
        <v>45940</v>
      </c>
      <c r="C1570" s="3" t="s">
        <v>2027</v>
      </c>
      <c r="D1570" s="3" t="s">
        <v>2047</v>
      </c>
      <c r="E1570" s="3" t="s">
        <v>2053</v>
      </c>
      <c r="F1570" s="3" t="s">
        <v>2062</v>
      </c>
      <c r="G1570" s="3">
        <v>10</v>
      </c>
      <c r="H1570" s="3">
        <v>1100</v>
      </c>
      <c r="I1570" s="3">
        <v>1298</v>
      </c>
      <c r="J1570" s="3">
        <v>0</v>
      </c>
      <c r="K1570" s="3">
        <v>12980</v>
      </c>
      <c r="L1570" s="3">
        <v>1980</v>
      </c>
      <c r="M1570" s="3">
        <f t="shared" si="121"/>
        <v>0</v>
      </c>
      <c r="N1570" s="3">
        <f t="shared" si="122"/>
        <v>11000</v>
      </c>
      <c r="O1570" s="3">
        <f t="shared" si="123"/>
        <v>15.254237288135593</v>
      </c>
      <c r="P1570" s="3" t="str">
        <f t="shared" si="124"/>
        <v>Oct</v>
      </c>
      <c r="Q1570" s="3" t="str">
        <f t="shared" si="120"/>
        <v>good profit</v>
      </c>
    </row>
    <row r="1571" spans="1:17" x14ac:dyDescent="0.25">
      <c r="A1571" s="3" t="s">
        <v>933</v>
      </c>
      <c r="B1571" s="4">
        <v>45940</v>
      </c>
      <c r="C1571" s="3" t="s">
        <v>2020</v>
      </c>
      <c r="D1571" s="3" t="s">
        <v>2040</v>
      </c>
      <c r="E1571" s="3" t="s">
        <v>2053</v>
      </c>
      <c r="F1571" s="3" t="s">
        <v>2062</v>
      </c>
      <c r="G1571" s="3">
        <v>7</v>
      </c>
      <c r="H1571" s="3">
        <v>350</v>
      </c>
      <c r="I1571" s="3">
        <v>455</v>
      </c>
      <c r="J1571" s="3">
        <v>3.92</v>
      </c>
      <c r="K1571" s="3">
        <v>3060.29</v>
      </c>
      <c r="L1571" s="3">
        <v>610.29</v>
      </c>
      <c r="M1571" s="3">
        <f t="shared" si="121"/>
        <v>12485.199999999999</v>
      </c>
      <c r="N1571" s="3">
        <f t="shared" si="122"/>
        <v>2450</v>
      </c>
      <c r="O1571" s="3">
        <f t="shared" si="123"/>
        <v>19.942227697375085</v>
      </c>
      <c r="P1571" s="3" t="str">
        <f t="shared" si="124"/>
        <v>Oct</v>
      </c>
      <c r="Q1571" s="3" t="str">
        <f t="shared" si="120"/>
        <v>good profit</v>
      </c>
    </row>
    <row r="1572" spans="1:17" x14ac:dyDescent="0.25">
      <c r="A1572" s="3" t="s">
        <v>1532</v>
      </c>
      <c r="B1572" s="4">
        <v>45940</v>
      </c>
      <c r="C1572" s="3" t="s">
        <v>2012</v>
      </c>
      <c r="D1572" s="3" t="s">
        <v>2032</v>
      </c>
      <c r="E1572" s="3" t="s">
        <v>2052</v>
      </c>
      <c r="F1572" s="3" t="s">
        <v>2059</v>
      </c>
      <c r="G1572" s="3">
        <v>9</v>
      </c>
      <c r="H1572" s="3">
        <v>6500</v>
      </c>
      <c r="I1572" s="3">
        <v>8125</v>
      </c>
      <c r="J1572" s="3">
        <v>9.83</v>
      </c>
      <c r="K1572" s="3">
        <v>65935.820000000007</v>
      </c>
      <c r="L1572" s="3">
        <v>7435.82</v>
      </c>
      <c r="M1572" s="3">
        <f t="shared" si="121"/>
        <v>718818.75</v>
      </c>
      <c r="N1572" s="3">
        <f t="shared" si="122"/>
        <v>58500</v>
      </c>
      <c r="O1572" s="3">
        <f t="shared" si="123"/>
        <v>11.277360317957672</v>
      </c>
      <c r="P1572" s="3" t="str">
        <f t="shared" si="124"/>
        <v>Oct</v>
      </c>
      <c r="Q1572" s="3" t="str">
        <f t="shared" si="120"/>
        <v>good profit</v>
      </c>
    </row>
    <row r="1573" spans="1:17" x14ac:dyDescent="0.25">
      <c r="A1573" s="3" t="s">
        <v>1807</v>
      </c>
      <c r="B1573" s="4">
        <v>45940</v>
      </c>
      <c r="C1573" s="3" t="s">
        <v>2026</v>
      </c>
      <c r="D1573" s="3" t="s">
        <v>2046</v>
      </c>
      <c r="E1573" s="3" t="s">
        <v>2052</v>
      </c>
      <c r="F1573" s="3" t="s">
        <v>2060</v>
      </c>
      <c r="G1573" s="3">
        <v>6</v>
      </c>
      <c r="H1573" s="3">
        <v>3000</v>
      </c>
      <c r="I1573" s="3">
        <v>3600</v>
      </c>
      <c r="J1573" s="3">
        <v>11.23</v>
      </c>
      <c r="K1573" s="3">
        <v>19175.23</v>
      </c>
      <c r="L1573" s="3">
        <v>1175.23</v>
      </c>
      <c r="M1573" s="3">
        <f t="shared" si="121"/>
        <v>242568</v>
      </c>
      <c r="N1573" s="3">
        <f t="shared" si="122"/>
        <v>18000</v>
      </c>
      <c r="O1573" s="3">
        <f t="shared" si="123"/>
        <v>6.1288964982427858</v>
      </c>
      <c r="P1573" s="3" t="str">
        <f t="shared" si="124"/>
        <v>Oct</v>
      </c>
      <c r="Q1573" s="3" t="str">
        <f t="shared" si="120"/>
        <v>low profit</v>
      </c>
    </row>
    <row r="1574" spans="1:17" x14ac:dyDescent="0.25">
      <c r="A1574" s="3" t="s">
        <v>1945</v>
      </c>
      <c r="B1574" s="4">
        <v>45940</v>
      </c>
      <c r="C1574" s="3" t="s">
        <v>2019</v>
      </c>
      <c r="D1574" s="3" t="s">
        <v>2039</v>
      </c>
      <c r="E1574" s="3" t="s">
        <v>2053</v>
      </c>
      <c r="F1574" s="3" t="s">
        <v>2059</v>
      </c>
      <c r="G1574" s="3">
        <v>3</v>
      </c>
      <c r="H1574" s="3">
        <v>900</v>
      </c>
      <c r="I1574" s="3">
        <v>1152</v>
      </c>
      <c r="J1574" s="3">
        <v>28.18</v>
      </c>
      <c r="K1574" s="3">
        <v>2482.0100000000002</v>
      </c>
      <c r="L1574" s="3">
        <v>-217.99</v>
      </c>
      <c r="M1574" s="3">
        <f t="shared" si="121"/>
        <v>97390.080000000002</v>
      </c>
      <c r="N1574" s="3">
        <f t="shared" si="122"/>
        <v>2700</v>
      </c>
      <c r="O1574" s="3">
        <f t="shared" si="123"/>
        <v>-8.7828010362569042</v>
      </c>
      <c r="P1574" s="3" t="str">
        <f t="shared" si="124"/>
        <v>Oct</v>
      </c>
      <c r="Q1574" s="3" t="str">
        <f t="shared" si="120"/>
        <v>loss</v>
      </c>
    </row>
    <row r="1575" spans="1:17" x14ac:dyDescent="0.25">
      <c r="A1575" s="3" t="s">
        <v>1976</v>
      </c>
      <c r="B1575" s="4">
        <v>45940</v>
      </c>
      <c r="C1575" s="3" t="s">
        <v>2012</v>
      </c>
      <c r="D1575" s="3" t="s">
        <v>2032</v>
      </c>
      <c r="E1575" s="3" t="s">
        <v>2052</v>
      </c>
      <c r="F1575" s="3" t="s">
        <v>2061</v>
      </c>
      <c r="G1575" s="3">
        <v>1</v>
      </c>
      <c r="H1575" s="3">
        <v>6500</v>
      </c>
      <c r="I1575" s="3">
        <v>8125</v>
      </c>
      <c r="J1575" s="3">
        <v>21.66</v>
      </c>
      <c r="K1575" s="3">
        <v>6365.22</v>
      </c>
      <c r="L1575" s="3">
        <v>-134.78</v>
      </c>
      <c r="M1575" s="3">
        <f t="shared" si="121"/>
        <v>175987.5</v>
      </c>
      <c r="N1575" s="3">
        <f t="shared" si="122"/>
        <v>6500</v>
      </c>
      <c r="O1575" s="3">
        <f t="shared" si="123"/>
        <v>-2.1174444873861389</v>
      </c>
      <c r="P1575" s="3" t="str">
        <f t="shared" si="124"/>
        <v>Oct</v>
      </c>
      <c r="Q1575" s="3" t="str">
        <f t="shared" si="120"/>
        <v>loss</v>
      </c>
    </row>
    <row r="1576" spans="1:17" x14ac:dyDescent="0.25">
      <c r="A1576" s="3" t="s">
        <v>238</v>
      </c>
      <c r="B1576" s="4">
        <v>45941</v>
      </c>
      <c r="C1576" s="3" t="s">
        <v>2027</v>
      </c>
      <c r="D1576" s="3" t="s">
        <v>2047</v>
      </c>
      <c r="E1576" s="3" t="s">
        <v>2053</v>
      </c>
      <c r="F1576" s="3" t="s">
        <v>2062</v>
      </c>
      <c r="G1576" s="3">
        <v>7</v>
      </c>
      <c r="H1576" s="3">
        <v>1100</v>
      </c>
      <c r="I1576" s="3">
        <v>1298</v>
      </c>
      <c r="J1576" s="3">
        <v>5.7</v>
      </c>
      <c r="K1576" s="3">
        <v>8567.92</v>
      </c>
      <c r="L1576" s="3">
        <v>867.92</v>
      </c>
      <c r="M1576" s="3">
        <f t="shared" si="121"/>
        <v>51790.200000000004</v>
      </c>
      <c r="N1576" s="3">
        <f t="shared" si="122"/>
        <v>7700</v>
      </c>
      <c r="O1576" s="3">
        <f t="shared" si="123"/>
        <v>10.129879830810745</v>
      </c>
      <c r="P1576" s="3" t="str">
        <f t="shared" si="124"/>
        <v>Oct</v>
      </c>
      <c r="Q1576" s="3" t="str">
        <f t="shared" si="120"/>
        <v>good profit</v>
      </c>
    </row>
    <row r="1577" spans="1:17" x14ac:dyDescent="0.25">
      <c r="A1577" s="3" t="s">
        <v>656</v>
      </c>
      <c r="B1577" s="4">
        <v>45941</v>
      </c>
      <c r="C1577" s="3" t="s">
        <v>2020</v>
      </c>
      <c r="D1577" s="3" t="s">
        <v>2040</v>
      </c>
      <c r="E1577" s="3" t="s">
        <v>2053</v>
      </c>
      <c r="F1577" s="3" t="s">
        <v>2062</v>
      </c>
      <c r="G1577" s="3">
        <v>10</v>
      </c>
      <c r="H1577" s="3">
        <v>350</v>
      </c>
      <c r="I1577" s="3">
        <v>455</v>
      </c>
      <c r="J1577" s="3">
        <v>22.54</v>
      </c>
      <c r="K1577" s="3">
        <v>3524.48</v>
      </c>
      <c r="L1577" s="3">
        <v>24.48</v>
      </c>
      <c r="M1577" s="3">
        <f t="shared" si="121"/>
        <v>102557</v>
      </c>
      <c r="N1577" s="3">
        <f t="shared" si="122"/>
        <v>3500</v>
      </c>
      <c r="O1577" s="3">
        <f t="shared" si="123"/>
        <v>0.69457054657708373</v>
      </c>
      <c r="P1577" s="3" t="str">
        <f t="shared" si="124"/>
        <v>Oct</v>
      </c>
      <c r="Q1577" s="3" t="str">
        <f t="shared" si="120"/>
        <v>low profit</v>
      </c>
    </row>
    <row r="1578" spans="1:17" x14ac:dyDescent="0.25">
      <c r="A1578" s="3" t="s">
        <v>832</v>
      </c>
      <c r="B1578" s="4">
        <v>45941</v>
      </c>
      <c r="C1578" s="3" t="s">
        <v>2023</v>
      </c>
      <c r="D1578" s="3" t="s">
        <v>2043</v>
      </c>
      <c r="E1578" s="3" t="s">
        <v>2053</v>
      </c>
      <c r="F1578" s="3" t="s">
        <v>2061</v>
      </c>
      <c r="G1578" s="3">
        <v>10</v>
      </c>
      <c r="H1578" s="3">
        <v>550</v>
      </c>
      <c r="I1578" s="3">
        <v>742.5</v>
      </c>
      <c r="J1578" s="3">
        <v>4.58</v>
      </c>
      <c r="K1578" s="3">
        <v>7084.91</v>
      </c>
      <c r="L1578" s="3">
        <v>1584.91</v>
      </c>
      <c r="M1578" s="3">
        <f t="shared" si="121"/>
        <v>34006.5</v>
      </c>
      <c r="N1578" s="3">
        <f t="shared" si="122"/>
        <v>5500</v>
      </c>
      <c r="O1578" s="3">
        <f t="shared" si="123"/>
        <v>22.370220652061921</v>
      </c>
      <c r="P1578" s="3" t="str">
        <f t="shared" si="124"/>
        <v>Oct</v>
      </c>
      <c r="Q1578" s="3" t="str">
        <f t="shared" si="120"/>
        <v>good profit</v>
      </c>
    </row>
    <row r="1579" spans="1:17" x14ac:dyDescent="0.25">
      <c r="A1579" s="3" t="s">
        <v>1059</v>
      </c>
      <c r="B1579" s="4">
        <v>45941</v>
      </c>
      <c r="C1579" s="3" t="s">
        <v>2012</v>
      </c>
      <c r="D1579" s="3" t="s">
        <v>2032</v>
      </c>
      <c r="E1579" s="3" t="s">
        <v>2052</v>
      </c>
      <c r="F1579" s="3" t="s">
        <v>2061</v>
      </c>
      <c r="G1579" s="3">
        <v>10</v>
      </c>
      <c r="H1579" s="3">
        <v>6500</v>
      </c>
      <c r="I1579" s="3">
        <v>8125</v>
      </c>
      <c r="J1579" s="3">
        <v>17.84</v>
      </c>
      <c r="K1579" s="3">
        <v>66757.990000000005</v>
      </c>
      <c r="L1579" s="3">
        <v>1757.99</v>
      </c>
      <c r="M1579" s="3">
        <f t="shared" si="121"/>
        <v>1449500</v>
      </c>
      <c r="N1579" s="3">
        <f t="shared" si="122"/>
        <v>65000</v>
      </c>
      <c r="O1579" s="3">
        <f t="shared" si="123"/>
        <v>2.6333776676020348</v>
      </c>
      <c r="P1579" s="3" t="str">
        <f t="shared" si="124"/>
        <v>Oct</v>
      </c>
      <c r="Q1579" s="3" t="str">
        <f t="shared" si="120"/>
        <v>low profit</v>
      </c>
    </row>
    <row r="1580" spans="1:17" x14ac:dyDescent="0.25">
      <c r="A1580" s="3" t="s">
        <v>1185</v>
      </c>
      <c r="B1580" s="4">
        <v>45941</v>
      </c>
      <c r="C1580" s="3" t="s">
        <v>2017</v>
      </c>
      <c r="D1580" s="3" t="s">
        <v>2037</v>
      </c>
      <c r="E1580" s="3" t="s">
        <v>2055</v>
      </c>
      <c r="F1580" s="3" t="s">
        <v>2062</v>
      </c>
      <c r="G1580" s="3">
        <v>4</v>
      </c>
      <c r="H1580" s="3">
        <v>2500</v>
      </c>
      <c r="I1580" s="3">
        <v>2875</v>
      </c>
      <c r="J1580" s="3">
        <v>15.5</v>
      </c>
      <c r="K1580" s="3">
        <v>9717.6</v>
      </c>
      <c r="L1580" s="3">
        <v>-282.39999999999998</v>
      </c>
      <c r="M1580" s="3">
        <f t="shared" si="121"/>
        <v>178250</v>
      </c>
      <c r="N1580" s="3">
        <f t="shared" si="122"/>
        <v>10000</v>
      </c>
      <c r="O1580" s="3">
        <f t="shared" si="123"/>
        <v>-2.9060673417304681</v>
      </c>
      <c r="P1580" s="3" t="str">
        <f t="shared" si="124"/>
        <v>Oct</v>
      </c>
      <c r="Q1580" s="3" t="str">
        <f t="shared" si="120"/>
        <v>loss</v>
      </c>
    </row>
    <row r="1581" spans="1:17" x14ac:dyDescent="0.25">
      <c r="A1581" s="3" t="s">
        <v>351</v>
      </c>
      <c r="B1581" s="4">
        <v>45942</v>
      </c>
      <c r="C1581" s="3" t="s">
        <v>2014</v>
      </c>
      <c r="D1581" s="3" t="s">
        <v>2034</v>
      </c>
      <c r="E1581" s="3" t="s">
        <v>2052</v>
      </c>
      <c r="F1581" s="3" t="s">
        <v>2062</v>
      </c>
      <c r="G1581" s="3">
        <v>7</v>
      </c>
      <c r="H1581" s="3">
        <v>4500</v>
      </c>
      <c r="I1581" s="3">
        <v>5220</v>
      </c>
      <c r="J1581" s="3">
        <v>5.46</v>
      </c>
      <c r="K1581" s="3">
        <v>34546.26</v>
      </c>
      <c r="L1581" s="3">
        <v>3046.26</v>
      </c>
      <c r="M1581" s="3">
        <f t="shared" si="121"/>
        <v>199508.4</v>
      </c>
      <c r="N1581" s="3">
        <f t="shared" si="122"/>
        <v>31500</v>
      </c>
      <c r="O1581" s="3">
        <f t="shared" si="123"/>
        <v>8.8179154559712103</v>
      </c>
      <c r="P1581" s="3" t="str">
        <f t="shared" si="124"/>
        <v>Oct</v>
      </c>
      <c r="Q1581" s="3" t="str">
        <f t="shared" si="120"/>
        <v>low profit</v>
      </c>
    </row>
    <row r="1582" spans="1:17" x14ac:dyDescent="0.25">
      <c r="A1582" s="3" t="s">
        <v>1023</v>
      </c>
      <c r="B1582" s="4">
        <v>45942</v>
      </c>
      <c r="C1582" s="3" t="s">
        <v>2024</v>
      </c>
      <c r="D1582" s="3" t="s">
        <v>2044</v>
      </c>
      <c r="E1582" s="3" t="s">
        <v>2055</v>
      </c>
      <c r="F1582" s="3" t="s">
        <v>2059</v>
      </c>
      <c r="G1582" s="3">
        <v>10</v>
      </c>
      <c r="H1582" s="3">
        <v>180</v>
      </c>
      <c r="I1582" s="3">
        <v>243</v>
      </c>
      <c r="J1582" s="3">
        <v>9.2899999999999991</v>
      </c>
      <c r="K1582" s="3">
        <v>2204.16</v>
      </c>
      <c r="L1582" s="3">
        <v>404.16</v>
      </c>
      <c r="M1582" s="3">
        <f t="shared" si="121"/>
        <v>22574.699999999997</v>
      </c>
      <c r="N1582" s="3">
        <f t="shared" si="122"/>
        <v>1800</v>
      </c>
      <c r="O1582" s="3">
        <f t="shared" si="123"/>
        <v>18.336236933797913</v>
      </c>
      <c r="P1582" s="3" t="str">
        <f t="shared" si="124"/>
        <v>Oct</v>
      </c>
      <c r="Q1582" s="3" t="str">
        <f t="shared" si="120"/>
        <v>good profit</v>
      </c>
    </row>
    <row r="1583" spans="1:17" x14ac:dyDescent="0.25">
      <c r="A1583" s="3" t="s">
        <v>1139</v>
      </c>
      <c r="B1583" s="4">
        <v>45942</v>
      </c>
      <c r="C1583" s="3" t="s">
        <v>2020</v>
      </c>
      <c r="D1583" s="3" t="s">
        <v>2040</v>
      </c>
      <c r="E1583" s="3" t="s">
        <v>2053</v>
      </c>
      <c r="F1583" s="3" t="s">
        <v>2062</v>
      </c>
      <c r="G1583" s="3">
        <v>10</v>
      </c>
      <c r="H1583" s="3">
        <v>350</v>
      </c>
      <c r="I1583" s="3">
        <v>455</v>
      </c>
      <c r="J1583" s="3">
        <v>13.91</v>
      </c>
      <c r="K1583" s="3">
        <v>3917.23</v>
      </c>
      <c r="L1583" s="3">
        <v>417.23</v>
      </c>
      <c r="M1583" s="3">
        <f t="shared" si="121"/>
        <v>63290.5</v>
      </c>
      <c r="N1583" s="3">
        <f t="shared" si="122"/>
        <v>3500</v>
      </c>
      <c r="O1583" s="3">
        <f t="shared" si="123"/>
        <v>10.651148898583948</v>
      </c>
      <c r="P1583" s="3" t="str">
        <f t="shared" si="124"/>
        <v>Oct</v>
      </c>
      <c r="Q1583" s="3" t="str">
        <f t="shared" si="120"/>
        <v>good profit</v>
      </c>
    </row>
    <row r="1584" spans="1:17" x14ac:dyDescent="0.25">
      <c r="A1584" s="3" t="s">
        <v>1676</v>
      </c>
      <c r="B1584" s="4">
        <v>45942</v>
      </c>
      <c r="C1584" s="3" t="s">
        <v>2026</v>
      </c>
      <c r="D1584" s="3" t="s">
        <v>2046</v>
      </c>
      <c r="E1584" s="3" t="s">
        <v>2052</v>
      </c>
      <c r="F1584" s="3" t="s">
        <v>2062</v>
      </c>
      <c r="G1584" s="3">
        <v>8</v>
      </c>
      <c r="H1584" s="3">
        <v>3000</v>
      </c>
      <c r="I1584" s="3">
        <v>3600</v>
      </c>
      <c r="J1584" s="3">
        <v>15.36</v>
      </c>
      <c r="K1584" s="3">
        <v>24376.78</v>
      </c>
      <c r="L1584" s="3">
        <v>376.78</v>
      </c>
      <c r="M1584" s="3">
        <f t="shared" si="121"/>
        <v>442368</v>
      </c>
      <c r="N1584" s="3">
        <f t="shared" si="122"/>
        <v>24000</v>
      </c>
      <c r="O1584" s="3">
        <f t="shared" si="123"/>
        <v>1.5456512303922012</v>
      </c>
      <c r="P1584" s="3" t="str">
        <f t="shared" si="124"/>
        <v>Oct</v>
      </c>
      <c r="Q1584" s="3" t="str">
        <f t="shared" si="120"/>
        <v>low profit</v>
      </c>
    </row>
    <row r="1585" spans="1:17" x14ac:dyDescent="0.25">
      <c r="A1585" s="3" t="s">
        <v>12</v>
      </c>
      <c r="B1585" s="4">
        <v>45943</v>
      </c>
      <c r="C1585" s="3" t="s">
        <v>2012</v>
      </c>
      <c r="D1585" s="3" t="s">
        <v>2032</v>
      </c>
      <c r="E1585" s="3" t="s">
        <v>2052</v>
      </c>
      <c r="F1585" s="3" t="s">
        <v>2059</v>
      </c>
      <c r="G1585" s="3">
        <v>10</v>
      </c>
      <c r="H1585" s="3">
        <v>6500</v>
      </c>
      <c r="I1585" s="3">
        <v>8125</v>
      </c>
      <c r="J1585" s="3">
        <v>13.01</v>
      </c>
      <c r="K1585" s="3">
        <v>70680.75</v>
      </c>
      <c r="L1585" s="3">
        <v>5680.75</v>
      </c>
      <c r="M1585" s="3">
        <f t="shared" si="121"/>
        <v>1057062.5</v>
      </c>
      <c r="N1585" s="3">
        <f t="shared" si="122"/>
        <v>65000</v>
      </c>
      <c r="O1585" s="3">
        <f t="shared" si="123"/>
        <v>8.0371954174227067</v>
      </c>
      <c r="P1585" s="3" t="str">
        <f t="shared" si="124"/>
        <v>Oct</v>
      </c>
      <c r="Q1585" s="3" t="str">
        <f t="shared" si="120"/>
        <v>low profit</v>
      </c>
    </row>
    <row r="1586" spans="1:17" x14ac:dyDescent="0.25">
      <c r="A1586" s="3" t="s">
        <v>45</v>
      </c>
      <c r="B1586" s="4">
        <v>45943</v>
      </c>
      <c r="C1586" s="3" t="s">
        <v>2029</v>
      </c>
      <c r="D1586" s="3" t="s">
        <v>2049</v>
      </c>
      <c r="E1586" s="3" t="s">
        <v>2055</v>
      </c>
      <c r="F1586" s="3" t="s">
        <v>2059</v>
      </c>
      <c r="G1586" s="3">
        <v>3</v>
      </c>
      <c r="H1586" s="3">
        <v>1200</v>
      </c>
      <c r="I1586" s="3">
        <v>1464</v>
      </c>
      <c r="J1586" s="3">
        <v>4.4400000000000004</v>
      </c>
      <c r="K1586" s="3">
        <v>4196.97</v>
      </c>
      <c r="L1586" s="3">
        <v>596.97</v>
      </c>
      <c r="M1586" s="3">
        <f t="shared" si="121"/>
        <v>19500.480000000003</v>
      </c>
      <c r="N1586" s="3">
        <f t="shared" si="122"/>
        <v>3600</v>
      </c>
      <c r="O1586" s="3">
        <f t="shared" si="123"/>
        <v>14.223832908026504</v>
      </c>
      <c r="P1586" s="3" t="str">
        <f t="shared" si="124"/>
        <v>Oct</v>
      </c>
      <c r="Q1586" s="3" t="str">
        <f t="shared" si="120"/>
        <v>good profit</v>
      </c>
    </row>
    <row r="1587" spans="1:17" x14ac:dyDescent="0.25">
      <c r="A1587" s="3" t="s">
        <v>746</v>
      </c>
      <c r="B1587" s="4">
        <v>45943</v>
      </c>
      <c r="C1587" s="3" t="s">
        <v>2030</v>
      </c>
      <c r="D1587" s="3" t="s">
        <v>2050</v>
      </c>
      <c r="E1587" s="3" t="s">
        <v>2058</v>
      </c>
      <c r="F1587" s="3" t="s">
        <v>2061</v>
      </c>
      <c r="G1587" s="3">
        <v>1</v>
      </c>
      <c r="H1587" s="3">
        <v>1800</v>
      </c>
      <c r="I1587" s="3">
        <v>2124</v>
      </c>
      <c r="J1587" s="3">
        <v>17</v>
      </c>
      <c r="K1587" s="3">
        <v>1762.84</v>
      </c>
      <c r="L1587" s="3">
        <v>-37.159999999999997</v>
      </c>
      <c r="M1587" s="3">
        <f t="shared" si="121"/>
        <v>36108</v>
      </c>
      <c r="N1587" s="3">
        <f t="shared" si="122"/>
        <v>1800</v>
      </c>
      <c r="O1587" s="3">
        <f t="shared" si="123"/>
        <v>-2.1079621519820293</v>
      </c>
      <c r="P1587" s="3" t="str">
        <f t="shared" si="124"/>
        <v>Oct</v>
      </c>
      <c r="Q1587" s="3" t="str">
        <f t="shared" si="120"/>
        <v>loss</v>
      </c>
    </row>
    <row r="1588" spans="1:17" x14ac:dyDescent="0.25">
      <c r="A1588" s="3" t="s">
        <v>845</v>
      </c>
      <c r="B1588" s="4">
        <v>45943</v>
      </c>
      <c r="C1588" s="3" t="s">
        <v>2019</v>
      </c>
      <c r="D1588" s="3" t="s">
        <v>2039</v>
      </c>
      <c r="E1588" s="3" t="s">
        <v>2053</v>
      </c>
      <c r="F1588" s="3" t="s">
        <v>2061</v>
      </c>
      <c r="G1588" s="3">
        <v>9</v>
      </c>
      <c r="H1588" s="3">
        <v>900</v>
      </c>
      <c r="I1588" s="3">
        <v>1152</v>
      </c>
      <c r="J1588" s="3">
        <v>10.65</v>
      </c>
      <c r="K1588" s="3">
        <v>9263.68</v>
      </c>
      <c r="L1588" s="3">
        <v>1163.68</v>
      </c>
      <c r="M1588" s="3">
        <f t="shared" si="121"/>
        <v>110419.2</v>
      </c>
      <c r="N1588" s="3">
        <f t="shared" si="122"/>
        <v>8100</v>
      </c>
      <c r="O1588" s="3">
        <f t="shared" si="123"/>
        <v>12.561746519741614</v>
      </c>
      <c r="P1588" s="3" t="str">
        <f t="shared" si="124"/>
        <v>Oct</v>
      </c>
      <c r="Q1588" s="3" t="str">
        <f t="shared" si="120"/>
        <v>good profit</v>
      </c>
    </row>
    <row r="1589" spans="1:17" x14ac:dyDescent="0.25">
      <c r="A1589" s="3" t="s">
        <v>1272</v>
      </c>
      <c r="B1589" s="4">
        <v>45943</v>
      </c>
      <c r="C1589" s="3" t="s">
        <v>2031</v>
      </c>
      <c r="D1589" s="3" t="s">
        <v>2051</v>
      </c>
      <c r="E1589" s="3" t="s">
        <v>2058</v>
      </c>
      <c r="F1589" s="3" t="s">
        <v>2062</v>
      </c>
      <c r="G1589" s="3">
        <v>5</v>
      </c>
      <c r="H1589" s="3">
        <v>3200</v>
      </c>
      <c r="I1589" s="3">
        <v>3840</v>
      </c>
      <c r="J1589" s="3">
        <v>14.33</v>
      </c>
      <c r="K1589" s="3">
        <v>16448</v>
      </c>
      <c r="L1589" s="3">
        <v>448</v>
      </c>
      <c r="M1589" s="3">
        <f t="shared" si="121"/>
        <v>275136</v>
      </c>
      <c r="N1589" s="3">
        <f t="shared" si="122"/>
        <v>16000</v>
      </c>
      <c r="O1589" s="3">
        <f t="shared" si="123"/>
        <v>2.7237354085603114</v>
      </c>
      <c r="P1589" s="3" t="str">
        <f t="shared" si="124"/>
        <v>Oct</v>
      </c>
      <c r="Q1589" s="3" t="str">
        <f t="shared" si="120"/>
        <v>low profit</v>
      </c>
    </row>
    <row r="1590" spans="1:17" x14ac:dyDescent="0.25">
      <c r="A1590" s="3" t="s">
        <v>19</v>
      </c>
      <c r="B1590" s="4">
        <v>45944</v>
      </c>
      <c r="C1590" s="3" t="s">
        <v>2015</v>
      </c>
      <c r="D1590" s="3" t="s">
        <v>2035</v>
      </c>
      <c r="E1590" s="3" t="s">
        <v>2054</v>
      </c>
      <c r="F1590" s="3" t="s">
        <v>2059</v>
      </c>
      <c r="G1590" s="3">
        <v>5</v>
      </c>
      <c r="H1590" s="3">
        <v>900</v>
      </c>
      <c r="I1590" s="3">
        <v>1170</v>
      </c>
      <c r="J1590" s="3">
        <v>9.01</v>
      </c>
      <c r="K1590" s="3">
        <v>5323.19</v>
      </c>
      <c r="L1590" s="3">
        <v>823.19</v>
      </c>
      <c r="M1590" s="3">
        <f t="shared" si="121"/>
        <v>52708.5</v>
      </c>
      <c r="N1590" s="3">
        <f t="shared" si="122"/>
        <v>4500</v>
      </c>
      <c r="O1590" s="3">
        <f t="shared" si="123"/>
        <v>15.464223520107307</v>
      </c>
      <c r="P1590" s="3" t="str">
        <f t="shared" si="124"/>
        <v>Oct</v>
      </c>
      <c r="Q1590" s="3" t="str">
        <f t="shared" si="120"/>
        <v>good profit</v>
      </c>
    </row>
    <row r="1591" spans="1:17" x14ac:dyDescent="0.25">
      <c r="A1591" s="3" t="s">
        <v>139</v>
      </c>
      <c r="B1591" s="4">
        <v>45944</v>
      </c>
      <c r="C1591" s="3" t="s">
        <v>2014</v>
      </c>
      <c r="D1591" s="3" t="s">
        <v>2034</v>
      </c>
      <c r="E1591" s="3" t="s">
        <v>2052</v>
      </c>
      <c r="F1591" s="3" t="s">
        <v>2061</v>
      </c>
      <c r="G1591" s="3">
        <v>8</v>
      </c>
      <c r="H1591" s="3">
        <v>4500</v>
      </c>
      <c r="I1591" s="3">
        <v>5220</v>
      </c>
      <c r="J1591" s="3">
        <v>28.71</v>
      </c>
      <c r="K1591" s="3">
        <v>29772.02</v>
      </c>
      <c r="L1591" s="3">
        <v>-6227.98</v>
      </c>
      <c r="M1591" s="3">
        <f t="shared" si="121"/>
        <v>1198929.6000000001</v>
      </c>
      <c r="N1591" s="3">
        <f t="shared" si="122"/>
        <v>36000</v>
      </c>
      <c r="O1591" s="3">
        <f t="shared" si="123"/>
        <v>-20.91890305058239</v>
      </c>
      <c r="P1591" s="3" t="str">
        <f t="shared" si="124"/>
        <v>Oct</v>
      </c>
      <c r="Q1591" s="3" t="str">
        <f t="shared" si="120"/>
        <v>loss</v>
      </c>
    </row>
    <row r="1592" spans="1:17" x14ac:dyDescent="0.25">
      <c r="A1592" s="3" t="s">
        <v>1253</v>
      </c>
      <c r="B1592" s="4">
        <v>45944</v>
      </c>
      <c r="C1592" s="3" t="s">
        <v>2019</v>
      </c>
      <c r="D1592" s="3" t="s">
        <v>2039</v>
      </c>
      <c r="E1592" s="3" t="s">
        <v>2053</v>
      </c>
      <c r="F1592" s="3" t="s">
        <v>2060</v>
      </c>
      <c r="G1592" s="3">
        <v>3</v>
      </c>
      <c r="H1592" s="3">
        <v>900</v>
      </c>
      <c r="I1592" s="3">
        <v>1152</v>
      </c>
      <c r="J1592" s="3">
        <v>23.93</v>
      </c>
      <c r="K1592" s="3">
        <v>2628.82</v>
      </c>
      <c r="L1592" s="3">
        <v>-71.180000000000007</v>
      </c>
      <c r="M1592" s="3">
        <f t="shared" si="121"/>
        <v>82702.080000000002</v>
      </c>
      <c r="N1592" s="3">
        <f t="shared" si="122"/>
        <v>2700</v>
      </c>
      <c r="O1592" s="3">
        <f t="shared" si="123"/>
        <v>-2.7076787303809318</v>
      </c>
      <c r="P1592" s="3" t="str">
        <f t="shared" si="124"/>
        <v>Oct</v>
      </c>
      <c r="Q1592" s="3" t="str">
        <f t="shared" si="120"/>
        <v>loss</v>
      </c>
    </row>
    <row r="1593" spans="1:17" x14ac:dyDescent="0.25">
      <c r="A1593" s="3" t="s">
        <v>1869</v>
      </c>
      <c r="B1593" s="4">
        <v>45944</v>
      </c>
      <c r="C1593" s="3" t="s">
        <v>2029</v>
      </c>
      <c r="D1593" s="3" t="s">
        <v>2049</v>
      </c>
      <c r="E1593" s="3" t="s">
        <v>2055</v>
      </c>
      <c r="F1593" s="3" t="s">
        <v>2061</v>
      </c>
      <c r="G1593" s="3">
        <v>2</v>
      </c>
      <c r="H1593" s="3">
        <v>1200</v>
      </c>
      <c r="I1593" s="3">
        <v>1464</v>
      </c>
      <c r="J1593" s="3">
        <v>0.62</v>
      </c>
      <c r="K1593" s="3">
        <v>2909.84</v>
      </c>
      <c r="L1593" s="3">
        <v>509.84</v>
      </c>
      <c r="M1593" s="3">
        <f t="shared" si="121"/>
        <v>1815.36</v>
      </c>
      <c r="N1593" s="3">
        <f t="shared" si="122"/>
        <v>2400</v>
      </c>
      <c r="O1593" s="3">
        <f t="shared" si="123"/>
        <v>17.521238281142605</v>
      </c>
      <c r="P1593" s="3" t="str">
        <f t="shared" si="124"/>
        <v>Oct</v>
      </c>
      <c r="Q1593" s="3" t="str">
        <f t="shared" si="120"/>
        <v>good profit</v>
      </c>
    </row>
    <row r="1594" spans="1:17" x14ac:dyDescent="0.25">
      <c r="A1594" s="3" t="s">
        <v>49</v>
      </c>
      <c r="B1594" s="4">
        <v>45945</v>
      </c>
      <c r="C1594" s="3" t="s">
        <v>2028</v>
      </c>
      <c r="D1594" s="3" t="s">
        <v>2048</v>
      </c>
      <c r="E1594" s="3" t="s">
        <v>2057</v>
      </c>
      <c r="F1594" s="3" t="s">
        <v>2061</v>
      </c>
      <c r="G1594" s="3">
        <v>5</v>
      </c>
      <c r="H1594" s="3">
        <v>80</v>
      </c>
      <c r="I1594" s="3">
        <v>116</v>
      </c>
      <c r="J1594" s="3">
        <v>15.43</v>
      </c>
      <c r="K1594" s="3">
        <v>490.52</v>
      </c>
      <c r="L1594" s="3">
        <v>90.52</v>
      </c>
      <c r="M1594" s="3">
        <f t="shared" si="121"/>
        <v>8949.4</v>
      </c>
      <c r="N1594" s="3">
        <f t="shared" si="122"/>
        <v>400</v>
      </c>
      <c r="O1594" s="3">
        <f t="shared" si="123"/>
        <v>18.45388567234771</v>
      </c>
      <c r="P1594" s="3" t="str">
        <f t="shared" si="124"/>
        <v>Oct</v>
      </c>
      <c r="Q1594" s="3" t="str">
        <f t="shared" si="120"/>
        <v>good profit</v>
      </c>
    </row>
    <row r="1595" spans="1:17" x14ac:dyDescent="0.25">
      <c r="A1595" s="3" t="s">
        <v>122</v>
      </c>
      <c r="B1595" s="4">
        <v>45945</v>
      </c>
      <c r="C1595" s="3" t="s">
        <v>2023</v>
      </c>
      <c r="D1595" s="3" t="s">
        <v>2043</v>
      </c>
      <c r="E1595" s="3" t="s">
        <v>2053</v>
      </c>
      <c r="F1595" s="3" t="s">
        <v>2062</v>
      </c>
      <c r="G1595" s="3">
        <v>2</v>
      </c>
      <c r="H1595" s="3">
        <v>550</v>
      </c>
      <c r="I1595" s="3">
        <v>742.5</v>
      </c>
      <c r="J1595" s="3">
        <v>5.57</v>
      </c>
      <c r="K1595" s="3">
        <v>1402.35</v>
      </c>
      <c r="L1595" s="3">
        <v>302.35000000000002</v>
      </c>
      <c r="M1595" s="3">
        <f t="shared" si="121"/>
        <v>8271.4500000000007</v>
      </c>
      <c r="N1595" s="3">
        <f t="shared" si="122"/>
        <v>1100</v>
      </c>
      <c r="O1595" s="3">
        <f t="shared" si="123"/>
        <v>21.560238171640464</v>
      </c>
      <c r="P1595" s="3" t="str">
        <f t="shared" si="124"/>
        <v>Oct</v>
      </c>
      <c r="Q1595" s="3" t="str">
        <f t="shared" si="120"/>
        <v>good profit</v>
      </c>
    </row>
    <row r="1596" spans="1:17" x14ac:dyDescent="0.25">
      <c r="A1596" s="3" t="s">
        <v>306</v>
      </c>
      <c r="B1596" s="4">
        <v>45945</v>
      </c>
      <c r="C1596" s="3" t="s">
        <v>2019</v>
      </c>
      <c r="D1596" s="3" t="s">
        <v>2039</v>
      </c>
      <c r="E1596" s="3" t="s">
        <v>2053</v>
      </c>
      <c r="F1596" s="3" t="s">
        <v>2059</v>
      </c>
      <c r="G1596" s="3">
        <v>10</v>
      </c>
      <c r="H1596" s="3">
        <v>900</v>
      </c>
      <c r="I1596" s="3">
        <v>1152</v>
      </c>
      <c r="J1596" s="3">
        <v>6.86</v>
      </c>
      <c r="K1596" s="3">
        <v>10730.07</v>
      </c>
      <c r="L1596" s="3">
        <v>1730.07</v>
      </c>
      <c r="M1596" s="3">
        <f t="shared" si="121"/>
        <v>79027.199999999997</v>
      </c>
      <c r="N1596" s="3">
        <f t="shared" si="122"/>
        <v>9000</v>
      </c>
      <c r="O1596" s="3">
        <f t="shared" si="123"/>
        <v>16.123566761447037</v>
      </c>
      <c r="P1596" s="3" t="str">
        <f t="shared" si="124"/>
        <v>Oct</v>
      </c>
      <c r="Q1596" s="3" t="str">
        <f t="shared" si="120"/>
        <v>good profit</v>
      </c>
    </row>
    <row r="1597" spans="1:17" x14ac:dyDescent="0.25">
      <c r="A1597" s="3" t="s">
        <v>307</v>
      </c>
      <c r="B1597" s="4">
        <v>45945</v>
      </c>
      <c r="C1597" s="3" t="s">
        <v>2023</v>
      </c>
      <c r="D1597" s="3" t="s">
        <v>2043</v>
      </c>
      <c r="E1597" s="3" t="s">
        <v>2053</v>
      </c>
      <c r="F1597" s="3" t="s">
        <v>2060</v>
      </c>
      <c r="G1597" s="3">
        <v>9</v>
      </c>
      <c r="H1597" s="3">
        <v>550</v>
      </c>
      <c r="I1597" s="3">
        <v>742.5</v>
      </c>
      <c r="J1597" s="3">
        <v>9.92</v>
      </c>
      <c r="K1597" s="3">
        <v>6019.9</v>
      </c>
      <c r="L1597" s="3">
        <v>1069.9000000000001</v>
      </c>
      <c r="M1597" s="3">
        <f t="shared" si="121"/>
        <v>66290.399999999994</v>
      </c>
      <c r="N1597" s="3">
        <f t="shared" si="122"/>
        <v>4950</v>
      </c>
      <c r="O1597" s="3">
        <f t="shared" si="123"/>
        <v>17.772720477084338</v>
      </c>
      <c r="P1597" s="3" t="str">
        <f t="shared" si="124"/>
        <v>Oct</v>
      </c>
      <c r="Q1597" s="3" t="str">
        <f t="shared" si="120"/>
        <v>good profit</v>
      </c>
    </row>
    <row r="1598" spans="1:17" x14ac:dyDescent="0.25">
      <c r="A1598" s="3" t="s">
        <v>322</v>
      </c>
      <c r="B1598" s="4">
        <v>45945</v>
      </c>
      <c r="C1598" s="3" t="s">
        <v>2016</v>
      </c>
      <c r="D1598" s="3" t="s">
        <v>2036</v>
      </c>
      <c r="E1598" s="3" t="s">
        <v>2052</v>
      </c>
      <c r="F1598" s="3" t="s">
        <v>2061</v>
      </c>
      <c r="G1598" s="3">
        <v>3</v>
      </c>
      <c r="H1598" s="3">
        <v>900</v>
      </c>
      <c r="I1598" s="3">
        <v>1170</v>
      </c>
      <c r="J1598" s="3">
        <v>0</v>
      </c>
      <c r="K1598" s="3">
        <v>3510</v>
      </c>
      <c r="L1598" s="3">
        <v>810</v>
      </c>
      <c r="M1598" s="3">
        <f t="shared" si="121"/>
        <v>0</v>
      </c>
      <c r="N1598" s="3">
        <f t="shared" si="122"/>
        <v>2700</v>
      </c>
      <c r="O1598" s="3">
        <f t="shared" si="123"/>
        <v>23.076923076923077</v>
      </c>
      <c r="P1598" s="3" t="str">
        <f t="shared" si="124"/>
        <v>Oct</v>
      </c>
      <c r="Q1598" s="3" t="str">
        <f t="shared" si="120"/>
        <v>good profit</v>
      </c>
    </row>
    <row r="1599" spans="1:17" x14ac:dyDescent="0.25">
      <c r="A1599" s="3" t="s">
        <v>1070</v>
      </c>
      <c r="B1599" s="4">
        <v>45945</v>
      </c>
      <c r="C1599" s="3" t="s">
        <v>2023</v>
      </c>
      <c r="D1599" s="3" t="s">
        <v>2043</v>
      </c>
      <c r="E1599" s="3" t="s">
        <v>2053</v>
      </c>
      <c r="F1599" s="3" t="s">
        <v>2062</v>
      </c>
      <c r="G1599" s="3">
        <v>4</v>
      </c>
      <c r="H1599" s="3">
        <v>550</v>
      </c>
      <c r="I1599" s="3">
        <v>742.5</v>
      </c>
      <c r="J1599" s="3">
        <v>8.08</v>
      </c>
      <c r="K1599" s="3">
        <v>2729.89</v>
      </c>
      <c r="L1599" s="3">
        <v>529.89</v>
      </c>
      <c r="M1599" s="3">
        <f t="shared" si="121"/>
        <v>23997.599999999999</v>
      </c>
      <c r="N1599" s="3">
        <f t="shared" si="122"/>
        <v>2200</v>
      </c>
      <c r="O1599" s="3">
        <f t="shared" si="123"/>
        <v>19.410672224888181</v>
      </c>
      <c r="P1599" s="3" t="str">
        <f t="shared" si="124"/>
        <v>Oct</v>
      </c>
      <c r="Q1599" s="3" t="str">
        <f t="shared" si="120"/>
        <v>good profit</v>
      </c>
    </row>
    <row r="1600" spans="1:17" x14ac:dyDescent="0.25">
      <c r="A1600" s="3" t="s">
        <v>1584</v>
      </c>
      <c r="B1600" s="4">
        <v>45945</v>
      </c>
      <c r="C1600" s="3" t="s">
        <v>2029</v>
      </c>
      <c r="D1600" s="3" t="s">
        <v>2049</v>
      </c>
      <c r="E1600" s="3" t="s">
        <v>2055</v>
      </c>
      <c r="F1600" s="3" t="s">
        <v>2059</v>
      </c>
      <c r="G1600" s="3">
        <v>4</v>
      </c>
      <c r="H1600" s="3">
        <v>1200</v>
      </c>
      <c r="I1600" s="3">
        <v>1464</v>
      </c>
      <c r="J1600" s="3">
        <v>11.85</v>
      </c>
      <c r="K1600" s="3">
        <v>5162.3100000000004</v>
      </c>
      <c r="L1600" s="3">
        <v>362.31</v>
      </c>
      <c r="M1600" s="3">
        <f t="shared" si="121"/>
        <v>69393.599999999991</v>
      </c>
      <c r="N1600" s="3">
        <f t="shared" si="122"/>
        <v>4800</v>
      </c>
      <c r="O1600" s="3">
        <f t="shared" si="123"/>
        <v>7.0183696833394347</v>
      </c>
      <c r="P1600" s="3" t="str">
        <f t="shared" si="124"/>
        <v>Oct</v>
      </c>
      <c r="Q1600" s="3" t="str">
        <f t="shared" si="120"/>
        <v>low profit</v>
      </c>
    </row>
    <row r="1601" spans="1:17" x14ac:dyDescent="0.25">
      <c r="A1601" s="3" t="s">
        <v>105</v>
      </c>
      <c r="B1601" s="4">
        <v>45946</v>
      </c>
      <c r="C1601" s="3" t="s">
        <v>2028</v>
      </c>
      <c r="D1601" s="3" t="s">
        <v>2048</v>
      </c>
      <c r="E1601" s="3" t="s">
        <v>2057</v>
      </c>
      <c r="F1601" s="3" t="s">
        <v>2060</v>
      </c>
      <c r="G1601" s="3">
        <v>1</v>
      </c>
      <c r="H1601" s="3">
        <v>80</v>
      </c>
      <c r="I1601" s="3">
        <v>116</v>
      </c>
      <c r="J1601" s="3">
        <v>9.3800000000000008</v>
      </c>
      <c r="K1601" s="3">
        <v>105.12</v>
      </c>
      <c r="L1601" s="3">
        <v>25.12</v>
      </c>
      <c r="M1601" s="3">
        <f t="shared" si="121"/>
        <v>1088.0800000000002</v>
      </c>
      <c r="N1601" s="3">
        <f t="shared" si="122"/>
        <v>80</v>
      </c>
      <c r="O1601" s="3">
        <f t="shared" si="123"/>
        <v>23.896499238964992</v>
      </c>
      <c r="P1601" s="3" t="str">
        <f t="shared" si="124"/>
        <v>Oct</v>
      </c>
      <c r="Q1601" s="3" t="str">
        <f t="shared" si="120"/>
        <v>good profit</v>
      </c>
    </row>
    <row r="1602" spans="1:17" x14ac:dyDescent="0.25">
      <c r="A1602" s="3" t="s">
        <v>600</v>
      </c>
      <c r="B1602" s="4">
        <v>45946</v>
      </c>
      <c r="C1602" s="3" t="s">
        <v>2013</v>
      </c>
      <c r="D1602" s="3" t="s">
        <v>2033</v>
      </c>
      <c r="E1602" s="3" t="s">
        <v>2053</v>
      </c>
      <c r="F1602" s="3" t="s">
        <v>2062</v>
      </c>
      <c r="G1602" s="3">
        <v>8</v>
      </c>
      <c r="H1602" s="3">
        <v>6500</v>
      </c>
      <c r="I1602" s="3">
        <v>7150</v>
      </c>
      <c r="J1602" s="3">
        <v>11.86</v>
      </c>
      <c r="K1602" s="3">
        <v>50414.29</v>
      </c>
      <c r="L1602" s="3">
        <v>-1585.71</v>
      </c>
      <c r="M1602" s="3">
        <f t="shared" si="121"/>
        <v>678392</v>
      </c>
      <c r="N1602" s="3">
        <f t="shared" si="122"/>
        <v>52000</v>
      </c>
      <c r="O1602" s="3">
        <f t="shared" si="123"/>
        <v>-3.1453581911001822</v>
      </c>
      <c r="P1602" s="3" t="str">
        <f t="shared" si="124"/>
        <v>Oct</v>
      </c>
      <c r="Q1602" s="3" t="str">
        <f t="shared" ref="Q1602:Q1665" si="125">IF(L1602&lt;0,"loss",IF(O1602&lt;10,"low profit","good profit"))</f>
        <v>loss</v>
      </c>
    </row>
    <row r="1603" spans="1:17" x14ac:dyDescent="0.25">
      <c r="A1603" s="3" t="s">
        <v>770</v>
      </c>
      <c r="B1603" s="4">
        <v>45946</v>
      </c>
      <c r="C1603" s="3" t="s">
        <v>2024</v>
      </c>
      <c r="D1603" s="3" t="s">
        <v>2044</v>
      </c>
      <c r="E1603" s="3" t="s">
        <v>2055</v>
      </c>
      <c r="F1603" s="3" t="s">
        <v>2061</v>
      </c>
      <c r="G1603" s="3">
        <v>1</v>
      </c>
      <c r="H1603" s="3">
        <v>180</v>
      </c>
      <c r="I1603" s="3">
        <v>243</v>
      </c>
      <c r="J1603" s="3">
        <v>14.49</v>
      </c>
      <c r="K1603" s="3">
        <v>207.8</v>
      </c>
      <c r="L1603" s="3">
        <v>27.8</v>
      </c>
      <c r="M1603" s="3">
        <f t="shared" ref="M1603:M1666" si="126">G1603*I1603*J1603</f>
        <v>3521.07</v>
      </c>
      <c r="N1603" s="3">
        <f t="shared" ref="N1603:N1666" si="127">G1603*H1603</f>
        <v>180</v>
      </c>
      <c r="O1603" s="3">
        <f t="shared" ref="O1603:O1666" si="128">IFERROR(L1603/K1603*100,0)</f>
        <v>13.378248315688163</v>
      </c>
      <c r="P1603" s="3" t="str">
        <f t="shared" ref="P1603:P1666" si="129">TEXT(B1603,"mmm")</f>
        <v>Oct</v>
      </c>
      <c r="Q1603" s="3" t="str">
        <f t="shared" si="125"/>
        <v>good profit</v>
      </c>
    </row>
    <row r="1604" spans="1:17" x14ac:dyDescent="0.25">
      <c r="A1604" s="3" t="s">
        <v>1934</v>
      </c>
      <c r="B1604" s="4">
        <v>45946</v>
      </c>
      <c r="C1604" s="3" t="s">
        <v>2012</v>
      </c>
      <c r="D1604" s="3" t="s">
        <v>2032</v>
      </c>
      <c r="E1604" s="3" t="s">
        <v>2052</v>
      </c>
      <c r="F1604" s="3" t="s">
        <v>2062</v>
      </c>
      <c r="G1604" s="3">
        <v>8</v>
      </c>
      <c r="H1604" s="3">
        <v>6500</v>
      </c>
      <c r="I1604" s="3">
        <v>8125</v>
      </c>
      <c r="J1604" s="3">
        <v>15.89</v>
      </c>
      <c r="K1604" s="3">
        <v>54671.23</v>
      </c>
      <c r="L1604" s="3">
        <v>2671.23</v>
      </c>
      <c r="M1604" s="3">
        <f t="shared" si="126"/>
        <v>1032850</v>
      </c>
      <c r="N1604" s="3">
        <f t="shared" si="127"/>
        <v>52000</v>
      </c>
      <c r="O1604" s="3">
        <f t="shared" si="128"/>
        <v>4.8859884805957359</v>
      </c>
      <c r="P1604" s="3" t="str">
        <f t="shared" si="129"/>
        <v>Oct</v>
      </c>
      <c r="Q1604" s="3" t="str">
        <f t="shared" si="125"/>
        <v>low profit</v>
      </c>
    </row>
    <row r="1605" spans="1:17" x14ac:dyDescent="0.25">
      <c r="A1605" s="3" t="s">
        <v>1993</v>
      </c>
      <c r="B1605" s="4">
        <v>45946</v>
      </c>
      <c r="C1605" s="3" t="s">
        <v>2024</v>
      </c>
      <c r="D1605" s="3" t="s">
        <v>2044</v>
      </c>
      <c r="E1605" s="3" t="s">
        <v>2055</v>
      </c>
      <c r="F1605" s="3" t="s">
        <v>2061</v>
      </c>
      <c r="G1605" s="3">
        <v>2</v>
      </c>
      <c r="H1605" s="3">
        <v>180</v>
      </c>
      <c r="I1605" s="3">
        <v>243</v>
      </c>
      <c r="J1605" s="3">
        <v>15.57</v>
      </c>
      <c r="K1605" s="3">
        <v>410.32</v>
      </c>
      <c r="L1605" s="3">
        <v>50.32</v>
      </c>
      <c r="M1605" s="3">
        <f t="shared" si="126"/>
        <v>7567.02</v>
      </c>
      <c r="N1605" s="3">
        <f t="shared" si="127"/>
        <v>360</v>
      </c>
      <c r="O1605" s="3">
        <f t="shared" si="128"/>
        <v>12.26359914213297</v>
      </c>
      <c r="P1605" s="3" t="str">
        <f t="shared" si="129"/>
        <v>Oct</v>
      </c>
      <c r="Q1605" s="3" t="str">
        <f t="shared" si="125"/>
        <v>good profit</v>
      </c>
    </row>
    <row r="1606" spans="1:17" x14ac:dyDescent="0.25">
      <c r="A1606" s="3" t="s">
        <v>241</v>
      </c>
      <c r="B1606" s="4">
        <v>45947</v>
      </c>
      <c r="C1606" s="3" t="s">
        <v>2019</v>
      </c>
      <c r="D1606" s="3" t="s">
        <v>2039</v>
      </c>
      <c r="E1606" s="3" t="s">
        <v>2053</v>
      </c>
      <c r="F1606" s="3" t="s">
        <v>2061</v>
      </c>
      <c r="G1606" s="3">
        <v>1</v>
      </c>
      <c r="H1606" s="3">
        <v>900</v>
      </c>
      <c r="I1606" s="3">
        <v>1152</v>
      </c>
      <c r="J1606" s="3">
        <v>13.84</v>
      </c>
      <c r="K1606" s="3">
        <v>992.51</v>
      </c>
      <c r="L1606" s="3">
        <v>92.51</v>
      </c>
      <c r="M1606" s="3">
        <f t="shared" si="126"/>
        <v>15943.68</v>
      </c>
      <c r="N1606" s="3">
        <f t="shared" si="127"/>
        <v>900</v>
      </c>
      <c r="O1606" s="3">
        <f t="shared" si="128"/>
        <v>9.32081288853513</v>
      </c>
      <c r="P1606" s="3" t="str">
        <f t="shared" si="129"/>
        <v>Oct</v>
      </c>
      <c r="Q1606" s="3" t="str">
        <f t="shared" si="125"/>
        <v>low profit</v>
      </c>
    </row>
    <row r="1607" spans="1:17" x14ac:dyDescent="0.25">
      <c r="A1607" s="3" t="s">
        <v>1086</v>
      </c>
      <c r="B1607" s="4">
        <v>45947</v>
      </c>
      <c r="C1607" s="3" t="s">
        <v>2018</v>
      </c>
      <c r="D1607" s="3" t="s">
        <v>2038</v>
      </c>
      <c r="E1607" s="3" t="s">
        <v>2053</v>
      </c>
      <c r="F1607" s="3" t="s">
        <v>2061</v>
      </c>
      <c r="G1607" s="3">
        <v>9</v>
      </c>
      <c r="H1607" s="3">
        <v>500</v>
      </c>
      <c r="I1607" s="3">
        <v>610</v>
      </c>
      <c r="J1607" s="3">
        <v>13.17</v>
      </c>
      <c r="K1607" s="3">
        <v>4767.17</v>
      </c>
      <c r="L1607" s="3">
        <v>267.17</v>
      </c>
      <c r="M1607" s="3">
        <f t="shared" si="126"/>
        <v>72303.3</v>
      </c>
      <c r="N1607" s="3">
        <f t="shared" si="127"/>
        <v>4500</v>
      </c>
      <c r="O1607" s="3">
        <f t="shared" si="128"/>
        <v>5.6043732445035532</v>
      </c>
      <c r="P1607" s="3" t="str">
        <f t="shared" si="129"/>
        <v>Oct</v>
      </c>
      <c r="Q1607" s="3" t="str">
        <f t="shared" si="125"/>
        <v>low profit</v>
      </c>
    </row>
    <row r="1608" spans="1:17" x14ac:dyDescent="0.25">
      <c r="A1608" s="3" t="s">
        <v>1306</v>
      </c>
      <c r="B1608" s="4">
        <v>45947</v>
      </c>
      <c r="C1608" s="3" t="s">
        <v>2029</v>
      </c>
      <c r="D1608" s="3" t="s">
        <v>2049</v>
      </c>
      <c r="E1608" s="3" t="s">
        <v>2055</v>
      </c>
      <c r="F1608" s="3" t="s">
        <v>2059</v>
      </c>
      <c r="G1608" s="3">
        <v>10</v>
      </c>
      <c r="H1608" s="3">
        <v>1200</v>
      </c>
      <c r="I1608" s="3">
        <v>1464</v>
      </c>
      <c r="J1608" s="3">
        <v>4.9000000000000004</v>
      </c>
      <c r="K1608" s="3">
        <v>13922.9</v>
      </c>
      <c r="L1608" s="3">
        <v>1922.9</v>
      </c>
      <c r="M1608" s="3">
        <f t="shared" si="126"/>
        <v>71736</v>
      </c>
      <c r="N1608" s="3">
        <f t="shared" si="127"/>
        <v>12000</v>
      </c>
      <c r="O1608" s="3">
        <f t="shared" si="128"/>
        <v>13.811059477551375</v>
      </c>
      <c r="P1608" s="3" t="str">
        <f t="shared" si="129"/>
        <v>Oct</v>
      </c>
      <c r="Q1608" s="3" t="str">
        <f t="shared" si="125"/>
        <v>good profit</v>
      </c>
    </row>
    <row r="1609" spans="1:17" x14ac:dyDescent="0.25">
      <c r="A1609" s="3" t="s">
        <v>1315</v>
      </c>
      <c r="B1609" s="4">
        <v>45947</v>
      </c>
      <c r="C1609" s="3" t="s">
        <v>2018</v>
      </c>
      <c r="D1609" s="3" t="s">
        <v>2038</v>
      </c>
      <c r="E1609" s="3" t="s">
        <v>2053</v>
      </c>
      <c r="F1609" s="3" t="s">
        <v>2059</v>
      </c>
      <c r="G1609" s="3">
        <v>4</v>
      </c>
      <c r="H1609" s="3">
        <v>500</v>
      </c>
      <c r="I1609" s="3">
        <v>610</v>
      </c>
      <c r="J1609" s="3">
        <v>16.399999999999999</v>
      </c>
      <c r="K1609" s="3">
        <v>2039.91</v>
      </c>
      <c r="L1609" s="3">
        <v>39.909999999999997</v>
      </c>
      <c r="M1609" s="3">
        <f t="shared" si="126"/>
        <v>40016</v>
      </c>
      <c r="N1609" s="3">
        <f t="shared" si="127"/>
        <v>2000</v>
      </c>
      <c r="O1609" s="3">
        <f t="shared" si="128"/>
        <v>1.9564588633812274</v>
      </c>
      <c r="P1609" s="3" t="str">
        <f t="shared" si="129"/>
        <v>Oct</v>
      </c>
      <c r="Q1609" s="3" t="str">
        <f t="shared" si="125"/>
        <v>low profit</v>
      </c>
    </row>
    <row r="1610" spans="1:17" x14ac:dyDescent="0.25">
      <c r="A1610" s="3" t="s">
        <v>1333</v>
      </c>
      <c r="B1610" s="4">
        <v>45947</v>
      </c>
      <c r="C1610" s="3" t="s">
        <v>2030</v>
      </c>
      <c r="D1610" s="3" t="s">
        <v>2050</v>
      </c>
      <c r="E1610" s="3" t="s">
        <v>2058</v>
      </c>
      <c r="F1610" s="3" t="s">
        <v>2061</v>
      </c>
      <c r="G1610" s="3">
        <v>7</v>
      </c>
      <c r="H1610" s="3">
        <v>1800</v>
      </c>
      <c r="I1610" s="3">
        <v>2124</v>
      </c>
      <c r="J1610" s="3">
        <v>19.170000000000002</v>
      </c>
      <c r="K1610" s="3">
        <v>12017.57</v>
      </c>
      <c r="L1610" s="3">
        <v>-582.42999999999995</v>
      </c>
      <c r="M1610" s="3">
        <f t="shared" si="126"/>
        <v>285019.56</v>
      </c>
      <c r="N1610" s="3">
        <f t="shared" si="127"/>
        <v>12600</v>
      </c>
      <c r="O1610" s="3">
        <f t="shared" si="128"/>
        <v>-4.8464872682247737</v>
      </c>
      <c r="P1610" s="3" t="str">
        <f t="shared" si="129"/>
        <v>Oct</v>
      </c>
      <c r="Q1610" s="3" t="str">
        <f t="shared" si="125"/>
        <v>loss</v>
      </c>
    </row>
    <row r="1611" spans="1:17" x14ac:dyDescent="0.25">
      <c r="A1611" s="3" t="s">
        <v>1378</v>
      </c>
      <c r="B1611" s="4">
        <v>45947</v>
      </c>
      <c r="C1611" s="3" t="s">
        <v>2014</v>
      </c>
      <c r="D1611" s="3" t="s">
        <v>2034</v>
      </c>
      <c r="E1611" s="3" t="s">
        <v>2052</v>
      </c>
      <c r="F1611" s="3" t="s">
        <v>2061</v>
      </c>
      <c r="G1611" s="3">
        <v>10</v>
      </c>
      <c r="H1611" s="3">
        <v>4500</v>
      </c>
      <c r="I1611" s="3">
        <v>5220</v>
      </c>
      <c r="J1611" s="3">
        <v>17.87</v>
      </c>
      <c r="K1611" s="3">
        <v>42872.22</v>
      </c>
      <c r="L1611" s="3">
        <v>-2127.7800000000002</v>
      </c>
      <c r="M1611" s="3">
        <f t="shared" si="126"/>
        <v>932814</v>
      </c>
      <c r="N1611" s="3">
        <f t="shared" si="127"/>
        <v>45000</v>
      </c>
      <c r="O1611" s="3">
        <f t="shared" si="128"/>
        <v>-4.963073990570118</v>
      </c>
      <c r="P1611" s="3" t="str">
        <f t="shared" si="129"/>
        <v>Oct</v>
      </c>
      <c r="Q1611" s="3" t="str">
        <f t="shared" si="125"/>
        <v>loss</v>
      </c>
    </row>
    <row r="1612" spans="1:17" x14ac:dyDescent="0.25">
      <c r="A1612" s="3" t="s">
        <v>1815</v>
      </c>
      <c r="B1612" s="4">
        <v>45947</v>
      </c>
      <c r="C1612" s="3" t="s">
        <v>2022</v>
      </c>
      <c r="D1612" s="3" t="s">
        <v>2042</v>
      </c>
      <c r="E1612" s="3" t="s">
        <v>2053</v>
      </c>
      <c r="F1612" s="3" t="s">
        <v>2061</v>
      </c>
      <c r="G1612" s="3">
        <v>8</v>
      </c>
      <c r="H1612" s="3">
        <v>8500</v>
      </c>
      <c r="I1612" s="3">
        <v>9520</v>
      </c>
      <c r="J1612" s="3">
        <v>4</v>
      </c>
      <c r="K1612" s="3">
        <v>73113.600000000006</v>
      </c>
      <c r="L1612" s="3">
        <v>5113.6000000000004</v>
      </c>
      <c r="M1612" s="3">
        <f t="shared" si="126"/>
        <v>304640</v>
      </c>
      <c r="N1612" s="3">
        <f t="shared" si="127"/>
        <v>68000</v>
      </c>
      <c r="O1612" s="3">
        <f t="shared" si="128"/>
        <v>6.9940476190476195</v>
      </c>
      <c r="P1612" s="3" t="str">
        <f t="shared" si="129"/>
        <v>Oct</v>
      </c>
      <c r="Q1612" s="3" t="str">
        <f t="shared" si="125"/>
        <v>low profit</v>
      </c>
    </row>
    <row r="1613" spans="1:17" x14ac:dyDescent="0.25">
      <c r="A1613" s="3" t="s">
        <v>83</v>
      </c>
      <c r="B1613" s="4">
        <v>45948</v>
      </c>
      <c r="C1613" s="3" t="s">
        <v>2031</v>
      </c>
      <c r="D1613" s="3" t="s">
        <v>2051</v>
      </c>
      <c r="E1613" s="3" t="s">
        <v>2058</v>
      </c>
      <c r="F1613" s="3" t="s">
        <v>2062</v>
      </c>
      <c r="G1613" s="3">
        <v>3</v>
      </c>
      <c r="H1613" s="3">
        <v>3200</v>
      </c>
      <c r="I1613" s="3">
        <v>3840</v>
      </c>
      <c r="J1613" s="3">
        <v>13.22</v>
      </c>
      <c r="K1613" s="3">
        <v>9996.7000000000007</v>
      </c>
      <c r="L1613" s="3">
        <v>396.7</v>
      </c>
      <c r="M1613" s="3">
        <f t="shared" si="126"/>
        <v>152294.39999999999</v>
      </c>
      <c r="N1613" s="3">
        <f t="shared" si="127"/>
        <v>9600</v>
      </c>
      <c r="O1613" s="3">
        <f t="shared" si="128"/>
        <v>3.968309542148909</v>
      </c>
      <c r="P1613" s="3" t="str">
        <f t="shared" si="129"/>
        <v>Oct</v>
      </c>
      <c r="Q1613" s="3" t="str">
        <f t="shared" si="125"/>
        <v>low profit</v>
      </c>
    </row>
    <row r="1614" spans="1:17" x14ac:dyDescent="0.25">
      <c r="A1614" s="3" t="s">
        <v>941</v>
      </c>
      <c r="B1614" s="4">
        <v>45948</v>
      </c>
      <c r="C1614" s="3" t="s">
        <v>2018</v>
      </c>
      <c r="D1614" s="3" t="s">
        <v>2038</v>
      </c>
      <c r="E1614" s="3" t="s">
        <v>2053</v>
      </c>
      <c r="F1614" s="3" t="s">
        <v>2060</v>
      </c>
      <c r="G1614" s="3">
        <v>5</v>
      </c>
      <c r="H1614" s="3">
        <v>500</v>
      </c>
      <c r="I1614" s="3">
        <v>610</v>
      </c>
      <c r="J1614" s="3">
        <v>4.67</v>
      </c>
      <c r="K1614" s="3">
        <v>2907.48</v>
      </c>
      <c r="L1614" s="3">
        <v>407.48</v>
      </c>
      <c r="M1614" s="3">
        <f t="shared" si="126"/>
        <v>14243.5</v>
      </c>
      <c r="N1614" s="3">
        <f t="shared" si="127"/>
        <v>2500</v>
      </c>
      <c r="O1614" s="3">
        <f t="shared" si="128"/>
        <v>14.014885742980177</v>
      </c>
      <c r="P1614" s="3" t="str">
        <f t="shared" si="129"/>
        <v>Oct</v>
      </c>
      <c r="Q1614" s="3" t="str">
        <f t="shared" si="125"/>
        <v>good profit</v>
      </c>
    </row>
    <row r="1615" spans="1:17" x14ac:dyDescent="0.25">
      <c r="A1615" s="3" t="s">
        <v>55</v>
      </c>
      <c r="B1615" s="4">
        <v>45949</v>
      </c>
      <c r="C1615" s="3" t="s">
        <v>2016</v>
      </c>
      <c r="D1615" s="3" t="s">
        <v>2036</v>
      </c>
      <c r="E1615" s="3" t="s">
        <v>2052</v>
      </c>
      <c r="F1615" s="3" t="s">
        <v>2060</v>
      </c>
      <c r="G1615" s="3">
        <v>9</v>
      </c>
      <c r="H1615" s="3">
        <v>900</v>
      </c>
      <c r="I1615" s="3">
        <v>1170</v>
      </c>
      <c r="J1615" s="3">
        <v>16.54</v>
      </c>
      <c r="K1615" s="3">
        <v>8788.74</v>
      </c>
      <c r="L1615" s="3">
        <v>688.74</v>
      </c>
      <c r="M1615" s="3">
        <f t="shared" si="126"/>
        <v>174166.19999999998</v>
      </c>
      <c r="N1615" s="3">
        <f t="shared" si="127"/>
        <v>8100</v>
      </c>
      <c r="O1615" s="3">
        <f t="shared" si="128"/>
        <v>7.8366182183111572</v>
      </c>
      <c r="P1615" s="3" t="str">
        <f t="shared" si="129"/>
        <v>Oct</v>
      </c>
      <c r="Q1615" s="3" t="str">
        <f t="shared" si="125"/>
        <v>low profit</v>
      </c>
    </row>
    <row r="1616" spans="1:17" x14ac:dyDescent="0.25">
      <c r="A1616" s="3" t="s">
        <v>287</v>
      </c>
      <c r="B1616" s="4">
        <v>45949</v>
      </c>
      <c r="C1616" s="3" t="s">
        <v>2020</v>
      </c>
      <c r="D1616" s="3" t="s">
        <v>2040</v>
      </c>
      <c r="E1616" s="3" t="s">
        <v>2053</v>
      </c>
      <c r="F1616" s="3" t="s">
        <v>2060</v>
      </c>
      <c r="G1616" s="3">
        <v>8</v>
      </c>
      <c r="H1616" s="3">
        <v>350</v>
      </c>
      <c r="I1616" s="3">
        <v>455</v>
      </c>
      <c r="J1616" s="3">
        <v>3.73</v>
      </c>
      <c r="K1616" s="3">
        <v>3504.33</v>
      </c>
      <c r="L1616" s="3">
        <v>704.33</v>
      </c>
      <c r="M1616" s="3">
        <f t="shared" si="126"/>
        <v>13577.2</v>
      </c>
      <c r="N1616" s="3">
        <f t="shared" si="127"/>
        <v>2800</v>
      </c>
      <c r="O1616" s="3">
        <f t="shared" si="128"/>
        <v>20.098849138066335</v>
      </c>
      <c r="P1616" s="3" t="str">
        <f t="shared" si="129"/>
        <v>Oct</v>
      </c>
      <c r="Q1616" s="3" t="str">
        <f t="shared" si="125"/>
        <v>good profit</v>
      </c>
    </row>
    <row r="1617" spans="1:17" x14ac:dyDescent="0.25">
      <c r="A1617" s="3" t="s">
        <v>1286</v>
      </c>
      <c r="B1617" s="4">
        <v>45949</v>
      </c>
      <c r="C1617" s="3" t="s">
        <v>2019</v>
      </c>
      <c r="D1617" s="3" t="s">
        <v>2039</v>
      </c>
      <c r="E1617" s="3" t="s">
        <v>2053</v>
      </c>
      <c r="F1617" s="3" t="s">
        <v>2059</v>
      </c>
      <c r="G1617" s="3">
        <v>9</v>
      </c>
      <c r="H1617" s="3">
        <v>900</v>
      </c>
      <c r="I1617" s="3">
        <v>1152</v>
      </c>
      <c r="J1617" s="3">
        <v>6.08</v>
      </c>
      <c r="K1617" s="3">
        <v>9737.7199999999993</v>
      </c>
      <c r="L1617" s="3">
        <v>1637.72</v>
      </c>
      <c r="M1617" s="3">
        <f t="shared" si="126"/>
        <v>63037.440000000002</v>
      </c>
      <c r="N1617" s="3">
        <f t="shared" si="127"/>
        <v>8100</v>
      </c>
      <c r="O1617" s="3">
        <f t="shared" si="128"/>
        <v>16.818310651774748</v>
      </c>
      <c r="P1617" s="3" t="str">
        <f t="shared" si="129"/>
        <v>Oct</v>
      </c>
      <c r="Q1617" s="3" t="str">
        <f t="shared" si="125"/>
        <v>good profit</v>
      </c>
    </row>
    <row r="1618" spans="1:17" x14ac:dyDescent="0.25">
      <c r="A1618" s="3" t="s">
        <v>1476</v>
      </c>
      <c r="B1618" s="4">
        <v>45949</v>
      </c>
      <c r="C1618" s="3" t="s">
        <v>2015</v>
      </c>
      <c r="D1618" s="3" t="s">
        <v>2035</v>
      </c>
      <c r="E1618" s="3" t="s">
        <v>2054</v>
      </c>
      <c r="F1618" s="3" t="s">
        <v>2059</v>
      </c>
      <c r="G1618" s="3">
        <v>8</v>
      </c>
      <c r="H1618" s="3">
        <v>900</v>
      </c>
      <c r="I1618" s="3">
        <v>1170</v>
      </c>
      <c r="J1618" s="3">
        <v>0</v>
      </c>
      <c r="K1618" s="3">
        <v>9360</v>
      </c>
      <c r="L1618" s="3">
        <v>2160</v>
      </c>
      <c r="M1618" s="3">
        <f t="shared" si="126"/>
        <v>0</v>
      </c>
      <c r="N1618" s="3">
        <f t="shared" si="127"/>
        <v>7200</v>
      </c>
      <c r="O1618" s="3">
        <f t="shared" si="128"/>
        <v>23.076923076923077</v>
      </c>
      <c r="P1618" s="3" t="str">
        <f t="shared" si="129"/>
        <v>Oct</v>
      </c>
      <c r="Q1618" s="3" t="str">
        <f t="shared" si="125"/>
        <v>good profit</v>
      </c>
    </row>
    <row r="1619" spans="1:17" x14ac:dyDescent="0.25">
      <c r="A1619" s="3" t="s">
        <v>1892</v>
      </c>
      <c r="B1619" s="4">
        <v>45949</v>
      </c>
      <c r="C1619" s="3" t="s">
        <v>2016</v>
      </c>
      <c r="D1619" s="3" t="s">
        <v>2036</v>
      </c>
      <c r="E1619" s="3" t="s">
        <v>2052</v>
      </c>
      <c r="F1619" s="3" t="s">
        <v>2062</v>
      </c>
      <c r="G1619" s="3">
        <v>7</v>
      </c>
      <c r="H1619" s="3">
        <v>900</v>
      </c>
      <c r="I1619" s="3">
        <v>1170</v>
      </c>
      <c r="J1619" s="3">
        <v>6.48</v>
      </c>
      <c r="K1619" s="3">
        <v>7659.04</v>
      </c>
      <c r="L1619" s="3">
        <v>1359.04</v>
      </c>
      <c r="M1619" s="3">
        <f t="shared" si="126"/>
        <v>53071.200000000004</v>
      </c>
      <c r="N1619" s="3">
        <f t="shared" si="127"/>
        <v>6300</v>
      </c>
      <c r="O1619" s="3">
        <f t="shared" si="128"/>
        <v>17.744260377279659</v>
      </c>
      <c r="P1619" s="3" t="str">
        <f t="shared" si="129"/>
        <v>Oct</v>
      </c>
      <c r="Q1619" s="3" t="str">
        <f t="shared" si="125"/>
        <v>good profit</v>
      </c>
    </row>
    <row r="1620" spans="1:17" x14ac:dyDescent="0.25">
      <c r="A1620" s="3" t="s">
        <v>424</v>
      </c>
      <c r="B1620" s="4">
        <v>45950</v>
      </c>
      <c r="C1620" s="3" t="s">
        <v>2021</v>
      </c>
      <c r="D1620" s="3" t="s">
        <v>2041</v>
      </c>
      <c r="E1620" s="3" t="s">
        <v>2056</v>
      </c>
      <c r="F1620" s="3" t="s">
        <v>2061</v>
      </c>
      <c r="G1620" s="3">
        <v>8</v>
      </c>
      <c r="H1620" s="3">
        <v>300</v>
      </c>
      <c r="I1620" s="3">
        <v>405</v>
      </c>
      <c r="J1620" s="3">
        <v>19.57</v>
      </c>
      <c r="K1620" s="3">
        <v>2606.08</v>
      </c>
      <c r="L1620" s="3">
        <v>206.08</v>
      </c>
      <c r="M1620" s="3">
        <f t="shared" si="126"/>
        <v>63406.8</v>
      </c>
      <c r="N1620" s="3">
        <f t="shared" si="127"/>
        <v>2400</v>
      </c>
      <c r="O1620" s="3">
        <f t="shared" si="128"/>
        <v>7.9076620825147357</v>
      </c>
      <c r="P1620" s="3" t="str">
        <f t="shared" si="129"/>
        <v>Oct</v>
      </c>
      <c r="Q1620" s="3" t="str">
        <f t="shared" si="125"/>
        <v>low profit</v>
      </c>
    </row>
    <row r="1621" spans="1:17" x14ac:dyDescent="0.25">
      <c r="A1621" s="3" t="s">
        <v>1443</v>
      </c>
      <c r="B1621" s="4">
        <v>45950</v>
      </c>
      <c r="C1621" s="3" t="s">
        <v>2017</v>
      </c>
      <c r="D1621" s="3" t="s">
        <v>2037</v>
      </c>
      <c r="E1621" s="3" t="s">
        <v>2055</v>
      </c>
      <c r="F1621" s="3" t="s">
        <v>2059</v>
      </c>
      <c r="G1621" s="3">
        <v>6</v>
      </c>
      <c r="H1621" s="3">
        <v>2500</v>
      </c>
      <c r="I1621" s="3">
        <v>2875</v>
      </c>
      <c r="J1621" s="3">
        <v>1.85</v>
      </c>
      <c r="K1621" s="3">
        <v>16931.490000000002</v>
      </c>
      <c r="L1621" s="3">
        <v>1931.49</v>
      </c>
      <c r="M1621" s="3">
        <f t="shared" si="126"/>
        <v>31912.5</v>
      </c>
      <c r="N1621" s="3">
        <f t="shared" si="127"/>
        <v>15000</v>
      </c>
      <c r="O1621" s="3">
        <f t="shared" si="128"/>
        <v>11.407678828029901</v>
      </c>
      <c r="P1621" s="3" t="str">
        <f t="shared" si="129"/>
        <v>Oct</v>
      </c>
      <c r="Q1621" s="3" t="str">
        <f t="shared" si="125"/>
        <v>good profit</v>
      </c>
    </row>
    <row r="1622" spans="1:17" x14ac:dyDescent="0.25">
      <c r="A1622" s="3" t="s">
        <v>632</v>
      </c>
      <c r="B1622" s="4">
        <v>45951</v>
      </c>
      <c r="C1622" s="3" t="s">
        <v>2027</v>
      </c>
      <c r="D1622" s="3" t="s">
        <v>2047</v>
      </c>
      <c r="E1622" s="3" t="s">
        <v>2053</v>
      </c>
      <c r="F1622" s="3" t="s">
        <v>2060</v>
      </c>
      <c r="G1622" s="3">
        <v>1</v>
      </c>
      <c r="H1622" s="3">
        <v>1100</v>
      </c>
      <c r="I1622" s="3">
        <v>1298</v>
      </c>
      <c r="J1622" s="3">
        <v>2.0099999999999998</v>
      </c>
      <c r="K1622" s="3">
        <v>1271.97</v>
      </c>
      <c r="L1622" s="3">
        <v>171.97</v>
      </c>
      <c r="M1622" s="3">
        <f t="shared" si="126"/>
        <v>2608.9799999999996</v>
      </c>
      <c r="N1622" s="3">
        <f t="shared" si="127"/>
        <v>1100</v>
      </c>
      <c r="O1622" s="3">
        <f t="shared" si="128"/>
        <v>13.519972955336998</v>
      </c>
      <c r="P1622" s="3" t="str">
        <f t="shared" si="129"/>
        <v>Oct</v>
      </c>
      <c r="Q1622" s="3" t="str">
        <f t="shared" si="125"/>
        <v>good profit</v>
      </c>
    </row>
    <row r="1623" spans="1:17" x14ac:dyDescent="0.25">
      <c r="A1623" s="3" t="s">
        <v>788</v>
      </c>
      <c r="B1623" s="4">
        <v>45951</v>
      </c>
      <c r="C1623" s="3" t="s">
        <v>2017</v>
      </c>
      <c r="D1623" s="3" t="s">
        <v>2037</v>
      </c>
      <c r="E1623" s="3" t="s">
        <v>2055</v>
      </c>
      <c r="F1623" s="3" t="s">
        <v>2059</v>
      </c>
      <c r="G1623" s="3">
        <v>3</v>
      </c>
      <c r="H1623" s="3">
        <v>2500</v>
      </c>
      <c r="I1623" s="3">
        <v>2875</v>
      </c>
      <c r="J1623" s="3">
        <v>16.89</v>
      </c>
      <c r="K1623" s="3">
        <v>7168.27</v>
      </c>
      <c r="L1623" s="3">
        <v>-331.73</v>
      </c>
      <c r="M1623" s="3">
        <f t="shared" si="126"/>
        <v>145676.25</v>
      </c>
      <c r="N1623" s="3">
        <f t="shared" si="127"/>
        <v>7500</v>
      </c>
      <c r="O1623" s="3">
        <f t="shared" si="128"/>
        <v>-4.6277553719377202</v>
      </c>
      <c r="P1623" s="3" t="str">
        <f t="shared" si="129"/>
        <v>Oct</v>
      </c>
      <c r="Q1623" s="3" t="str">
        <f t="shared" si="125"/>
        <v>loss</v>
      </c>
    </row>
    <row r="1624" spans="1:17" x14ac:dyDescent="0.25">
      <c r="A1624" s="3" t="s">
        <v>1058</v>
      </c>
      <c r="B1624" s="4">
        <v>45951</v>
      </c>
      <c r="C1624" s="3" t="s">
        <v>2016</v>
      </c>
      <c r="D1624" s="3" t="s">
        <v>2036</v>
      </c>
      <c r="E1624" s="3" t="s">
        <v>2052</v>
      </c>
      <c r="F1624" s="3" t="s">
        <v>2059</v>
      </c>
      <c r="G1624" s="3">
        <v>8</v>
      </c>
      <c r="H1624" s="3">
        <v>900</v>
      </c>
      <c r="I1624" s="3">
        <v>1170</v>
      </c>
      <c r="J1624" s="3">
        <v>17.14</v>
      </c>
      <c r="K1624" s="3">
        <v>7755.73</v>
      </c>
      <c r="L1624" s="3">
        <v>555.73</v>
      </c>
      <c r="M1624" s="3">
        <f t="shared" si="126"/>
        <v>160430.39999999999</v>
      </c>
      <c r="N1624" s="3">
        <f t="shared" si="127"/>
        <v>7200</v>
      </c>
      <c r="O1624" s="3">
        <f t="shared" si="128"/>
        <v>7.1654118954630972</v>
      </c>
      <c r="P1624" s="3" t="str">
        <f t="shared" si="129"/>
        <v>Oct</v>
      </c>
      <c r="Q1624" s="3" t="str">
        <f t="shared" si="125"/>
        <v>low profit</v>
      </c>
    </row>
    <row r="1625" spans="1:17" x14ac:dyDescent="0.25">
      <c r="A1625" s="3" t="s">
        <v>1100</v>
      </c>
      <c r="B1625" s="4">
        <v>45951</v>
      </c>
      <c r="C1625" s="3" t="s">
        <v>2029</v>
      </c>
      <c r="D1625" s="3" t="s">
        <v>2049</v>
      </c>
      <c r="E1625" s="3" t="s">
        <v>2055</v>
      </c>
      <c r="F1625" s="3" t="s">
        <v>2060</v>
      </c>
      <c r="G1625" s="3">
        <v>2</v>
      </c>
      <c r="H1625" s="3">
        <v>1200</v>
      </c>
      <c r="I1625" s="3">
        <v>1464</v>
      </c>
      <c r="J1625" s="3">
        <v>12.68</v>
      </c>
      <c r="K1625" s="3">
        <v>2556.7600000000002</v>
      </c>
      <c r="L1625" s="3">
        <v>156.76</v>
      </c>
      <c r="M1625" s="3">
        <f t="shared" si="126"/>
        <v>37127.040000000001</v>
      </c>
      <c r="N1625" s="3">
        <f t="shared" si="127"/>
        <v>2400</v>
      </c>
      <c r="O1625" s="3">
        <f t="shared" si="128"/>
        <v>6.1311972965784811</v>
      </c>
      <c r="P1625" s="3" t="str">
        <f t="shared" si="129"/>
        <v>Oct</v>
      </c>
      <c r="Q1625" s="3" t="str">
        <f t="shared" si="125"/>
        <v>low profit</v>
      </c>
    </row>
    <row r="1626" spans="1:17" x14ac:dyDescent="0.25">
      <c r="A1626" s="3" t="s">
        <v>1248</v>
      </c>
      <c r="B1626" s="4">
        <v>45951</v>
      </c>
      <c r="C1626" s="3" t="s">
        <v>2016</v>
      </c>
      <c r="D1626" s="3" t="s">
        <v>2036</v>
      </c>
      <c r="E1626" s="3" t="s">
        <v>2052</v>
      </c>
      <c r="F1626" s="3" t="s">
        <v>2061</v>
      </c>
      <c r="G1626" s="3">
        <v>3</v>
      </c>
      <c r="H1626" s="3">
        <v>900</v>
      </c>
      <c r="I1626" s="3">
        <v>1170</v>
      </c>
      <c r="J1626" s="3">
        <v>15.05</v>
      </c>
      <c r="K1626" s="3">
        <v>2981.71</v>
      </c>
      <c r="L1626" s="3">
        <v>281.70999999999998</v>
      </c>
      <c r="M1626" s="3">
        <f t="shared" si="126"/>
        <v>52825.5</v>
      </c>
      <c r="N1626" s="3">
        <f t="shared" si="127"/>
        <v>2700</v>
      </c>
      <c r="O1626" s="3">
        <f t="shared" si="128"/>
        <v>9.4479342390775756</v>
      </c>
      <c r="P1626" s="3" t="str">
        <f t="shared" si="129"/>
        <v>Oct</v>
      </c>
      <c r="Q1626" s="3" t="str">
        <f t="shared" si="125"/>
        <v>low profit</v>
      </c>
    </row>
    <row r="1627" spans="1:17" x14ac:dyDescent="0.25">
      <c r="A1627" s="3" t="s">
        <v>1394</v>
      </c>
      <c r="B1627" s="4">
        <v>45951</v>
      </c>
      <c r="C1627" s="3" t="s">
        <v>2017</v>
      </c>
      <c r="D1627" s="3" t="s">
        <v>2037</v>
      </c>
      <c r="E1627" s="3" t="s">
        <v>2055</v>
      </c>
      <c r="F1627" s="3" t="s">
        <v>2061</v>
      </c>
      <c r="G1627" s="3">
        <v>7</v>
      </c>
      <c r="H1627" s="3">
        <v>2500</v>
      </c>
      <c r="I1627" s="3">
        <v>2875</v>
      </c>
      <c r="J1627" s="3">
        <v>2.21</v>
      </c>
      <c r="K1627" s="3">
        <v>19681.080000000002</v>
      </c>
      <c r="L1627" s="3">
        <v>2181.08</v>
      </c>
      <c r="M1627" s="3">
        <f t="shared" si="126"/>
        <v>44476.25</v>
      </c>
      <c r="N1627" s="3">
        <f t="shared" si="127"/>
        <v>17500</v>
      </c>
      <c r="O1627" s="3">
        <f t="shared" si="128"/>
        <v>11.08211541236558</v>
      </c>
      <c r="P1627" s="3" t="str">
        <f t="shared" si="129"/>
        <v>Oct</v>
      </c>
      <c r="Q1627" s="3" t="str">
        <f t="shared" si="125"/>
        <v>good profit</v>
      </c>
    </row>
    <row r="1628" spans="1:17" x14ac:dyDescent="0.25">
      <c r="A1628" s="3" t="s">
        <v>1630</v>
      </c>
      <c r="B1628" s="4">
        <v>45951</v>
      </c>
      <c r="C1628" s="3" t="s">
        <v>2029</v>
      </c>
      <c r="D1628" s="3" t="s">
        <v>2049</v>
      </c>
      <c r="E1628" s="3" t="s">
        <v>2055</v>
      </c>
      <c r="F1628" s="3" t="s">
        <v>2059</v>
      </c>
      <c r="G1628" s="3">
        <v>8</v>
      </c>
      <c r="H1628" s="3">
        <v>1200</v>
      </c>
      <c r="I1628" s="3">
        <v>1464</v>
      </c>
      <c r="J1628" s="3">
        <v>9.7899999999999991</v>
      </c>
      <c r="K1628" s="3">
        <v>10565.37</v>
      </c>
      <c r="L1628" s="3">
        <v>965.37</v>
      </c>
      <c r="M1628" s="3">
        <f t="shared" si="126"/>
        <v>114660.48</v>
      </c>
      <c r="N1628" s="3">
        <f t="shared" si="127"/>
        <v>9600</v>
      </c>
      <c r="O1628" s="3">
        <f t="shared" si="128"/>
        <v>9.1371149330312136</v>
      </c>
      <c r="P1628" s="3" t="str">
        <f t="shared" si="129"/>
        <v>Oct</v>
      </c>
      <c r="Q1628" s="3" t="str">
        <f t="shared" si="125"/>
        <v>low profit</v>
      </c>
    </row>
    <row r="1629" spans="1:17" x14ac:dyDescent="0.25">
      <c r="A1629" s="3" t="s">
        <v>372</v>
      </c>
      <c r="B1629" s="4">
        <v>45952</v>
      </c>
      <c r="C1629" s="3" t="s">
        <v>2017</v>
      </c>
      <c r="D1629" s="3" t="s">
        <v>2037</v>
      </c>
      <c r="E1629" s="3" t="s">
        <v>2055</v>
      </c>
      <c r="F1629" s="3" t="s">
        <v>2060</v>
      </c>
      <c r="G1629" s="3">
        <v>5</v>
      </c>
      <c r="H1629" s="3">
        <v>2500</v>
      </c>
      <c r="I1629" s="3">
        <v>2875</v>
      </c>
      <c r="J1629" s="3">
        <v>5.46</v>
      </c>
      <c r="K1629" s="3">
        <v>13589.86</v>
      </c>
      <c r="L1629" s="3">
        <v>1089.8599999999999</v>
      </c>
      <c r="M1629" s="3">
        <f t="shared" si="126"/>
        <v>78487.5</v>
      </c>
      <c r="N1629" s="3">
        <f t="shared" si="127"/>
        <v>12500</v>
      </c>
      <c r="O1629" s="3">
        <f t="shared" si="128"/>
        <v>8.0196558316274036</v>
      </c>
      <c r="P1629" s="3" t="str">
        <f t="shared" si="129"/>
        <v>Oct</v>
      </c>
      <c r="Q1629" s="3" t="str">
        <f t="shared" si="125"/>
        <v>low profit</v>
      </c>
    </row>
    <row r="1630" spans="1:17" x14ac:dyDescent="0.25">
      <c r="A1630" s="3" t="s">
        <v>526</v>
      </c>
      <c r="B1630" s="4">
        <v>45952</v>
      </c>
      <c r="C1630" s="3" t="s">
        <v>2020</v>
      </c>
      <c r="D1630" s="3" t="s">
        <v>2040</v>
      </c>
      <c r="E1630" s="3" t="s">
        <v>2053</v>
      </c>
      <c r="F1630" s="3" t="s">
        <v>2060</v>
      </c>
      <c r="G1630" s="3">
        <v>6</v>
      </c>
      <c r="H1630" s="3">
        <v>350</v>
      </c>
      <c r="I1630" s="3">
        <v>455</v>
      </c>
      <c r="J1630" s="3">
        <v>8.6</v>
      </c>
      <c r="K1630" s="3">
        <v>2495.16</v>
      </c>
      <c r="L1630" s="3">
        <v>395.16</v>
      </c>
      <c r="M1630" s="3">
        <f t="shared" si="126"/>
        <v>23478</v>
      </c>
      <c r="N1630" s="3">
        <f t="shared" si="127"/>
        <v>2100</v>
      </c>
      <c r="O1630" s="3">
        <f t="shared" si="128"/>
        <v>15.837060549223297</v>
      </c>
      <c r="P1630" s="3" t="str">
        <f t="shared" si="129"/>
        <v>Oct</v>
      </c>
      <c r="Q1630" s="3" t="str">
        <f t="shared" si="125"/>
        <v>good profit</v>
      </c>
    </row>
    <row r="1631" spans="1:17" x14ac:dyDescent="0.25">
      <c r="A1631" s="3" t="s">
        <v>955</v>
      </c>
      <c r="B1631" s="4">
        <v>45952</v>
      </c>
      <c r="C1631" s="3" t="s">
        <v>2018</v>
      </c>
      <c r="D1631" s="3" t="s">
        <v>2038</v>
      </c>
      <c r="E1631" s="3" t="s">
        <v>2053</v>
      </c>
      <c r="F1631" s="3" t="s">
        <v>2062</v>
      </c>
      <c r="G1631" s="3">
        <v>10</v>
      </c>
      <c r="H1631" s="3">
        <v>500</v>
      </c>
      <c r="I1631" s="3">
        <v>610</v>
      </c>
      <c r="J1631" s="3">
        <v>10.42</v>
      </c>
      <c r="K1631" s="3">
        <v>5464.27</v>
      </c>
      <c r="L1631" s="3">
        <v>464.27</v>
      </c>
      <c r="M1631" s="3">
        <f t="shared" si="126"/>
        <v>63562</v>
      </c>
      <c r="N1631" s="3">
        <f t="shared" si="127"/>
        <v>5000</v>
      </c>
      <c r="O1631" s="3">
        <f t="shared" si="128"/>
        <v>8.4964688787340279</v>
      </c>
      <c r="P1631" s="3" t="str">
        <f t="shared" si="129"/>
        <v>Oct</v>
      </c>
      <c r="Q1631" s="3" t="str">
        <f t="shared" si="125"/>
        <v>low profit</v>
      </c>
    </row>
    <row r="1632" spans="1:17" x14ac:dyDescent="0.25">
      <c r="A1632" s="3" t="s">
        <v>1334</v>
      </c>
      <c r="B1632" s="4">
        <v>45952</v>
      </c>
      <c r="C1632" s="3" t="s">
        <v>2025</v>
      </c>
      <c r="D1632" s="3" t="s">
        <v>2045</v>
      </c>
      <c r="E1632" s="3" t="s">
        <v>2057</v>
      </c>
      <c r="F1632" s="3" t="s">
        <v>2060</v>
      </c>
      <c r="G1632" s="3">
        <v>6</v>
      </c>
      <c r="H1632" s="3">
        <v>45</v>
      </c>
      <c r="I1632" s="3">
        <v>63</v>
      </c>
      <c r="J1632" s="3">
        <v>13</v>
      </c>
      <c r="K1632" s="3">
        <v>328.85</v>
      </c>
      <c r="L1632" s="3">
        <v>58.85</v>
      </c>
      <c r="M1632" s="3">
        <f t="shared" si="126"/>
        <v>4914</v>
      </c>
      <c r="N1632" s="3">
        <f t="shared" si="127"/>
        <v>270</v>
      </c>
      <c r="O1632" s="3">
        <f t="shared" si="128"/>
        <v>17.8956971263494</v>
      </c>
      <c r="P1632" s="3" t="str">
        <f t="shared" si="129"/>
        <v>Oct</v>
      </c>
      <c r="Q1632" s="3" t="str">
        <f t="shared" si="125"/>
        <v>good profit</v>
      </c>
    </row>
    <row r="1633" spans="1:17" x14ac:dyDescent="0.25">
      <c r="A1633" s="3" t="s">
        <v>1343</v>
      </c>
      <c r="B1633" s="4">
        <v>45952</v>
      </c>
      <c r="C1633" s="3" t="s">
        <v>2014</v>
      </c>
      <c r="D1633" s="3" t="s">
        <v>2034</v>
      </c>
      <c r="E1633" s="3" t="s">
        <v>2052</v>
      </c>
      <c r="F1633" s="3" t="s">
        <v>2062</v>
      </c>
      <c r="G1633" s="3">
        <v>4</v>
      </c>
      <c r="H1633" s="3">
        <v>4500</v>
      </c>
      <c r="I1633" s="3">
        <v>5220</v>
      </c>
      <c r="J1633" s="3">
        <v>17.649999999999999</v>
      </c>
      <c r="K1633" s="3">
        <v>17194.07</v>
      </c>
      <c r="L1633" s="3">
        <v>-805.93</v>
      </c>
      <c r="M1633" s="3">
        <f t="shared" si="126"/>
        <v>368531.99999999994</v>
      </c>
      <c r="N1633" s="3">
        <f t="shared" si="127"/>
        <v>18000</v>
      </c>
      <c r="O1633" s="3">
        <f t="shared" si="128"/>
        <v>-4.6872555479883466</v>
      </c>
      <c r="P1633" s="3" t="str">
        <f t="shared" si="129"/>
        <v>Oct</v>
      </c>
      <c r="Q1633" s="3" t="str">
        <f t="shared" si="125"/>
        <v>loss</v>
      </c>
    </row>
    <row r="1634" spans="1:17" x14ac:dyDescent="0.25">
      <c r="A1634" s="3" t="s">
        <v>1043</v>
      </c>
      <c r="B1634" s="4">
        <v>45953</v>
      </c>
      <c r="C1634" s="3" t="s">
        <v>2016</v>
      </c>
      <c r="D1634" s="3" t="s">
        <v>2036</v>
      </c>
      <c r="E1634" s="3" t="s">
        <v>2052</v>
      </c>
      <c r="F1634" s="3" t="s">
        <v>2062</v>
      </c>
      <c r="G1634" s="3">
        <v>2</v>
      </c>
      <c r="H1634" s="3">
        <v>900</v>
      </c>
      <c r="I1634" s="3">
        <v>1170</v>
      </c>
      <c r="J1634" s="3">
        <v>19.25</v>
      </c>
      <c r="K1634" s="3">
        <v>1889.57</v>
      </c>
      <c r="L1634" s="3">
        <v>89.57</v>
      </c>
      <c r="M1634" s="3">
        <f t="shared" si="126"/>
        <v>45045</v>
      </c>
      <c r="N1634" s="3">
        <f t="shared" si="127"/>
        <v>1800</v>
      </c>
      <c r="O1634" s="3">
        <f t="shared" si="128"/>
        <v>4.7402319046132186</v>
      </c>
      <c r="P1634" s="3" t="str">
        <f t="shared" si="129"/>
        <v>Oct</v>
      </c>
      <c r="Q1634" s="3" t="str">
        <f t="shared" si="125"/>
        <v>low profit</v>
      </c>
    </row>
    <row r="1635" spans="1:17" x14ac:dyDescent="0.25">
      <c r="A1635" s="3" t="s">
        <v>532</v>
      </c>
      <c r="B1635" s="4">
        <v>45954</v>
      </c>
      <c r="C1635" s="3" t="s">
        <v>2026</v>
      </c>
      <c r="D1635" s="3" t="s">
        <v>2046</v>
      </c>
      <c r="E1635" s="3" t="s">
        <v>2052</v>
      </c>
      <c r="F1635" s="3" t="s">
        <v>2062</v>
      </c>
      <c r="G1635" s="3">
        <v>1</v>
      </c>
      <c r="H1635" s="3">
        <v>3000</v>
      </c>
      <c r="I1635" s="3">
        <v>3600</v>
      </c>
      <c r="J1635" s="3">
        <v>22.63</v>
      </c>
      <c r="K1635" s="3">
        <v>2785.3</v>
      </c>
      <c r="L1635" s="3">
        <v>-214.7</v>
      </c>
      <c r="M1635" s="3">
        <f t="shared" si="126"/>
        <v>81468</v>
      </c>
      <c r="N1635" s="3">
        <f t="shared" si="127"/>
        <v>3000</v>
      </c>
      <c r="O1635" s="3">
        <f t="shared" si="128"/>
        <v>-7.7083258535884811</v>
      </c>
      <c r="P1635" s="3" t="str">
        <f t="shared" si="129"/>
        <v>Oct</v>
      </c>
      <c r="Q1635" s="3" t="str">
        <f t="shared" si="125"/>
        <v>loss</v>
      </c>
    </row>
    <row r="1636" spans="1:17" x14ac:dyDescent="0.25">
      <c r="A1636" s="3" t="s">
        <v>676</v>
      </c>
      <c r="B1636" s="4">
        <v>45954</v>
      </c>
      <c r="C1636" s="3" t="s">
        <v>2029</v>
      </c>
      <c r="D1636" s="3" t="s">
        <v>2049</v>
      </c>
      <c r="E1636" s="3" t="s">
        <v>2055</v>
      </c>
      <c r="F1636" s="3" t="s">
        <v>2060</v>
      </c>
      <c r="G1636" s="3">
        <v>9</v>
      </c>
      <c r="H1636" s="3">
        <v>1200</v>
      </c>
      <c r="I1636" s="3">
        <v>1464</v>
      </c>
      <c r="J1636" s="3">
        <v>14.23</v>
      </c>
      <c r="K1636" s="3">
        <v>11300.69</v>
      </c>
      <c r="L1636" s="3">
        <v>500.69</v>
      </c>
      <c r="M1636" s="3">
        <f t="shared" si="126"/>
        <v>187494.48</v>
      </c>
      <c r="N1636" s="3">
        <f t="shared" si="127"/>
        <v>10800</v>
      </c>
      <c r="O1636" s="3">
        <f t="shared" si="128"/>
        <v>4.4306144138101295</v>
      </c>
      <c r="P1636" s="3" t="str">
        <f t="shared" si="129"/>
        <v>Oct</v>
      </c>
      <c r="Q1636" s="3" t="str">
        <f t="shared" si="125"/>
        <v>low profit</v>
      </c>
    </row>
    <row r="1637" spans="1:17" x14ac:dyDescent="0.25">
      <c r="A1637" s="3" t="s">
        <v>1262</v>
      </c>
      <c r="B1637" s="4">
        <v>45955</v>
      </c>
      <c r="C1637" s="3" t="s">
        <v>2020</v>
      </c>
      <c r="D1637" s="3" t="s">
        <v>2040</v>
      </c>
      <c r="E1637" s="3" t="s">
        <v>2053</v>
      </c>
      <c r="F1637" s="3" t="s">
        <v>2062</v>
      </c>
      <c r="G1637" s="3">
        <v>6</v>
      </c>
      <c r="H1637" s="3">
        <v>350</v>
      </c>
      <c r="I1637" s="3">
        <v>455</v>
      </c>
      <c r="J1637" s="3">
        <v>2.96</v>
      </c>
      <c r="K1637" s="3">
        <v>2649.28</v>
      </c>
      <c r="L1637" s="3">
        <v>549.28</v>
      </c>
      <c r="M1637" s="3">
        <f t="shared" si="126"/>
        <v>8080.8</v>
      </c>
      <c r="N1637" s="3">
        <f t="shared" si="127"/>
        <v>2100</v>
      </c>
      <c r="O1637" s="3">
        <f t="shared" si="128"/>
        <v>20.733180335789346</v>
      </c>
      <c r="P1637" s="3" t="str">
        <f t="shared" si="129"/>
        <v>Oct</v>
      </c>
      <c r="Q1637" s="3" t="str">
        <f t="shared" si="125"/>
        <v>good profit</v>
      </c>
    </row>
    <row r="1638" spans="1:17" x14ac:dyDescent="0.25">
      <c r="A1638" s="3" t="s">
        <v>1444</v>
      </c>
      <c r="B1638" s="4">
        <v>45955</v>
      </c>
      <c r="C1638" s="3" t="s">
        <v>2012</v>
      </c>
      <c r="D1638" s="3" t="s">
        <v>2032</v>
      </c>
      <c r="E1638" s="3" t="s">
        <v>2052</v>
      </c>
      <c r="F1638" s="3" t="s">
        <v>2062</v>
      </c>
      <c r="G1638" s="3">
        <v>3</v>
      </c>
      <c r="H1638" s="3">
        <v>6500</v>
      </c>
      <c r="I1638" s="3">
        <v>8125</v>
      </c>
      <c r="J1638" s="3">
        <v>14.71</v>
      </c>
      <c r="K1638" s="3">
        <v>20788.55</v>
      </c>
      <c r="L1638" s="3">
        <v>1288.55</v>
      </c>
      <c r="M1638" s="3">
        <f t="shared" si="126"/>
        <v>358556.25</v>
      </c>
      <c r="N1638" s="3">
        <f t="shared" si="127"/>
        <v>19500</v>
      </c>
      <c r="O1638" s="3">
        <f t="shared" si="128"/>
        <v>6.1983640032614105</v>
      </c>
      <c r="P1638" s="3" t="str">
        <f t="shared" si="129"/>
        <v>Oct</v>
      </c>
      <c r="Q1638" s="3" t="str">
        <f t="shared" si="125"/>
        <v>low profit</v>
      </c>
    </row>
    <row r="1639" spans="1:17" x14ac:dyDescent="0.25">
      <c r="A1639" s="3" t="s">
        <v>1682</v>
      </c>
      <c r="B1639" s="4">
        <v>45956</v>
      </c>
      <c r="C1639" s="3" t="s">
        <v>2027</v>
      </c>
      <c r="D1639" s="3" t="s">
        <v>2047</v>
      </c>
      <c r="E1639" s="3" t="s">
        <v>2053</v>
      </c>
      <c r="F1639" s="3" t="s">
        <v>2062</v>
      </c>
      <c r="G1639" s="3">
        <v>4</v>
      </c>
      <c r="H1639" s="3">
        <v>1100</v>
      </c>
      <c r="I1639" s="3">
        <v>1298</v>
      </c>
      <c r="J1639" s="3">
        <v>7.41</v>
      </c>
      <c r="K1639" s="3">
        <v>4807.21</v>
      </c>
      <c r="L1639" s="3">
        <v>407.21</v>
      </c>
      <c r="M1639" s="3">
        <f t="shared" si="126"/>
        <v>38472.720000000001</v>
      </c>
      <c r="N1639" s="3">
        <f t="shared" si="127"/>
        <v>4400</v>
      </c>
      <c r="O1639" s="3">
        <f t="shared" si="128"/>
        <v>8.470817792440938</v>
      </c>
      <c r="P1639" s="3" t="str">
        <f t="shared" si="129"/>
        <v>Oct</v>
      </c>
      <c r="Q1639" s="3" t="str">
        <f t="shared" si="125"/>
        <v>low profit</v>
      </c>
    </row>
    <row r="1640" spans="1:17" x14ac:dyDescent="0.25">
      <c r="A1640" s="3" t="s">
        <v>16</v>
      </c>
      <c r="B1640" s="4">
        <v>45957</v>
      </c>
      <c r="C1640" s="3" t="s">
        <v>2016</v>
      </c>
      <c r="D1640" s="3" t="s">
        <v>2036</v>
      </c>
      <c r="E1640" s="3" t="s">
        <v>2052</v>
      </c>
      <c r="F1640" s="3" t="s">
        <v>2061</v>
      </c>
      <c r="G1640" s="3">
        <v>10</v>
      </c>
      <c r="H1640" s="3">
        <v>900</v>
      </c>
      <c r="I1640" s="3">
        <v>1170</v>
      </c>
      <c r="J1640" s="3">
        <v>5.75</v>
      </c>
      <c r="K1640" s="3">
        <v>11027.37</v>
      </c>
      <c r="L1640" s="3">
        <v>2027.37</v>
      </c>
      <c r="M1640" s="3">
        <f t="shared" si="126"/>
        <v>67275</v>
      </c>
      <c r="N1640" s="3">
        <f t="shared" si="127"/>
        <v>9000</v>
      </c>
      <c r="O1640" s="3">
        <f t="shared" si="128"/>
        <v>18.384891411098021</v>
      </c>
      <c r="P1640" s="3" t="str">
        <f t="shared" si="129"/>
        <v>Oct</v>
      </c>
      <c r="Q1640" s="3" t="str">
        <f t="shared" si="125"/>
        <v>good profit</v>
      </c>
    </row>
    <row r="1641" spans="1:17" x14ac:dyDescent="0.25">
      <c r="A1641" s="3" t="s">
        <v>1162</v>
      </c>
      <c r="B1641" s="4">
        <v>45957</v>
      </c>
      <c r="C1641" s="3" t="s">
        <v>2024</v>
      </c>
      <c r="D1641" s="3" t="s">
        <v>2044</v>
      </c>
      <c r="E1641" s="3" t="s">
        <v>2055</v>
      </c>
      <c r="F1641" s="3" t="s">
        <v>2060</v>
      </c>
      <c r="G1641" s="3">
        <v>4</v>
      </c>
      <c r="H1641" s="3">
        <v>180</v>
      </c>
      <c r="I1641" s="3">
        <v>243</v>
      </c>
      <c r="J1641" s="3">
        <v>0</v>
      </c>
      <c r="K1641" s="3">
        <v>972</v>
      </c>
      <c r="L1641" s="3">
        <v>252</v>
      </c>
      <c r="M1641" s="3">
        <f t="shared" si="126"/>
        <v>0</v>
      </c>
      <c r="N1641" s="3">
        <f t="shared" si="127"/>
        <v>720</v>
      </c>
      <c r="O1641" s="3">
        <f t="shared" si="128"/>
        <v>25.925925925925924</v>
      </c>
      <c r="P1641" s="3" t="str">
        <f t="shared" si="129"/>
        <v>Oct</v>
      </c>
      <c r="Q1641" s="3" t="str">
        <f t="shared" si="125"/>
        <v>good profit</v>
      </c>
    </row>
    <row r="1642" spans="1:17" x14ac:dyDescent="0.25">
      <c r="A1642" s="3" t="s">
        <v>481</v>
      </c>
      <c r="B1642" s="4">
        <v>45958</v>
      </c>
      <c r="C1642" s="3" t="s">
        <v>2031</v>
      </c>
      <c r="D1642" s="3" t="s">
        <v>2051</v>
      </c>
      <c r="E1642" s="3" t="s">
        <v>2058</v>
      </c>
      <c r="F1642" s="3" t="s">
        <v>2060</v>
      </c>
      <c r="G1642" s="3">
        <v>4</v>
      </c>
      <c r="H1642" s="3">
        <v>3200</v>
      </c>
      <c r="I1642" s="3">
        <v>3840</v>
      </c>
      <c r="J1642" s="3">
        <v>12.75</v>
      </c>
      <c r="K1642" s="3">
        <v>13401.91</v>
      </c>
      <c r="L1642" s="3">
        <v>601.91</v>
      </c>
      <c r="M1642" s="3">
        <f t="shared" si="126"/>
        <v>195840</v>
      </c>
      <c r="N1642" s="3">
        <f t="shared" si="127"/>
        <v>12800</v>
      </c>
      <c r="O1642" s="3">
        <f t="shared" si="128"/>
        <v>4.491225504424369</v>
      </c>
      <c r="P1642" s="3" t="str">
        <f t="shared" si="129"/>
        <v>Oct</v>
      </c>
      <c r="Q1642" s="3" t="str">
        <f t="shared" si="125"/>
        <v>low profit</v>
      </c>
    </row>
    <row r="1643" spans="1:17" x14ac:dyDescent="0.25">
      <c r="A1643" s="3" t="s">
        <v>560</v>
      </c>
      <c r="B1643" s="4">
        <v>45958</v>
      </c>
      <c r="C1643" s="3" t="s">
        <v>2023</v>
      </c>
      <c r="D1643" s="3" t="s">
        <v>2043</v>
      </c>
      <c r="E1643" s="3" t="s">
        <v>2053</v>
      </c>
      <c r="F1643" s="3" t="s">
        <v>2059</v>
      </c>
      <c r="G1643" s="3">
        <v>7</v>
      </c>
      <c r="H1643" s="3">
        <v>550</v>
      </c>
      <c r="I1643" s="3">
        <v>742.5</v>
      </c>
      <c r="J1643" s="3">
        <v>4.0999999999999996</v>
      </c>
      <c r="K1643" s="3">
        <v>4984.38</v>
      </c>
      <c r="L1643" s="3">
        <v>1134.3800000000001</v>
      </c>
      <c r="M1643" s="3">
        <f t="shared" si="126"/>
        <v>21309.749999999996</v>
      </c>
      <c r="N1643" s="3">
        <f t="shared" si="127"/>
        <v>3850</v>
      </c>
      <c r="O1643" s="3">
        <f t="shared" si="128"/>
        <v>22.758698173092743</v>
      </c>
      <c r="P1643" s="3" t="str">
        <f t="shared" si="129"/>
        <v>Oct</v>
      </c>
      <c r="Q1643" s="3" t="str">
        <f t="shared" si="125"/>
        <v>good profit</v>
      </c>
    </row>
    <row r="1644" spans="1:17" x14ac:dyDescent="0.25">
      <c r="A1644" s="3" t="s">
        <v>891</v>
      </c>
      <c r="B1644" s="4">
        <v>45958</v>
      </c>
      <c r="C1644" s="3" t="s">
        <v>2031</v>
      </c>
      <c r="D1644" s="3" t="s">
        <v>2051</v>
      </c>
      <c r="E1644" s="3" t="s">
        <v>2058</v>
      </c>
      <c r="F1644" s="3" t="s">
        <v>2061</v>
      </c>
      <c r="G1644" s="3">
        <v>6</v>
      </c>
      <c r="H1644" s="3">
        <v>3200</v>
      </c>
      <c r="I1644" s="3">
        <v>3840</v>
      </c>
      <c r="J1644" s="3">
        <v>12.95</v>
      </c>
      <c r="K1644" s="3">
        <v>20057.419999999998</v>
      </c>
      <c r="L1644" s="3">
        <v>857.42</v>
      </c>
      <c r="M1644" s="3">
        <f t="shared" si="126"/>
        <v>298368</v>
      </c>
      <c r="N1644" s="3">
        <f t="shared" si="127"/>
        <v>19200</v>
      </c>
      <c r="O1644" s="3">
        <f t="shared" si="128"/>
        <v>4.2748269717640657</v>
      </c>
      <c r="P1644" s="3" t="str">
        <f t="shared" si="129"/>
        <v>Oct</v>
      </c>
      <c r="Q1644" s="3" t="str">
        <f t="shared" si="125"/>
        <v>low profit</v>
      </c>
    </row>
    <row r="1645" spans="1:17" x14ac:dyDescent="0.25">
      <c r="A1645" s="3" t="s">
        <v>993</v>
      </c>
      <c r="B1645" s="4">
        <v>45958</v>
      </c>
      <c r="C1645" s="3" t="s">
        <v>2030</v>
      </c>
      <c r="D1645" s="3" t="s">
        <v>2050</v>
      </c>
      <c r="E1645" s="3" t="s">
        <v>2058</v>
      </c>
      <c r="F1645" s="3" t="s">
        <v>2062</v>
      </c>
      <c r="G1645" s="3">
        <v>2</v>
      </c>
      <c r="H1645" s="3">
        <v>1800</v>
      </c>
      <c r="I1645" s="3">
        <v>2124</v>
      </c>
      <c r="J1645" s="3">
        <v>4</v>
      </c>
      <c r="K1645" s="3">
        <v>4078.08</v>
      </c>
      <c r="L1645" s="3">
        <v>478.08</v>
      </c>
      <c r="M1645" s="3">
        <f t="shared" si="126"/>
        <v>16992</v>
      </c>
      <c r="N1645" s="3">
        <f t="shared" si="127"/>
        <v>3600</v>
      </c>
      <c r="O1645" s="3">
        <f t="shared" si="128"/>
        <v>11.72316384180791</v>
      </c>
      <c r="P1645" s="3" t="str">
        <f t="shared" si="129"/>
        <v>Oct</v>
      </c>
      <c r="Q1645" s="3" t="str">
        <f t="shared" si="125"/>
        <v>good profit</v>
      </c>
    </row>
    <row r="1646" spans="1:17" x14ac:dyDescent="0.25">
      <c r="A1646" s="3" t="s">
        <v>1050</v>
      </c>
      <c r="B1646" s="4">
        <v>45958</v>
      </c>
      <c r="C1646" s="3" t="s">
        <v>2029</v>
      </c>
      <c r="D1646" s="3" t="s">
        <v>2049</v>
      </c>
      <c r="E1646" s="3" t="s">
        <v>2055</v>
      </c>
      <c r="F1646" s="3" t="s">
        <v>2062</v>
      </c>
      <c r="G1646" s="3">
        <v>6</v>
      </c>
      <c r="H1646" s="3">
        <v>1200</v>
      </c>
      <c r="I1646" s="3">
        <v>1464</v>
      </c>
      <c r="J1646" s="3">
        <v>0</v>
      </c>
      <c r="K1646" s="3">
        <v>8784</v>
      </c>
      <c r="L1646" s="3">
        <v>1584</v>
      </c>
      <c r="M1646" s="3">
        <f t="shared" si="126"/>
        <v>0</v>
      </c>
      <c r="N1646" s="3">
        <f t="shared" si="127"/>
        <v>7200</v>
      </c>
      <c r="O1646" s="3">
        <f t="shared" si="128"/>
        <v>18.032786885245901</v>
      </c>
      <c r="P1646" s="3" t="str">
        <f t="shared" si="129"/>
        <v>Oct</v>
      </c>
      <c r="Q1646" s="3" t="str">
        <f t="shared" si="125"/>
        <v>good profit</v>
      </c>
    </row>
    <row r="1647" spans="1:17" x14ac:dyDescent="0.25">
      <c r="A1647" s="3" t="s">
        <v>1595</v>
      </c>
      <c r="B1647" s="4">
        <v>45958</v>
      </c>
      <c r="C1647" s="3" t="s">
        <v>2022</v>
      </c>
      <c r="D1647" s="3" t="s">
        <v>2042</v>
      </c>
      <c r="E1647" s="3" t="s">
        <v>2053</v>
      </c>
      <c r="F1647" s="3" t="s">
        <v>2061</v>
      </c>
      <c r="G1647" s="3">
        <v>5</v>
      </c>
      <c r="H1647" s="3">
        <v>8500</v>
      </c>
      <c r="I1647" s="3">
        <v>9520</v>
      </c>
      <c r="J1647" s="3">
        <v>18.52</v>
      </c>
      <c r="K1647" s="3">
        <v>38784.76</v>
      </c>
      <c r="L1647" s="3">
        <v>-3715.24</v>
      </c>
      <c r="M1647" s="3">
        <f t="shared" si="126"/>
        <v>881552</v>
      </c>
      <c r="N1647" s="3">
        <f t="shared" si="127"/>
        <v>42500</v>
      </c>
      <c r="O1647" s="3">
        <f t="shared" si="128"/>
        <v>-9.5791233463865701</v>
      </c>
      <c r="P1647" s="3" t="str">
        <f t="shared" si="129"/>
        <v>Oct</v>
      </c>
      <c r="Q1647" s="3" t="str">
        <f t="shared" si="125"/>
        <v>loss</v>
      </c>
    </row>
    <row r="1648" spans="1:17" x14ac:dyDescent="0.25">
      <c r="A1648" s="3" t="s">
        <v>336</v>
      </c>
      <c r="B1648" s="4">
        <v>45959</v>
      </c>
      <c r="C1648" s="3" t="s">
        <v>2023</v>
      </c>
      <c r="D1648" s="3" t="s">
        <v>2043</v>
      </c>
      <c r="E1648" s="3" t="s">
        <v>2053</v>
      </c>
      <c r="F1648" s="3" t="s">
        <v>2059</v>
      </c>
      <c r="G1648" s="3">
        <v>8</v>
      </c>
      <c r="H1648" s="3">
        <v>550</v>
      </c>
      <c r="I1648" s="3">
        <v>742.5</v>
      </c>
      <c r="J1648" s="3">
        <v>0</v>
      </c>
      <c r="K1648" s="3">
        <v>5940</v>
      </c>
      <c r="L1648" s="3">
        <v>1540</v>
      </c>
      <c r="M1648" s="3">
        <f t="shared" si="126"/>
        <v>0</v>
      </c>
      <c r="N1648" s="3">
        <f t="shared" si="127"/>
        <v>4400</v>
      </c>
      <c r="O1648" s="3">
        <f t="shared" si="128"/>
        <v>25.925925925925924</v>
      </c>
      <c r="P1648" s="3" t="str">
        <f t="shared" si="129"/>
        <v>Oct</v>
      </c>
      <c r="Q1648" s="3" t="str">
        <f t="shared" si="125"/>
        <v>good profit</v>
      </c>
    </row>
    <row r="1649" spans="1:17" x14ac:dyDescent="0.25">
      <c r="A1649" s="3" t="s">
        <v>393</v>
      </c>
      <c r="B1649" s="4">
        <v>45959</v>
      </c>
      <c r="C1649" s="3" t="s">
        <v>2027</v>
      </c>
      <c r="D1649" s="3" t="s">
        <v>2047</v>
      </c>
      <c r="E1649" s="3" t="s">
        <v>2053</v>
      </c>
      <c r="F1649" s="3" t="s">
        <v>2059</v>
      </c>
      <c r="G1649" s="3">
        <v>9</v>
      </c>
      <c r="H1649" s="3">
        <v>1100</v>
      </c>
      <c r="I1649" s="3">
        <v>1298</v>
      </c>
      <c r="J1649" s="3">
        <v>11.16</v>
      </c>
      <c r="K1649" s="3">
        <v>10377.86</v>
      </c>
      <c r="L1649" s="3">
        <v>477.86</v>
      </c>
      <c r="M1649" s="3">
        <f t="shared" si="126"/>
        <v>130371.12</v>
      </c>
      <c r="N1649" s="3">
        <f t="shared" si="127"/>
        <v>9900</v>
      </c>
      <c r="O1649" s="3">
        <f t="shared" si="128"/>
        <v>4.6046101990198363</v>
      </c>
      <c r="P1649" s="3" t="str">
        <f t="shared" si="129"/>
        <v>Oct</v>
      </c>
      <c r="Q1649" s="3" t="str">
        <f t="shared" si="125"/>
        <v>low profit</v>
      </c>
    </row>
    <row r="1650" spans="1:17" x14ac:dyDescent="0.25">
      <c r="A1650" s="3" t="s">
        <v>512</v>
      </c>
      <c r="B1650" s="4">
        <v>45959</v>
      </c>
      <c r="C1650" s="3" t="s">
        <v>2014</v>
      </c>
      <c r="D1650" s="3" t="s">
        <v>2034</v>
      </c>
      <c r="E1650" s="3" t="s">
        <v>2052</v>
      </c>
      <c r="F1650" s="3" t="s">
        <v>2062</v>
      </c>
      <c r="G1650" s="3">
        <v>7</v>
      </c>
      <c r="H1650" s="3">
        <v>4500</v>
      </c>
      <c r="I1650" s="3">
        <v>5220</v>
      </c>
      <c r="J1650" s="3">
        <v>13.5</v>
      </c>
      <c r="K1650" s="3">
        <v>31607.01</v>
      </c>
      <c r="L1650" s="3">
        <v>107.01</v>
      </c>
      <c r="M1650" s="3">
        <f t="shared" si="126"/>
        <v>493290</v>
      </c>
      <c r="N1650" s="3">
        <f t="shared" si="127"/>
        <v>31500</v>
      </c>
      <c r="O1650" s="3">
        <f t="shared" si="128"/>
        <v>0.33856413498144877</v>
      </c>
      <c r="P1650" s="3" t="str">
        <f t="shared" si="129"/>
        <v>Oct</v>
      </c>
      <c r="Q1650" s="3" t="str">
        <f t="shared" si="125"/>
        <v>low profit</v>
      </c>
    </row>
    <row r="1651" spans="1:17" x14ac:dyDescent="0.25">
      <c r="A1651" s="3" t="s">
        <v>709</v>
      </c>
      <c r="B1651" s="4">
        <v>45959</v>
      </c>
      <c r="C1651" s="3" t="s">
        <v>2026</v>
      </c>
      <c r="D1651" s="3" t="s">
        <v>2046</v>
      </c>
      <c r="E1651" s="3" t="s">
        <v>2052</v>
      </c>
      <c r="F1651" s="3" t="s">
        <v>2060</v>
      </c>
      <c r="G1651" s="3">
        <v>7</v>
      </c>
      <c r="H1651" s="3">
        <v>3000</v>
      </c>
      <c r="I1651" s="3">
        <v>3600</v>
      </c>
      <c r="J1651" s="3">
        <v>17.36</v>
      </c>
      <c r="K1651" s="3">
        <v>20825.189999999999</v>
      </c>
      <c r="L1651" s="3">
        <v>-174.81</v>
      </c>
      <c r="M1651" s="3">
        <f t="shared" si="126"/>
        <v>437472</v>
      </c>
      <c r="N1651" s="3">
        <f t="shared" si="127"/>
        <v>21000</v>
      </c>
      <c r="O1651" s="3">
        <f t="shared" si="128"/>
        <v>-0.83941611096945579</v>
      </c>
      <c r="P1651" s="3" t="str">
        <f t="shared" si="129"/>
        <v>Oct</v>
      </c>
      <c r="Q1651" s="3" t="str">
        <f t="shared" si="125"/>
        <v>loss</v>
      </c>
    </row>
    <row r="1652" spans="1:17" x14ac:dyDescent="0.25">
      <c r="A1652" s="3" t="s">
        <v>795</v>
      </c>
      <c r="B1652" s="4">
        <v>45959</v>
      </c>
      <c r="C1652" s="3" t="s">
        <v>2031</v>
      </c>
      <c r="D1652" s="3" t="s">
        <v>2051</v>
      </c>
      <c r="E1652" s="3" t="s">
        <v>2058</v>
      </c>
      <c r="F1652" s="3" t="s">
        <v>2059</v>
      </c>
      <c r="G1652" s="3">
        <v>8</v>
      </c>
      <c r="H1652" s="3">
        <v>3200</v>
      </c>
      <c r="I1652" s="3">
        <v>3840</v>
      </c>
      <c r="J1652" s="3">
        <v>15.23</v>
      </c>
      <c r="K1652" s="3">
        <v>26041.55</v>
      </c>
      <c r="L1652" s="3">
        <v>441.55</v>
      </c>
      <c r="M1652" s="3">
        <f t="shared" si="126"/>
        <v>467865.60000000003</v>
      </c>
      <c r="N1652" s="3">
        <f t="shared" si="127"/>
        <v>25600</v>
      </c>
      <c r="O1652" s="3">
        <f t="shared" si="128"/>
        <v>1.6955595961069907</v>
      </c>
      <c r="P1652" s="3" t="str">
        <f t="shared" si="129"/>
        <v>Oct</v>
      </c>
      <c r="Q1652" s="3" t="str">
        <f t="shared" si="125"/>
        <v>low profit</v>
      </c>
    </row>
    <row r="1653" spans="1:17" x14ac:dyDescent="0.25">
      <c r="A1653" s="3" t="s">
        <v>949</v>
      </c>
      <c r="B1653" s="4">
        <v>45959</v>
      </c>
      <c r="C1653" s="3" t="s">
        <v>2021</v>
      </c>
      <c r="D1653" s="3" t="s">
        <v>2041</v>
      </c>
      <c r="E1653" s="3" t="s">
        <v>2056</v>
      </c>
      <c r="F1653" s="3" t="s">
        <v>2060</v>
      </c>
      <c r="G1653" s="3">
        <v>6</v>
      </c>
      <c r="H1653" s="3">
        <v>300</v>
      </c>
      <c r="I1653" s="3">
        <v>405</v>
      </c>
      <c r="J1653" s="3">
        <v>2.5499999999999998</v>
      </c>
      <c r="K1653" s="3">
        <v>2368.15</v>
      </c>
      <c r="L1653" s="3">
        <v>568.15</v>
      </c>
      <c r="M1653" s="3">
        <f t="shared" si="126"/>
        <v>6196.5</v>
      </c>
      <c r="N1653" s="3">
        <f t="shared" si="127"/>
        <v>1800</v>
      </c>
      <c r="O1653" s="3">
        <f t="shared" si="128"/>
        <v>23.991301226695942</v>
      </c>
      <c r="P1653" s="3" t="str">
        <f t="shared" si="129"/>
        <v>Oct</v>
      </c>
      <c r="Q1653" s="3" t="str">
        <f t="shared" si="125"/>
        <v>good profit</v>
      </c>
    </row>
    <row r="1654" spans="1:17" x14ac:dyDescent="0.25">
      <c r="A1654" s="3" t="s">
        <v>1636</v>
      </c>
      <c r="B1654" s="4">
        <v>45959</v>
      </c>
      <c r="C1654" s="3" t="s">
        <v>2019</v>
      </c>
      <c r="D1654" s="3" t="s">
        <v>2039</v>
      </c>
      <c r="E1654" s="3" t="s">
        <v>2053</v>
      </c>
      <c r="F1654" s="3" t="s">
        <v>2062</v>
      </c>
      <c r="G1654" s="3">
        <v>7</v>
      </c>
      <c r="H1654" s="3">
        <v>900</v>
      </c>
      <c r="I1654" s="3">
        <v>1152</v>
      </c>
      <c r="J1654" s="3">
        <v>8.98</v>
      </c>
      <c r="K1654" s="3">
        <v>7339.58</v>
      </c>
      <c r="L1654" s="3">
        <v>1039.58</v>
      </c>
      <c r="M1654" s="3">
        <f t="shared" si="126"/>
        <v>72414.720000000001</v>
      </c>
      <c r="N1654" s="3">
        <f t="shared" si="127"/>
        <v>6300</v>
      </c>
      <c r="O1654" s="3">
        <f t="shared" si="128"/>
        <v>14.16402573444257</v>
      </c>
      <c r="P1654" s="3" t="str">
        <f t="shared" si="129"/>
        <v>Oct</v>
      </c>
      <c r="Q1654" s="3" t="str">
        <f t="shared" si="125"/>
        <v>good profit</v>
      </c>
    </row>
    <row r="1655" spans="1:17" x14ac:dyDescent="0.25">
      <c r="A1655" s="3" t="s">
        <v>20</v>
      </c>
      <c r="B1655" s="4">
        <v>45960</v>
      </c>
      <c r="C1655" s="3" t="s">
        <v>2015</v>
      </c>
      <c r="D1655" s="3" t="s">
        <v>2035</v>
      </c>
      <c r="E1655" s="3" t="s">
        <v>2054</v>
      </c>
      <c r="F1655" s="3" t="s">
        <v>2060</v>
      </c>
      <c r="G1655" s="3">
        <v>2</v>
      </c>
      <c r="H1655" s="3">
        <v>900</v>
      </c>
      <c r="I1655" s="3">
        <v>1170</v>
      </c>
      <c r="J1655" s="3">
        <v>0</v>
      </c>
      <c r="K1655" s="3">
        <v>2340</v>
      </c>
      <c r="L1655" s="3">
        <v>540</v>
      </c>
      <c r="M1655" s="3">
        <f t="shared" si="126"/>
        <v>0</v>
      </c>
      <c r="N1655" s="3">
        <f t="shared" si="127"/>
        <v>1800</v>
      </c>
      <c r="O1655" s="3">
        <f t="shared" si="128"/>
        <v>23.076923076923077</v>
      </c>
      <c r="P1655" s="3" t="str">
        <f t="shared" si="129"/>
        <v>Oct</v>
      </c>
      <c r="Q1655" s="3" t="str">
        <f t="shared" si="125"/>
        <v>good profit</v>
      </c>
    </row>
    <row r="1656" spans="1:17" x14ac:dyDescent="0.25">
      <c r="A1656" s="3" t="s">
        <v>478</v>
      </c>
      <c r="B1656" s="4">
        <v>45960</v>
      </c>
      <c r="C1656" s="3" t="s">
        <v>2024</v>
      </c>
      <c r="D1656" s="3" t="s">
        <v>2044</v>
      </c>
      <c r="E1656" s="3" t="s">
        <v>2055</v>
      </c>
      <c r="F1656" s="3" t="s">
        <v>2060</v>
      </c>
      <c r="G1656" s="3">
        <v>10</v>
      </c>
      <c r="H1656" s="3">
        <v>180</v>
      </c>
      <c r="I1656" s="3">
        <v>243</v>
      </c>
      <c r="J1656" s="3">
        <v>15.56</v>
      </c>
      <c r="K1656" s="3">
        <v>2051.81</v>
      </c>
      <c r="L1656" s="3">
        <v>251.81</v>
      </c>
      <c r="M1656" s="3">
        <f t="shared" si="126"/>
        <v>37810.800000000003</v>
      </c>
      <c r="N1656" s="3">
        <f t="shared" si="127"/>
        <v>1800</v>
      </c>
      <c r="O1656" s="3">
        <f t="shared" si="128"/>
        <v>12.272578845019764</v>
      </c>
      <c r="P1656" s="3" t="str">
        <f t="shared" si="129"/>
        <v>Oct</v>
      </c>
      <c r="Q1656" s="3" t="str">
        <f t="shared" si="125"/>
        <v>good profit</v>
      </c>
    </row>
    <row r="1657" spans="1:17" x14ac:dyDescent="0.25">
      <c r="A1657" s="3" t="s">
        <v>787</v>
      </c>
      <c r="B1657" s="4">
        <v>45960</v>
      </c>
      <c r="C1657" s="3" t="s">
        <v>2021</v>
      </c>
      <c r="D1657" s="3" t="s">
        <v>2041</v>
      </c>
      <c r="E1657" s="3" t="s">
        <v>2056</v>
      </c>
      <c r="F1657" s="3" t="s">
        <v>2059</v>
      </c>
      <c r="G1657" s="3">
        <v>5</v>
      </c>
      <c r="H1657" s="3">
        <v>300</v>
      </c>
      <c r="I1657" s="3">
        <v>405</v>
      </c>
      <c r="J1657" s="3">
        <v>14.65</v>
      </c>
      <c r="K1657" s="3">
        <v>1728.27</v>
      </c>
      <c r="L1657" s="3">
        <v>228.27</v>
      </c>
      <c r="M1657" s="3">
        <f t="shared" si="126"/>
        <v>29666.25</v>
      </c>
      <c r="N1657" s="3">
        <f t="shared" si="127"/>
        <v>1500</v>
      </c>
      <c r="O1657" s="3">
        <f t="shared" si="128"/>
        <v>13.208005693554828</v>
      </c>
      <c r="P1657" s="3" t="str">
        <f t="shared" si="129"/>
        <v>Oct</v>
      </c>
      <c r="Q1657" s="3" t="str">
        <f t="shared" si="125"/>
        <v>good profit</v>
      </c>
    </row>
    <row r="1658" spans="1:17" x14ac:dyDescent="0.25">
      <c r="A1658" s="3" t="s">
        <v>1275</v>
      </c>
      <c r="B1658" s="4">
        <v>45960</v>
      </c>
      <c r="C1658" s="3" t="s">
        <v>2026</v>
      </c>
      <c r="D1658" s="3" t="s">
        <v>2046</v>
      </c>
      <c r="E1658" s="3" t="s">
        <v>2052</v>
      </c>
      <c r="F1658" s="3" t="s">
        <v>2062</v>
      </c>
      <c r="G1658" s="3">
        <v>9</v>
      </c>
      <c r="H1658" s="3">
        <v>3000</v>
      </c>
      <c r="I1658" s="3">
        <v>3600</v>
      </c>
      <c r="J1658" s="3">
        <v>5.56</v>
      </c>
      <c r="K1658" s="3">
        <v>30600.12</v>
      </c>
      <c r="L1658" s="3">
        <v>3600.12</v>
      </c>
      <c r="M1658" s="3">
        <f t="shared" si="126"/>
        <v>180144</v>
      </c>
      <c r="N1658" s="3">
        <f t="shared" si="127"/>
        <v>27000</v>
      </c>
      <c r="O1658" s="3">
        <f t="shared" si="128"/>
        <v>11.765051901757248</v>
      </c>
      <c r="P1658" s="3" t="str">
        <f t="shared" si="129"/>
        <v>Oct</v>
      </c>
      <c r="Q1658" s="3" t="str">
        <f t="shared" si="125"/>
        <v>good profit</v>
      </c>
    </row>
    <row r="1659" spans="1:17" x14ac:dyDescent="0.25">
      <c r="A1659" s="3" t="s">
        <v>1451</v>
      </c>
      <c r="B1659" s="4">
        <v>45960</v>
      </c>
      <c r="C1659" s="3" t="s">
        <v>2013</v>
      </c>
      <c r="D1659" s="3" t="s">
        <v>2033</v>
      </c>
      <c r="E1659" s="3" t="s">
        <v>2053</v>
      </c>
      <c r="F1659" s="3" t="s">
        <v>2061</v>
      </c>
      <c r="G1659" s="3">
        <v>6</v>
      </c>
      <c r="H1659" s="3">
        <v>6500</v>
      </c>
      <c r="I1659" s="3">
        <v>7150</v>
      </c>
      <c r="J1659" s="3">
        <v>4.8600000000000003</v>
      </c>
      <c r="K1659" s="3">
        <v>40813.54</v>
      </c>
      <c r="L1659" s="3">
        <v>1813.54</v>
      </c>
      <c r="M1659" s="3">
        <f t="shared" si="126"/>
        <v>208494</v>
      </c>
      <c r="N1659" s="3">
        <f t="shared" si="127"/>
        <v>39000</v>
      </c>
      <c r="O1659" s="3">
        <f t="shared" si="128"/>
        <v>4.4434763561308328</v>
      </c>
      <c r="P1659" s="3" t="str">
        <f t="shared" si="129"/>
        <v>Oct</v>
      </c>
      <c r="Q1659" s="3" t="str">
        <f t="shared" si="125"/>
        <v>low profit</v>
      </c>
    </row>
    <row r="1660" spans="1:17" x14ac:dyDescent="0.25">
      <c r="A1660" s="3" t="s">
        <v>1498</v>
      </c>
      <c r="B1660" s="4">
        <v>45960</v>
      </c>
      <c r="C1660" s="3" t="s">
        <v>2026</v>
      </c>
      <c r="D1660" s="3" t="s">
        <v>2046</v>
      </c>
      <c r="E1660" s="3" t="s">
        <v>2052</v>
      </c>
      <c r="F1660" s="3" t="s">
        <v>2060</v>
      </c>
      <c r="G1660" s="3">
        <v>7</v>
      </c>
      <c r="H1660" s="3">
        <v>3000</v>
      </c>
      <c r="I1660" s="3">
        <v>3600</v>
      </c>
      <c r="J1660" s="3">
        <v>5.0199999999999996</v>
      </c>
      <c r="K1660" s="3">
        <v>23936.09</v>
      </c>
      <c r="L1660" s="3">
        <v>2936.09</v>
      </c>
      <c r="M1660" s="3">
        <f t="shared" si="126"/>
        <v>126503.99999999999</v>
      </c>
      <c r="N1660" s="3">
        <f t="shared" si="127"/>
        <v>21000</v>
      </c>
      <c r="O1660" s="3">
        <f t="shared" si="128"/>
        <v>12.266372661533275</v>
      </c>
      <c r="P1660" s="3" t="str">
        <f t="shared" si="129"/>
        <v>Oct</v>
      </c>
      <c r="Q1660" s="3" t="str">
        <f t="shared" si="125"/>
        <v>good profit</v>
      </c>
    </row>
    <row r="1661" spans="1:17" x14ac:dyDescent="0.25">
      <c r="A1661" s="3" t="s">
        <v>1785</v>
      </c>
      <c r="B1661" s="4">
        <v>45960</v>
      </c>
      <c r="C1661" s="3" t="s">
        <v>2016</v>
      </c>
      <c r="D1661" s="3" t="s">
        <v>2036</v>
      </c>
      <c r="E1661" s="3" t="s">
        <v>2052</v>
      </c>
      <c r="F1661" s="3" t="s">
        <v>2062</v>
      </c>
      <c r="G1661" s="3">
        <v>7</v>
      </c>
      <c r="H1661" s="3">
        <v>900</v>
      </c>
      <c r="I1661" s="3">
        <v>1170</v>
      </c>
      <c r="J1661" s="3">
        <v>8.06</v>
      </c>
      <c r="K1661" s="3">
        <v>7529.53</v>
      </c>
      <c r="L1661" s="3">
        <v>1229.53</v>
      </c>
      <c r="M1661" s="3">
        <f t="shared" si="126"/>
        <v>66011.400000000009</v>
      </c>
      <c r="N1661" s="3">
        <f t="shared" si="127"/>
        <v>6300</v>
      </c>
      <c r="O1661" s="3">
        <f t="shared" si="128"/>
        <v>16.329438889279942</v>
      </c>
      <c r="P1661" s="3" t="str">
        <f t="shared" si="129"/>
        <v>Oct</v>
      </c>
      <c r="Q1661" s="3" t="str">
        <f t="shared" si="125"/>
        <v>good profit</v>
      </c>
    </row>
    <row r="1662" spans="1:17" x14ac:dyDescent="0.25">
      <c r="A1662" s="3" t="s">
        <v>1843</v>
      </c>
      <c r="B1662" s="4">
        <v>45960</v>
      </c>
      <c r="C1662" s="3" t="s">
        <v>2019</v>
      </c>
      <c r="D1662" s="3" t="s">
        <v>2039</v>
      </c>
      <c r="E1662" s="3" t="s">
        <v>2053</v>
      </c>
      <c r="F1662" s="3" t="s">
        <v>2061</v>
      </c>
      <c r="G1662" s="3">
        <v>4</v>
      </c>
      <c r="H1662" s="3">
        <v>900</v>
      </c>
      <c r="I1662" s="3">
        <v>1152</v>
      </c>
      <c r="J1662" s="3">
        <v>2.75</v>
      </c>
      <c r="K1662" s="3">
        <v>4481.4799999999996</v>
      </c>
      <c r="L1662" s="3">
        <v>881.48</v>
      </c>
      <c r="M1662" s="3">
        <f t="shared" si="126"/>
        <v>12672</v>
      </c>
      <c r="N1662" s="3">
        <f t="shared" si="127"/>
        <v>3600</v>
      </c>
      <c r="O1662" s="3">
        <f t="shared" si="128"/>
        <v>19.669394932031384</v>
      </c>
      <c r="P1662" s="3" t="str">
        <f t="shared" si="129"/>
        <v>Oct</v>
      </c>
      <c r="Q1662" s="3" t="str">
        <f t="shared" si="125"/>
        <v>good profit</v>
      </c>
    </row>
    <row r="1663" spans="1:17" x14ac:dyDescent="0.25">
      <c r="A1663" s="3" t="s">
        <v>881</v>
      </c>
      <c r="B1663" s="4">
        <v>45961</v>
      </c>
      <c r="C1663" s="3" t="s">
        <v>2015</v>
      </c>
      <c r="D1663" s="3" t="s">
        <v>2035</v>
      </c>
      <c r="E1663" s="3" t="s">
        <v>2054</v>
      </c>
      <c r="F1663" s="3" t="s">
        <v>2059</v>
      </c>
      <c r="G1663" s="3">
        <v>10</v>
      </c>
      <c r="H1663" s="3">
        <v>900</v>
      </c>
      <c r="I1663" s="3">
        <v>1170</v>
      </c>
      <c r="J1663" s="3">
        <v>0</v>
      </c>
      <c r="K1663" s="3">
        <v>11700</v>
      </c>
      <c r="L1663" s="3">
        <v>2700</v>
      </c>
      <c r="M1663" s="3">
        <f t="shared" si="126"/>
        <v>0</v>
      </c>
      <c r="N1663" s="3">
        <f t="shared" si="127"/>
        <v>9000</v>
      </c>
      <c r="O1663" s="3">
        <f t="shared" si="128"/>
        <v>23.076923076923077</v>
      </c>
      <c r="P1663" s="3" t="str">
        <f t="shared" si="129"/>
        <v>Oct</v>
      </c>
      <c r="Q1663" s="3" t="str">
        <f t="shared" si="125"/>
        <v>good profit</v>
      </c>
    </row>
    <row r="1664" spans="1:17" x14ac:dyDescent="0.25">
      <c r="A1664" s="3" t="s">
        <v>1212</v>
      </c>
      <c r="B1664" s="4">
        <v>45961</v>
      </c>
      <c r="C1664" s="3" t="s">
        <v>2020</v>
      </c>
      <c r="D1664" s="3" t="s">
        <v>2040</v>
      </c>
      <c r="E1664" s="3" t="s">
        <v>2053</v>
      </c>
      <c r="F1664" s="3" t="s">
        <v>2060</v>
      </c>
      <c r="G1664" s="3">
        <v>7</v>
      </c>
      <c r="H1664" s="3">
        <v>350</v>
      </c>
      <c r="I1664" s="3">
        <v>455</v>
      </c>
      <c r="J1664" s="3">
        <v>18.850000000000001</v>
      </c>
      <c r="K1664" s="3">
        <v>2584.59</v>
      </c>
      <c r="L1664" s="3">
        <v>134.59</v>
      </c>
      <c r="M1664" s="3">
        <f t="shared" si="126"/>
        <v>60037.250000000007</v>
      </c>
      <c r="N1664" s="3">
        <f t="shared" si="127"/>
        <v>2450</v>
      </c>
      <c r="O1664" s="3">
        <f t="shared" si="128"/>
        <v>5.2074023346062619</v>
      </c>
      <c r="P1664" s="3" t="str">
        <f t="shared" si="129"/>
        <v>Oct</v>
      </c>
      <c r="Q1664" s="3" t="str">
        <f t="shared" si="125"/>
        <v>low profit</v>
      </c>
    </row>
    <row r="1665" spans="1:17" x14ac:dyDescent="0.25">
      <c r="A1665" s="3" t="s">
        <v>1446</v>
      </c>
      <c r="B1665" s="4">
        <v>45961</v>
      </c>
      <c r="C1665" s="3" t="s">
        <v>2028</v>
      </c>
      <c r="D1665" s="3" t="s">
        <v>2048</v>
      </c>
      <c r="E1665" s="3" t="s">
        <v>2057</v>
      </c>
      <c r="F1665" s="3" t="s">
        <v>2059</v>
      </c>
      <c r="G1665" s="3">
        <v>5</v>
      </c>
      <c r="H1665" s="3">
        <v>80</v>
      </c>
      <c r="I1665" s="3">
        <v>116</v>
      </c>
      <c r="J1665" s="3">
        <v>10.63</v>
      </c>
      <c r="K1665" s="3">
        <v>518.33000000000004</v>
      </c>
      <c r="L1665" s="3">
        <v>118.33</v>
      </c>
      <c r="M1665" s="3">
        <f t="shared" si="126"/>
        <v>6165.4000000000005</v>
      </c>
      <c r="N1665" s="3">
        <f t="shared" si="127"/>
        <v>400</v>
      </c>
      <c r="O1665" s="3">
        <f t="shared" si="128"/>
        <v>22.829085717593038</v>
      </c>
      <c r="P1665" s="3" t="str">
        <f t="shared" si="129"/>
        <v>Oct</v>
      </c>
      <c r="Q1665" s="3" t="str">
        <f t="shared" si="125"/>
        <v>good profit</v>
      </c>
    </row>
    <row r="1666" spans="1:17" x14ac:dyDescent="0.25">
      <c r="A1666" s="3" t="s">
        <v>454</v>
      </c>
      <c r="B1666" s="4">
        <v>45962</v>
      </c>
      <c r="C1666" s="3" t="s">
        <v>2018</v>
      </c>
      <c r="D1666" s="3" t="s">
        <v>2038</v>
      </c>
      <c r="E1666" s="3" t="s">
        <v>2053</v>
      </c>
      <c r="F1666" s="3" t="s">
        <v>2059</v>
      </c>
      <c r="G1666" s="3">
        <v>4</v>
      </c>
      <c r="H1666" s="3">
        <v>500</v>
      </c>
      <c r="I1666" s="3">
        <v>610</v>
      </c>
      <c r="J1666" s="3">
        <v>20.21</v>
      </c>
      <c r="K1666" s="3">
        <v>1946.94</v>
      </c>
      <c r="L1666" s="3">
        <v>-53.06</v>
      </c>
      <c r="M1666" s="3">
        <f t="shared" si="126"/>
        <v>49312.4</v>
      </c>
      <c r="N1666" s="3">
        <f t="shared" si="127"/>
        <v>2000</v>
      </c>
      <c r="O1666" s="3">
        <f t="shared" si="128"/>
        <v>-2.7253022692019271</v>
      </c>
      <c r="P1666" s="3" t="str">
        <f t="shared" si="129"/>
        <v>Nov</v>
      </c>
      <c r="Q1666" s="3" t="str">
        <f t="shared" ref="Q1666:Q1729" si="130">IF(L1666&lt;0,"loss",IF(O1666&lt;10,"low profit","good profit"))</f>
        <v>loss</v>
      </c>
    </row>
    <row r="1667" spans="1:17" x14ac:dyDescent="0.25">
      <c r="A1667" s="3" t="s">
        <v>591</v>
      </c>
      <c r="B1667" s="4">
        <v>45962</v>
      </c>
      <c r="C1667" s="3" t="s">
        <v>2018</v>
      </c>
      <c r="D1667" s="3" t="s">
        <v>2038</v>
      </c>
      <c r="E1667" s="3" t="s">
        <v>2053</v>
      </c>
      <c r="F1667" s="3" t="s">
        <v>2061</v>
      </c>
      <c r="G1667" s="3">
        <v>6</v>
      </c>
      <c r="H1667" s="3">
        <v>500</v>
      </c>
      <c r="I1667" s="3">
        <v>610</v>
      </c>
      <c r="J1667" s="3">
        <v>12.64</v>
      </c>
      <c r="K1667" s="3">
        <v>3197.44</v>
      </c>
      <c r="L1667" s="3">
        <v>197.44</v>
      </c>
      <c r="M1667" s="3">
        <f t="shared" ref="M1667:M1730" si="131">G1667*I1667*J1667</f>
        <v>46262.400000000001</v>
      </c>
      <c r="N1667" s="3">
        <f t="shared" ref="N1667:N1730" si="132">G1667*H1667</f>
        <v>3000</v>
      </c>
      <c r="O1667" s="3">
        <f t="shared" ref="O1667:O1730" si="133">IFERROR(L1667/K1667*100,0)</f>
        <v>6.1749399519615693</v>
      </c>
      <c r="P1667" s="3" t="str">
        <f t="shared" ref="P1667:P1730" si="134">TEXT(B1667,"mmm")</f>
        <v>Nov</v>
      </c>
      <c r="Q1667" s="3" t="str">
        <f t="shared" si="130"/>
        <v>low profit</v>
      </c>
    </row>
    <row r="1668" spans="1:17" x14ac:dyDescent="0.25">
      <c r="A1668" s="3" t="s">
        <v>967</v>
      </c>
      <c r="B1668" s="4">
        <v>45962</v>
      </c>
      <c r="C1668" s="3" t="s">
        <v>2015</v>
      </c>
      <c r="D1668" s="3" t="s">
        <v>2035</v>
      </c>
      <c r="E1668" s="3" t="s">
        <v>2054</v>
      </c>
      <c r="F1668" s="3" t="s">
        <v>2062</v>
      </c>
      <c r="G1668" s="3">
        <v>10</v>
      </c>
      <c r="H1668" s="3">
        <v>900</v>
      </c>
      <c r="I1668" s="3">
        <v>1170</v>
      </c>
      <c r="J1668" s="3">
        <v>6.37</v>
      </c>
      <c r="K1668" s="3">
        <v>10954.69</v>
      </c>
      <c r="L1668" s="3">
        <v>1954.69</v>
      </c>
      <c r="M1668" s="3">
        <f t="shared" si="131"/>
        <v>74529</v>
      </c>
      <c r="N1668" s="3">
        <f t="shared" si="132"/>
        <v>9000</v>
      </c>
      <c r="O1668" s="3">
        <f t="shared" si="133"/>
        <v>17.84340770939205</v>
      </c>
      <c r="P1668" s="3" t="str">
        <f t="shared" si="134"/>
        <v>Nov</v>
      </c>
      <c r="Q1668" s="3" t="str">
        <f t="shared" si="130"/>
        <v>good profit</v>
      </c>
    </row>
    <row r="1669" spans="1:17" x14ac:dyDescent="0.25">
      <c r="A1669" s="3" t="s">
        <v>1099</v>
      </c>
      <c r="B1669" s="4">
        <v>45962</v>
      </c>
      <c r="C1669" s="3" t="s">
        <v>2018</v>
      </c>
      <c r="D1669" s="3" t="s">
        <v>2038</v>
      </c>
      <c r="E1669" s="3" t="s">
        <v>2053</v>
      </c>
      <c r="F1669" s="3" t="s">
        <v>2061</v>
      </c>
      <c r="G1669" s="3">
        <v>9</v>
      </c>
      <c r="H1669" s="3">
        <v>500</v>
      </c>
      <c r="I1669" s="3">
        <v>610</v>
      </c>
      <c r="J1669" s="3">
        <v>26.74</v>
      </c>
      <c r="K1669" s="3">
        <v>4021.93</v>
      </c>
      <c r="L1669" s="3">
        <v>-478.07</v>
      </c>
      <c r="M1669" s="3">
        <f t="shared" si="131"/>
        <v>146802.6</v>
      </c>
      <c r="N1669" s="3">
        <f t="shared" si="132"/>
        <v>4500</v>
      </c>
      <c r="O1669" s="3">
        <f t="shared" si="133"/>
        <v>-11.886581815198175</v>
      </c>
      <c r="P1669" s="3" t="str">
        <f t="shared" si="134"/>
        <v>Nov</v>
      </c>
      <c r="Q1669" s="3" t="str">
        <f t="shared" si="130"/>
        <v>loss</v>
      </c>
    </row>
    <row r="1670" spans="1:17" x14ac:dyDescent="0.25">
      <c r="A1670" s="3" t="s">
        <v>1149</v>
      </c>
      <c r="B1670" s="4">
        <v>45962</v>
      </c>
      <c r="C1670" s="3" t="s">
        <v>2024</v>
      </c>
      <c r="D1670" s="3" t="s">
        <v>2044</v>
      </c>
      <c r="E1670" s="3" t="s">
        <v>2055</v>
      </c>
      <c r="F1670" s="3" t="s">
        <v>2060</v>
      </c>
      <c r="G1670" s="3">
        <v>8</v>
      </c>
      <c r="H1670" s="3">
        <v>180</v>
      </c>
      <c r="I1670" s="3">
        <v>243</v>
      </c>
      <c r="J1670" s="3">
        <v>10.72</v>
      </c>
      <c r="K1670" s="3">
        <v>1735.55</v>
      </c>
      <c r="L1670" s="3">
        <v>295.55</v>
      </c>
      <c r="M1670" s="3">
        <f t="shared" si="131"/>
        <v>20839.68</v>
      </c>
      <c r="N1670" s="3">
        <f t="shared" si="132"/>
        <v>1440</v>
      </c>
      <c r="O1670" s="3">
        <f t="shared" si="133"/>
        <v>17.029183832214574</v>
      </c>
      <c r="P1670" s="3" t="str">
        <f t="shared" si="134"/>
        <v>Nov</v>
      </c>
      <c r="Q1670" s="3" t="str">
        <f t="shared" si="130"/>
        <v>good profit</v>
      </c>
    </row>
    <row r="1671" spans="1:17" x14ac:dyDescent="0.25">
      <c r="A1671" s="3" t="s">
        <v>1121</v>
      </c>
      <c r="B1671" s="4">
        <v>45963</v>
      </c>
      <c r="C1671" s="3" t="s">
        <v>2024</v>
      </c>
      <c r="D1671" s="3" t="s">
        <v>2044</v>
      </c>
      <c r="E1671" s="3" t="s">
        <v>2055</v>
      </c>
      <c r="F1671" s="3" t="s">
        <v>2062</v>
      </c>
      <c r="G1671" s="3">
        <v>2</v>
      </c>
      <c r="H1671" s="3">
        <v>180</v>
      </c>
      <c r="I1671" s="3">
        <v>243</v>
      </c>
      <c r="J1671" s="3">
        <v>5.95</v>
      </c>
      <c r="K1671" s="3">
        <v>457.1</v>
      </c>
      <c r="L1671" s="3">
        <v>97.1</v>
      </c>
      <c r="M1671" s="3">
        <f t="shared" si="131"/>
        <v>2891.7000000000003</v>
      </c>
      <c r="N1671" s="3">
        <f t="shared" si="132"/>
        <v>360</v>
      </c>
      <c r="O1671" s="3">
        <f t="shared" si="133"/>
        <v>21.242616495296431</v>
      </c>
      <c r="P1671" s="3" t="str">
        <f t="shared" si="134"/>
        <v>Nov</v>
      </c>
      <c r="Q1671" s="3" t="str">
        <f t="shared" si="130"/>
        <v>good profit</v>
      </c>
    </row>
    <row r="1672" spans="1:17" x14ac:dyDescent="0.25">
      <c r="A1672" s="3" t="s">
        <v>1398</v>
      </c>
      <c r="B1672" s="4">
        <v>45963</v>
      </c>
      <c r="C1672" s="3" t="s">
        <v>2016</v>
      </c>
      <c r="D1672" s="3" t="s">
        <v>2036</v>
      </c>
      <c r="E1672" s="3" t="s">
        <v>2052</v>
      </c>
      <c r="F1672" s="3" t="s">
        <v>2059</v>
      </c>
      <c r="G1672" s="3">
        <v>3</v>
      </c>
      <c r="H1672" s="3">
        <v>900</v>
      </c>
      <c r="I1672" s="3">
        <v>1170</v>
      </c>
      <c r="J1672" s="3">
        <v>15.47</v>
      </c>
      <c r="K1672" s="3">
        <v>2966.84</v>
      </c>
      <c r="L1672" s="3">
        <v>266.83999999999997</v>
      </c>
      <c r="M1672" s="3">
        <f t="shared" si="131"/>
        <v>54299.700000000004</v>
      </c>
      <c r="N1672" s="3">
        <f t="shared" si="132"/>
        <v>2700</v>
      </c>
      <c r="O1672" s="3">
        <f t="shared" si="133"/>
        <v>8.9940812446913192</v>
      </c>
      <c r="P1672" s="3" t="str">
        <f t="shared" si="134"/>
        <v>Nov</v>
      </c>
      <c r="Q1672" s="3" t="str">
        <f t="shared" si="130"/>
        <v>low profit</v>
      </c>
    </row>
    <row r="1673" spans="1:17" x14ac:dyDescent="0.25">
      <c r="A1673" s="3" t="s">
        <v>1850</v>
      </c>
      <c r="B1673" s="4">
        <v>45963</v>
      </c>
      <c r="C1673" s="3" t="s">
        <v>2028</v>
      </c>
      <c r="D1673" s="3" t="s">
        <v>2048</v>
      </c>
      <c r="E1673" s="3" t="s">
        <v>2057</v>
      </c>
      <c r="F1673" s="3" t="s">
        <v>2060</v>
      </c>
      <c r="G1673" s="3">
        <v>4</v>
      </c>
      <c r="H1673" s="3">
        <v>80</v>
      </c>
      <c r="I1673" s="3">
        <v>116</v>
      </c>
      <c r="J1673" s="3">
        <v>0</v>
      </c>
      <c r="K1673" s="3">
        <v>464</v>
      </c>
      <c r="L1673" s="3">
        <v>144</v>
      </c>
      <c r="M1673" s="3">
        <f t="shared" si="131"/>
        <v>0</v>
      </c>
      <c r="N1673" s="3">
        <f t="shared" si="132"/>
        <v>320</v>
      </c>
      <c r="O1673" s="3">
        <f t="shared" si="133"/>
        <v>31.03448275862069</v>
      </c>
      <c r="P1673" s="3" t="str">
        <f t="shared" si="134"/>
        <v>Nov</v>
      </c>
      <c r="Q1673" s="3" t="str">
        <f t="shared" si="130"/>
        <v>good profit</v>
      </c>
    </row>
    <row r="1674" spans="1:17" x14ac:dyDescent="0.25">
      <c r="A1674" s="3" t="s">
        <v>671</v>
      </c>
      <c r="B1674" s="4">
        <v>45964</v>
      </c>
      <c r="C1674" s="3" t="s">
        <v>2017</v>
      </c>
      <c r="D1674" s="3" t="s">
        <v>2037</v>
      </c>
      <c r="E1674" s="3" t="s">
        <v>2055</v>
      </c>
      <c r="F1674" s="3" t="s">
        <v>2060</v>
      </c>
      <c r="G1674" s="3">
        <v>1</v>
      </c>
      <c r="H1674" s="3">
        <v>2500</v>
      </c>
      <c r="I1674" s="3">
        <v>2875</v>
      </c>
      <c r="J1674" s="3">
        <v>13.37</v>
      </c>
      <c r="K1674" s="3">
        <v>2490.5100000000002</v>
      </c>
      <c r="L1674" s="3">
        <v>-9.49</v>
      </c>
      <c r="M1674" s="3">
        <f t="shared" si="131"/>
        <v>38438.75</v>
      </c>
      <c r="N1674" s="3">
        <f t="shared" si="132"/>
        <v>2500</v>
      </c>
      <c r="O1674" s="3">
        <f t="shared" si="133"/>
        <v>-0.38104645233305623</v>
      </c>
      <c r="P1674" s="3" t="str">
        <f t="shared" si="134"/>
        <v>Nov</v>
      </c>
      <c r="Q1674" s="3" t="str">
        <f t="shared" si="130"/>
        <v>loss</v>
      </c>
    </row>
    <row r="1675" spans="1:17" x14ac:dyDescent="0.25">
      <c r="A1675" s="3" t="s">
        <v>756</v>
      </c>
      <c r="B1675" s="4">
        <v>45964</v>
      </c>
      <c r="C1675" s="3" t="s">
        <v>2015</v>
      </c>
      <c r="D1675" s="3" t="s">
        <v>2035</v>
      </c>
      <c r="E1675" s="3" t="s">
        <v>2054</v>
      </c>
      <c r="F1675" s="3" t="s">
        <v>2062</v>
      </c>
      <c r="G1675" s="3">
        <v>1</v>
      </c>
      <c r="H1675" s="3">
        <v>900</v>
      </c>
      <c r="I1675" s="3">
        <v>1170</v>
      </c>
      <c r="J1675" s="3">
        <v>23.51</v>
      </c>
      <c r="K1675" s="3">
        <v>894.99</v>
      </c>
      <c r="L1675" s="3">
        <v>-5.01</v>
      </c>
      <c r="M1675" s="3">
        <f t="shared" si="131"/>
        <v>27506.7</v>
      </c>
      <c r="N1675" s="3">
        <f t="shared" si="132"/>
        <v>900</v>
      </c>
      <c r="O1675" s="3">
        <f t="shared" si="133"/>
        <v>-0.55978279086917171</v>
      </c>
      <c r="P1675" s="3" t="str">
        <f t="shared" si="134"/>
        <v>Nov</v>
      </c>
      <c r="Q1675" s="3" t="str">
        <f t="shared" si="130"/>
        <v>loss</v>
      </c>
    </row>
    <row r="1676" spans="1:17" x14ac:dyDescent="0.25">
      <c r="A1676" s="3" t="s">
        <v>905</v>
      </c>
      <c r="B1676" s="4">
        <v>45964</v>
      </c>
      <c r="C1676" s="3" t="s">
        <v>2023</v>
      </c>
      <c r="D1676" s="3" t="s">
        <v>2043</v>
      </c>
      <c r="E1676" s="3" t="s">
        <v>2053</v>
      </c>
      <c r="F1676" s="3" t="s">
        <v>2059</v>
      </c>
      <c r="G1676" s="3">
        <v>2</v>
      </c>
      <c r="H1676" s="3">
        <v>550</v>
      </c>
      <c r="I1676" s="3">
        <v>742.5</v>
      </c>
      <c r="J1676" s="3">
        <v>11.93</v>
      </c>
      <c r="K1676" s="3">
        <v>1307.8699999999999</v>
      </c>
      <c r="L1676" s="3">
        <v>207.87</v>
      </c>
      <c r="M1676" s="3">
        <f t="shared" si="131"/>
        <v>17716.05</v>
      </c>
      <c r="N1676" s="3">
        <f t="shared" si="132"/>
        <v>1100</v>
      </c>
      <c r="O1676" s="3">
        <f t="shared" si="133"/>
        <v>15.893781492044317</v>
      </c>
      <c r="P1676" s="3" t="str">
        <f t="shared" si="134"/>
        <v>Nov</v>
      </c>
      <c r="Q1676" s="3" t="str">
        <f t="shared" si="130"/>
        <v>good profit</v>
      </c>
    </row>
    <row r="1677" spans="1:17" x14ac:dyDescent="0.25">
      <c r="A1677" s="3" t="s">
        <v>972</v>
      </c>
      <c r="B1677" s="4">
        <v>45964</v>
      </c>
      <c r="C1677" s="3" t="s">
        <v>2023</v>
      </c>
      <c r="D1677" s="3" t="s">
        <v>2043</v>
      </c>
      <c r="E1677" s="3" t="s">
        <v>2053</v>
      </c>
      <c r="F1677" s="3" t="s">
        <v>2062</v>
      </c>
      <c r="G1677" s="3">
        <v>3</v>
      </c>
      <c r="H1677" s="3">
        <v>550</v>
      </c>
      <c r="I1677" s="3">
        <v>742.5</v>
      </c>
      <c r="J1677" s="3">
        <v>9.2899999999999991</v>
      </c>
      <c r="K1677" s="3">
        <v>2020.63</v>
      </c>
      <c r="L1677" s="3">
        <v>370.63</v>
      </c>
      <c r="M1677" s="3">
        <f t="shared" si="131"/>
        <v>20693.474999999999</v>
      </c>
      <c r="N1677" s="3">
        <f t="shared" si="132"/>
        <v>1650</v>
      </c>
      <c r="O1677" s="3">
        <f t="shared" si="133"/>
        <v>18.342299183917884</v>
      </c>
      <c r="P1677" s="3" t="str">
        <f t="shared" si="134"/>
        <v>Nov</v>
      </c>
      <c r="Q1677" s="3" t="str">
        <f t="shared" si="130"/>
        <v>good profit</v>
      </c>
    </row>
    <row r="1678" spans="1:17" x14ac:dyDescent="0.25">
      <c r="A1678" s="3" t="s">
        <v>1026</v>
      </c>
      <c r="B1678" s="4">
        <v>45964</v>
      </c>
      <c r="C1678" s="3" t="s">
        <v>2024</v>
      </c>
      <c r="D1678" s="3" t="s">
        <v>2044</v>
      </c>
      <c r="E1678" s="3" t="s">
        <v>2055</v>
      </c>
      <c r="F1678" s="3" t="s">
        <v>2059</v>
      </c>
      <c r="G1678" s="3">
        <v>6</v>
      </c>
      <c r="H1678" s="3">
        <v>180</v>
      </c>
      <c r="I1678" s="3">
        <v>243</v>
      </c>
      <c r="J1678" s="3">
        <v>10.19</v>
      </c>
      <c r="K1678" s="3">
        <v>1309.45</v>
      </c>
      <c r="L1678" s="3">
        <v>229.45</v>
      </c>
      <c r="M1678" s="3">
        <f t="shared" si="131"/>
        <v>14857.019999999999</v>
      </c>
      <c r="N1678" s="3">
        <f t="shared" si="132"/>
        <v>1080</v>
      </c>
      <c r="O1678" s="3">
        <f t="shared" si="133"/>
        <v>17.522624002443774</v>
      </c>
      <c r="P1678" s="3" t="str">
        <f t="shared" si="134"/>
        <v>Nov</v>
      </c>
      <c r="Q1678" s="3" t="str">
        <f t="shared" si="130"/>
        <v>good profit</v>
      </c>
    </row>
    <row r="1679" spans="1:17" x14ac:dyDescent="0.25">
      <c r="A1679" s="3" t="s">
        <v>1413</v>
      </c>
      <c r="B1679" s="4">
        <v>45964</v>
      </c>
      <c r="C1679" s="3" t="s">
        <v>2018</v>
      </c>
      <c r="D1679" s="3" t="s">
        <v>2038</v>
      </c>
      <c r="E1679" s="3" t="s">
        <v>2053</v>
      </c>
      <c r="F1679" s="3" t="s">
        <v>2061</v>
      </c>
      <c r="G1679" s="3">
        <v>7</v>
      </c>
      <c r="H1679" s="3">
        <v>500</v>
      </c>
      <c r="I1679" s="3">
        <v>610</v>
      </c>
      <c r="J1679" s="3">
        <v>9.1300000000000008</v>
      </c>
      <c r="K1679" s="3">
        <v>3880.11</v>
      </c>
      <c r="L1679" s="3">
        <v>380.11</v>
      </c>
      <c r="M1679" s="3">
        <f t="shared" si="131"/>
        <v>38985.100000000006</v>
      </c>
      <c r="N1679" s="3">
        <f t="shared" si="132"/>
        <v>3500</v>
      </c>
      <c r="O1679" s="3">
        <f t="shared" si="133"/>
        <v>9.7963717523472269</v>
      </c>
      <c r="P1679" s="3" t="str">
        <f t="shared" si="134"/>
        <v>Nov</v>
      </c>
      <c r="Q1679" s="3" t="str">
        <f t="shared" si="130"/>
        <v>low profit</v>
      </c>
    </row>
    <row r="1680" spans="1:17" x14ac:dyDescent="0.25">
      <c r="A1680" s="3" t="s">
        <v>1556</v>
      </c>
      <c r="B1680" s="4">
        <v>45964</v>
      </c>
      <c r="C1680" s="3" t="s">
        <v>2016</v>
      </c>
      <c r="D1680" s="3" t="s">
        <v>2036</v>
      </c>
      <c r="E1680" s="3" t="s">
        <v>2052</v>
      </c>
      <c r="F1680" s="3" t="s">
        <v>2062</v>
      </c>
      <c r="G1680" s="3">
        <v>10</v>
      </c>
      <c r="H1680" s="3">
        <v>900</v>
      </c>
      <c r="I1680" s="3">
        <v>1170</v>
      </c>
      <c r="J1680" s="3">
        <v>2.3199999999999998</v>
      </c>
      <c r="K1680" s="3">
        <v>11428.24</v>
      </c>
      <c r="L1680" s="3">
        <v>2428.2399999999998</v>
      </c>
      <c r="M1680" s="3">
        <f t="shared" si="131"/>
        <v>27143.999999999996</v>
      </c>
      <c r="N1680" s="3">
        <f t="shared" si="132"/>
        <v>9000</v>
      </c>
      <c r="O1680" s="3">
        <f t="shared" si="133"/>
        <v>21.247716183769327</v>
      </c>
      <c r="P1680" s="3" t="str">
        <f t="shared" si="134"/>
        <v>Nov</v>
      </c>
      <c r="Q1680" s="3" t="str">
        <f t="shared" si="130"/>
        <v>good profit</v>
      </c>
    </row>
    <row r="1681" spans="1:17" x14ac:dyDescent="0.25">
      <c r="A1681" s="3" t="s">
        <v>165</v>
      </c>
      <c r="B1681" s="4">
        <v>45965</v>
      </c>
      <c r="C1681" s="3" t="s">
        <v>2023</v>
      </c>
      <c r="D1681" s="3" t="s">
        <v>2043</v>
      </c>
      <c r="E1681" s="3" t="s">
        <v>2053</v>
      </c>
      <c r="F1681" s="3" t="s">
        <v>2059</v>
      </c>
      <c r="G1681" s="3">
        <v>2</v>
      </c>
      <c r="H1681" s="3">
        <v>550</v>
      </c>
      <c r="I1681" s="3">
        <v>742.5</v>
      </c>
      <c r="J1681" s="3">
        <v>0</v>
      </c>
      <c r="K1681" s="3">
        <v>1485</v>
      </c>
      <c r="L1681" s="3">
        <v>385</v>
      </c>
      <c r="M1681" s="3">
        <f t="shared" si="131"/>
        <v>0</v>
      </c>
      <c r="N1681" s="3">
        <f t="shared" si="132"/>
        <v>1100</v>
      </c>
      <c r="O1681" s="3">
        <f t="shared" si="133"/>
        <v>25.925925925925924</v>
      </c>
      <c r="P1681" s="3" t="str">
        <f t="shared" si="134"/>
        <v>Nov</v>
      </c>
      <c r="Q1681" s="3" t="str">
        <f t="shared" si="130"/>
        <v>good profit</v>
      </c>
    </row>
    <row r="1682" spans="1:17" x14ac:dyDescent="0.25">
      <c r="A1682" s="3" t="s">
        <v>167</v>
      </c>
      <c r="B1682" s="4">
        <v>45965</v>
      </c>
      <c r="C1682" s="3" t="s">
        <v>2025</v>
      </c>
      <c r="D1682" s="3" t="s">
        <v>2045</v>
      </c>
      <c r="E1682" s="3" t="s">
        <v>2057</v>
      </c>
      <c r="F1682" s="3" t="s">
        <v>2059</v>
      </c>
      <c r="G1682" s="3">
        <v>10</v>
      </c>
      <c r="H1682" s="3">
        <v>45</v>
      </c>
      <c r="I1682" s="3">
        <v>63</v>
      </c>
      <c r="J1682" s="3">
        <v>7.34</v>
      </c>
      <c r="K1682" s="3">
        <v>583.76</v>
      </c>
      <c r="L1682" s="3">
        <v>133.76</v>
      </c>
      <c r="M1682" s="3">
        <f t="shared" si="131"/>
        <v>4624.2</v>
      </c>
      <c r="N1682" s="3">
        <f t="shared" si="132"/>
        <v>450</v>
      </c>
      <c r="O1682" s="3">
        <f t="shared" si="133"/>
        <v>22.913526106619159</v>
      </c>
      <c r="P1682" s="3" t="str">
        <f t="shared" si="134"/>
        <v>Nov</v>
      </c>
      <c r="Q1682" s="3" t="str">
        <f t="shared" si="130"/>
        <v>good profit</v>
      </c>
    </row>
    <row r="1683" spans="1:17" x14ac:dyDescent="0.25">
      <c r="A1683" s="3" t="s">
        <v>204</v>
      </c>
      <c r="B1683" s="4">
        <v>45965</v>
      </c>
      <c r="C1683" s="3" t="s">
        <v>2023</v>
      </c>
      <c r="D1683" s="3" t="s">
        <v>2043</v>
      </c>
      <c r="E1683" s="3" t="s">
        <v>2053</v>
      </c>
      <c r="F1683" s="3" t="s">
        <v>2059</v>
      </c>
      <c r="G1683" s="3">
        <v>10</v>
      </c>
      <c r="H1683" s="3">
        <v>550</v>
      </c>
      <c r="I1683" s="3">
        <v>742.5</v>
      </c>
      <c r="J1683" s="3">
        <v>15.1</v>
      </c>
      <c r="K1683" s="3">
        <v>6303.73</v>
      </c>
      <c r="L1683" s="3">
        <v>803.73</v>
      </c>
      <c r="M1683" s="3">
        <f t="shared" si="131"/>
        <v>112117.5</v>
      </c>
      <c r="N1683" s="3">
        <f t="shared" si="132"/>
        <v>5500</v>
      </c>
      <c r="O1683" s="3">
        <f t="shared" si="133"/>
        <v>12.750070196534432</v>
      </c>
      <c r="P1683" s="3" t="str">
        <f t="shared" si="134"/>
        <v>Nov</v>
      </c>
      <c r="Q1683" s="3" t="str">
        <f t="shared" si="130"/>
        <v>good profit</v>
      </c>
    </row>
    <row r="1684" spans="1:17" x14ac:dyDescent="0.25">
      <c r="A1684" s="3" t="s">
        <v>849</v>
      </c>
      <c r="B1684" s="4">
        <v>45965</v>
      </c>
      <c r="C1684" s="3" t="s">
        <v>2025</v>
      </c>
      <c r="D1684" s="3" t="s">
        <v>2045</v>
      </c>
      <c r="E1684" s="3" t="s">
        <v>2057</v>
      </c>
      <c r="F1684" s="3" t="s">
        <v>2059</v>
      </c>
      <c r="G1684" s="3">
        <v>8</v>
      </c>
      <c r="H1684" s="3">
        <v>45</v>
      </c>
      <c r="I1684" s="3">
        <v>63</v>
      </c>
      <c r="J1684" s="3">
        <v>3.72</v>
      </c>
      <c r="K1684" s="3">
        <v>485.23</v>
      </c>
      <c r="L1684" s="3">
        <v>125.23</v>
      </c>
      <c r="M1684" s="3">
        <f t="shared" si="131"/>
        <v>1874.88</v>
      </c>
      <c r="N1684" s="3">
        <f t="shared" si="132"/>
        <v>360</v>
      </c>
      <c r="O1684" s="3">
        <f t="shared" si="133"/>
        <v>25.808379531356263</v>
      </c>
      <c r="P1684" s="3" t="str">
        <f t="shared" si="134"/>
        <v>Nov</v>
      </c>
      <c r="Q1684" s="3" t="str">
        <f t="shared" si="130"/>
        <v>good profit</v>
      </c>
    </row>
    <row r="1685" spans="1:17" x14ac:dyDescent="0.25">
      <c r="A1685" s="3" t="s">
        <v>901</v>
      </c>
      <c r="B1685" s="4">
        <v>45965</v>
      </c>
      <c r="C1685" s="3" t="s">
        <v>2023</v>
      </c>
      <c r="D1685" s="3" t="s">
        <v>2043</v>
      </c>
      <c r="E1685" s="3" t="s">
        <v>2053</v>
      </c>
      <c r="F1685" s="3" t="s">
        <v>2062</v>
      </c>
      <c r="G1685" s="3">
        <v>6</v>
      </c>
      <c r="H1685" s="3">
        <v>550</v>
      </c>
      <c r="I1685" s="3">
        <v>742.5</v>
      </c>
      <c r="J1685" s="3">
        <v>4.3099999999999996</v>
      </c>
      <c r="K1685" s="3">
        <v>4262.8599999999997</v>
      </c>
      <c r="L1685" s="3">
        <v>962.86</v>
      </c>
      <c r="M1685" s="3">
        <f t="shared" si="131"/>
        <v>19201.05</v>
      </c>
      <c r="N1685" s="3">
        <f t="shared" si="132"/>
        <v>3300</v>
      </c>
      <c r="O1685" s="3">
        <f t="shared" si="133"/>
        <v>22.587183252558145</v>
      </c>
      <c r="P1685" s="3" t="str">
        <f t="shared" si="134"/>
        <v>Nov</v>
      </c>
      <c r="Q1685" s="3" t="str">
        <f t="shared" si="130"/>
        <v>good profit</v>
      </c>
    </row>
    <row r="1686" spans="1:17" x14ac:dyDescent="0.25">
      <c r="A1686" s="3" t="s">
        <v>1215</v>
      </c>
      <c r="B1686" s="4">
        <v>45965</v>
      </c>
      <c r="C1686" s="3" t="s">
        <v>2027</v>
      </c>
      <c r="D1686" s="3" t="s">
        <v>2047</v>
      </c>
      <c r="E1686" s="3" t="s">
        <v>2053</v>
      </c>
      <c r="F1686" s="3" t="s">
        <v>2061</v>
      </c>
      <c r="G1686" s="3">
        <v>10</v>
      </c>
      <c r="H1686" s="3">
        <v>1100</v>
      </c>
      <c r="I1686" s="3">
        <v>1298</v>
      </c>
      <c r="J1686" s="3">
        <v>9.08</v>
      </c>
      <c r="K1686" s="3">
        <v>11801.24</v>
      </c>
      <c r="L1686" s="3">
        <v>801.24</v>
      </c>
      <c r="M1686" s="3">
        <f t="shared" si="131"/>
        <v>117858.4</v>
      </c>
      <c r="N1686" s="3">
        <f t="shared" si="132"/>
        <v>11000</v>
      </c>
      <c r="O1686" s="3">
        <f t="shared" si="133"/>
        <v>6.7894560232653518</v>
      </c>
      <c r="P1686" s="3" t="str">
        <f t="shared" si="134"/>
        <v>Nov</v>
      </c>
      <c r="Q1686" s="3" t="str">
        <f t="shared" si="130"/>
        <v>low profit</v>
      </c>
    </row>
    <row r="1687" spans="1:17" x14ac:dyDescent="0.25">
      <c r="A1687" s="3" t="s">
        <v>1618</v>
      </c>
      <c r="B1687" s="4">
        <v>45965</v>
      </c>
      <c r="C1687" s="3" t="s">
        <v>2021</v>
      </c>
      <c r="D1687" s="3" t="s">
        <v>2041</v>
      </c>
      <c r="E1687" s="3" t="s">
        <v>2056</v>
      </c>
      <c r="F1687" s="3" t="s">
        <v>2060</v>
      </c>
      <c r="G1687" s="3">
        <v>6</v>
      </c>
      <c r="H1687" s="3">
        <v>300</v>
      </c>
      <c r="I1687" s="3">
        <v>405</v>
      </c>
      <c r="J1687" s="3">
        <v>8.6199999999999992</v>
      </c>
      <c r="K1687" s="3">
        <v>2220.61</v>
      </c>
      <c r="L1687" s="3">
        <v>420.61</v>
      </c>
      <c r="M1687" s="3">
        <f t="shared" si="131"/>
        <v>20946.599999999999</v>
      </c>
      <c r="N1687" s="3">
        <f t="shared" si="132"/>
        <v>1800</v>
      </c>
      <c r="O1687" s="3">
        <f t="shared" si="133"/>
        <v>18.941191834676058</v>
      </c>
      <c r="P1687" s="3" t="str">
        <f t="shared" si="134"/>
        <v>Nov</v>
      </c>
      <c r="Q1687" s="3" t="str">
        <f t="shared" si="130"/>
        <v>good profit</v>
      </c>
    </row>
    <row r="1688" spans="1:17" x14ac:dyDescent="0.25">
      <c r="A1688" s="3" t="s">
        <v>1912</v>
      </c>
      <c r="B1688" s="4">
        <v>45965</v>
      </c>
      <c r="C1688" s="3" t="s">
        <v>2013</v>
      </c>
      <c r="D1688" s="3" t="s">
        <v>2033</v>
      </c>
      <c r="E1688" s="3" t="s">
        <v>2053</v>
      </c>
      <c r="F1688" s="3" t="s">
        <v>2059</v>
      </c>
      <c r="G1688" s="3">
        <v>3</v>
      </c>
      <c r="H1688" s="3">
        <v>6500</v>
      </c>
      <c r="I1688" s="3">
        <v>7150</v>
      </c>
      <c r="J1688" s="3">
        <v>11.93</v>
      </c>
      <c r="K1688" s="3">
        <v>18891.16</v>
      </c>
      <c r="L1688" s="3">
        <v>-608.84</v>
      </c>
      <c r="M1688" s="3">
        <f t="shared" si="131"/>
        <v>255898.5</v>
      </c>
      <c r="N1688" s="3">
        <f t="shared" si="132"/>
        <v>19500</v>
      </c>
      <c r="O1688" s="3">
        <f t="shared" si="133"/>
        <v>-3.2228830839397897</v>
      </c>
      <c r="P1688" s="3" t="str">
        <f t="shared" si="134"/>
        <v>Nov</v>
      </c>
      <c r="Q1688" s="3" t="str">
        <f t="shared" si="130"/>
        <v>loss</v>
      </c>
    </row>
    <row r="1689" spans="1:17" x14ac:dyDescent="0.25">
      <c r="A1689" s="3" t="s">
        <v>853</v>
      </c>
      <c r="B1689" s="4">
        <v>45966</v>
      </c>
      <c r="C1689" s="3" t="s">
        <v>2020</v>
      </c>
      <c r="D1689" s="3" t="s">
        <v>2040</v>
      </c>
      <c r="E1689" s="3" t="s">
        <v>2053</v>
      </c>
      <c r="F1689" s="3" t="s">
        <v>2059</v>
      </c>
      <c r="G1689" s="3">
        <v>10</v>
      </c>
      <c r="H1689" s="3">
        <v>350</v>
      </c>
      <c r="I1689" s="3">
        <v>455</v>
      </c>
      <c r="J1689" s="3">
        <v>0</v>
      </c>
      <c r="K1689" s="3">
        <v>4550</v>
      </c>
      <c r="L1689" s="3">
        <v>1050</v>
      </c>
      <c r="M1689" s="3">
        <f t="shared" si="131"/>
        <v>0</v>
      </c>
      <c r="N1689" s="3">
        <f t="shared" si="132"/>
        <v>3500</v>
      </c>
      <c r="O1689" s="3">
        <f t="shared" si="133"/>
        <v>23.076923076923077</v>
      </c>
      <c r="P1689" s="3" t="str">
        <f t="shared" si="134"/>
        <v>Nov</v>
      </c>
      <c r="Q1689" s="3" t="str">
        <f t="shared" si="130"/>
        <v>good profit</v>
      </c>
    </row>
    <row r="1690" spans="1:17" x14ac:dyDescent="0.25">
      <c r="A1690" s="3" t="s">
        <v>1153</v>
      </c>
      <c r="B1690" s="4">
        <v>45966</v>
      </c>
      <c r="C1690" s="3" t="s">
        <v>2025</v>
      </c>
      <c r="D1690" s="3" t="s">
        <v>2045</v>
      </c>
      <c r="E1690" s="3" t="s">
        <v>2057</v>
      </c>
      <c r="F1690" s="3" t="s">
        <v>2062</v>
      </c>
      <c r="G1690" s="3">
        <v>6</v>
      </c>
      <c r="H1690" s="3">
        <v>45</v>
      </c>
      <c r="I1690" s="3">
        <v>63</v>
      </c>
      <c r="J1690" s="3">
        <v>3.37</v>
      </c>
      <c r="K1690" s="3">
        <v>365.27</v>
      </c>
      <c r="L1690" s="3">
        <v>95.27</v>
      </c>
      <c r="M1690" s="3">
        <f t="shared" si="131"/>
        <v>1273.8600000000001</v>
      </c>
      <c r="N1690" s="3">
        <f t="shared" si="132"/>
        <v>270</v>
      </c>
      <c r="O1690" s="3">
        <f t="shared" si="133"/>
        <v>26.082076272346484</v>
      </c>
      <c r="P1690" s="3" t="str">
        <f t="shared" si="134"/>
        <v>Nov</v>
      </c>
      <c r="Q1690" s="3" t="str">
        <f t="shared" si="130"/>
        <v>good profit</v>
      </c>
    </row>
    <row r="1691" spans="1:17" x14ac:dyDescent="0.25">
      <c r="A1691" s="3" t="s">
        <v>104</v>
      </c>
      <c r="B1691" s="4">
        <v>45967</v>
      </c>
      <c r="C1691" s="3" t="s">
        <v>2012</v>
      </c>
      <c r="D1691" s="3" t="s">
        <v>2032</v>
      </c>
      <c r="E1691" s="3" t="s">
        <v>2052</v>
      </c>
      <c r="F1691" s="3" t="s">
        <v>2062</v>
      </c>
      <c r="G1691" s="3">
        <v>8</v>
      </c>
      <c r="H1691" s="3">
        <v>6500</v>
      </c>
      <c r="I1691" s="3">
        <v>8125</v>
      </c>
      <c r="J1691" s="3">
        <v>4</v>
      </c>
      <c r="K1691" s="3">
        <v>62400</v>
      </c>
      <c r="L1691" s="3">
        <v>10400</v>
      </c>
      <c r="M1691" s="3">
        <f t="shared" si="131"/>
        <v>260000</v>
      </c>
      <c r="N1691" s="3">
        <f t="shared" si="132"/>
        <v>52000</v>
      </c>
      <c r="O1691" s="3">
        <f t="shared" si="133"/>
        <v>16.666666666666664</v>
      </c>
      <c r="P1691" s="3" t="str">
        <f t="shared" si="134"/>
        <v>Nov</v>
      </c>
      <c r="Q1691" s="3" t="str">
        <f t="shared" si="130"/>
        <v>good profit</v>
      </c>
    </row>
    <row r="1692" spans="1:17" x14ac:dyDescent="0.25">
      <c r="A1692" s="3" t="s">
        <v>112</v>
      </c>
      <c r="B1692" s="4">
        <v>45967</v>
      </c>
      <c r="C1692" s="3" t="s">
        <v>2019</v>
      </c>
      <c r="D1692" s="3" t="s">
        <v>2039</v>
      </c>
      <c r="E1692" s="3" t="s">
        <v>2053</v>
      </c>
      <c r="F1692" s="3" t="s">
        <v>2060</v>
      </c>
      <c r="G1692" s="3">
        <v>7</v>
      </c>
      <c r="H1692" s="3">
        <v>900</v>
      </c>
      <c r="I1692" s="3">
        <v>1152</v>
      </c>
      <c r="J1692" s="3">
        <v>21.49</v>
      </c>
      <c r="K1692" s="3">
        <v>6330.71</v>
      </c>
      <c r="L1692" s="3">
        <v>30.71</v>
      </c>
      <c r="M1692" s="3">
        <f t="shared" si="131"/>
        <v>173295.35999999999</v>
      </c>
      <c r="N1692" s="3">
        <f t="shared" si="132"/>
        <v>6300</v>
      </c>
      <c r="O1692" s="3">
        <f t="shared" si="133"/>
        <v>0.48509566857429892</v>
      </c>
      <c r="P1692" s="3" t="str">
        <f t="shared" si="134"/>
        <v>Nov</v>
      </c>
      <c r="Q1692" s="3" t="str">
        <f t="shared" si="130"/>
        <v>low profit</v>
      </c>
    </row>
    <row r="1693" spans="1:17" x14ac:dyDescent="0.25">
      <c r="A1693" s="3" t="s">
        <v>426</v>
      </c>
      <c r="B1693" s="4">
        <v>45967</v>
      </c>
      <c r="C1693" s="3" t="s">
        <v>2019</v>
      </c>
      <c r="D1693" s="3" t="s">
        <v>2039</v>
      </c>
      <c r="E1693" s="3" t="s">
        <v>2053</v>
      </c>
      <c r="F1693" s="3" t="s">
        <v>2061</v>
      </c>
      <c r="G1693" s="3">
        <v>10</v>
      </c>
      <c r="H1693" s="3">
        <v>900</v>
      </c>
      <c r="I1693" s="3">
        <v>1152</v>
      </c>
      <c r="J1693" s="3">
        <v>8.89</v>
      </c>
      <c r="K1693" s="3">
        <v>10496.19</v>
      </c>
      <c r="L1693" s="3">
        <v>1496.19</v>
      </c>
      <c r="M1693" s="3">
        <f t="shared" si="131"/>
        <v>102412.8</v>
      </c>
      <c r="N1693" s="3">
        <f t="shared" si="132"/>
        <v>9000</v>
      </c>
      <c r="O1693" s="3">
        <f t="shared" si="133"/>
        <v>14.254600955203745</v>
      </c>
      <c r="P1693" s="3" t="str">
        <f t="shared" si="134"/>
        <v>Nov</v>
      </c>
      <c r="Q1693" s="3" t="str">
        <f t="shared" si="130"/>
        <v>good profit</v>
      </c>
    </row>
    <row r="1694" spans="1:17" x14ac:dyDescent="0.25">
      <c r="A1694" s="3" t="s">
        <v>962</v>
      </c>
      <c r="B1694" s="4">
        <v>45967</v>
      </c>
      <c r="C1694" s="3" t="s">
        <v>2022</v>
      </c>
      <c r="D1694" s="3" t="s">
        <v>2042</v>
      </c>
      <c r="E1694" s="3" t="s">
        <v>2053</v>
      </c>
      <c r="F1694" s="3" t="s">
        <v>2062</v>
      </c>
      <c r="G1694" s="3">
        <v>3</v>
      </c>
      <c r="H1694" s="3">
        <v>8500</v>
      </c>
      <c r="I1694" s="3">
        <v>9520</v>
      </c>
      <c r="J1694" s="3">
        <v>11.21</v>
      </c>
      <c r="K1694" s="3">
        <v>25359.119999999999</v>
      </c>
      <c r="L1694" s="3">
        <v>-140.88</v>
      </c>
      <c r="M1694" s="3">
        <f t="shared" si="131"/>
        <v>320157.60000000003</v>
      </c>
      <c r="N1694" s="3">
        <f t="shared" si="132"/>
        <v>25500</v>
      </c>
      <c r="O1694" s="3">
        <f t="shared" si="133"/>
        <v>-0.55553978213755051</v>
      </c>
      <c r="P1694" s="3" t="str">
        <f t="shared" si="134"/>
        <v>Nov</v>
      </c>
      <c r="Q1694" s="3" t="str">
        <f t="shared" si="130"/>
        <v>loss</v>
      </c>
    </row>
    <row r="1695" spans="1:17" x14ac:dyDescent="0.25">
      <c r="A1695" s="3" t="s">
        <v>1196</v>
      </c>
      <c r="B1695" s="4">
        <v>45967</v>
      </c>
      <c r="C1695" s="3" t="s">
        <v>2028</v>
      </c>
      <c r="D1695" s="3" t="s">
        <v>2048</v>
      </c>
      <c r="E1695" s="3" t="s">
        <v>2057</v>
      </c>
      <c r="F1695" s="3" t="s">
        <v>2061</v>
      </c>
      <c r="G1695" s="3">
        <v>4</v>
      </c>
      <c r="H1695" s="3">
        <v>80</v>
      </c>
      <c r="I1695" s="3">
        <v>116</v>
      </c>
      <c r="J1695" s="3">
        <v>16.059999999999999</v>
      </c>
      <c r="K1695" s="3">
        <v>389.46</v>
      </c>
      <c r="L1695" s="3">
        <v>69.459999999999994</v>
      </c>
      <c r="M1695" s="3">
        <f t="shared" si="131"/>
        <v>7451.8399999999992</v>
      </c>
      <c r="N1695" s="3">
        <f t="shared" si="132"/>
        <v>320</v>
      </c>
      <c r="O1695" s="3">
        <f t="shared" si="133"/>
        <v>17.834950957736353</v>
      </c>
      <c r="P1695" s="3" t="str">
        <f t="shared" si="134"/>
        <v>Nov</v>
      </c>
      <c r="Q1695" s="3" t="str">
        <f t="shared" si="130"/>
        <v>good profit</v>
      </c>
    </row>
    <row r="1696" spans="1:17" x14ac:dyDescent="0.25">
      <c r="A1696" s="3" t="s">
        <v>1466</v>
      </c>
      <c r="B1696" s="4">
        <v>45967</v>
      </c>
      <c r="C1696" s="3" t="s">
        <v>2019</v>
      </c>
      <c r="D1696" s="3" t="s">
        <v>2039</v>
      </c>
      <c r="E1696" s="3" t="s">
        <v>2053</v>
      </c>
      <c r="F1696" s="3" t="s">
        <v>2059</v>
      </c>
      <c r="G1696" s="3">
        <v>10</v>
      </c>
      <c r="H1696" s="3">
        <v>900</v>
      </c>
      <c r="I1696" s="3">
        <v>1152</v>
      </c>
      <c r="J1696" s="3">
        <v>7.2</v>
      </c>
      <c r="K1696" s="3">
        <v>10690.42</v>
      </c>
      <c r="L1696" s="3">
        <v>1690.42</v>
      </c>
      <c r="M1696" s="3">
        <f t="shared" si="131"/>
        <v>82944</v>
      </c>
      <c r="N1696" s="3">
        <f t="shared" si="132"/>
        <v>9000</v>
      </c>
      <c r="O1696" s="3">
        <f t="shared" si="133"/>
        <v>15.812475094523885</v>
      </c>
      <c r="P1696" s="3" t="str">
        <f t="shared" si="134"/>
        <v>Nov</v>
      </c>
      <c r="Q1696" s="3" t="str">
        <f t="shared" si="130"/>
        <v>good profit</v>
      </c>
    </row>
    <row r="1697" spans="1:17" x14ac:dyDescent="0.25">
      <c r="A1697" s="3" t="s">
        <v>1483</v>
      </c>
      <c r="B1697" s="4">
        <v>45967</v>
      </c>
      <c r="C1697" s="3" t="s">
        <v>2031</v>
      </c>
      <c r="D1697" s="3" t="s">
        <v>2051</v>
      </c>
      <c r="E1697" s="3" t="s">
        <v>2058</v>
      </c>
      <c r="F1697" s="3" t="s">
        <v>2062</v>
      </c>
      <c r="G1697" s="3">
        <v>4</v>
      </c>
      <c r="H1697" s="3">
        <v>3200</v>
      </c>
      <c r="I1697" s="3">
        <v>3840</v>
      </c>
      <c r="J1697" s="3">
        <v>8.0500000000000007</v>
      </c>
      <c r="K1697" s="3">
        <v>14123.84</v>
      </c>
      <c r="L1697" s="3">
        <v>1323.84</v>
      </c>
      <c r="M1697" s="3">
        <f t="shared" si="131"/>
        <v>123648.00000000001</v>
      </c>
      <c r="N1697" s="3">
        <f t="shared" si="132"/>
        <v>12800</v>
      </c>
      <c r="O1697" s="3">
        <f t="shared" si="133"/>
        <v>9.3730883385821411</v>
      </c>
      <c r="P1697" s="3" t="str">
        <f t="shared" si="134"/>
        <v>Nov</v>
      </c>
      <c r="Q1697" s="3" t="str">
        <f t="shared" si="130"/>
        <v>low profit</v>
      </c>
    </row>
    <row r="1698" spans="1:17" x14ac:dyDescent="0.25">
      <c r="A1698" s="3" t="s">
        <v>1864</v>
      </c>
      <c r="B1698" s="4">
        <v>45967</v>
      </c>
      <c r="C1698" s="3" t="s">
        <v>2014</v>
      </c>
      <c r="D1698" s="3" t="s">
        <v>2034</v>
      </c>
      <c r="E1698" s="3" t="s">
        <v>2052</v>
      </c>
      <c r="F1698" s="3" t="s">
        <v>2060</v>
      </c>
      <c r="G1698" s="3">
        <v>10</v>
      </c>
      <c r="H1698" s="3">
        <v>4500</v>
      </c>
      <c r="I1698" s="3">
        <v>5220</v>
      </c>
      <c r="J1698" s="3">
        <v>8.4700000000000006</v>
      </c>
      <c r="K1698" s="3">
        <v>47778.94</v>
      </c>
      <c r="L1698" s="3">
        <v>2778.94</v>
      </c>
      <c r="M1698" s="3">
        <f t="shared" si="131"/>
        <v>442134.00000000006</v>
      </c>
      <c r="N1698" s="3">
        <f t="shared" si="132"/>
        <v>45000</v>
      </c>
      <c r="O1698" s="3">
        <f t="shared" si="133"/>
        <v>5.8162445629810957</v>
      </c>
      <c r="P1698" s="3" t="str">
        <f t="shared" si="134"/>
        <v>Nov</v>
      </c>
      <c r="Q1698" s="3" t="str">
        <f t="shared" si="130"/>
        <v>low profit</v>
      </c>
    </row>
    <row r="1699" spans="1:17" x14ac:dyDescent="0.25">
      <c r="A1699" s="3" t="s">
        <v>2002</v>
      </c>
      <c r="B1699" s="4">
        <v>45967</v>
      </c>
      <c r="C1699" s="3" t="s">
        <v>2021</v>
      </c>
      <c r="D1699" s="3" t="s">
        <v>2041</v>
      </c>
      <c r="E1699" s="3" t="s">
        <v>2056</v>
      </c>
      <c r="F1699" s="3" t="s">
        <v>2061</v>
      </c>
      <c r="G1699" s="3">
        <v>9</v>
      </c>
      <c r="H1699" s="3">
        <v>300</v>
      </c>
      <c r="I1699" s="3">
        <v>405</v>
      </c>
      <c r="J1699" s="3">
        <v>8.2899999999999991</v>
      </c>
      <c r="K1699" s="3">
        <v>3342.96</v>
      </c>
      <c r="L1699" s="3">
        <v>642.96</v>
      </c>
      <c r="M1699" s="3">
        <f t="shared" si="131"/>
        <v>30217.049999999996</v>
      </c>
      <c r="N1699" s="3">
        <f t="shared" si="132"/>
        <v>2700</v>
      </c>
      <c r="O1699" s="3">
        <f t="shared" si="133"/>
        <v>19.233254361404263</v>
      </c>
      <c r="P1699" s="3" t="str">
        <f t="shared" si="134"/>
        <v>Nov</v>
      </c>
      <c r="Q1699" s="3" t="str">
        <f t="shared" si="130"/>
        <v>good profit</v>
      </c>
    </row>
    <row r="1700" spans="1:17" x14ac:dyDescent="0.25">
      <c r="A1700" s="3" t="s">
        <v>21</v>
      </c>
      <c r="B1700" s="4">
        <v>45968</v>
      </c>
      <c r="C1700" s="3" t="s">
        <v>2018</v>
      </c>
      <c r="D1700" s="3" t="s">
        <v>2038</v>
      </c>
      <c r="E1700" s="3" t="s">
        <v>2053</v>
      </c>
      <c r="F1700" s="3" t="s">
        <v>2062</v>
      </c>
      <c r="G1700" s="3">
        <v>10</v>
      </c>
      <c r="H1700" s="3">
        <v>500</v>
      </c>
      <c r="I1700" s="3">
        <v>610</v>
      </c>
      <c r="J1700" s="3">
        <v>24.94</v>
      </c>
      <c r="K1700" s="3">
        <v>4578.37</v>
      </c>
      <c r="L1700" s="3">
        <v>-421.63</v>
      </c>
      <c r="M1700" s="3">
        <f t="shared" si="131"/>
        <v>152134</v>
      </c>
      <c r="N1700" s="3">
        <f t="shared" si="132"/>
        <v>5000</v>
      </c>
      <c r="O1700" s="3">
        <f t="shared" si="133"/>
        <v>-9.2091726968331518</v>
      </c>
      <c r="P1700" s="3" t="str">
        <f t="shared" si="134"/>
        <v>Nov</v>
      </c>
      <c r="Q1700" s="3" t="str">
        <f t="shared" si="130"/>
        <v>loss</v>
      </c>
    </row>
    <row r="1701" spans="1:17" x14ac:dyDescent="0.25">
      <c r="A1701" s="3" t="s">
        <v>70</v>
      </c>
      <c r="B1701" s="4">
        <v>45968</v>
      </c>
      <c r="C1701" s="3" t="s">
        <v>2020</v>
      </c>
      <c r="D1701" s="3" t="s">
        <v>2040</v>
      </c>
      <c r="E1701" s="3" t="s">
        <v>2053</v>
      </c>
      <c r="F1701" s="3" t="s">
        <v>2060</v>
      </c>
      <c r="G1701" s="3">
        <v>5</v>
      </c>
      <c r="H1701" s="3">
        <v>350</v>
      </c>
      <c r="I1701" s="3">
        <v>455</v>
      </c>
      <c r="J1701" s="3">
        <v>0</v>
      </c>
      <c r="K1701" s="3">
        <v>2275</v>
      </c>
      <c r="L1701" s="3">
        <v>525</v>
      </c>
      <c r="M1701" s="3">
        <f t="shared" si="131"/>
        <v>0</v>
      </c>
      <c r="N1701" s="3">
        <f t="shared" si="132"/>
        <v>1750</v>
      </c>
      <c r="O1701" s="3">
        <f t="shared" si="133"/>
        <v>23.076923076923077</v>
      </c>
      <c r="P1701" s="3" t="str">
        <f t="shared" si="134"/>
        <v>Nov</v>
      </c>
      <c r="Q1701" s="3" t="str">
        <f t="shared" si="130"/>
        <v>good profit</v>
      </c>
    </row>
    <row r="1702" spans="1:17" x14ac:dyDescent="0.25">
      <c r="A1702" s="3" t="s">
        <v>911</v>
      </c>
      <c r="B1702" s="4">
        <v>45968</v>
      </c>
      <c r="C1702" s="3" t="s">
        <v>2017</v>
      </c>
      <c r="D1702" s="3" t="s">
        <v>2037</v>
      </c>
      <c r="E1702" s="3" t="s">
        <v>2055</v>
      </c>
      <c r="F1702" s="3" t="s">
        <v>2061</v>
      </c>
      <c r="G1702" s="3">
        <v>3</v>
      </c>
      <c r="H1702" s="3">
        <v>2500</v>
      </c>
      <c r="I1702" s="3">
        <v>2875</v>
      </c>
      <c r="J1702" s="3">
        <v>0</v>
      </c>
      <c r="K1702" s="3">
        <v>8625</v>
      </c>
      <c r="L1702" s="3">
        <v>1125</v>
      </c>
      <c r="M1702" s="3">
        <f t="shared" si="131"/>
        <v>0</v>
      </c>
      <c r="N1702" s="3">
        <f t="shared" si="132"/>
        <v>7500</v>
      </c>
      <c r="O1702" s="3">
        <f t="shared" si="133"/>
        <v>13.043478260869565</v>
      </c>
      <c r="P1702" s="3" t="str">
        <f t="shared" si="134"/>
        <v>Nov</v>
      </c>
      <c r="Q1702" s="3" t="str">
        <f t="shared" si="130"/>
        <v>good profit</v>
      </c>
    </row>
    <row r="1703" spans="1:17" x14ac:dyDescent="0.25">
      <c r="A1703" s="3" t="s">
        <v>1049</v>
      </c>
      <c r="B1703" s="4">
        <v>45968</v>
      </c>
      <c r="C1703" s="3" t="s">
        <v>2014</v>
      </c>
      <c r="D1703" s="3" t="s">
        <v>2034</v>
      </c>
      <c r="E1703" s="3" t="s">
        <v>2052</v>
      </c>
      <c r="F1703" s="3" t="s">
        <v>2059</v>
      </c>
      <c r="G1703" s="3">
        <v>5</v>
      </c>
      <c r="H1703" s="3">
        <v>4500</v>
      </c>
      <c r="I1703" s="3">
        <v>5220</v>
      </c>
      <c r="J1703" s="3">
        <v>18.8</v>
      </c>
      <c r="K1703" s="3">
        <v>21192.22</v>
      </c>
      <c r="L1703" s="3">
        <v>-1307.78</v>
      </c>
      <c r="M1703" s="3">
        <f t="shared" si="131"/>
        <v>490680</v>
      </c>
      <c r="N1703" s="3">
        <f t="shared" si="132"/>
        <v>22500</v>
      </c>
      <c r="O1703" s="3">
        <f t="shared" si="133"/>
        <v>-6.1710382395048748</v>
      </c>
      <c r="P1703" s="3" t="str">
        <f t="shared" si="134"/>
        <v>Nov</v>
      </c>
      <c r="Q1703" s="3" t="str">
        <f t="shared" si="130"/>
        <v>loss</v>
      </c>
    </row>
    <row r="1704" spans="1:17" x14ac:dyDescent="0.25">
      <c r="A1704" s="3" t="s">
        <v>1671</v>
      </c>
      <c r="B1704" s="4">
        <v>45968</v>
      </c>
      <c r="C1704" s="3" t="s">
        <v>2014</v>
      </c>
      <c r="D1704" s="3" t="s">
        <v>2034</v>
      </c>
      <c r="E1704" s="3" t="s">
        <v>2052</v>
      </c>
      <c r="F1704" s="3" t="s">
        <v>2061</v>
      </c>
      <c r="G1704" s="3">
        <v>4</v>
      </c>
      <c r="H1704" s="3">
        <v>4500</v>
      </c>
      <c r="I1704" s="3">
        <v>5220</v>
      </c>
      <c r="J1704" s="3">
        <v>6.45</v>
      </c>
      <c r="K1704" s="3">
        <v>19534.150000000001</v>
      </c>
      <c r="L1704" s="3">
        <v>1534.15</v>
      </c>
      <c r="M1704" s="3">
        <f t="shared" si="131"/>
        <v>134676</v>
      </c>
      <c r="N1704" s="3">
        <f t="shared" si="132"/>
        <v>18000</v>
      </c>
      <c r="O1704" s="3">
        <f t="shared" si="133"/>
        <v>7.8536818853136676</v>
      </c>
      <c r="P1704" s="3" t="str">
        <f t="shared" si="134"/>
        <v>Nov</v>
      </c>
      <c r="Q1704" s="3" t="str">
        <f t="shared" si="130"/>
        <v>low profit</v>
      </c>
    </row>
    <row r="1705" spans="1:17" x14ac:dyDescent="0.25">
      <c r="A1705" s="3" t="s">
        <v>413</v>
      </c>
      <c r="B1705" s="4">
        <v>45969</v>
      </c>
      <c r="C1705" s="3" t="s">
        <v>2025</v>
      </c>
      <c r="D1705" s="3" t="s">
        <v>2045</v>
      </c>
      <c r="E1705" s="3" t="s">
        <v>2057</v>
      </c>
      <c r="F1705" s="3" t="s">
        <v>2060</v>
      </c>
      <c r="G1705" s="3">
        <v>10</v>
      </c>
      <c r="H1705" s="3">
        <v>45</v>
      </c>
      <c r="I1705" s="3">
        <v>63</v>
      </c>
      <c r="J1705" s="3">
        <v>13.28</v>
      </c>
      <c r="K1705" s="3">
        <v>546.33000000000004</v>
      </c>
      <c r="L1705" s="3">
        <v>96.33</v>
      </c>
      <c r="M1705" s="3">
        <f t="shared" si="131"/>
        <v>8366.4</v>
      </c>
      <c r="N1705" s="3">
        <f t="shared" si="132"/>
        <v>450</v>
      </c>
      <c r="O1705" s="3">
        <f t="shared" si="133"/>
        <v>17.632200318488824</v>
      </c>
      <c r="P1705" s="3" t="str">
        <f t="shared" si="134"/>
        <v>Nov</v>
      </c>
      <c r="Q1705" s="3" t="str">
        <f t="shared" si="130"/>
        <v>good profit</v>
      </c>
    </row>
    <row r="1706" spans="1:17" x14ac:dyDescent="0.25">
      <c r="A1706" s="3" t="s">
        <v>944</v>
      </c>
      <c r="B1706" s="4">
        <v>45969</v>
      </c>
      <c r="C1706" s="3" t="s">
        <v>2014</v>
      </c>
      <c r="D1706" s="3" t="s">
        <v>2034</v>
      </c>
      <c r="E1706" s="3" t="s">
        <v>2052</v>
      </c>
      <c r="F1706" s="3" t="s">
        <v>2062</v>
      </c>
      <c r="G1706" s="3">
        <v>7</v>
      </c>
      <c r="H1706" s="3">
        <v>4500</v>
      </c>
      <c r="I1706" s="3">
        <v>5220</v>
      </c>
      <c r="J1706" s="3">
        <v>11.46</v>
      </c>
      <c r="K1706" s="3">
        <v>32352.99</v>
      </c>
      <c r="L1706" s="3">
        <v>852.99</v>
      </c>
      <c r="M1706" s="3">
        <f t="shared" si="131"/>
        <v>418748.4</v>
      </c>
      <c r="N1706" s="3">
        <f t="shared" si="132"/>
        <v>31500</v>
      </c>
      <c r="O1706" s="3">
        <f t="shared" si="133"/>
        <v>2.6365105667204172</v>
      </c>
      <c r="P1706" s="3" t="str">
        <f t="shared" si="134"/>
        <v>Nov</v>
      </c>
      <c r="Q1706" s="3" t="str">
        <f t="shared" si="130"/>
        <v>low profit</v>
      </c>
    </row>
    <row r="1707" spans="1:17" x14ac:dyDescent="0.25">
      <c r="A1707" s="3" t="s">
        <v>1580</v>
      </c>
      <c r="B1707" s="4">
        <v>45969</v>
      </c>
      <c r="C1707" s="3" t="s">
        <v>2020</v>
      </c>
      <c r="D1707" s="3" t="s">
        <v>2040</v>
      </c>
      <c r="E1707" s="3" t="s">
        <v>2053</v>
      </c>
      <c r="F1707" s="3" t="s">
        <v>2059</v>
      </c>
      <c r="G1707" s="3">
        <v>1</v>
      </c>
      <c r="H1707" s="3">
        <v>350</v>
      </c>
      <c r="I1707" s="3">
        <v>455</v>
      </c>
      <c r="J1707" s="3">
        <v>19.07</v>
      </c>
      <c r="K1707" s="3">
        <v>368.22</v>
      </c>
      <c r="L1707" s="3">
        <v>18.22</v>
      </c>
      <c r="M1707" s="3">
        <f t="shared" si="131"/>
        <v>8676.85</v>
      </c>
      <c r="N1707" s="3">
        <f t="shared" si="132"/>
        <v>350</v>
      </c>
      <c r="O1707" s="3">
        <f t="shared" si="133"/>
        <v>4.9481288360219429</v>
      </c>
      <c r="P1707" s="3" t="str">
        <f t="shared" si="134"/>
        <v>Nov</v>
      </c>
      <c r="Q1707" s="3" t="str">
        <f t="shared" si="130"/>
        <v>low profit</v>
      </c>
    </row>
    <row r="1708" spans="1:17" x14ac:dyDescent="0.25">
      <c r="A1708" s="3" t="s">
        <v>1777</v>
      </c>
      <c r="B1708" s="4">
        <v>45969</v>
      </c>
      <c r="C1708" s="3" t="s">
        <v>2014</v>
      </c>
      <c r="D1708" s="3" t="s">
        <v>2034</v>
      </c>
      <c r="E1708" s="3" t="s">
        <v>2052</v>
      </c>
      <c r="F1708" s="3" t="s">
        <v>2061</v>
      </c>
      <c r="G1708" s="3">
        <v>9</v>
      </c>
      <c r="H1708" s="3">
        <v>4500</v>
      </c>
      <c r="I1708" s="3">
        <v>5220</v>
      </c>
      <c r="J1708" s="3">
        <v>24.66</v>
      </c>
      <c r="K1708" s="3">
        <v>35393.519999999997</v>
      </c>
      <c r="L1708" s="3">
        <v>-5106.4799999999996</v>
      </c>
      <c r="M1708" s="3">
        <f t="shared" si="131"/>
        <v>1158526.8</v>
      </c>
      <c r="N1708" s="3">
        <f t="shared" si="132"/>
        <v>40500</v>
      </c>
      <c r="O1708" s="3">
        <f t="shared" si="133"/>
        <v>-14.427725753188719</v>
      </c>
      <c r="P1708" s="3" t="str">
        <f t="shared" si="134"/>
        <v>Nov</v>
      </c>
      <c r="Q1708" s="3" t="str">
        <f t="shared" si="130"/>
        <v>loss</v>
      </c>
    </row>
    <row r="1709" spans="1:17" x14ac:dyDescent="0.25">
      <c r="A1709" s="3" t="s">
        <v>479</v>
      </c>
      <c r="B1709" s="4">
        <v>45970</v>
      </c>
      <c r="C1709" s="3" t="s">
        <v>2013</v>
      </c>
      <c r="D1709" s="3" t="s">
        <v>2033</v>
      </c>
      <c r="E1709" s="3" t="s">
        <v>2053</v>
      </c>
      <c r="F1709" s="3" t="s">
        <v>2060</v>
      </c>
      <c r="G1709" s="3">
        <v>3</v>
      </c>
      <c r="H1709" s="3">
        <v>6500</v>
      </c>
      <c r="I1709" s="3">
        <v>7150</v>
      </c>
      <c r="J1709" s="3">
        <v>21.56</v>
      </c>
      <c r="K1709" s="3">
        <v>16825.86</v>
      </c>
      <c r="L1709" s="3">
        <v>-2674.14</v>
      </c>
      <c r="M1709" s="3">
        <f t="shared" si="131"/>
        <v>462462</v>
      </c>
      <c r="N1709" s="3">
        <f t="shared" si="132"/>
        <v>19500</v>
      </c>
      <c r="O1709" s="3">
        <f t="shared" si="133"/>
        <v>-15.893036076610645</v>
      </c>
      <c r="P1709" s="3" t="str">
        <f t="shared" si="134"/>
        <v>Nov</v>
      </c>
      <c r="Q1709" s="3" t="str">
        <f t="shared" si="130"/>
        <v>loss</v>
      </c>
    </row>
    <row r="1710" spans="1:17" x14ac:dyDescent="0.25">
      <c r="A1710" s="3" t="s">
        <v>529</v>
      </c>
      <c r="B1710" s="4">
        <v>45970</v>
      </c>
      <c r="C1710" s="3" t="s">
        <v>2022</v>
      </c>
      <c r="D1710" s="3" t="s">
        <v>2042</v>
      </c>
      <c r="E1710" s="3" t="s">
        <v>2053</v>
      </c>
      <c r="F1710" s="3" t="s">
        <v>2060</v>
      </c>
      <c r="G1710" s="3">
        <v>2</v>
      </c>
      <c r="H1710" s="3">
        <v>8500</v>
      </c>
      <c r="I1710" s="3">
        <v>9520</v>
      </c>
      <c r="J1710" s="3">
        <v>13.12</v>
      </c>
      <c r="K1710" s="3">
        <v>16542.47</v>
      </c>
      <c r="L1710" s="3">
        <v>-457.53</v>
      </c>
      <c r="M1710" s="3">
        <f t="shared" si="131"/>
        <v>249804.79999999999</v>
      </c>
      <c r="N1710" s="3">
        <f t="shared" si="132"/>
        <v>17000</v>
      </c>
      <c r="O1710" s="3">
        <f t="shared" si="133"/>
        <v>-2.765790114777297</v>
      </c>
      <c r="P1710" s="3" t="str">
        <f t="shared" si="134"/>
        <v>Nov</v>
      </c>
      <c r="Q1710" s="3" t="str">
        <f t="shared" si="130"/>
        <v>loss</v>
      </c>
    </row>
    <row r="1711" spans="1:17" x14ac:dyDescent="0.25">
      <c r="A1711" s="3" t="s">
        <v>582</v>
      </c>
      <c r="B1711" s="4">
        <v>45970</v>
      </c>
      <c r="C1711" s="3" t="s">
        <v>2026</v>
      </c>
      <c r="D1711" s="3" t="s">
        <v>2046</v>
      </c>
      <c r="E1711" s="3" t="s">
        <v>2052</v>
      </c>
      <c r="F1711" s="3" t="s">
        <v>2061</v>
      </c>
      <c r="G1711" s="3">
        <v>10</v>
      </c>
      <c r="H1711" s="3">
        <v>3000</v>
      </c>
      <c r="I1711" s="3">
        <v>3600</v>
      </c>
      <c r="J1711" s="3">
        <v>11.84</v>
      </c>
      <c r="K1711" s="3">
        <v>31738.5</v>
      </c>
      <c r="L1711" s="3">
        <v>1738.5</v>
      </c>
      <c r="M1711" s="3">
        <f t="shared" si="131"/>
        <v>426240</v>
      </c>
      <c r="N1711" s="3">
        <f t="shared" si="132"/>
        <v>30000</v>
      </c>
      <c r="O1711" s="3">
        <f t="shared" si="133"/>
        <v>5.4775745545630699</v>
      </c>
      <c r="P1711" s="3" t="str">
        <f t="shared" si="134"/>
        <v>Nov</v>
      </c>
      <c r="Q1711" s="3" t="str">
        <f t="shared" si="130"/>
        <v>low profit</v>
      </c>
    </row>
    <row r="1712" spans="1:17" x14ac:dyDescent="0.25">
      <c r="A1712" s="3" t="s">
        <v>793</v>
      </c>
      <c r="B1712" s="4">
        <v>45970</v>
      </c>
      <c r="C1712" s="3" t="s">
        <v>2013</v>
      </c>
      <c r="D1712" s="3" t="s">
        <v>2033</v>
      </c>
      <c r="E1712" s="3" t="s">
        <v>2053</v>
      </c>
      <c r="F1712" s="3" t="s">
        <v>2061</v>
      </c>
      <c r="G1712" s="3">
        <v>3</v>
      </c>
      <c r="H1712" s="3">
        <v>6500</v>
      </c>
      <c r="I1712" s="3">
        <v>7150</v>
      </c>
      <c r="J1712" s="3">
        <v>15.37</v>
      </c>
      <c r="K1712" s="3">
        <v>18152.27</v>
      </c>
      <c r="L1712" s="3">
        <v>-1347.73</v>
      </c>
      <c r="M1712" s="3">
        <f t="shared" si="131"/>
        <v>329686.5</v>
      </c>
      <c r="N1712" s="3">
        <f t="shared" si="132"/>
        <v>19500</v>
      </c>
      <c r="O1712" s="3">
        <f t="shared" si="133"/>
        <v>-7.4245810579062557</v>
      </c>
      <c r="P1712" s="3" t="str">
        <f t="shared" si="134"/>
        <v>Nov</v>
      </c>
      <c r="Q1712" s="3" t="str">
        <f t="shared" si="130"/>
        <v>loss</v>
      </c>
    </row>
    <row r="1713" spans="1:17" x14ac:dyDescent="0.25">
      <c r="A1713" s="3" t="s">
        <v>1082</v>
      </c>
      <c r="B1713" s="4">
        <v>45970</v>
      </c>
      <c r="C1713" s="3" t="s">
        <v>2030</v>
      </c>
      <c r="D1713" s="3" t="s">
        <v>2050</v>
      </c>
      <c r="E1713" s="3" t="s">
        <v>2058</v>
      </c>
      <c r="F1713" s="3" t="s">
        <v>2061</v>
      </c>
      <c r="G1713" s="3">
        <v>6</v>
      </c>
      <c r="H1713" s="3">
        <v>1800</v>
      </c>
      <c r="I1713" s="3">
        <v>2124</v>
      </c>
      <c r="J1713" s="3">
        <v>15.78</v>
      </c>
      <c r="K1713" s="3">
        <v>10732.73</v>
      </c>
      <c r="L1713" s="3">
        <v>-67.27</v>
      </c>
      <c r="M1713" s="3">
        <f t="shared" si="131"/>
        <v>201100.31999999998</v>
      </c>
      <c r="N1713" s="3">
        <f t="shared" si="132"/>
        <v>10800</v>
      </c>
      <c r="O1713" s="3">
        <f t="shared" si="133"/>
        <v>-0.62677436216135129</v>
      </c>
      <c r="P1713" s="3" t="str">
        <f t="shared" si="134"/>
        <v>Nov</v>
      </c>
      <c r="Q1713" s="3" t="str">
        <f t="shared" si="130"/>
        <v>loss</v>
      </c>
    </row>
    <row r="1714" spans="1:17" x14ac:dyDescent="0.25">
      <c r="A1714" s="3" t="s">
        <v>1351</v>
      </c>
      <c r="B1714" s="4">
        <v>45970</v>
      </c>
      <c r="C1714" s="3" t="s">
        <v>2029</v>
      </c>
      <c r="D1714" s="3" t="s">
        <v>2049</v>
      </c>
      <c r="E1714" s="3" t="s">
        <v>2055</v>
      </c>
      <c r="F1714" s="3" t="s">
        <v>2059</v>
      </c>
      <c r="G1714" s="3">
        <v>6</v>
      </c>
      <c r="H1714" s="3">
        <v>1200</v>
      </c>
      <c r="I1714" s="3">
        <v>1464</v>
      </c>
      <c r="J1714" s="3">
        <v>19.649999999999999</v>
      </c>
      <c r="K1714" s="3">
        <v>7057.88</v>
      </c>
      <c r="L1714" s="3">
        <v>-142.12</v>
      </c>
      <c r="M1714" s="3">
        <f t="shared" si="131"/>
        <v>172605.59999999998</v>
      </c>
      <c r="N1714" s="3">
        <f t="shared" si="132"/>
        <v>7200</v>
      </c>
      <c r="O1714" s="3">
        <f t="shared" si="133"/>
        <v>-2.0136358226549618</v>
      </c>
      <c r="P1714" s="3" t="str">
        <f t="shared" si="134"/>
        <v>Nov</v>
      </c>
      <c r="Q1714" s="3" t="str">
        <f t="shared" si="130"/>
        <v>loss</v>
      </c>
    </row>
    <row r="1715" spans="1:17" x14ac:dyDescent="0.25">
      <c r="A1715" s="3" t="s">
        <v>1491</v>
      </c>
      <c r="B1715" s="4">
        <v>45970</v>
      </c>
      <c r="C1715" s="3" t="s">
        <v>2030</v>
      </c>
      <c r="D1715" s="3" t="s">
        <v>2050</v>
      </c>
      <c r="E1715" s="3" t="s">
        <v>2058</v>
      </c>
      <c r="F1715" s="3" t="s">
        <v>2059</v>
      </c>
      <c r="G1715" s="3">
        <v>1</v>
      </c>
      <c r="H1715" s="3">
        <v>1800</v>
      </c>
      <c r="I1715" s="3">
        <v>2124</v>
      </c>
      <c r="J1715" s="3">
        <v>20.68</v>
      </c>
      <c r="K1715" s="3">
        <v>1684.74</v>
      </c>
      <c r="L1715" s="3">
        <v>-115.26</v>
      </c>
      <c r="M1715" s="3">
        <f t="shared" si="131"/>
        <v>43924.32</v>
      </c>
      <c r="N1715" s="3">
        <f t="shared" si="132"/>
        <v>1800</v>
      </c>
      <c r="O1715" s="3">
        <f t="shared" si="133"/>
        <v>-6.8414117311870086</v>
      </c>
      <c r="P1715" s="3" t="str">
        <f t="shared" si="134"/>
        <v>Nov</v>
      </c>
      <c r="Q1715" s="3" t="str">
        <f t="shared" si="130"/>
        <v>loss</v>
      </c>
    </row>
    <row r="1716" spans="1:17" x14ac:dyDescent="0.25">
      <c r="A1716" s="3" t="s">
        <v>1547</v>
      </c>
      <c r="B1716" s="4">
        <v>45970</v>
      </c>
      <c r="C1716" s="3" t="s">
        <v>2029</v>
      </c>
      <c r="D1716" s="3" t="s">
        <v>2049</v>
      </c>
      <c r="E1716" s="3" t="s">
        <v>2055</v>
      </c>
      <c r="F1716" s="3" t="s">
        <v>2059</v>
      </c>
      <c r="G1716" s="3">
        <v>6</v>
      </c>
      <c r="H1716" s="3">
        <v>1200</v>
      </c>
      <c r="I1716" s="3">
        <v>1464</v>
      </c>
      <c r="J1716" s="3">
        <v>4.43</v>
      </c>
      <c r="K1716" s="3">
        <v>8394.7000000000007</v>
      </c>
      <c r="L1716" s="3">
        <v>1194.7</v>
      </c>
      <c r="M1716" s="3">
        <f t="shared" si="131"/>
        <v>38913.119999999995</v>
      </c>
      <c r="N1716" s="3">
        <f t="shared" si="132"/>
        <v>7200</v>
      </c>
      <c r="O1716" s="3">
        <f t="shared" si="133"/>
        <v>14.231598508582795</v>
      </c>
      <c r="P1716" s="3" t="str">
        <f t="shared" si="134"/>
        <v>Nov</v>
      </c>
      <c r="Q1716" s="3" t="str">
        <f t="shared" si="130"/>
        <v>good profit</v>
      </c>
    </row>
    <row r="1717" spans="1:17" x14ac:dyDescent="0.25">
      <c r="A1717" s="3" t="s">
        <v>1827</v>
      </c>
      <c r="B1717" s="4">
        <v>45970</v>
      </c>
      <c r="C1717" s="3" t="s">
        <v>2015</v>
      </c>
      <c r="D1717" s="3" t="s">
        <v>2035</v>
      </c>
      <c r="E1717" s="3" t="s">
        <v>2054</v>
      </c>
      <c r="F1717" s="3" t="s">
        <v>2060</v>
      </c>
      <c r="G1717" s="3">
        <v>10</v>
      </c>
      <c r="H1717" s="3">
        <v>900</v>
      </c>
      <c r="I1717" s="3">
        <v>1170</v>
      </c>
      <c r="J1717" s="3">
        <v>15.47</v>
      </c>
      <c r="K1717" s="3">
        <v>9889.9</v>
      </c>
      <c r="L1717" s="3">
        <v>889.9</v>
      </c>
      <c r="M1717" s="3">
        <f t="shared" si="131"/>
        <v>180999</v>
      </c>
      <c r="N1717" s="3">
        <f t="shared" si="132"/>
        <v>9000</v>
      </c>
      <c r="O1717" s="3">
        <f t="shared" si="133"/>
        <v>8.9980687367920815</v>
      </c>
      <c r="P1717" s="3" t="str">
        <f t="shared" si="134"/>
        <v>Nov</v>
      </c>
      <c r="Q1717" s="3" t="str">
        <f t="shared" si="130"/>
        <v>low profit</v>
      </c>
    </row>
    <row r="1718" spans="1:17" x14ac:dyDescent="0.25">
      <c r="A1718" s="3" t="s">
        <v>1833</v>
      </c>
      <c r="B1718" s="4">
        <v>45970</v>
      </c>
      <c r="C1718" s="3" t="s">
        <v>2012</v>
      </c>
      <c r="D1718" s="3" t="s">
        <v>2032</v>
      </c>
      <c r="E1718" s="3" t="s">
        <v>2052</v>
      </c>
      <c r="F1718" s="3" t="s">
        <v>2059</v>
      </c>
      <c r="G1718" s="3">
        <v>9</v>
      </c>
      <c r="H1718" s="3">
        <v>6500</v>
      </c>
      <c r="I1718" s="3">
        <v>8125</v>
      </c>
      <c r="J1718" s="3">
        <v>28.42</v>
      </c>
      <c r="K1718" s="3">
        <v>52339.9</v>
      </c>
      <c r="L1718" s="3">
        <v>-6160.1</v>
      </c>
      <c r="M1718" s="3">
        <f t="shared" si="131"/>
        <v>2078212.5000000002</v>
      </c>
      <c r="N1718" s="3">
        <f t="shared" si="132"/>
        <v>58500</v>
      </c>
      <c r="O1718" s="3">
        <f t="shared" si="133"/>
        <v>-11.769414920548186</v>
      </c>
      <c r="P1718" s="3" t="str">
        <f t="shared" si="134"/>
        <v>Nov</v>
      </c>
      <c r="Q1718" s="3" t="str">
        <f t="shared" si="130"/>
        <v>loss</v>
      </c>
    </row>
    <row r="1719" spans="1:17" x14ac:dyDescent="0.25">
      <c r="A1719" s="3" t="s">
        <v>1903</v>
      </c>
      <c r="B1719" s="4">
        <v>45970</v>
      </c>
      <c r="C1719" s="3" t="s">
        <v>2021</v>
      </c>
      <c r="D1719" s="3" t="s">
        <v>2041</v>
      </c>
      <c r="E1719" s="3" t="s">
        <v>2056</v>
      </c>
      <c r="F1719" s="3" t="s">
        <v>2062</v>
      </c>
      <c r="G1719" s="3">
        <v>3</v>
      </c>
      <c r="H1719" s="3">
        <v>300</v>
      </c>
      <c r="I1719" s="3">
        <v>405</v>
      </c>
      <c r="J1719" s="3">
        <v>5.89</v>
      </c>
      <c r="K1719" s="3">
        <v>1143.44</v>
      </c>
      <c r="L1719" s="3">
        <v>243.44</v>
      </c>
      <c r="M1719" s="3">
        <f t="shared" si="131"/>
        <v>7156.3499999999995</v>
      </c>
      <c r="N1719" s="3">
        <f t="shared" si="132"/>
        <v>900</v>
      </c>
      <c r="O1719" s="3">
        <f t="shared" si="133"/>
        <v>21.290142027565938</v>
      </c>
      <c r="P1719" s="3" t="str">
        <f t="shared" si="134"/>
        <v>Nov</v>
      </c>
      <c r="Q1719" s="3" t="str">
        <f t="shared" si="130"/>
        <v>good profit</v>
      </c>
    </row>
    <row r="1720" spans="1:17" x14ac:dyDescent="0.25">
      <c r="A1720" s="3" t="s">
        <v>1960</v>
      </c>
      <c r="B1720" s="4">
        <v>45970</v>
      </c>
      <c r="C1720" s="3" t="s">
        <v>2020</v>
      </c>
      <c r="D1720" s="3" t="s">
        <v>2040</v>
      </c>
      <c r="E1720" s="3" t="s">
        <v>2053</v>
      </c>
      <c r="F1720" s="3" t="s">
        <v>2059</v>
      </c>
      <c r="G1720" s="3">
        <v>8</v>
      </c>
      <c r="H1720" s="3">
        <v>350</v>
      </c>
      <c r="I1720" s="3">
        <v>455</v>
      </c>
      <c r="J1720" s="3">
        <v>12.28</v>
      </c>
      <c r="K1720" s="3">
        <v>3192.83</v>
      </c>
      <c r="L1720" s="3">
        <v>392.83</v>
      </c>
      <c r="M1720" s="3">
        <f t="shared" si="131"/>
        <v>44699.199999999997</v>
      </c>
      <c r="N1720" s="3">
        <f t="shared" si="132"/>
        <v>2800</v>
      </c>
      <c r="O1720" s="3">
        <f t="shared" si="133"/>
        <v>12.303505040982451</v>
      </c>
      <c r="P1720" s="3" t="str">
        <f t="shared" si="134"/>
        <v>Nov</v>
      </c>
      <c r="Q1720" s="3" t="str">
        <f t="shared" si="130"/>
        <v>good profit</v>
      </c>
    </row>
    <row r="1721" spans="1:17" x14ac:dyDescent="0.25">
      <c r="A1721" s="3" t="s">
        <v>191</v>
      </c>
      <c r="B1721" s="4">
        <v>45971</v>
      </c>
      <c r="C1721" s="3" t="s">
        <v>2021</v>
      </c>
      <c r="D1721" s="3" t="s">
        <v>2041</v>
      </c>
      <c r="E1721" s="3" t="s">
        <v>2056</v>
      </c>
      <c r="F1721" s="3" t="s">
        <v>2060</v>
      </c>
      <c r="G1721" s="3">
        <v>3</v>
      </c>
      <c r="H1721" s="3">
        <v>300</v>
      </c>
      <c r="I1721" s="3">
        <v>405</v>
      </c>
      <c r="J1721" s="3">
        <v>17.48</v>
      </c>
      <c r="K1721" s="3">
        <v>1002.56</v>
      </c>
      <c r="L1721" s="3">
        <v>102.56</v>
      </c>
      <c r="M1721" s="3">
        <f t="shared" si="131"/>
        <v>21238.2</v>
      </c>
      <c r="N1721" s="3">
        <f t="shared" si="132"/>
        <v>900</v>
      </c>
      <c r="O1721" s="3">
        <f t="shared" si="133"/>
        <v>10.229811682093841</v>
      </c>
      <c r="P1721" s="3" t="str">
        <f t="shared" si="134"/>
        <v>Nov</v>
      </c>
      <c r="Q1721" s="3" t="str">
        <f t="shared" si="130"/>
        <v>good profit</v>
      </c>
    </row>
    <row r="1722" spans="1:17" x14ac:dyDescent="0.25">
      <c r="A1722" s="3" t="s">
        <v>235</v>
      </c>
      <c r="B1722" s="4">
        <v>45971</v>
      </c>
      <c r="C1722" s="3" t="s">
        <v>2026</v>
      </c>
      <c r="D1722" s="3" t="s">
        <v>2046</v>
      </c>
      <c r="E1722" s="3" t="s">
        <v>2052</v>
      </c>
      <c r="F1722" s="3" t="s">
        <v>2061</v>
      </c>
      <c r="G1722" s="3">
        <v>6</v>
      </c>
      <c r="H1722" s="3">
        <v>3000</v>
      </c>
      <c r="I1722" s="3">
        <v>3600</v>
      </c>
      <c r="J1722" s="3">
        <v>7.23</v>
      </c>
      <c r="K1722" s="3">
        <v>20038.61</v>
      </c>
      <c r="L1722" s="3">
        <v>2038.61</v>
      </c>
      <c r="M1722" s="3">
        <f t="shared" si="131"/>
        <v>156168</v>
      </c>
      <c r="N1722" s="3">
        <f t="shared" si="132"/>
        <v>18000</v>
      </c>
      <c r="O1722" s="3">
        <f t="shared" si="133"/>
        <v>10.173410231547996</v>
      </c>
      <c r="P1722" s="3" t="str">
        <f t="shared" si="134"/>
        <v>Nov</v>
      </c>
      <c r="Q1722" s="3" t="str">
        <f t="shared" si="130"/>
        <v>good profit</v>
      </c>
    </row>
    <row r="1723" spans="1:17" x14ac:dyDescent="0.25">
      <c r="A1723" s="3" t="s">
        <v>264</v>
      </c>
      <c r="B1723" s="4">
        <v>45971</v>
      </c>
      <c r="C1723" s="3" t="s">
        <v>2026</v>
      </c>
      <c r="D1723" s="3" t="s">
        <v>2046</v>
      </c>
      <c r="E1723" s="3" t="s">
        <v>2052</v>
      </c>
      <c r="F1723" s="3" t="s">
        <v>2060</v>
      </c>
      <c r="G1723" s="3">
        <v>6</v>
      </c>
      <c r="H1723" s="3">
        <v>3000</v>
      </c>
      <c r="I1723" s="3">
        <v>3600</v>
      </c>
      <c r="J1723" s="3">
        <v>6.84</v>
      </c>
      <c r="K1723" s="3">
        <v>20122.689999999999</v>
      </c>
      <c r="L1723" s="3">
        <v>2122.69</v>
      </c>
      <c r="M1723" s="3">
        <f t="shared" si="131"/>
        <v>147744</v>
      </c>
      <c r="N1723" s="3">
        <f t="shared" si="132"/>
        <v>18000</v>
      </c>
      <c r="O1723" s="3">
        <f t="shared" si="133"/>
        <v>10.548738762064119</v>
      </c>
      <c r="P1723" s="3" t="str">
        <f t="shared" si="134"/>
        <v>Nov</v>
      </c>
      <c r="Q1723" s="3" t="str">
        <f t="shared" si="130"/>
        <v>good profit</v>
      </c>
    </row>
    <row r="1724" spans="1:17" x14ac:dyDescent="0.25">
      <c r="A1724" s="3" t="s">
        <v>402</v>
      </c>
      <c r="B1724" s="4">
        <v>45971</v>
      </c>
      <c r="C1724" s="3" t="s">
        <v>2026</v>
      </c>
      <c r="D1724" s="3" t="s">
        <v>2046</v>
      </c>
      <c r="E1724" s="3" t="s">
        <v>2052</v>
      </c>
      <c r="F1724" s="3" t="s">
        <v>2061</v>
      </c>
      <c r="G1724" s="3">
        <v>10</v>
      </c>
      <c r="H1724" s="3">
        <v>3000</v>
      </c>
      <c r="I1724" s="3">
        <v>3600</v>
      </c>
      <c r="J1724" s="3">
        <v>6.69</v>
      </c>
      <c r="K1724" s="3">
        <v>33591.24</v>
      </c>
      <c r="L1724" s="3">
        <v>3591.24</v>
      </c>
      <c r="M1724" s="3">
        <f t="shared" si="131"/>
        <v>240840</v>
      </c>
      <c r="N1724" s="3">
        <f t="shared" si="132"/>
        <v>30000</v>
      </c>
      <c r="O1724" s="3">
        <f t="shared" si="133"/>
        <v>10.691001582555453</v>
      </c>
      <c r="P1724" s="3" t="str">
        <f t="shared" si="134"/>
        <v>Nov</v>
      </c>
      <c r="Q1724" s="3" t="str">
        <f t="shared" si="130"/>
        <v>good profit</v>
      </c>
    </row>
    <row r="1725" spans="1:17" x14ac:dyDescent="0.25">
      <c r="A1725" s="3" t="s">
        <v>461</v>
      </c>
      <c r="B1725" s="4">
        <v>45971</v>
      </c>
      <c r="C1725" s="3" t="s">
        <v>2027</v>
      </c>
      <c r="D1725" s="3" t="s">
        <v>2047</v>
      </c>
      <c r="E1725" s="3" t="s">
        <v>2053</v>
      </c>
      <c r="F1725" s="3" t="s">
        <v>2062</v>
      </c>
      <c r="G1725" s="3">
        <v>5</v>
      </c>
      <c r="H1725" s="3">
        <v>1100</v>
      </c>
      <c r="I1725" s="3">
        <v>1298</v>
      </c>
      <c r="J1725" s="3">
        <v>7.2</v>
      </c>
      <c r="K1725" s="3">
        <v>6022.81</v>
      </c>
      <c r="L1725" s="3">
        <v>522.80999999999995</v>
      </c>
      <c r="M1725" s="3">
        <f t="shared" si="131"/>
        <v>46728</v>
      </c>
      <c r="N1725" s="3">
        <f t="shared" si="132"/>
        <v>5500</v>
      </c>
      <c r="O1725" s="3">
        <f t="shared" si="133"/>
        <v>8.6804996338918201</v>
      </c>
      <c r="P1725" s="3" t="str">
        <f t="shared" si="134"/>
        <v>Nov</v>
      </c>
      <c r="Q1725" s="3" t="str">
        <f t="shared" si="130"/>
        <v>low profit</v>
      </c>
    </row>
    <row r="1726" spans="1:17" x14ac:dyDescent="0.25">
      <c r="A1726" s="3" t="s">
        <v>584</v>
      </c>
      <c r="B1726" s="4">
        <v>45971</v>
      </c>
      <c r="C1726" s="3" t="s">
        <v>2021</v>
      </c>
      <c r="D1726" s="3" t="s">
        <v>2041</v>
      </c>
      <c r="E1726" s="3" t="s">
        <v>2056</v>
      </c>
      <c r="F1726" s="3" t="s">
        <v>2061</v>
      </c>
      <c r="G1726" s="3">
        <v>2</v>
      </c>
      <c r="H1726" s="3">
        <v>300</v>
      </c>
      <c r="I1726" s="3">
        <v>405</v>
      </c>
      <c r="J1726" s="3">
        <v>11.51</v>
      </c>
      <c r="K1726" s="3">
        <v>716.74</v>
      </c>
      <c r="L1726" s="3">
        <v>116.74</v>
      </c>
      <c r="M1726" s="3">
        <f t="shared" si="131"/>
        <v>9323.1</v>
      </c>
      <c r="N1726" s="3">
        <f t="shared" si="132"/>
        <v>600</v>
      </c>
      <c r="O1726" s="3">
        <f t="shared" si="133"/>
        <v>16.287635683790494</v>
      </c>
      <c r="P1726" s="3" t="str">
        <f t="shared" si="134"/>
        <v>Nov</v>
      </c>
      <c r="Q1726" s="3" t="str">
        <f t="shared" si="130"/>
        <v>good profit</v>
      </c>
    </row>
    <row r="1727" spans="1:17" x14ac:dyDescent="0.25">
      <c r="A1727" s="3" t="s">
        <v>758</v>
      </c>
      <c r="B1727" s="4">
        <v>45971</v>
      </c>
      <c r="C1727" s="3" t="s">
        <v>2031</v>
      </c>
      <c r="D1727" s="3" t="s">
        <v>2051</v>
      </c>
      <c r="E1727" s="3" t="s">
        <v>2058</v>
      </c>
      <c r="F1727" s="3" t="s">
        <v>2060</v>
      </c>
      <c r="G1727" s="3">
        <v>4</v>
      </c>
      <c r="H1727" s="3">
        <v>3200</v>
      </c>
      <c r="I1727" s="3">
        <v>3840</v>
      </c>
      <c r="J1727" s="3">
        <v>5.62</v>
      </c>
      <c r="K1727" s="3">
        <v>14497.04</v>
      </c>
      <c r="L1727" s="3">
        <v>1697.04</v>
      </c>
      <c r="M1727" s="3">
        <f t="shared" si="131"/>
        <v>86323.199999999997</v>
      </c>
      <c r="N1727" s="3">
        <f t="shared" si="132"/>
        <v>12800</v>
      </c>
      <c r="O1727" s="3">
        <f t="shared" si="133"/>
        <v>11.706113799782575</v>
      </c>
      <c r="P1727" s="3" t="str">
        <f t="shared" si="134"/>
        <v>Nov</v>
      </c>
      <c r="Q1727" s="3" t="str">
        <f t="shared" si="130"/>
        <v>good profit</v>
      </c>
    </row>
    <row r="1728" spans="1:17" x14ac:dyDescent="0.25">
      <c r="A1728" s="3" t="s">
        <v>1849</v>
      </c>
      <c r="B1728" s="4">
        <v>45971</v>
      </c>
      <c r="C1728" s="3" t="s">
        <v>2030</v>
      </c>
      <c r="D1728" s="3" t="s">
        <v>2050</v>
      </c>
      <c r="E1728" s="3" t="s">
        <v>2058</v>
      </c>
      <c r="F1728" s="3" t="s">
        <v>2059</v>
      </c>
      <c r="G1728" s="3">
        <v>2</v>
      </c>
      <c r="H1728" s="3">
        <v>1800</v>
      </c>
      <c r="I1728" s="3">
        <v>2124</v>
      </c>
      <c r="J1728" s="3">
        <v>5.72</v>
      </c>
      <c r="K1728" s="3">
        <v>4005.06</v>
      </c>
      <c r="L1728" s="3">
        <v>405.06</v>
      </c>
      <c r="M1728" s="3">
        <f t="shared" si="131"/>
        <v>24298.559999999998</v>
      </c>
      <c r="N1728" s="3">
        <f t="shared" si="132"/>
        <v>3600</v>
      </c>
      <c r="O1728" s="3">
        <f t="shared" si="133"/>
        <v>10.113706161705442</v>
      </c>
      <c r="P1728" s="3" t="str">
        <f t="shared" si="134"/>
        <v>Nov</v>
      </c>
      <c r="Q1728" s="3" t="str">
        <f t="shared" si="130"/>
        <v>good profit</v>
      </c>
    </row>
    <row r="1729" spans="1:17" x14ac:dyDescent="0.25">
      <c r="A1729" s="3" t="s">
        <v>1933</v>
      </c>
      <c r="B1729" s="4">
        <v>45971</v>
      </c>
      <c r="C1729" s="3" t="s">
        <v>2018</v>
      </c>
      <c r="D1729" s="3" t="s">
        <v>2038</v>
      </c>
      <c r="E1729" s="3" t="s">
        <v>2053</v>
      </c>
      <c r="F1729" s="3" t="s">
        <v>2062</v>
      </c>
      <c r="G1729" s="3">
        <v>6</v>
      </c>
      <c r="H1729" s="3">
        <v>500</v>
      </c>
      <c r="I1729" s="3">
        <v>610</v>
      </c>
      <c r="J1729" s="3">
        <v>1.56</v>
      </c>
      <c r="K1729" s="3">
        <v>3602.89</v>
      </c>
      <c r="L1729" s="3">
        <v>602.89</v>
      </c>
      <c r="M1729" s="3">
        <f t="shared" si="131"/>
        <v>5709.6</v>
      </c>
      <c r="N1729" s="3">
        <f t="shared" si="132"/>
        <v>3000</v>
      </c>
      <c r="O1729" s="3">
        <f t="shared" si="133"/>
        <v>16.733511153546182</v>
      </c>
      <c r="P1729" s="3" t="str">
        <f t="shared" si="134"/>
        <v>Nov</v>
      </c>
      <c r="Q1729" s="3" t="str">
        <f t="shared" si="130"/>
        <v>good profit</v>
      </c>
    </row>
    <row r="1730" spans="1:17" x14ac:dyDescent="0.25">
      <c r="A1730" s="3" t="s">
        <v>315</v>
      </c>
      <c r="B1730" s="4">
        <v>45972</v>
      </c>
      <c r="C1730" s="3" t="s">
        <v>2030</v>
      </c>
      <c r="D1730" s="3" t="s">
        <v>2050</v>
      </c>
      <c r="E1730" s="3" t="s">
        <v>2058</v>
      </c>
      <c r="F1730" s="3" t="s">
        <v>2061</v>
      </c>
      <c r="G1730" s="3">
        <v>9</v>
      </c>
      <c r="H1730" s="3">
        <v>1800</v>
      </c>
      <c r="I1730" s="3">
        <v>2124</v>
      </c>
      <c r="J1730" s="3">
        <v>8.83</v>
      </c>
      <c r="K1730" s="3">
        <v>17428.66</v>
      </c>
      <c r="L1730" s="3">
        <v>1228.6600000000001</v>
      </c>
      <c r="M1730" s="3">
        <f t="shared" si="131"/>
        <v>168794.28</v>
      </c>
      <c r="N1730" s="3">
        <f t="shared" si="132"/>
        <v>16200</v>
      </c>
      <c r="O1730" s="3">
        <f t="shared" si="133"/>
        <v>7.0496526984862875</v>
      </c>
      <c r="P1730" s="3" t="str">
        <f t="shared" si="134"/>
        <v>Nov</v>
      </c>
      <c r="Q1730" s="3" t="str">
        <f t="shared" ref="Q1730:Q1793" si="135">IF(L1730&lt;0,"loss",IF(O1730&lt;10,"low profit","good profit"))</f>
        <v>low profit</v>
      </c>
    </row>
    <row r="1731" spans="1:17" x14ac:dyDescent="0.25">
      <c r="A1731" s="3" t="s">
        <v>1123</v>
      </c>
      <c r="B1731" s="4">
        <v>45972</v>
      </c>
      <c r="C1731" s="3" t="s">
        <v>2030</v>
      </c>
      <c r="D1731" s="3" t="s">
        <v>2050</v>
      </c>
      <c r="E1731" s="3" t="s">
        <v>2058</v>
      </c>
      <c r="F1731" s="3" t="s">
        <v>2062</v>
      </c>
      <c r="G1731" s="3">
        <v>10</v>
      </c>
      <c r="H1731" s="3">
        <v>1800</v>
      </c>
      <c r="I1731" s="3">
        <v>2124</v>
      </c>
      <c r="J1731" s="3">
        <v>4</v>
      </c>
      <c r="K1731" s="3">
        <v>20390.400000000001</v>
      </c>
      <c r="L1731" s="3">
        <v>2390.4</v>
      </c>
      <c r="M1731" s="3">
        <f t="shared" ref="M1731:M1794" si="136">G1731*I1731*J1731</f>
        <v>84960</v>
      </c>
      <c r="N1731" s="3">
        <f t="shared" ref="N1731:N1794" si="137">G1731*H1731</f>
        <v>18000</v>
      </c>
      <c r="O1731" s="3">
        <f t="shared" ref="O1731:O1794" si="138">IFERROR(L1731/K1731*100,0)</f>
        <v>11.72316384180791</v>
      </c>
      <c r="P1731" s="3" t="str">
        <f t="shared" ref="P1731:P1794" si="139">TEXT(B1731,"mmm")</f>
        <v>Nov</v>
      </c>
      <c r="Q1731" s="3" t="str">
        <f t="shared" si="135"/>
        <v>good profit</v>
      </c>
    </row>
    <row r="1732" spans="1:17" x14ac:dyDescent="0.25">
      <c r="A1732" s="3" t="s">
        <v>1764</v>
      </c>
      <c r="B1732" s="4">
        <v>45972</v>
      </c>
      <c r="C1732" s="3" t="s">
        <v>2013</v>
      </c>
      <c r="D1732" s="3" t="s">
        <v>2033</v>
      </c>
      <c r="E1732" s="3" t="s">
        <v>2053</v>
      </c>
      <c r="F1732" s="3" t="s">
        <v>2059</v>
      </c>
      <c r="G1732" s="3">
        <v>8</v>
      </c>
      <c r="H1732" s="3">
        <v>6500</v>
      </c>
      <c r="I1732" s="3">
        <v>7150</v>
      </c>
      <c r="J1732" s="3">
        <v>14.96</v>
      </c>
      <c r="K1732" s="3">
        <v>48642.15</v>
      </c>
      <c r="L1732" s="3">
        <v>-3357.85</v>
      </c>
      <c r="M1732" s="3">
        <f t="shared" si="136"/>
        <v>855712</v>
      </c>
      <c r="N1732" s="3">
        <f t="shared" si="137"/>
        <v>52000</v>
      </c>
      <c r="O1732" s="3">
        <f t="shared" si="138"/>
        <v>-6.9031693705973103</v>
      </c>
      <c r="P1732" s="3" t="str">
        <f t="shared" si="139"/>
        <v>Nov</v>
      </c>
      <c r="Q1732" s="3" t="str">
        <f t="shared" si="135"/>
        <v>loss</v>
      </c>
    </row>
    <row r="1733" spans="1:17" x14ac:dyDescent="0.25">
      <c r="A1733" s="3" t="s">
        <v>1940</v>
      </c>
      <c r="B1733" s="4">
        <v>45972</v>
      </c>
      <c r="C1733" s="3" t="s">
        <v>2023</v>
      </c>
      <c r="D1733" s="3" t="s">
        <v>2043</v>
      </c>
      <c r="E1733" s="3" t="s">
        <v>2053</v>
      </c>
      <c r="F1733" s="3" t="s">
        <v>2061</v>
      </c>
      <c r="G1733" s="3">
        <v>1</v>
      </c>
      <c r="H1733" s="3">
        <v>550</v>
      </c>
      <c r="I1733" s="3">
        <v>742.5</v>
      </c>
      <c r="J1733" s="3">
        <v>0.94</v>
      </c>
      <c r="K1733" s="3">
        <v>735.52</v>
      </c>
      <c r="L1733" s="3">
        <v>185.52</v>
      </c>
      <c r="M1733" s="3">
        <f t="shared" si="136"/>
        <v>697.94999999999993</v>
      </c>
      <c r="N1733" s="3">
        <f t="shared" si="137"/>
        <v>550</v>
      </c>
      <c r="O1733" s="3">
        <f t="shared" si="138"/>
        <v>25.222971503154234</v>
      </c>
      <c r="P1733" s="3" t="str">
        <f t="shared" si="139"/>
        <v>Nov</v>
      </c>
      <c r="Q1733" s="3" t="str">
        <f t="shared" si="135"/>
        <v>good profit</v>
      </c>
    </row>
    <row r="1734" spans="1:17" x14ac:dyDescent="0.25">
      <c r="A1734" s="3" t="s">
        <v>74</v>
      </c>
      <c r="B1734" s="4">
        <v>45973</v>
      </c>
      <c r="C1734" s="3" t="s">
        <v>2026</v>
      </c>
      <c r="D1734" s="3" t="s">
        <v>2046</v>
      </c>
      <c r="E1734" s="3" t="s">
        <v>2052</v>
      </c>
      <c r="F1734" s="3" t="s">
        <v>2060</v>
      </c>
      <c r="G1734" s="3">
        <v>2</v>
      </c>
      <c r="H1734" s="3">
        <v>3000</v>
      </c>
      <c r="I1734" s="3">
        <v>3600</v>
      </c>
      <c r="J1734" s="3">
        <v>21.17</v>
      </c>
      <c r="K1734" s="3">
        <v>5675.65</v>
      </c>
      <c r="L1734" s="3">
        <v>-324.35000000000002</v>
      </c>
      <c r="M1734" s="3">
        <f t="shared" si="136"/>
        <v>152424</v>
      </c>
      <c r="N1734" s="3">
        <f t="shared" si="137"/>
        <v>6000</v>
      </c>
      <c r="O1734" s="3">
        <f t="shared" si="138"/>
        <v>-5.7147639477416687</v>
      </c>
      <c r="P1734" s="3" t="str">
        <f t="shared" si="139"/>
        <v>Nov</v>
      </c>
      <c r="Q1734" s="3" t="str">
        <f t="shared" si="135"/>
        <v>loss</v>
      </c>
    </row>
    <row r="1735" spans="1:17" x14ac:dyDescent="0.25">
      <c r="A1735" s="3" t="s">
        <v>131</v>
      </c>
      <c r="B1735" s="4">
        <v>45973</v>
      </c>
      <c r="C1735" s="3" t="s">
        <v>2017</v>
      </c>
      <c r="D1735" s="3" t="s">
        <v>2037</v>
      </c>
      <c r="E1735" s="3" t="s">
        <v>2055</v>
      </c>
      <c r="F1735" s="3" t="s">
        <v>2060</v>
      </c>
      <c r="G1735" s="3">
        <v>3</v>
      </c>
      <c r="H1735" s="3">
        <v>2500</v>
      </c>
      <c r="I1735" s="3">
        <v>2875</v>
      </c>
      <c r="J1735" s="3">
        <v>10.1</v>
      </c>
      <c r="K1735" s="3">
        <v>7753.75</v>
      </c>
      <c r="L1735" s="3">
        <v>253.75</v>
      </c>
      <c r="M1735" s="3">
        <f t="shared" si="136"/>
        <v>87112.5</v>
      </c>
      <c r="N1735" s="3">
        <f t="shared" si="137"/>
        <v>7500</v>
      </c>
      <c r="O1735" s="3">
        <f t="shared" si="138"/>
        <v>3.2726100274060941</v>
      </c>
      <c r="P1735" s="3" t="str">
        <f t="shared" si="139"/>
        <v>Nov</v>
      </c>
      <c r="Q1735" s="3" t="str">
        <f t="shared" si="135"/>
        <v>low profit</v>
      </c>
    </row>
    <row r="1736" spans="1:17" x14ac:dyDescent="0.25">
      <c r="A1736" s="3" t="s">
        <v>535</v>
      </c>
      <c r="B1736" s="4">
        <v>45973</v>
      </c>
      <c r="C1736" s="3" t="s">
        <v>2013</v>
      </c>
      <c r="D1736" s="3" t="s">
        <v>2033</v>
      </c>
      <c r="E1736" s="3" t="s">
        <v>2053</v>
      </c>
      <c r="F1736" s="3" t="s">
        <v>2059</v>
      </c>
      <c r="G1736" s="3">
        <v>6</v>
      </c>
      <c r="H1736" s="3">
        <v>6500</v>
      </c>
      <c r="I1736" s="3">
        <v>7150</v>
      </c>
      <c r="J1736" s="3">
        <v>4</v>
      </c>
      <c r="K1736" s="3">
        <v>41184</v>
      </c>
      <c r="L1736" s="3">
        <v>2184</v>
      </c>
      <c r="M1736" s="3">
        <f t="shared" si="136"/>
        <v>171600</v>
      </c>
      <c r="N1736" s="3">
        <f t="shared" si="137"/>
        <v>39000</v>
      </c>
      <c r="O1736" s="3">
        <f t="shared" si="138"/>
        <v>5.3030303030303028</v>
      </c>
      <c r="P1736" s="3" t="str">
        <f t="shared" si="139"/>
        <v>Nov</v>
      </c>
      <c r="Q1736" s="3" t="str">
        <f t="shared" si="135"/>
        <v>low profit</v>
      </c>
    </row>
    <row r="1737" spans="1:17" x14ac:dyDescent="0.25">
      <c r="A1737" s="3" t="s">
        <v>686</v>
      </c>
      <c r="B1737" s="4">
        <v>45973</v>
      </c>
      <c r="C1737" s="3" t="s">
        <v>2025</v>
      </c>
      <c r="D1737" s="3" t="s">
        <v>2045</v>
      </c>
      <c r="E1737" s="3" t="s">
        <v>2057</v>
      </c>
      <c r="F1737" s="3" t="s">
        <v>2061</v>
      </c>
      <c r="G1737" s="3">
        <v>5</v>
      </c>
      <c r="H1737" s="3">
        <v>45</v>
      </c>
      <c r="I1737" s="3">
        <v>63</v>
      </c>
      <c r="J1737" s="3">
        <v>9.98</v>
      </c>
      <c r="K1737" s="3">
        <v>283.55</v>
      </c>
      <c r="L1737" s="3">
        <v>58.55</v>
      </c>
      <c r="M1737" s="3">
        <f t="shared" si="136"/>
        <v>3143.7000000000003</v>
      </c>
      <c r="N1737" s="3">
        <f t="shared" si="137"/>
        <v>225</v>
      </c>
      <c r="O1737" s="3">
        <f t="shared" si="138"/>
        <v>20.648915535178979</v>
      </c>
      <c r="P1737" s="3" t="str">
        <f t="shared" si="139"/>
        <v>Nov</v>
      </c>
      <c r="Q1737" s="3" t="str">
        <f t="shared" si="135"/>
        <v>good profit</v>
      </c>
    </row>
    <row r="1738" spans="1:17" x14ac:dyDescent="0.25">
      <c r="A1738" s="3" t="s">
        <v>1423</v>
      </c>
      <c r="B1738" s="4">
        <v>45973</v>
      </c>
      <c r="C1738" s="3" t="s">
        <v>2012</v>
      </c>
      <c r="D1738" s="3" t="s">
        <v>2032</v>
      </c>
      <c r="E1738" s="3" t="s">
        <v>2052</v>
      </c>
      <c r="F1738" s="3" t="s">
        <v>2060</v>
      </c>
      <c r="G1738" s="3">
        <v>6</v>
      </c>
      <c r="H1738" s="3">
        <v>6500</v>
      </c>
      <c r="I1738" s="3">
        <v>8125</v>
      </c>
      <c r="J1738" s="3">
        <v>23.56</v>
      </c>
      <c r="K1738" s="3">
        <v>37263.980000000003</v>
      </c>
      <c r="L1738" s="3">
        <v>-1736.02</v>
      </c>
      <c r="M1738" s="3">
        <f t="shared" si="136"/>
        <v>1148550</v>
      </c>
      <c r="N1738" s="3">
        <f t="shared" si="137"/>
        <v>39000</v>
      </c>
      <c r="O1738" s="3">
        <f t="shared" si="138"/>
        <v>-4.6587079533640798</v>
      </c>
      <c r="P1738" s="3" t="str">
        <f t="shared" si="139"/>
        <v>Nov</v>
      </c>
      <c r="Q1738" s="3" t="str">
        <f t="shared" si="135"/>
        <v>loss</v>
      </c>
    </row>
    <row r="1739" spans="1:17" x14ac:dyDescent="0.25">
      <c r="A1739" s="3" t="s">
        <v>843</v>
      </c>
      <c r="B1739" s="4">
        <v>45974</v>
      </c>
      <c r="C1739" s="3" t="s">
        <v>2031</v>
      </c>
      <c r="D1739" s="3" t="s">
        <v>2051</v>
      </c>
      <c r="E1739" s="3" t="s">
        <v>2058</v>
      </c>
      <c r="F1739" s="3" t="s">
        <v>2061</v>
      </c>
      <c r="G1739" s="3">
        <v>8</v>
      </c>
      <c r="H1739" s="3">
        <v>3200</v>
      </c>
      <c r="I1739" s="3">
        <v>3840</v>
      </c>
      <c r="J1739" s="3">
        <v>17.48</v>
      </c>
      <c r="K1739" s="3">
        <v>25351.279999999999</v>
      </c>
      <c r="L1739" s="3">
        <v>-248.72</v>
      </c>
      <c r="M1739" s="3">
        <f t="shared" si="136"/>
        <v>536985.59999999998</v>
      </c>
      <c r="N1739" s="3">
        <f t="shared" si="137"/>
        <v>25600</v>
      </c>
      <c r="O1739" s="3">
        <f t="shared" si="138"/>
        <v>-0.98109444572423954</v>
      </c>
      <c r="P1739" s="3" t="str">
        <f t="shared" si="139"/>
        <v>Nov</v>
      </c>
      <c r="Q1739" s="3" t="str">
        <f t="shared" si="135"/>
        <v>loss</v>
      </c>
    </row>
    <row r="1740" spans="1:17" x14ac:dyDescent="0.25">
      <c r="A1740" s="3" t="s">
        <v>1838</v>
      </c>
      <c r="B1740" s="4">
        <v>45974</v>
      </c>
      <c r="C1740" s="3" t="s">
        <v>2024</v>
      </c>
      <c r="D1740" s="3" t="s">
        <v>2044</v>
      </c>
      <c r="E1740" s="3" t="s">
        <v>2055</v>
      </c>
      <c r="F1740" s="3" t="s">
        <v>2059</v>
      </c>
      <c r="G1740" s="3">
        <v>10</v>
      </c>
      <c r="H1740" s="3">
        <v>180</v>
      </c>
      <c r="I1740" s="3">
        <v>243</v>
      </c>
      <c r="J1740" s="3">
        <v>6.46</v>
      </c>
      <c r="K1740" s="3">
        <v>2273.02</v>
      </c>
      <c r="L1740" s="3">
        <v>473.02</v>
      </c>
      <c r="M1740" s="3">
        <f t="shared" si="136"/>
        <v>15697.8</v>
      </c>
      <c r="N1740" s="3">
        <f t="shared" si="137"/>
        <v>1800</v>
      </c>
      <c r="O1740" s="3">
        <f t="shared" si="138"/>
        <v>20.810199646285557</v>
      </c>
      <c r="P1740" s="3" t="str">
        <f t="shared" si="139"/>
        <v>Nov</v>
      </c>
      <c r="Q1740" s="3" t="str">
        <f t="shared" si="135"/>
        <v>good profit</v>
      </c>
    </row>
    <row r="1741" spans="1:17" x14ac:dyDescent="0.25">
      <c r="A1741" s="3" t="s">
        <v>959</v>
      </c>
      <c r="B1741" s="4">
        <v>45975</v>
      </c>
      <c r="C1741" s="3" t="s">
        <v>2015</v>
      </c>
      <c r="D1741" s="3" t="s">
        <v>2035</v>
      </c>
      <c r="E1741" s="3" t="s">
        <v>2054</v>
      </c>
      <c r="F1741" s="3" t="s">
        <v>2061</v>
      </c>
      <c r="G1741" s="3">
        <v>1</v>
      </c>
      <c r="H1741" s="3">
        <v>900</v>
      </c>
      <c r="I1741" s="3">
        <v>1170</v>
      </c>
      <c r="J1741" s="3">
        <v>13.69</v>
      </c>
      <c r="K1741" s="3">
        <v>1009.8</v>
      </c>
      <c r="L1741" s="3">
        <v>109.8</v>
      </c>
      <c r="M1741" s="3">
        <f t="shared" si="136"/>
        <v>16017.3</v>
      </c>
      <c r="N1741" s="3">
        <f t="shared" si="137"/>
        <v>900</v>
      </c>
      <c r="O1741" s="3">
        <f t="shared" si="138"/>
        <v>10.873440285204991</v>
      </c>
      <c r="P1741" s="3" t="str">
        <f t="shared" si="139"/>
        <v>Nov</v>
      </c>
      <c r="Q1741" s="3" t="str">
        <f t="shared" si="135"/>
        <v>good profit</v>
      </c>
    </row>
    <row r="1742" spans="1:17" x14ac:dyDescent="0.25">
      <c r="A1742" s="3" t="s">
        <v>1825</v>
      </c>
      <c r="B1742" s="4">
        <v>45975</v>
      </c>
      <c r="C1742" s="3" t="s">
        <v>2017</v>
      </c>
      <c r="D1742" s="3" t="s">
        <v>2037</v>
      </c>
      <c r="E1742" s="3" t="s">
        <v>2055</v>
      </c>
      <c r="F1742" s="3" t="s">
        <v>2060</v>
      </c>
      <c r="G1742" s="3">
        <v>7</v>
      </c>
      <c r="H1742" s="3">
        <v>2500</v>
      </c>
      <c r="I1742" s="3">
        <v>2875</v>
      </c>
      <c r="J1742" s="3">
        <v>17.059999999999999</v>
      </c>
      <c r="K1742" s="3">
        <v>16691.099999999999</v>
      </c>
      <c r="L1742" s="3">
        <v>-808.9</v>
      </c>
      <c r="M1742" s="3">
        <f t="shared" si="136"/>
        <v>343332.5</v>
      </c>
      <c r="N1742" s="3">
        <f t="shared" si="137"/>
        <v>17500</v>
      </c>
      <c r="O1742" s="3">
        <f t="shared" si="138"/>
        <v>-4.846295331044689</v>
      </c>
      <c r="P1742" s="3" t="str">
        <f t="shared" si="139"/>
        <v>Nov</v>
      </c>
      <c r="Q1742" s="3" t="str">
        <f t="shared" si="135"/>
        <v>loss</v>
      </c>
    </row>
    <row r="1743" spans="1:17" x14ac:dyDescent="0.25">
      <c r="A1743" s="3" t="s">
        <v>1986</v>
      </c>
      <c r="B1743" s="4">
        <v>45975</v>
      </c>
      <c r="C1743" s="3" t="s">
        <v>2016</v>
      </c>
      <c r="D1743" s="3" t="s">
        <v>2036</v>
      </c>
      <c r="E1743" s="3" t="s">
        <v>2052</v>
      </c>
      <c r="F1743" s="3" t="s">
        <v>2061</v>
      </c>
      <c r="G1743" s="3">
        <v>3</v>
      </c>
      <c r="H1743" s="3">
        <v>900</v>
      </c>
      <c r="I1743" s="3">
        <v>1170</v>
      </c>
      <c r="J1743" s="3">
        <v>0</v>
      </c>
      <c r="K1743" s="3">
        <v>3510</v>
      </c>
      <c r="L1743" s="3">
        <v>810</v>
      </c>
      <c r="M1743" s="3">
        <f t="shared" si="136"/>
        <v>0</v>
      </c>
      <c r="N1743" s="3">
        <f t="shared" si="137"/>
        <v>2700</v>
      </c>
      <c r="O1743" s="3">
        <f t="shared" si="138"/>
        <v>23.076923076923077</v>
      </c>
      <c r="P1743" s="3" t="str">
        <f t="shared" si="139"/>
        <v>Nov</v>
      </c>
      <c r="Q1743" s="3" t="str">
        <f t="shared" si="135"/>
        <v>good profit</v>
      </c>
    </row>
    <row r="1744" spans="1:17" x14ac:dyDescent="0.25">
      <c r="A1744" s="3" t="s">
        <v>455</v>
      </c>
      <c r="B1744" s="4">
        <v>45976</v>
      </c>
      <c r="C1744" s="3" t="s">
        <v>2029</v>
      </c>
      <c r="D1744" s="3" t="s">
        <v>2049</v>
      </c>
      <c r="E1744" s="3" t="s">
        <v>2055</v>
      </c>
      <c r="F1744" s="3" t="s">
        <v>2060</v>
      </c>
      <c r="G1744" s="3">
        <v>10</v>
      </c>
      <c r="H1744" s="3">
        <v>1200</v>
      </c>
      <c r="I1744" s="3">
        <v>1464</v>
      </c>
      <c r="J1744" s="3">
        <v>1.86</v>
      </c>
      <c r="K1744" s="3">
        <v>14368.32</v>
      </c>
      <c r="L1744" s="3">
        <v>2368.3200000000002</v>
      </c>
      <c r="M1744" s="3">
        <f t="shared" si="136"/>
        <v>27230.400000000001</v>
      </c>
      <c r="N1744" s="3">
        <f t="shared" si="137"/>
        <v>12000</v>
      </c>
      <c r="O1744" s="3">
        <f t="shared" si="138"/>
        <v>16.482929110710231</v>
      </c>
      <c r="P1744" s="3" t="str">
        <f t="shared" si="139"/>
        <v>Nov</v>
      </c>
      <c r="Q1744" s="3" t="str">
        <f t="shared" si="135"/>
        <v>good profit</v>
      </c>
    </row>
    <row r="1745" spans="1:17" x14ac:dyDescent="0.25">
      <c r="A1745" s="3" t="s">
        <v>473</v>
      </c>
      <c r="B1745" s="4">
        <v>45976</v>
      </c>
      <c r="C1745" s="3" t="s">
        <v>2024</v>
      </c>
      <c r="D1745" s="3" t="s">
        <v>2044</v>
      </c>
      <c r="E1745" s="3" t="s">
        <v>2055</v>
      </c>
      <c r="F1745" s="3" t="s">
        <v>2060</v>
      </c>
      <c r="G1745" s="3">
        <v>10</v>
      </c>
      <c r="H1745" s="3">
        <v>180</v>
      </c>
      <c r="I1745" s="3">
        <v>243</v>
      </c>
      <c r="J1745" s="3">
        <v>12.08</v>
      </c>
      <c r="K1745" s="3">
        <v>2136.4699999999998</v>
      </c>
      <c r="L1745" s="3">
        <v>336.47</v>
      </c>
      <c r="M1745" s="3">
        <f t="shared" si="136"/>
        <v>29354.400000000001</v>
      </c>
      <c r="N1745" s="3">
        <f t="shared" si="137"/>
        <v>1800</v>
      </c>
      <c r="O1745" s="3">
        <f t="shared" si="138"/>
        <v>15.748875481518581</v>
      </c>
      <c r="P1745" s="3" t="str">
        <f t="shared" si="139"/>
        <v>Nov</v>
      </c>
      <c r="Q1745" s="3" t="str">
        <f t="shared" si="135"/>
        <v>good profit</v>
      </c>
    </row>
    <row r="1746" spans="1:17" x14ac:dyDescent="0.25">
      <c r="A1746" s="3" t="s">
        <v>638</v>
      </c>
      <c r="B1746" s="4">
        <v>45976</v>
      </c>
      <c r="C1746" s="3" t="s">
        <v>2025</v>
      </c>
      <c r="D1746" s="3" t="s">
        <v>2045</v>
      </c>
      <c r="E1746" s="3" t="s">
        <v>2057</v>
      </c>
      <c r="F1746" s="3" t="s">
        <v>2062</v>
      </c>
      <c r="G1746" s="3">
        <v>10</v>
      </c>
      <c r="H1746" s="3">
        <v>45</v>
      </c>
      <c r="I1746" s="3">
        <v>63</v>
      </c>
      <c r="J1746" s="3">
        <v>0.66</v>
      </c>
      <c r="K1746" s="3">
        <v>625.80999999999995</v>
      </c>
      <c r="L1746" s="3">
        <v>175.81</v>
      </c>
      <c r="M1746" s="3">
        <f t="shared" si="136"/>
        <v>415.8</v>
      </c>
      <c r="N1746" s="3">
        <f t="shared" si="137"/>
        <v>450</v>
      </c>
      <c r="O1746" s="3">
        <f t="shared" si="138"/>
        <v>28.093191224173474</v>
      </c>
      <c r="P1746" s="3" t="str">
        <f t="shared" si="139"/>
        <v>Nov</v>
      </c>
      <c r="Q1746" s="3" t="str">
        <f t="shared" si="135"/>
        <v>good profit</v>
      </c>
    </row>
    <row r="1747" spans="1:17" x14ac:dyDescent="0.25">
      <c r="A1747" s="3" t="s">
        <v>2007</v>
      </c>
      <c r="B1747" s="4">
        <v>45976</v>
      </c>
      <c r="C1747" s="3" t="s">
        <v>2020</v>
      </c>
      <c r="D1747" s="3" t="s">
        <v>2040</v>
      </c>
      <c r="E1747" s="3" t="s">
        <v>2053</v>
      </c>
      <c r="F1747" s="3" t="s">
        <v>2059</v>
      </c>
      <c r="G1747" s="3">
        <v>1</v>
      </c>
      <c r="H1747" s="3">
        <v>350</v>
      </c>
      <c r="I1747" s="3">
        <v>455</v>
      </c>
      <c r="J1747" s="3">
        <v>20.440000000000001</v>
      </c>
      <c r="K1747" s="3">
        <v>362.01</v>
      </c>
      <c r="L1747" s="3">
        <v>12.01</v>
      </c>
      <c r="M1747" s="3">
        <f t="shared" si="136"/>
        <v>9300.2000000000007</v>
      </c>
      <c r="N1747" s="3">
        <f t="shared" si="137"/>
        <v>350</v>
      </c>
      <c r="O1747" s="3">
        <f t="shared" si="138"/>
        <v>3.3175879119361347</v>
      </c>
      <c r="P1747" s="3" t="str">
        <f t="shared" si="139"/>
        <v>Nov</v>
      </c>
      <c r="Q1747" s="3" t="str">
        <f t="shared" si="135"/>
        <v>low profit</v>
      </c>
    </row>
    <row r="1748" spans="1:17" x14ac:dyDescent="0.25">
      <c r="A1748" s="3" t="s">
        <v>275</v>
      </c>
      <c r="B1748" s="4">
        <v>45977</v>
      </c>
      <c r="C1748" s="3" t="s">
        <v>2019</v>
      </c>
      <c r="D1748" s="3" t="s">
        <v>2039</v>
      </c>
      <c r="E1748" s="3" t="s">
        <v>2053</v>
      </c>
      <c r="F1748" s="3" t="s">
        <v>2062</v>
      </c>
      <c r="G1748" s="3">
        <v>8</v>
      </c>
      <c r="H1748" s="3">
        <v>900</v>
      </c>
      <c r="I1748" s="3">
        <v>1152</v>
      </c>
      <c r="J1748" s="3">
        <v>15.15</v>
      </c>
      <c r="K1748" s="3">
        <v>7819.54</v>
      </c>
      <c r="L1748" s="3">
        <v>619.54</v>
      </c>
      <c r="M1748" s="3">
        <f t="shared" si="136"/>
        <v>139622.39999999999</v>
      </c>
      <c r="N1748" s="3">
        <f t="shared" si="137"/>
        <v>7200</v>
      </c>
      <c r="O1748" s="3">
        <f t="shared" si="138"/>
        <v>7.9229724510648953</v>
      </c>
      <c r="P1748" s="3" t="str">
        <f t="shared" si="139"/>
        <v>Nov</v>
      </c>
      <c r="Q1748" s="3" t="str">
        <f t="shared" si="135"/>
        <v>low profit</v>
      </c>
    </row>
    <row r="1749" spans="1:17" x14ac:dyDescent="0.25">
      <c r="A1749" s="3" t="s">
        <v>389</v>
      </c>
      <c r="B1749" s="4">
        <v>45977</v>
      </c>
      <c r="C1749" s="3" t="s">
        <v>2019</v>
      </c>
      <c r="D1749" s="3" t="s">
        <v>2039</v>
      </c>
      <c r="E1749" s="3" t="s">
        <v>2053</v>
      </c>
      <c r="F1749" s="3" t="s">
        <v>2060</v>
      </c>
      <c r="G1749" s="3">
        <v>10</v>
      </c>
      <c r="H1749" s="3">
        <v>900</v>
      </c>
      <c r="I1749" s="3">
        <v>1152</v>
      </c>
      <c r="J1749" s="3">
        <v>16.61</v>
      </c>
      <c r="K1749" s="3">
        <v>9606.75</v>
      </c>
      <c r="L1749" s="3">
        <v>606.75</v>
      </c>
      <c r="M1749" s="3">
        <f t="shared" si="136"/>
        <v>191347.19999999998</v>
      </c>
      <c r="N1749" s="3">
        <f t="shared" si="137"/>
        <v>9000</v>
      </c>
      <c r="O1749" s="3">
        <f t="shared" si="138"/>
        <v>6.3158716527441632</v>
      </c>
      <c r="P1749" s="3" t="str">
        <f t="shared" si="139"/>
        <v>Nov</v>
      </c>
      <c r="Q1749" s="3" t="str">
        <f t="shared" si="135"/>
        <v>low profit</v>
      </c>
    </row>
    <row r="1750" spans="1:17" x14ac:dyDescent="0.25">
      <c r="A1750" s="3" t="s">
        <v>515</v>
      </c>
      <c r="B1750" s="4">
        <v>45977</v>
      </c>
      <c r="C1750" s="3" t="s">
        <v>2025</v>
      </c>
      <c r="D1750" s="3" t="s">
        <v>2045</v>
      </c>
      <c r="E1750" s="3" t="s">
        <v>2057</v>
      </c>
      <c r="F1750" s="3" t="s">
        <v>2061</v>
      </c>
      <c r="G1750" s="3">
        <v>9</v>
      </c>
      <c r="H1750" s="3">
        <v>45</v>
      </c>
      <c r="I1750" s="3">
        <v>63</v>
      </c>
      <c r="J1750" s="3">
        <v>0</v>
      </c>
      <c r="K1750" s="3">
        <v>567</v>
      </c>
      <c r="L1750" s="3">
        <v>162</v>
      </c>
      <c r="M1750" s="3">
        <f t="shared" si="136"/>
        <v>0</v>
      </c>
      <c r="N1750" s="3">
        <f t="shared" si="137"/>
        <v>405</v>
      </c>
      <c r="O1750" s="3">
        <f t="shared" si="138"/>
        <v>28.571428571428569</v>
      </c>
      <c r="P1750" s="3" t="str">
        <f t="shared" si="139"/>
        <v>Nov</v>
      </c>
      <c r="Q1750" s="3" t="str">
        <f t="shared" si="135"/>
        <v>good profit</v>
      </c>
    </row>
    <row r="1751" spans="1:17" x14ac:dyDescent="0.25">
      <c r="A1751" s="3" t="s">
        <v>847</v>
      </c>
      <c r="B1751" s="4">
        <v>45977</v>
      </c>
      <c r="C1751" s="3" t="s">
        <v>2022</v>
      </c>
      <c r="D1751" s="3" t="s">
        <v>2042</v>
      </c>
      <c r="E1751" s="3" t="s">
        <v>2053</v>
      </c>
      <c r="F1751" s="3" t="s">
        <v>2062</v>
      </c>
      <c r="G1751" s="3">
        <v>3</v>
      </c>
      <c r="H1751" s="3">
        <v>8500</v>
      </c>
      <c r="I1751" s="3">
        <v>9520</v>
      </c>
      <c r="J1751" s="3">
        <v>10.54</v>
      </c>
      <c r="K1751" s="3">
        <v>25549.62</v>
      </c>
      <c r="L1751" s="3">
        <v>49.62</v>
      </c>
      <c r="M1751" s="3">
        <f t="shared" si="136"/>
        <v>301022.39999999997</v>
      </c>
      <c r="N1751" s="3">
        <f t="shared" si="137"/>
        <v>25500</v>
      </c>
      <c r="O1751" s="3">
        <f t="shared" si="138"/>
        <v>0.1942103248502326</v>
      </c>
      <c r="P1751" s="3" t="str">
        <f t="shared" si="139"/>
        <v>Nov</v>
      </c>
      <c r="Q1751" s="3" t="str">
        <f t="shared" si="135"/>
        <v>low profit</v>
      </c>
    </row>
    <row r="1752" spans="1:17" x14ac:dyDescent="0.25">
      <c r="A1752" s="3" t="s">
        <v>1263</v>
      </c>
      <c r="B1752" s="4">
        <v>45977</v>
      </c>
      <c r="C1752" s="3" t="s">
        <v>2019</v>
      </c>
      <c r="D1752" s="3" t="s">
        <v>2039</v>
      </c>
      <c r="E1752" s="3" t="s">
        <v>2053</v>
      </c>
      <c r="F1752" s="3" t="s">
        <v>2062</v>
      </c>
      <c r="G1752" s="3">
        <v>9</v>
      </c>
      <c r="H1752" s="3">
        <v>900</v>
      </c>
      <c r="I1752" s="3">
        <v>1152</v>
      </c>
      <c r="J1752" s="3">
        <v>0</v>
      </c>
      <c r="K1752" s="3">
        <v>10368</v>
      </c>
      <c r="L1752" s="3">
        <v>2268</v>
      </c>
      <c r="M1752" s="3">
        <f t="shared" si="136"/>
        <v>0</v>
      </c>
      <c r="N1752" s="3">
        <f t="shared" si="137"/>
        <v>8100</v>
      </c>
      <c r="O1752" s="3">
        <f t="shared" si="138"/>
        <v>21.875</v>
      </c>
      <c r="P1752" s="3" t="str">
        <f t="shared" si="139"/>
        <v>Nov</v>
      </c>
      <c r="Q1752" s="3" t="str">
        <f t="shared" si="135"/>
        <v>good profit</v>
      </c>
    </row>
    <row r="1753" spans="1:17" x14ac:dyDescent="0.25">
      <c r="A1753" s="3" t="s">
        <v>1401</v>
      </c>
      <c r="B1753" s="4">
        <v>45977</v>
      </c>
      <c r="C1753" s="3" t="s">
        <v>2023</v>
      </c>
      <c r="D1753" s="3" t="s">
        <v>2043</v>
      </c>
      <c r="E1753" s="3" t="s">
        <v>2053</v>
      </c>
      <c r="F1753" s="3" t="s">
        <v>2059</v>
      </c>
      <c r="G1753" s="3">
        <v>6</v>
      </c>
      <c r="H1753" s="3">
        <v>550</v>
      </c>
      <c r="I1753" s="3">
        <v>742.5</v>
      </c>
      <c r="J1753" s="3">
        <v>7.62</v>
      </c>
      <c r="K1753" s="3">
        <v>4115.37</v>
      </c>
      <c r="L1753" s="3">
        <v>815.37</v>
      </c>
      <c r="M1753" s="3">
        <f t="shared" si="136"/>
        <v>33947.1</v>
      </c>
      <c r="N1753" s="3">
        <f t="shared" si="137"/>
        <v>3300</v>
      </c>
      <c r="O1753" s="3">
        <f t="shared" si="138"/>
        <v>19.81279933517521</v>
      </c>
      <c r="P1753" s="3" t="str">
        <f t="shared" si="139"/>
        <v>Nov</v>
      </c>
      <c r="Q1753" s="3" t="str">
        <f t="shared" si="135"/>
        <v>good profit</v>
      </c>
    </row>
    <row r="1754" spans="1:17" x14ac:dyDescent="0.25">
      <c r="A1754" s="3" t="s">
        <v>1662</v>
      </c>
      <c r="B1754" s="4">
        <v>45977</v>
      </c>
      <c r="C1754" s="3" t="s">
        <v>2012</v>
      </c>
      <c r="D1754" s="3" t="s">
        <v>2032</v>
      </c>
      <c r="E1754" s="3" t="s">
        <v>2052</v>
      </c>
      <c r="F1754" s="3" t="s">
        <v>2062</v>
      </c>
      <c r="G1754" s="3">
        <v>2</v>
      </c>
      <c r="H1754" s="3">
        <v>6500</v>
      </c>
      <c r="I1754" s="3">
        <v>8125</v>
      </c>
      <c r="J1754" s="3">
        <v>4</v>
      </c>
      <c r="K1754" s="3">
        <v>15600</v>
      </c>
      <c r="L1754" s="3">
        <v>2600</v>
      </c>
      <c r="M1754" s="3">
        <f t="shared" si="136"/>
        <v>65000</v>
      </c>
      <c r="N1754" s="3">
        <f t="shared" si="137"/>
        <v>13000</v>
      </c>
      <c r="O1754" s="3">
        <f t="shared" si="138"/>
        <v>16.666666666666664</v>
      </c>
      <c r="P1754" s="3" t="str">
        <f t="shared" si="139"/>
        <v>Nov</v>
      </c>
      <c r="Q1754" s="3" t="str">
        <f t="shared" si="135"/>
        <v>good profit</v>
      </c>
    </row>
    <row r="1755" spans="1:17" x14ac:dyDescent="0.25">
      <c r="A1755" s="3" t="s">
        <v>1949</v>
      </c>
      <c r="B1755" s="4">
        <v>45977</v>
      </c>
      <c r="C1755" s="3" t="s">
        <v>2024</v>
      </c>
      <c r="D1755" s="3" t="s">
        <v>2044</v>
      </c>
      <c r="E1755" s="3" t="s">
        <v>2055</v>
      </c>
      <c r="F1755" s="3" t="s">
        <v>2062</v>
      </c>
      <c r="G1755" s="3">
        <v>5</v>
      </c>
      <c r="H1755" s="3">
        <v>180</v>
      </c>
      <c r="I1755" s="3">
        <v>243</v>
      </c>
      <c r="J1755" s="3">
        <v>2.96</v>
      </c>
      <c r="K1755" s="3">
        <v>1179.08</v>
      </c>
      <c r="L1755" s="3">
        <v>279.08</v>
      </c>
      <c r="M1755" s="3">
        <f t="shared" si="136"/>
        <v>3596.4</v>
      </c>
      <c r="N1755" s="3">
        <f t="shared" si="137"/>
        <v>900</v>
      </c>
      <c r="O1755" s="3">
        <f t="shared" si="138"/>
        <v>23.669301489296739</v>
      </c>
      <c r="P1755" s="3" t="str">
        <f t="shared" si="139"/>
        <v>Nov</v>
      </c>
      <c r="Q1755" s="3" t="str">
        <f t="shared" si="135"/>
        <v>good profit</v>
      </c>
    </row>
    <row r="1756" spans="1:17" x14ac:dyDescent="0.25">
      <c r="A1756" s="3" t="s">
        <v>43</v>
      </c>
      <c r="B1756" s="4">
        <v>45978</v>
      </c>
      <c r="C1756" s="3" t="s">
        <v>2028</v>
      </c>
      <c r="D1756" s="3" t="s">
        <v>2048</v>
      </c>
      <c r="E1756" s="3" t="s">
        <v>2057</v>
      </c>
      <c r="F1756" s="3" t="s">
        <v>2061</v>
      </c>
      <c r="G1756" s="3">
        <v>6</v>
      </c>
      <c r="H1756" s="3">
        <v>80</v>
      </c>
      <c r="I1756" s="3">
        <v>116</v>
      </c>
      <c r="J1756" s="3">
        <v>3.04</v>
      </c>
      <c r="K1756" s="3">
        <v>674.81</v>
      </c>
      <c r="L1756" s="3">
        <v>194.81</v>
      </c>
      <c r="M1756" s="3">
        <f t="shared" si="136"/>
        <v>2115.84</v>
      </c>
      <c r="N1756" s="3">
        <f t="shared" si="137"/>
        <v>480</v>
      </c>
      <c r="O1756" s="3">
        <f t="shared" si="138"/>
        <v>28.868866792134085</v>
      </c>
      <c r="P1756" s="3" t="str">
        <f t="shared" si="139"/>
        <v>Nov</v>
      </c>
      <c r="Q1756" s="3" t="str">
        <f t="shared" si="135"/>
        <v>good profit</v>
      </c>
    </row>
    <row r="1757" spans="1:17" x14ac:dyDescent="0.25">
      <c r="A1757" s="3" t="s">
        <v>109</v>
      </c>
      <c r="B1757" s="4">
        <v>45978</v>
      </c>
      <c r="C1757" s="3" t="s">
        <v>2023</v>
      </c>
      <c r="D1757" s="3" t="s">
        <v>2043</v>
      </c>
      <c r="E1757" s="3" t="s">
        <v>2053</v>
      </c>
      <c r="F1757" s="3" t="s">
        <v>2059</v>
      </c>
      <c r="G1757" s="3">
        <v>2</v>
      </c>
      <c r="H1757" s="3">
        <v>550</v>
      </c>
      <c r="I1757" s="3">
        <v>742.5</v>
      </c>
      <c r="J1757" s="3">
        <v>27.43</v>
      </c>
      <c r="K1757" s="3">
        <v>1077.72</v>
      </c>
      <c r="L1757" s="3">
        <v>-22.28</v>
      </c>
      <c r="M1757" s="3">
        <f t="shared" si="136"/>
        <v>40733.550000000003</v>
      </c>
      <c r="N1757" s="3">
        <f t="shared" si="137"/>
        <v>1100</v>
      </c>
      <c r="O1757" s="3">
        <f t="shared" si="138"/>
        <v>-2.0673273206398695</v>
      </c>
      <c r="P1757" s="3" t="str">
        <f t="shared" si="139"/>
        <v>Nov</v>
      </c>
      <c r="Q1757" s="3" t="str">
        <f t="shared" si="135"/>
        <v>loss</v>
      </c>
    </row>
    <row r="1758" spans="1:17" x14ac:dyDescent="0.25">
      <c r="A1758" s="3" t="s">
        <v>1048</v>
      </c>
      <c r="B1758" s="4">
        <v>45978</v>
      </c>
      <c r="C1758" s="3" t="s">
        <v>2017</v>
      </c>
      <c r="D1758" s="3" t="s">
        <v>2037</v>
      </c>
      <c r="E1758" s="3" t="s">
        <v>2055</v>
      </c>
      <c r="F1758" s="3" t="s">
        <v>2062</v>
      </c>
      <c r="G1758" s="3">
        <v>7</v>
      </c>
      <c r="H1758" s="3">
        <v>2500</v>
      </c>
      <c r="I1758" s="3">
        <v>2875</v>
      </c>
      <c r="J1758" s="3">
        <v>18.82</v>
      </c>
      <c r="K1758" s="3">
        <v>16338.39</v>
      </c>
      <c r="L1758" s="3">
        <v>-1161.6099999999999</v>
      </c>
      <c r="M1758" s="3">
        <f t="shared" si="136"/>
        <v>378752.5</v>
      </c>
      <c r="N1758" s="3">
        <f t="shared" si="137"/>
        <v>17500</v>
      </c>
      <c r="O1758" s="3">
        <f t="shared" si="138"/>
        <v>-7.1096968550756836</v>
      </c>
      <c r="P1758" s="3" t="str">
        <f t="shared" si="139"/>
        <v>Nov</v>
      </c>
      <c r="Q1758" s="3" t="str">
        <f t="shared" si="135"/>
        <v>loss</v>
      </c>
    </row>
    <row r="1759" spans="1:17" x14ac:dyDescent="0.25">
      <c r="A1759" s="3" t="s">
        <v>1091</v>
      </c>
      <c r="B1759" s="4">
        <v>45978</v>
      </c>
      <c r="C1759" s="3" t="s">
        <v>2029</v>
      </c>
      <c r="D1759" s="3" t="s">
        <v>2049</v>
      </c>
      <c r="E1759" s="3" t="s">
        <v>2055</v>
      </c>
      <c r="F1759" s="3" t="s">
        <v>2059</v>
      </c>
      <c r="G1759" s="3">
        <v>9</v>
      </c>
      <c r="H1759" s="3">
        <v>1200</v>
      </c>
      <c r="I1759" s="3">
        <v>1464</v>
      </c>
      <c r="J1759" s="3">
        <v>6.05</v>
      </c>
      <c r="K1759" s="3">
        <v>12378.54</v>
      </c>
      <c r="L1759" s="3">
        <v>1578.54</v>
      </c>
      <c r="M1759" s="3">
        <f t="shared" si="136"/>
        <v>79714.8</v>
      </c>
      <c r="N1759" s="3">
        <f t="shared" si="137"/>
        <v>10800</v>
      </c>
      <c r="O1759" s="3">
        <f t="shared" si="138"/>
        <v>12.75223087698549</v>
      </c>
      <c r="P1759" s="3" t="str">
        <f t="shared" si="139"/>
        <v>Nov</v>
      </c>
      <c r="Q1759" s="3" t="str">
        <f t="shared" si="135"/>
        <v>good profit</v>
      </c>
    </row>
    <row r="1760" spans="1:17" x14ac:dyDescent="0.25">
      <c r="A1760" s="3" t="s">
        <v>1106</v>
      </c>
      <c r="B1760" s="4">
        <v>45978</v>
      </c>
      <c r="C1760" s="3" t="s">
        <v>2015</v>
      </c>
      <c r="D1760" s="3" t="s">
        <v>2035</v>
      </c>
      <c r="E1760" s="3" t="s">
        <v>2054</v>
      </c>
      <c r="F1760" s="3" t="s">
        <v>2059</v>
      </c>
      <c r="G1760" s="3">
        <v>10</v>
      </c>
      <c r="H1760" s="3">
        <v>900</v>
      </c>
      <c r="I1760" s="3">
        <v>1170</v>
      </c>
      <c r="J1760" s="3">
        <v>0</v>
      </c>
      <c r="K1760" s="3">
        <v>11700</v>
      </c>
      <c r="L1760" s="3">
        <v>2700</v>
      </c>
      <c r="M1760" s="3">
        <f t="shared" si="136"/>
        <v>0</v>
      </c>
      <c r="N1760" s="3">
        <f t="shared" si="137"/>
        <v>9000</v>
      </c>
      <c r="O1760" s="3">
        <f t="shared" si="138"/>
        <v>23.076923076923077</v>
      </c>
      <c r="P1760" s="3" t="str">
        <f t="shared" si="139"/>
        <v>Nov</v>
      </c>
      <c r="Q1760" s="3" t="str">
        <f t="shared" si="135"/>
        <v>good profit</v>
      </c>
    </row>
    <row r="1761" spans="1:17" x14ac:dyDescent="0.25">
      <c r="A1761" s="3" t="s">
        <v>1344</v>
      </c>
      <c r="B1761" s="4">
        <v>45978</v>
      </c>
      <c r="C1761" s="3" t="s">
        <v>2024</v>
      </c>
      <c r="D1761" s="3" t="s">
        <v>2044</v>
      </c>
      <c r="E1761" s="3" t="s">
        <v>2055</v>
      </c>
      <c r="F1761" s="3" t="s">
        <v>2062</v>
      </c>
      <c r="G1761" s="3">
        <v>7</v>
      </c>
      <c r="H1761" s="3">
        <v>180</v>
      </c>
      <c r="I1761" s="3">
        <v>243</v>
      </c>
      <c r="J1761" s="3">
        <v>11.79</v>
      </c>
      <c r="K1761" s="3">
        <v>1500.48</v>
      </c>
      <c r="L1761" s="3">
        <v>240.48</v>
      </c>
      <c r="M1761" s="3">
        <f t="shared" si="136"/>
        <v>20054.789999999997</v>
      </c>
      <c r="N1761" s="3">
        <f t="shared" si="137"/>
        <v>1260</v>
      </c>
      <c r="O1761" s="3">
        <f t="shared" si="138"/>
        <v>16.026871401151631</v>
      </c>
      <c r="P1761" s="3" t="str">
        <f t="shared" si="139"/>
        <v>Nov</v>
      </c>
      <c r="Q1761" s="3" t="str">
        <f t="shared" si="135"/>
        <v>good profit</v>
      </c>
    </row>
    <row r="1762" spans="1:17" x14ac:dyDescent="0.25">
      <c r="A1762" s="3" t="s">
        <v>1523</v>
      </c>
      <c r="B1762" s="4">
        <v>45978</v>
      </c>
      <c r="C1762" s="3" t="s">
        <v>2013</v>
      </c>
      <c r="D1762" s="3" t="s">
        <v>2033</v>
      </c>
      <c r="E1762" s="3" t="s">
        <v>2053</v>
      </c>
      <c r="F1762" s="3" t="s">
        <v>2060</v>
      </c>
      <c r="G1762" s="3">
        <v>9</v>
      </c>
      <c r="H1762" s="3">
        <v>6500</v>
      </c>
      <c r="I1762" s="3">
        <v>7150</v>
      </c>
      <c r="J1762" s="3">
        <v>15.42</v>
      </c>
      <c r="K1762" s="3">
        <v>54428.04</v>
      </c>
      <c r="L1762" s="3">
        <v>-4071.96</v>
      </c>
      <c r="M1762" s="3">
        <f t="shared" si="136"/>
        <v>992277</v>
      </c>
      <c r="N1762" s="3">
        <f t="shared" si="137"/>
        <v>58500</v>
      </c>
      <c r="O1762" s="3">
        <f t="shared" si="138"/>
        <v>-7.4813643849750981</v>
      </c>
      <c r="P1762" s="3" t="str">
        <f t="shared" si="139"/>
        <v>Nov</v>
      </c>
      <c r="Q1762" s="3" t="str">
        <f t="shared" si="135"/>
        <v>loss</v>
      </c>
    </row>
    <row r="1763" spans="1:17" x14ac:dyDescent="0.25">
      <c r="A1763" s="3" t="s">
        <v>1602</v>
      </c>
      <c r="B1763" s="4">
        <v>45978</v>
      </c>
      <c r="C1763" s="3" t="s">
        <v>2016</v>
      </c>
      <c r="D1763" s="3" t="s">
        <v>2036</v>
      </c>
      <c r="E1763" s="3" t="s">
        <v>2052</v>
      </c>
      <c r="F1763" s="3" t="s">
        <v>2062</v>
      </c>
      <c r="G1763" s="3">
        <v>10</v>
      </c>
      <c r="H1763" s="3">
        <v>900</v>
      </c>
      <c r="I1763" s="3">
        <v>1170</v>
      </c>
      <c r="J1763" s="3">
        <v>3.9</v>
      </c>
      <c r="K1763" s="3">
        <v>11244.03</v>
      </c>
      <c r="L1763" s="3">
        <v>2244.0300000000002</v>
      </c>
      <c r="M1763" s="3">
        <f t="shared" si="136"/>
        <v>45630</v>
      </c>
      <c r="N1763" s="3">
        <f t="shared" si="137"/>
        <v>9000</v>
      </c>
      <c r="O1763" s="3">
        <f t="shared" si="138"/>
        <v>19.957524126136271</v>
      </c>
      <c r="P1763" s="3" t="str">
        <f t="shared" si="139"/>
        <v>Nov</v>
      </c>
      <c r="Q1763" s="3" t="str">
        <f t="shared" si="135"/>
        <v>good profit</v>
      </c>
    </row>
    <row r="1764" spans="1:17" x14ac:dyDescent="0.25">
      <c r="A1764" s="3" t="s">
        <v>1692</v>
      </c>
      <c r="B1764" s="4">
        <v>45978</v>
      </c>
      <c r="C1764" s="3" t="s">
        <v>2012</v>
      </c>
      <c r="D1764" s="3" t="s">
        <v>2032</v>
      </c>
      <c r="E1764" s="3" t="s">
        <v>2052</v>
      </c>
      <c r="F1764" s="3" t="s">
        <v>2059</v>
      </c>
      <c r="G1764" s="3">
        <v>7</v>
      </c>
      <c r="H1764" s="3">
        <v>6500</v>
      </c>
      <c r="I1764" s="3">
        <v>8125</v>
      </c>
      <c r="J1764" s="3">
        <v>15.1</v>
      </c>
      <c r="K1764" s="3">
        <v>48288.82</v>
      </c>
      <c r="L1764" s="3">
        <v>2788.82</v>
      </c>
      <c r="M1764" s="3">
        <f t="shared" si="136"/>
        <v>858812.5</v>
      </c>
      <c r="N1764" s="3">
        <f t="shared" si="137"/>
        <v>45500</v>
      </c>
      <c r="O1764" s="3">
        <f t="shared" si="138"/>
        <v>5.7752912578936488</v>
      </c>
      <c r="P1764" s="3" t="str">
        <f t="shared" si="139"/>
        <v>Nov</v>
      </c>
      <c r="Q1764" s="3" t="str">
        <f t="shared" si="135"/>
        <v>low profit</v>
      </c>
    </row>
    <row r="1765" spans="1:17" x14ac:dyDescent="0.25">
      <c r="A1765" s="3" t="s">
        <v>1888</v>
      </c>
      <c r="B1765" s="4">
        <v>45978</v>
      </c>
      <c r="C1765" s="3" t="s">
        <v>2013</v>
      </c>
      <c r="D1765" s="3" t="s">
        <v>2033</v>
      </c>
      <c r="E1765" s="3" t="s">
        <v>2053</v>
      </c>
      <c r="F1765" s="3" t="s">
        <v>2061</v>
      </c>
      <c r="G1765" s="3">
        <v>9</v>
      </c>
      <c r="H1765" s="3">
        <v>6500</v>
      </c>
      <c r="I1765" s="3">
        <v>7150</v>
      </c>
      <c r="J1765" s="3">
        <v>4</v>
      </c>
      <c r="K1765" s="3">
        <v>61776</v>
      </c>
      <c r="L1765" s="3">
        <v>3276</v>
      </c>
      <c r="M1765" s="3">
        <f t="shared" si="136"/>
        <v>257400</v>
      </c>
      <c r="N1765" s="3">
        <f t="shared" si="137"/>
        <v>58500</v>
      </c>
      <c r="O1765" s="3">
        <f t="shared" si="138"/>
        <v>5.3030303030303028</v>
      </c>
      <c r="P1765" s="3" t="str">
        <f t="shared" si="139"/>
        <v>Nov</v>
      </c>
      <c r="Q1765" s="3" t="str">
        <f t="shared" si="135"/>
        <v>low profit</v>
      </c>
    </row>
    <row r="1766" spans="1:17" x14ac:dyDescent="0.25">
      <c r="A1766" s="3" t="s">
        <v>1329</v>
      </c>
      <c r="B1766" s="4">
        <v>45979</v>
      </c>
      <c r="C1766" s="3" t="s">
        <v>2016</v>
      </c>
      <c r="D1766" s="3" t="s">
        <v>2036</v>
      </c>
      <c r="E1766" s="3" t="s">
        <v>2052</v>
      </c>
      <c r="F1766" s="3" t="s">
        <v>2060</v>
      </c>
      <c r="G1766" s="3">
        <v>4</v>
      </c>
      <c r="H1766" s="3">
        <v>900</v>
      </c>
      <c r="I1766" s="3">
        <v>1170</v>
      </c>
      <c r="J1766" s="3">
        <v>18.309999999999999</v>
      </c>
      <c r="K1766" s="3">
        <v>3823.25</v>
      </c>
      <c r="L1766" s="3">
        <v>223.25</v>
      </c>
      <c r="M1766" s="3">
        <f t="shared" si="136"/>
        <v>85690.799999999988</v>
      </c>
      <c r="N1766" s="3">
        <f t="shared" si="137"/>
        <v>3600</v>
      </c>
      <c r="O1766" s="3">
        <f t="shared" si="138"/>
        <v>5.8392728699404959</v>
      </c>
      <c r="P1766" s="3" t="str">
        <f t="shared" si="139"/>
        <v>Nov</v>
      </c>
      <c r="Q1766" s="3" t="str">
        <f t="shared" si="135"/>
        <v>low profit</v>
      </c>
    </row>
    <row r="1767" spans="1:17" x14ac:dyDescent="0.25">
      <c r="A1767" s="3" t="s">
        <v>1714</v>
      </c>
      <c r="B1767" s="4">
        <v>45979</v>
      </c>
      <c r="C1767" s="3" t="s">
        <v>2023</v>
      </c>
      <c r="D1767" s="3" t="s">
        <v>2043</v>
      </c>
      <c r="E1767" s="3" t="s">
        <v>2053</v>
      </c>
      <c r="F1767" s="3" t="s">
        <v>2060</v>
      </c>
      <c r="G1767" s="3">
        <v>1</v>
      </c>
      <c r="H1767" s="3">
        <v>550</v>
      </c>
      <c r="I1767" s="3">
        <v>742.5</v>
      </c>
      <c r="J1767" s="3">
        <v>1.48</v>
      </c>
      <c r="K1767" s="3">
        <v>731.48</v>
      </c>
      <c r="L1767" s="3">
        <v>181.48</v>
      </c>
      <c r="M1767" s="3">
        <f t="shared" si="136"/>
        <v>1098.9000000000001</v>
      </c>
      <c r="N1767" s="3">
        <f t="shared" si="137"/>
        <v>550</v>
      </c>
      <c r="O1767" s="3">
        <f t="shared" si="138"/>
        <v>24.809974298682121</v>
      </c>
      <c r="P1767" s="3" t="str">
        <f t="shared" si="139"/>
        <v>Nov</v>
      </c>
      <c r="Q1767" s="3" t="str">
        <f t="shared" si="135"/>
        <v>good profit</v>
      </c>
    </row>
    <row r="1768" spans="1:17" x14ac:dyDescent="0.25">
      <c r="A1768" s="3" t="s">
        <v>65</v>
      </c>
      <c r="B1768" s="4">
        <v>45980</v>
      </c>
      <c r="C1768" s="3" t="s">
        <v>2022</v>
      </c>
      <c r="D1768" s="3" t="s">
        <v>2042</v>
      </c>
      <c r="E1768" s="3" t="s">
        <v>2053</v>
      </c>
      <c r="F1768" s="3" t="s">
        <v>2062</v>
      </c>
      <c r="G1768" s="3">
        <v>9</v>
      </c>
      <c r="H1768" s="3">
        <v>8500</v>
      </c>
      <c r="I1768" s="3">
        <v>9520</v>
      </c>
      <c r="J1768" s="3">
        <v>14.24</v>
      </c>
      <c r="K1768" s="3">
        <v>73476.23</v>
      </c>
      <c r="L1768" s="3">
        <v>-3023.77</v>
      </c>
      <c r="M1768" s="3">
        <f t="shared" si="136"/>
        <v>1220083.2</v>
      </c>
      <c r="N1768" s="3">
        <f t="shared" si="137"/>
        <v>76500</v>
      </c>
      <c r="O1768" s="3">
        <f t="shared" si="138"/>
        <v>-4.115303683926081</v>
      </c>
      <c r="P1768" s="3" t="str">
        <f t="shared" si="139"/>
        <v>Nov</v>
      </c>
      <c r="Q1768" s="3" t="str">
        <f t="shared" si="135"/>
        <v>loss</v>
      </c>
    </row>
    <row r="1769" spans="1:17" x14ac:dyDescent="0.25">
      <c r="A1769" s="3" t="s">
        <v>1249</v>
      </c>
      <c r="B1769" s="4">
        <v>45980</v>
      </c>
      <c r="C1769" s="3" t="s">
        <v>2029</v>
      </c>
      <c r="D1769" s="3" t="s">
        <v>2049</v>
      </c>
      <c r="E1769" s="3" t="s">
        <v>2055</v>
      </c>
      <c r="F1769" s="3" t="s">
        <v>2062</v>
      </c>
      <c r="G1769" s="3">
        <v>10</v>
      </c>
      <c r="H1769" s="3">
        <v>1200</v>
      </c>
      <c r="I1769" s="3">
        <v>1464</v>
      </c>
      <c r="J1769" s="3">
        <v>7.99</v>
      </c>
      <c r="K1769" s="3">
        <v>13470.4</v>
      </c>
      <c r="L1769" s="3">
        <v>1470.4</v>
      </c>
      <c r="M1769" s="3">
        <f t="shared" si="136"/>
        <v>116973.6</v>
      </c>
      <c r="N1769" s="3">
        <f t="shared" si="137"/>
        <v>12000</v>
      </c>
      <c r="O1769" s="3">
        <f t="shared" si="138"/>
        <v>10.915785722769925</v>
      </c>
      <c r="P1769" s="3" t="str">
        <f t="shared" si="139"/>
        <v>Nov</v>
      </c>
      <c r="Q1769" s="3" t="str">
        <f t="shared" si="135"/>
        <v>good profit</v>
      </c>
    </row>
    <row r="1770" spans="1:17" x14ac:dyDescent="0.25">
      <c r="A1770" s="3" t="s">
        <v>1260</v>
      </c>
      <c r="B1770" s="4">
        <v>45980</v>
      </c>
      <c r="C1770" s="3" t="s">
        <v>2021</v>
      </c>
      <c r="D1770" s="3" t="s">
        <v>2041</v>
      </c>
      <c r="E1770" s="3" t="s">
        <v>2056</v>
      </c>
      <c r="F1770" s="3" t="s">
        <v>2062</v>
      </c>
      <c r="G1770" s="3">
        <v>6</v>
      </c>
      <c r="H1770" s="3">
        <v>300</v>
      </c>
      <c r="I1770" s="3">
        <v>405</v>
      </c>
      <c r="J1770" s="3">
        <v>4.8899999999999997</v>
      </c>
      <c r="K1770" s="3">
        <v>2311.13</v>
      </c>
      <c r="L1770" s="3">
        <v>511.13</v>
      </c>
      <c r="M1770" s="3">
        <f t="shared" si="136"/>
        <v>11882.699999999999</v>
      </c>
      <c r="N1770" s="3">
        <f t="shared" si="137"/>
        <v>1800</v>
      </c>
      <c r="O1770" s="3">
        <f t="shared" si="138"/>
        <v>22.11602116713469</v>
      </c>
      <c r="P1770" s="3" t="str">
        <f t="shared" si="139"/>
        <v>Nov</v>
      </c>
      <c r="Q1770" s="3" t="str">
        <f t="shared" si="135"/>
        <v>good profit</v>
      </c>
    </row>
    <row r="1771" spans="1:17" x14ac:dyDescent="0.25">
      <c r="A1771" s="3" t="s">
        <v>1737</v>
      </c>
      <c r="B1771" s="4">
        <v>45980</v>
      </c>
      <c r="C1771" s="3" t="s">
        <v>2030</v>
      </c>
      <c r="D1771" s="3" t="s">
        <v>2050</v>
      </c>
      <c r="E1771" s="3" t="s">
        <v>2058</v>
      </c>
      <c r="F1771" s="3" t="s">
        <v>2061</v>
      </c>
      <c r="G1771" s="3">
        <v>6</v>
      </c>
      <c r="H1771" s="3">
        <v>1800</v>
      </c>
      <c r="I1771" s="3">
        <v>2124</v>
      </c>
      <c r="J1771" s="3">
        <v>15.68</v>
      </c>
      <c r="K1771" s="3">
        <v>10745.56</v>
      </c>
      <c r="L1771" s="3">
        <v>-54.44</v>
      </c>
      <c r="M1771" s="3">
        <f t="shared" si="136"/>
        <v>199825.91999999998</v>
      </c>
      <c r="N1771" s="3">
        <f t="shared" si="137"/>
        <v>10800</v>
      </c>
      <c r="O1771" s="3">
        <f t="shared" si="138"/>
        <v>-0.50662785373679919</v>
      </c>
      <c r="P1771" s="3" t="str">
        <f t="shared" si="139"/>
        <v>Nov</v>
      </c>
      <c r="Q1771" s="3" t="str">
        <f t="shared" si="135"/>
        <v>loss</v>
      </c>
    </row>
    <row r="1772" spans="1:17" x14ac:dyDescent="0.25">
      <c r="A1772" s="3" t="s">
        <v>1814</v>
      </c>
      <c r="B1772" s="4">
        <v>45980</v>
      </c>
      <c r="C1772" s="3" t="s">
        <v>2020</v>
      </c>
      <c r="D1772" s="3" t="s">
        <v>2040</v>
      </c>
      <c r="E1772" s="3" t="s">
        <v>2053</v>
      </c>
      <c r="F1772" s="3" t="s">
        <v>2062</v>
      </c>
      <c r="G1772" s="3">
        <v>2</v>
      </c>
      <c r="H1772" s="3">
        <v>350</v>
      </c>
      <c r="I1772" s="3">
        <v>455</v>
      </c>
      <c r="J1772" s="3">
        <v>3.84</v>
      </c>
      <c r="K1772" s="3">
        <v>875.04</v>
      </c>
      <c r="L1772" s="3">
        <v>175.04</v>
      </c>
      <c r="M1772" s="3">
        <f t="shared" si="136"/>
        <v>3494.4</v>
      </c>
      <c r="N1772" s="3">
        <f t="shared" si="137"/>
        <v>700</v>
      </c>
      <c r="O1772" s="3">
        <f t="shared" si="138"/>
        <v>20.00365697568111</v>
      </c>
      <c r="P1772" s="3" t="str">
        <f t="shared" si="139"/>
        <v>Nov</v>
      </c>
      <c r="Q1772" s="3" t="str">
        <f t="shared" si="135"/>
        <v>good profit</v>
      </c>
    </row>
    <row r="1773" spans="1:17" x14ac:dyDescent="0.25">
      <c r="A1773" s="3" t="s">
        <v>288</v>
      </c>
      <c r="B1773" s="4">
        <v>45981</v>
      </c>
      <c r="C1773" s="3" t="s">
        <v>2023</v>
      </c>
      <c r="D1773" s="3" t="s">
        <v>2043</v>
      </c>
      <c r="E1773" s="3" t="s">
        <v>2053</v>
      </c>
      <c r="F1773" s="3" t="s">
        <v>2061</v>
      </c>
      <c r="G1773" s="3">
        <v>10</v>
      </c>
      <c r="H1773" s="3">
        <v>550</v>
      </c>
      <c r="I1773" s="3">
        <v>742.5</v>
      </c>
      <c r="J1773" s="3">
        <v>3.37</v>
      </c>
      <c r="K1773" s="3">
        <v>7175.13</v>
      </c>
      <c r="L1773" s="3">
        <v>1675.13</v>
      </c>
      <c r="M1773" s="3">
        <f t="shared" si="136"/>
        <v>25022.25</v>
      </c>
      <c r="N1773" s="3">
        <f t="shared" si="137"/>
        <v>5500</v>
      </c>
      <c r="O1773" s="3">
        <f t="shared" si="138"/>
        <v>23.34633658205496</v>
      </c>
      <c r="P1773" s="3" t="str">
        <f t="shared" si="139"/>
        <v>Nov</v>
      </c>
      <c r="Q1773" s="3" t="str">
        <f t="shared" si="135"/>
        <v>good profit</v>
      </c>
    </row>
    <row r="1774" spans="1:17" x14ac:dyDescent="0.25">
      <c r="A1774" s="3" t="s">
        <v>886</v>
      </c>
      <c r="B1774" s="4">
        <v>45981</v>
      </c>
      <c r="C1774" s="3" t="s">
        <v>2027</v>
      </c>
      <c r="D1774" s="3" t="s">
        <v>2047</v>
      </c>
      <c r="E1774" s="3" t="s">
        <v>2053</v>
      </c>
      <c r="F1774" s="3" t="s">
        <v>2061</v>
      </c>
      <c r="G1774" s="3">
        <v>4</v>
      </c>
      <c r="H1774" s="3">
        <v>1100</v>
      </c>
      <c r="I1774" s="3">
        <v>1298</v>
      </c>
      <c r="J1774" s="3">
        <v>8.93</v>
      </c>
      <c r="K1774" s="3">
        <v>4728.3599999999997</v>
      </c>
      <c r="L1774" s="3">
        <v>328.36</v>
      </c>
      <c r="M1774" s="3">
        <f t="shared" si="136"/>
        <v>46364.56</v>
      </c>
      <c r="N1774" s="3">
        <f t="shared" si="137"/>
        <v>4400</v>
      </c>
      <c r="O1774" s="3">
        <f t="shared" si="138"/>
        <v>6.944479692747592</v>
      </c>
      <c r="P1774" s="3" t="str">
        <f t="shared" si="139"/>
        <v>Nov</v>
      </c>
      <c r="Q1774" s="3" t="str">
        <f t="shared" si="135"/>
        <v>low profit</v>
      </c>
    </row>
    <row r="1775" spans="1:17" x14ac:dyDescent="0.25">
      <c r="A1775" s="3" t="s">
        <v>1009</v>
      </c>
      <c r="B1775" s="4">
        <v>45981</v>
      </c>
      <c r="C1775" s="3" t="s">
        <v>2015</v>
      </c>
      <c r="D1775" s="3" t="s">
        <v>2035</v>
      </c>
      <c r="E1775" s="3" t="s">
        <v>2054</v>
      </c>
      <c r="F1775" s="3" t="s">
        <v>2060</v>
      </c>
      <c r="G1775" s="3">
        <v>8</v>
      </c>
      <c r="H1775" s="3">
        <v>900</v>
      </c>
      <c r="I1775" s="3">
        <v>1170</v>
      </c>
      <c r="J1775" s="3">
        <v>12.28</v>
      </c>
      <c r="K1775" s="3">
        <v>8210.84</v>
      </c>
      <c r="L1775" s="3">
        <v>1010.84</v>
      </c>
      <c r="M1775" s="3">
        <f t="shared" si="136"/>
        <v>114940.79999999999</v>
      </c>
      <c r="N1775" s="3">
        <f t="shared" si="137"/>
        <v>7200</v>
      </c>
      <c r="O1775" s="3">
        <f t="shared" si="138"/>
        <v>12.311042475556704</v>
      </c>
      <c r="P1775" s="3" t="str">
        <f t="shared" si="139"/>
        <v>Nov</v>
      </c>
      <c r="Q1775" s="3" t="str">
        <f t="shared" si="135"/>
        <v>good profit</v>
      </c>
    </row>
    <row r="1776" spans="1:17" x14ac:dyDescent="0.25">
      <c r="A1776" s="3" t="s">
        <v>1165</v>
      </c>
      <c r="B1776" s="4">
        <v>45981</v>
      </c>
      <c r="C1776" s="3" t="s">
        <v>2015</v>
      </c>
      <c r="D1776" s="3" t="s">
        <v>2035</v>
      </c>
      <c r="E1776" s="3" t="s">
        <v>2054</v>
      </c>
      <c r="F1776" s="3" t="s">
        <v>2059</v>
      </c>
      <c r="G1776" s="3">
        <v>5</v>
      </c>
      <c r="H1776" s="3">
        <v>900</v>
      </c>
      <c r="I1776" s="3">
        <v>1170</v>
      </c>
      <c r="J1776" s="3">
        <v>6.65</v>
      </c>
      <c r="K1776" s="3">
        <v>5460.96</v>
      </c>
      <c r="L1776" s="3">
        <v>960.96</v>
      </c>
      <c r="M1776" s="3">
        <f t="shared" si="136"/>
        <v>38902.5</v>
      </c>
      <c r="N1776" s="3">
        <f t="shared" si="137"/>
        <v>4500</v>
      </c>
      <c r="O1776" s="3">
        <f t="shared" si="138"/>
        <v>17.596906038498723</v>
      </c>
      <c r="P1776" s="3" t="str">
        <f t="shared" si="139"/>
        <v>Nov</v>
      </c>
      <c r="Q1776" s="3" t="str">
        <f t="shared" si="135"/>
        <v>good profit</v>
      </c>
    </row>
    <row r="1777" spans="1:17" x14ac:dyDescent="0.25">
      <c r="A1777" s="3" t="s">
        <v>1755</v>
      </c>
      <c r="B1777" s="4">
        <v>45981</v>
      </c>
      <c r="C1777" s="3" t="s">
        <v>2015</v>
      </c>
      <c r="D1777" s="3" t="s">
        <v>2035</v>
      </c>
      <c r="E1777" s="3" t="s">
        <v>2054</v>
      </c>
      <c r="F1777" s="3" t="s">
        <v>2061</v>
      </c>
      <c r="G1777" s="3">
        <v>7</v>
      </c>
      <c r="H1777" s="3">
        <v>900</v>
      </c>
      <c r="I1777" s="3">
        <v>1170</v>
      </c>
      <c r="J1777" s="3">
        <v>4.43</v>
      </c>
      <c r="K1777" s="3">
        <v>7827.03</v>
      </c>
      <c r="L1777" s="3">
        <v>1527.03</v>
      </c>
      <c r="M1777" s="3">
        <f t="shared" si="136"/>
        <v>36281.699999999997</v>
      </c>
      <c r="N1777" s="3">
        <f t="shared" si="137"/>
        <v>6300</v>
      </c>
      <c r="O1777" s="3">
        <f t="shared" si="138"/>
        <v>19.50969908126071</v>
      </c>
      <c r="P1777" s="3" t="str">
        <f t="shared" si="139"/>
        <v>Nov</v>
      </c>
      <c r="Q1777" s="3" t="str">
        <f t="shared" si="135"/>
        <v>good profit</v>
      </c>
    </row>
    <row r="1778" spans="1:17" x14ac:dyDescent="0.25">
      <c r="A1778" s="3" t="s">
        <v>1803</v>
      </c>
      <c r="B1778" s="4">
        <v>45981</v>
      </c>
      <c r="C1778" s="3" t="s">
        <v>2022</v>
      </c>
      <c r="D1778" s="3" t="s">
        <v>2042</v>
      </c>
      <c r="E1778" s="3" t="s">
        <v>2053</v>
      </c>
      <c r="F1778" s="3" t="s">
        <v>2060</v>
      </c>
      <c r="G1778" s="3">
        <v>3</v>
      </c>
      <c r="H1778" s="3">
        <v>8500</v>
      </c>
      <c r="I1778" s="3">
        <v>9520</v>
      </c>
      <c r="J1778" s="3">
        <v>4</v>
      </c>
      <c r="K1778" s="3">
        <v>27417.599999999999</v>
      </c>
      <c r="L1778" s="3">
        <v>1917.6</v>
      </c>
      <c r="M1778" s="3">
        <f t="shared" si="136"/>
        <v>114240</v>
      </c>
      <c r="N1778" s="3">
        <f t="shared" si="137"/>
        <v>25500</v>
      </c>
      <c r="O1778" s="3">
        <f t="shared" si="138"/>
        <v>6.9940476190476195</v>
      </c>
      <c r="P1778" s="3" t="str">
        <f t="shared" si="139"/>
        <v>Nov</v>
      </c>
      <c r="Q1778" s="3" t="str">
        <f t="shared" si="135"/>
        <v>low profit</v>
      </c>
    </row>
    <row r="1779" spans="1:17" x14ac:dyDescent="0.25">
      <c r="A1779" s="3" t="s">
        <v>1880</v>
      </c>
      <c r="B1779" s="4">
        <v>45981</v>
      </c>
      <c r="C1779" s="3" t="s">
        <v>2014</v>
      </c>
      <c r="D1779" s="3" t="s">
        <v>2034</v>
      </c>
      <c r="E1779" s="3" t="s">
        <v>2052</v>
      </c>
      <c r="F1779" s="3" t="s">
        <v>2059</v>
      </c>
      <c r="G1779" s="3">
        <v>5</v>
      </c>
      <c r="H1779" s="3">
        <v>4500</v>
      </c>
      <c r="I1779" s="3">
        <v>5220</v>
      </c>
      <c r="J1779" s="3">
        <v>22.8</v>
      </c>
      <c r="K1779" s="3">
        <v>20150.25</v>
      </c>
      <c r="L1779" s="3">
        <v>-2349.75</v>
      </c>
      <c r="M1779" s="3">
        <f t="shared" si="136"/>
        <v>595080</v>
      </c>
      <c r="N1779" s="3">
        <f t="shared" si="137"/>
        <v>22500</v>
      </c>
      <c r="O1779" s="3">
        <f t="shared" si="138"/>
        <v>-11.661145643354301</v>
      </c>
      <c r="P1779" s="3" t="str">
        <f t="shared" si="139"/>
        <v>Nov</v>
      </c>
      <c r="Q1779" s="3" t="str">
        <f t="shared" si="135"/>
        <v>loss</v>
      </c>
    </row>
    <row r="1780" spans="1:17" x14ac:dyDescent="0.25">
      <c r="A1780" s="3" t="s">
        <v>496</v>
      </c>
      <c r="B1780" s="4">
        <v>45982</v>
      </c>
      <c r="C1780" s="3" t="s">
        <v>2027</v>
      </c>
      <c r="D1780" s="3" t="s">
        <v>2047</v>
      </c>
      <c r="E1780" s="3" t="s">
        <v>2053</v>
      </c>
      <c r="F1780" s="3" t="s">
        <v>2059</v>
      </c>
      <c r="G1780" s="3">
        <v>2</v>
      </c>
      <c r="H1780" s="3">
        <v>1100</v>
      </c>
      <c r="I1780" s="3">
        <v>1298</v>
      </c>
      <c r="J1780" s="3">
        <v>9.8699999999999992</v>
      </c>
      <c r="K1780" s="3">
        <v>2339.66</v>
      </c>
      <c r="L1780" s="3">
        <v>139.66</v>
      </c>
      <c r="M1780" s="3">
        <f t="shared" si="136"/>
        <v>25622.519999999997</v>
      </c>
      <c r="N1780" s="3">
        <f t="shared" si="137"/>
        <v>2200</v>
      </c>
      <c r="O1780" s="3">
        <f t="shared" si="138"/>
        <v>5.9692433943393484</v>
      </c>
      <c r="P1780" s="3" t="str">
        <f t="shared" si="139"/>
        <v>Nov</v>
      </c>
      <c r="Q1780" s="3" t="str">
        <f t="shared" si="135"/>
        <v>low profit</v>
      </c>
    </row>
    <row r="1781" spans="1:17" x14ac:dyDescent="0.25">
      <c r="A1781" s="3" t="s">
        <v>725</v>
      </c>
      <c r="B1781" s="4">
        <v>45982</v>
      </c>
      <c r="C1781" s="3" t="s">
        <v>2028</v>
      </c>
      <c r="D1781" s="3" t="s">
        <v>2048</v>
      </c>
      <c r="E1781" s="3" t="s">
        <v>2057</v>
      </c>
      <c r="F1781" s="3" t="s">
        <v>2059</v>
      </c>
      <c r="G1781" s="3">
        <v>8</v>
      </c>
      <c r="H1781" s="3">
        <v>80</v>
      </c>
      <c r="I1781" s="3">
        <v>116</v>
      </c>
      <c r="J1781" s="3">
        <v>11.85</v>
      </c>
      <c r="K1781" s="3">
        <v>818.01</v>
      </c>
      <c r="L1781" s="3">
        <v>178.01</v>
      </c>
      <c r="M1781" s="3">
        <f t="shared" si="136"/>
        <v>10996.8</v>
      </c>
      <c r="N1781" s="3">
        <f t="shared" si="137"/>
        <v>640</v>
      </c>
      <c r="O1781" s="3">
        <f t="shared" si="138"/>
        <v>21.761347660786541</v>
      </c>
      <c r="P1781" s="3" t="str">
        <f t="shared" si="139"/>
        <v>Nov</v>
      </c>
      <c r="Q1781" s="3" t="str">
        <f t="shared" si="135"/>
        <v>good profit</v>
      </c>
    </row>
    <row r="1782" spans="1:17" x14ac:dyDescent="0.25">
      <c r="A1782" s="3" t="s">
        <v>764</v>
      </c>
      <c r="B1782" s="4">
        <v>45982</v>
      </c>
      <c r="C1782" s="3" t="s">
        <v>2027</v>
      </c>
      <c r="D1782" s="3" t="s">
        <v>2047</v>
      </c>
      <c r="E1782" s="3" t="s">
        <v>2053</v>
      </c>
      <c r="F1782" s="3" t="s">
        <v>2062</v>
      </c>
      <c r="G1782" s="3">
        <v>9</v>
      </c>
      <c r="H1782" s="3">
        <v>1100</v>
      </c>
      <c r="I1782" s="3">
        <v>1298</v>
      </c>
      <c r="J1782" s="3">
        <v>21.37</v>
      </c>
      <c r="K1782" s="3">
        <v>9185.1</v>
      </c>
      <c r="L1782" s="3">
        <v>-714.9</v>
      </c>
      <c r="M1782" s="3">
        <f t="shared" si="136"/>
        <v>249644.34000000003</v>
      </c>
      <c r="N1782" s="3">
        <f t="shared" si="137"/>
        <v>9900</v>
      </c>
      <c r="O1782" s="3">
        <f t="shared" si="138"/>
        <v>-7.7832576673090115</v>
      </c>
      <c r="P1782" s="3" t="str">
        <f t="shared" si="139"/>
        <v>Nov</v>
      </c>
      <c r="Q1782" s="3" t="str">
        <f t="shared" si="135"/>
        <v>loss</v>
      </c>
    </row>
    <row r="1783" spans="1:17" x14ac:dyDescent="0.25">
      <c r="A1783" s="3" t="s">
        <v>880</v>
      </c>
      <c r="B1783" s="4">
        <v>45982</v>
      </c>
      <c r="C1783" s="3" t="s">
        <v>2016</v>
      </c>
      <c r="D1783" s="3" t="s">
        <v>2036</v>
      </c>
      <c r="E1783" s="3" t="s">
        <v>2052</v>
      </c>
      <c r="F1783" s="3" t="s">
        <v>2062</v>
      </c>
      <c r="G1783" s="3">
        <v>3</v>
      </c>
      <c r="H1783" s="3">
        <v>900</v>
      </c>
      <c r="I1783" s="3">
        <v>1170</v>
      </c>
      <c r="J1783" s="3">
        <v>7.27</v>
      </c>
      <c r="K1783" s="3">
        <v>3254.75</v>
      </c>
      <c r="L1783" s="3">
        <v>554.75</v>
      </c>
      <c r="M1783" s="3">
        <f t="shared" si="136"/>
        <v>25517.699999999997</v>
      </c>
      <c r="N1783" s="3">
        <f t="shared" si="137"/>
        <v>2700</v>
      </c>
      <c r="O1783" s="3">
        <f t="shared" si="138"/>
        <v>17.044319840233506</v>
      </c>
      <c r="P1783" s="3" t="str">
        <f t="shared" si="139"/>
        <v>Nov</v>
      </c>
      <c r="Q1783" s="3" t="str">
        <f t="shared" si="135"/>
        <v>good profit</v>
      </c>
    </row>
    <row r="1784" spans="1:17" x14ac:dyDescent="0.25">
      <c r="A1784" s="3" t="s">
        <v>1102</v>
      </c>
      <c r="B1784" s="4">
        <v>45982</v>
      </c>
      <c r="C1784" s="3" t="s">
        <v>2023</v>
      </c>
      <c r="D1784" s="3" t="s">
        <v>2043</v>
      </c>
      <c r="E1784" s="3" t="s">
        <v>2053</v>
      </c>
      <c r="F1784" s="3" t="s">
        <v>2060</v>
      </c>
      <c r="G1784" s="3">
        <v>9</v>
      </c>
      <c r="H1784" s="3">
        <v>550</v>
      </c>
      <c r="I1784" s="3">
        <v>742.5</v>
      </c>
      <c r="J1784" s="3">
        <v>7.63</v>
      </c>
      <c r="K1784" s="3">
        <v>6172.64</v>
      </c>
      <c r="L1784" s="3">
        <v>1222.6400000000001</v>
      </c>
      <c r="M1784" s="3">
        <f t="shared" si="136"/>
        <v>50987.474999999999</v>
      </c>
      <c r="N1784" s="3">
        <f t="shared" si="137"/>
        <v>4950</v>
      </c>
      <c r="O1784" s="3">
        <f t="shared" si="138"/>
        <v>19.807408175432233</v>
      </c>
      <c r="P1784" s="3" t="str">
        <f t="shared" si="139"/>
        <v>Nov</v>
      </c>
      <c r="Q1784" s="3" t="str">
        <f t="shared" si="135"/>
        <v>good profit</v>
      </c>
    </row>
    <row r="1785" spans="1:17" x14ac:dyDescent="0.25">
      <c r="A1785" s="3" t="s">
        <v>1110</v>
      </c>
      <c r="B1785" s="4">
        <v>45982</v>
      </c>
      <c r="C1785" s="3" t="s">
        <v>2021</v>
      </c>
      <c r="D1785" s="3" t="s">
        <v>2041</v>
      </c>
      <c r="E1785" s="3" t="s">
        <v>2056</v>
      </c>
      <c r="F1785" s="3" t="s">
        <v>2062</v>
      </c>
      <c r="G1785" s="3">
        <v>3</v>
      </c>
      <c r="H1785" s="3">
        <v>300</v>
      </c>
      <c r="I1785" s="3">
        <v>405</v>
      </c>
      <c r="J1785" s="3">
        <v>6.76</v>
      </c>
      <c r="K1785" s="3">
        <v>1132.8499999999999</v>
      </c>
      <c r="L1785" s="3">
        <v>232.85</v>
      </c>
      <c r="M1785" s="3">
        <f t="shared" si="136"/>
        <v>8213.4</v>
      </c>
      <c r="N1785" s="3">
        <f t="shared" si="137"/>
        <v>900</v>
      </c>
      <c r="O1785" s="3">
        <f t="shared" si="138"/>
        <v>20.554354062762062</v>
      </c>
      <c r="P1785" s="3" t="str">
        <f t="shared" si="139"/>
        <v>Nov</v>
      </c>
      <c r="Q1785" s="3" t="str">
        <f t="shared" si="135"/>
        <v>good profit</v>
      </c>
    </row>
    <row r="1786" spans="1:17" x14ac:dyDescent="0.25">
      <c r="A1786" s="3" t="s">
        <v>1250</v>
      </c>
      <c r="B1786" s="4">
        <v>45982</v>
      </c>
      <c r="C1786" s="3" t="s">
        <v>2029</v>
      </c>
      <c r="D1786" s="3" t="s">
        <v>2049</v>
      </c>
      <c r="E1786" s="3" t="s">
        <v>2055</v>
      </c>
      <c r="F1786" s="3" t="s">
        <v>2060</v>
      </c>
      <c r="G1786" s="3">
        <v>8</v>
      </c>
      <c r="H1786" s="3">
        <v>1200</v>
      </c>
      <c r="I1786" s="3">
        <v>1464</v>
      </c>
      <c r="J1786" s="3">
        <v>11.2</v>
      </c>
      <c r="K1786" s="3">
        <v>10400.75</v>
      </c>
      <c r="L1786" s="3">
        <v>800.75</v>
      </c>
      <c r="M1786" s="3">
        <f t="shared" si="136"/>
        <v>131174.39999999999</v>
      </c>
      <c r="N1786" s="3">
        <f t="shared" si="137"/>
        <v>9600</v>
      </c>
      <c r="O1786" s="3">
        <f t="shared" si="138"/>
        <v>7.6989640170180031</v>
      </c>
      <c r="P1786" s="3" t="str">
        <f t="shared" si="139"/>
        <v>Nov</v>
      </c>
      <c r="Q1786" s="3" t="str">
        <f t="shared" si="135"/>
        <v>low profit</v>
      </c>
    </row>
    <row r="1787" spans="1:17" x14ac:dyDescent="0.25">
      <c r="A1787" s="3" t="s">
        <v>1400</v>
      </c>
      <c r="B1787" s="4">
        <v>45982</v>
      </c>
      <c r="C1787" s="3" t="s">
        <v>2031</v>
      </c>
      <c r="D1787" s="3" t="s">
        <v>2051</v>
      </c>
      <c r="E1787" s="3" t="s">
        <v>2058</v>
      </c>
      <c r="F1787" s="3" t="s">
        <v>2059</v>
      </c>
      <c r="G1787" s="3">
        <v>9</v>
      </c>
      <c r="H1787" s="3">
        <v>3200</v>
      </c>
      <c r="I1787" s="3">
        <v>3840</v>
      </c>
      <c r="J1787" s="3">
        <v>11.2</v>
      </c>
      <c r="K1787" s="3">
        <v>30690.44</v>
      </c>
      <c r="L1787" s="3">
        <v>1890.44</v>
      </c>
      <c r="M1787" s="3">
        <f t="shared" si="136"/>
        <v>387072</v>
      </c>
      <c r="N1787" s="3">
        <f t="shared" si="137"/>
        <v>28800</v>
      </c>
      <c r="O1787" s="3">
        <f t="shared" si="138"/>
        <v>6.1597031518609704</v>
      </c>
      <c r="P1787" s="3" t="str">
        <f t="shared" si="139"/>
        <v>Nov</v>
      </c>
      <c r="Q1787" s="3" t="str">
        <f t="shared" si="135"/>
        <v>low profit</v>
      </c>
    </row>
    <row r="1788" spans="1:17" x14ac:dyDescent="0.25">
      <c r="A1788" s="3" t="s">
        <v>531</v>
      </c>
      <c r="B1788" s="4">
        <v>45983</v>
      </c>
      <c r="C1788" s="3" t="s">
        <v>2016</v>
      </c>
      <c r="D1788" s="3" t="s">
        <v>2036</v>
      </c>
      <c r="E1788" s="3" t="s">
        <v>2052</v>
      </c>
      <c r="F1788" s="3" t="s">
        <v>2060</v>
      </c>
      <c r="G1788" s="3">
        <v>2</v>
      </c>
      <c r="H1788" s="3">
        <v>900</v>
      </c>
      <c r="I1788" s="3">
        <v>1170</v>
      </c>
      <c r="J1788" s="3">
        <v>16</v>
      </c>
      <c r="K1788" s="3">
        <v>1965.49</v>
      </c>
      <c r="L1788" s="3">
        <v>165.49</v>
      </c>
      <c r="M1788" s="3">
        <f t="shared" si="136"/>
        <v>37440</v>
      </c>
      <c r="N1788" s="3">
        <f t="shared" si="137"/>
        <v>1800</v>
      </c>
      <c r="O1788" s="3">
        <f t="shared" si="138"/>
        <v>8.4197833619097544</v>
      </c>
      <c r="P1788" s="3" t="str">
        <f t="shared" si="139"/>
        <v>Nov</v>
      </c>
      <c r="Q1788" s="3" t="str">
        <f t="shared" si="135"/>
        <v>low profit</v>
      </c>
    </row>
    <row r="1789" spans="1:17" x14ac:dyDescent="0.25">
      <c r="A1789" s="3" t="s">
        <v>1480</v>
      </c>
      <c r="B1789" s="4">
        <v>45983</v>
      </c>
      <c r="C1789" s="3" t="s">
        <v>2018</v>
      </c>
      <c r="D1789" s="3" t="s">
        <v>2038</v>
      </c>
      <c r="E1789" s="3" t="s">
        <v>2053</v>
      </c>
      <c r="F1789" s="3" t="s">
        <v>2060</v>
      </c>
      <c r="G1789" s="3">
        <v>10</v>
      </c>
      <c r="H1789" s="3">
        <v>500</v>
      </c>
      <c r="I1789" s="3">
        <v>610</v>
      </c>
      <c r="J1789" s="3">
        <v>17.440000000000001</v>
      </c>
      <c r="K1789" s="3">
        <v>5036.37</v>
      </c>
      <c r="L1789" s="3">
        <v>36.369999999999997</v>
      </c>
      <c r="M1789" s="3">
        <f t="shared" si="136"/>
        <v>106384.00000000001</v>
      </c>
      <c r="N1789" s="3">
        <f t="shared" si="137"/>
        <v>5000</v>
      </c>
      <c r="O1789" s="3">
        <f t="shared" si="138"/>
        <v>0.72214710198019605</v>
      </c>
      <c r="P1789" s="3" t="str">
        <f t="shared" si="139"/>
        <v>Nov</v>
      </c>
      <c r="Q1789" s="3" t="str">
        <f t="shared" si="135"/>
        <v>low profit</v>
      </c>
    </row>
    <row r="1790" spans="1:17" x14ac:dyDescent="0.25">
      <c r="A1790" s="3" t="s">
        <v>1831</v>
      </c>
      <c r="B1790" s="4">
        <v>45983</v>
      </c>
      <c r="C1790" s="3" t="s">
        <v>2023</v>
      </c>
      <c r="D1790" s="3" t="s">
        <v>2043</v>
      </c>
      <c r="E1790" s="3" t="s">
        <v>2053</v>
      </c>
      <c r="F1790" s="3" t="s">
        <v>2062</v>
      </c>
      <c r="G1790" s="3">
        <v>8</v>
      </c>
      <c r="H1790" s="3">
        <v>550</v>
      </c>
      <c r="I1790" s="3">
        <v>742.5</v>
      </c>
      <c r="J1790" s="3">
        <v>7.49</v>
      </c>
      <c r="K1790" s="3">
        <v>5494.93</v>
      </c>
      <c r="L1790" s="3">
        <v>1094.93</v>
      </c>
      <c r="M1790" s="3">
        <f t="shared" si="136"/>
        <v>44490.6</v>
      </c>
      <c r="N1790" s="3">
        <f t="shared" si="137"/>
        <v>4400</v>
      </c>
      <c r="O1790" s="3">
        <f t="shared" si="138"/>
        <v>19.926186502830792</v>
      </c>
      <c r="P1790" s="3" t="str">
        <f t="shared" si="139"/>
        <v>Nov</v>
      </c>
      <c r="Q1790" s="3" t="str">
        <f t="shared" si="135"/>
        <v>good profit</v>
      </c>
    </row>
    <row r="1791" spans="1:17" x14ac:dyDescent="0.25">
      <c r="A1791" s="3" t="s">
        <v>598</v>
      </c>
      <c r="B1791" s="4">
        <v>45984</v>
      </c>
      <c r="C1791" s="3" t="s">
        <v>2028</v>
      </c>
      <c r="D1791" s="3" t="s">
        <v>2048</v>
      </c>
      <c r="E1791" s="3" t="s">
        <v>2057</v>
      </c>
      <c r="F1791" s="3" t="s">
        <v>2060</v>
      </c>
      <c r="G1791" s="3">
        <v>5</v>
      </c>
      <c r="H1791" s="3">
        <v>80</v>
      </c>
      <c r="I1791" s="3">
        <v>116</v>
      </c>
      <c r="J1791" s="3">
        <v>6.19</v>
      </c>
      <c r="K1791" s="3">
        <v>544.07000000000005</v>
      </c>
      <c r="L1791" s="3">
        <v>144.07</v>
      </c>
      <c r="M1791" s="3">
        <f t="shared" si="136"/>
        <v>3590.2000000000003</v>
      </c>
      <c r="N1791" s="3">
        <f t="shared" si="137"/>
        <v>400</v>
      </c>
      <c r="O1791" s="3">
        <f t="shared" si="138"/>
        <v>26.480048523167969</v>
      </c>
      <c r="P1791" s="3" t="str">
        <f t="shared" si="139"/>
        <v>Nov</v>
      </c>
      <c r="Q1791" s="3" t="str">
        <f t="shared" si="135"/>
        <v>good profit</v>
      </c>
    </row>
    <row r="1792" spans="1:17" x14ac:dyDescent="0.25">
      <c r="A1792" s="3" t="s">
        <v>834</v>
      </c>
      <c r="B1792" s="4">
        <v>45984</v>
      </c>
      <c r="C1792" s="3" t="s">
        <v>2024</v>
      </c>
      <c r="D1792" s="3" t="s">
        <v>2044</v>
      </c>
      <c r="E1792" s="3" t="s">
        <v>2055</v>
      </c>
      <c r="F1792" s="3" t="s">
        <v>2062</v>
      </c>
      <c r="G1792" s="3">
        <v>8</v>
      </c>
      <c r="H1792" s="3">
        <v>180</v>
      </c>
      <c r="I1792" s="3">
        <v>243</v>
      </c>
      <c r="J1792" s="3">
        <v>6.29</v>
      </c>
      <c r="K1792" s="3">
        <v>1821.69</v>
      </c>
      <c r="L1792" s="3">
        <v>381.69</v>
      </c>
      <c r="M1792" s="3">
        <f t="shared" si="136"/>
        <v>12227.76</v>
      </c>
      <c r="N1792" s="3">
        <f t="shared" si="137"/>
        <v>1440</v>
      </c>
      <c r="O1792" s="3">
        <f t="shared" si="138"/>
        <v>20.952522108591474</v>
      </c>
      <c r="P1792" s="3" t="str">
        <f t="shared" si="139"/>
        <v>Nov</v>
      </c>
      <c r="Q1792" s="3" t="str">
        <f t="shared" si="135"/>
        <v>good profit</v>
      </c>
    </row>
    <row r="1793" spans="1:17" x14ac:dyDescent="0.25">
      <c r="A1793" s="3" t="s">
        <v>1281</v>
      </c>
      <c r="B1793" s="4">
        <v>45984</v>
      </c>
      <c r="C1793" s="3" t="s">
        <v>2025</v>
      </c>
      <c r="D1793" s="3" t="s">
        <v>2045</v>
      </c>
      <c r="E1793" s="3" t="s">
        <v>2057</v>
      </c>
      <c r="F1793" s="3" t="s">
        <v>2061</v>
      </c>
      <c r="G1793" s="3">
        <v>9</v>
      </c>
      <c r="H1793" s="3">
        <v>45</v>
      </c>
      <c r="I1793" s="3">
        <v>63</v>
      </c>
      <c r="J1793" s="3">
        <v>9.1300000000000008</v>
      </c>
      <c r="K1793" s="3">
        <v>515.25</v>
      </c>
      <c r="L1793" s="3">
        <v>110.25</v>
      </c>
      <c r="M1793" s="3">
        <f t="shared" si="136"/>
        <v>5176.71</v>
      </c>
      <c r="N1793" s="3">
        <f t="shared" si="137"/>
        <v>405</v>
      </c>
      <c r="O1793" s="3">
        <f t="shared" si="138"/>
        <v>21.397379912663755</v>
      </c>
      <c r="P1793" s="3" t="str">
        <f t="shared" si="139"/>
        <v>Nov</v>
      </c>
      <c r="Q1793" s="3" t="str">
        <f t="shared" si="135"/>
        <v>good profit</v>
      </c>
    </row>
    <row r="1794" spans="1:17" x14ac:dyDescent="0.25">
      <c r="A1794" s="3" t="s">
        <v>1735</v>
      </c>
      <c r="B1794" s="4">
        <v>45984</v>
      </c>
      <c r="C1794" s="3" t="s">
        <v>2013</v>
      </c>
      <c r="D1794" s="3" t="s">
        <v>2033</v>
      </c>
      <c r="E1794" s="3" t="s">
        <v>2053</v>
      </c>
      <c r="F1794" s="3" t="s">
        <v>2059</v>
      </c>
      <c r="G1794" s="3">
        <v>9</v>
      </c>
      <c r="H1794" s="3">
        <v>6500</v>
      </c>
      <c r="I1794" s="3">
        <v>7150</v>
      </c>
      <c r="J1794" s="3">
        <v>9.76</v>
      </c>
      <c r="K1794" s="3">
        <v>58070.13</v>
      </c>
      <c r="L1794" s="3">
        <v>-429.87</v>
      </c>
      <c r="M1794" s="3">
        <f t="shared" si="136"/>
        <v>628056</v>
      </c>
      <c r="N1794" s="3">
        <f t="shared" si="137"/>
        <v>58500</v>
      </c>
      <c r="O1794" s="3">
        <f t="shared" si="138"/>
        <v>-0.74026009585306596</v>
      </c>
      <c r="P1794" s="3" t="str">
        <f t="shared" si="139"/>
        <v>Nov</v>
      </c>
      <c r="Q1794" s="3" t="str">
        <f t="shared" ref="Q1794:Q1857" si="140">IF(L1794&lt;0,"loss",IF(O1794&lt;10,"low profit","good profit"))</f>
        <v>loss</v>
      </c>
    </row>
    <row r="1795" spans="1:17" x14ac:dyDescent="0.25">
      <c r="A1795" s="3" t="s">
        <v>1786</v>
      </c>
      <c r="B1795" s="4">
        <v>45984</v>
      </c>
      <c r="C1795" s="3" t="s">
        <v>2014</v>
      </c>
      <c r="D1795" s="3" t="s">
        <v>2034</v>
      </c>
      <c r="E1795" s="3" t="s">
        <v>2052</v>
      </c>
      <c r="F1795" s="3" t="s">
        <v>2061</v>
      </c>
      <c r="G1795" s="3">
        <v>5</v>
      </c>
      <c r="H1795" s="3">
        <v>4500</v>
      </c>
      <c r="I1795" s="3">
        <v>5220</v>
      </c>
      <c r="J1795" s="3">
        <v>14.95</v>
      </c>
      <c r="K1795" s="3">
        <v>22198.98</v>
      </c>
      <c r="L1795" s="3">
        <v>-301.02</v>
      </c>
      <c r="M1795" s="3">
        <f t="shared" ref="M1795:M1858" si="141">G1795*I1795*J1795</f>
        <v>390195</v>
      </c>
      <c r="N1795" s="3">
        <f t="shared" ref="N1795:N1858" si="142">G1795*H1795</f>
        <v>22500</v>
      </c>
      <c r="O1795" s="3">
        <f t="shared" ref="O1795:O1858" si="143">IFERROR(L1795/K1795*100,0)</f>
        <v>-1.3560082490276579</v>
      </c>
      <c r="P1795" s="3" t="str">
        <f t="shared" ref="P1795:P1858" si="144">TEXT(B1795,"mmm")</f>
        <v>Nov</v>
      </c>
      <c r="Q1795" s="3" t="str">
        <f t="shared" si="140"/>
        <v>loss</v>
      </c>
    </row>
    <row r="1796" spans="1:17" x14ac:dyDescent="0.25">
      <c r="A1796" s="3" t="s">
        <v>814</v>
      </c>
      <c r="B1796" s="4">
        <v>45985</v>
      </c>
      <c r="C1796" s="3" t="s">
        <v>2018</v>
      </c>
      <c r="D1796" s="3" t="s">
        <v>2038</v>
      </c>
      <c r="E1796" s="3" t="s">
        <v>2053</v>
      </c>
      <c r="F1796" s="3" t="s">
        <v>2059</v>
      </c>
      <c r="G1796" s="3">
        <v>4</v>
      </c>
      <c r="H1796" s="3">
        <v>500</v>
      </c>
      <c r="I1796" s="3">
        <v>610</v>
      </c>
      <c r="J1796" s="3">
        <v>14.65</v>
      </c>
      <c r="K1796" s="3">
        <v>2082.4299999999998</v>
      </c>
      <c r="L1796" s="3">
        <v>82.43</v>
      </c>
      <c r="M1796" s="3">
        <f t="shared" si="141"/>
        <v>35746</v>
      </c>
      <c r="N1796" s="3">
        <f t="shared" si="142"/>
        <v>2000</v>
      </c>
      <c r="O1796" s="3">
        <f t="shared" si="143"/>
        <v>3.9583563433104603</v>
      </c>
      <c r="P1796" s="3" t="str">
        <f t="shared" si="144"/>
        <v>Nov</v>
      </c>
      <c r="Q1796" s="3" t="str">
        <f t="shared" si="140"/>
        <v>low profit</v>
      </c>
    </row>
    <row r="1797" spans="1:17" x14ac:dyDescent="0.25">
      <c r="A1797" s="3" t="s">
        <v>1239</v>
      </c>
      <c r="B1797" s="4">
        <v>45985</v>
      </c>
      <c r="C1797" s="3" t="s">
        <v>2012</v>
      </c>
      <c r="D1797" s="3" t="s">
        <v>2032</v>
      </c>
      <c r="E1797" s="3" t="s">
        <v>2052</v>
      </c>
      <c r="F1797" s="3" t="s">
        <v>2062</v>
      </c>
      <c r="G1797" s="3">
        <v>1</v>
      </c>
      <c r="H1797" s="3">
        <v>6500</v>
      </c>
      <c r="I1797" s="3">
        <v>8125</v>
      </c>
      <c r="J1797" s="3">
        <v>5.56</v>
      </c>
      <c r="K1797" s="3">
        <v>7673.65</v>
      </c>
      <c r="L1797" s="3">
        <v>1173.6500000000001</v>
      </c>
      <c r="M1797" s="3">
        <f t="shared" si="141"/>
        <v>45175</v>
      </c>
      <c r="N1797" s="3">
        <f t="shared" si="142"/>
        <v>6500</v>
      </c>
      <c r="O1797" s="3">
        <f t="shared" si="143"/>
        <v>15.294546923563104</v>
      </c>
      <c r="P1797" s="3" t="str">
        <f t="shared" si="144"/>
        <v>Nov</v>
      </c>
      <c r="Q1797" s="3" t="str">
        <f t="shared" si="140"/>
        <v>good profit</v>
      </c>
    </row>
    <row r="1798" spans="1:17" x14ac:dyDescent="0.25">
      <c r="A1798" s="3" t="s">
        <v>1245</v>
      </c>
      <c r="B1798" s="4">
        <v>45985</v>
      </c>
      <c r="C1798" s="3" t="s">
        <v>2028</v>
      </c>
      <c r="D1798" s="3" t="s">
        <v>2048</v>
      </c>
      <c r="E1798" s="3" t="s">
        <v>2057</v>
      </c>
      <c r="F1798" s="3" t="s">
        <v>2061</v>
      </c>
      <c r="G1798" s="3">
        <v>10</v>
      </c>
      <c r="H1798" s="3">
        <v>80</v>
      </c>
      <c r="I1798" s="3">
        <v>116</v>
      </c>
      <c r="J1798" s="3">
        <v>10.61</v>
      </c>
      <c r="K1798" s="3">
        <v>1036.8699999999999</v>
      </c>
      <c r="L1798" s="3">
        <v>236.87</v>
      </c>
      <c r="M1798" s="3">
        <f t="shared" si="141"/>
        <v>12307.599999999999</v>
      </c>
      <c r="N1798" s="3">
        <f t="shared" si="142"/>
        <v>800</v>
      </c>
      <c r="O1798" s="3">
        <f t="shared" si="143"/>
        <v>22.84471534522168</v>
      </c>
      <c r="P1798" s="3" t="str">
        <f t="shared" si="144"/>
        <v>Nov</v>
      </c>
      <c r="Q1798" s="3" t="str">
        <f t="shared" si="140"/>
        <v>good profit</v>
      </c>
    </row>
    <row r="1799" spans="1:17" x14ac:dyDescent="0.25">
      <c r="A1799" s="3" t="s">
        <v>1961</v>
      </c>
      <c r="B1799" s="4">
        <v>45985</v>
      </c>
      <c r="C1799" s="3" t="s">
        <v>2019</v>
      </c>
      <c r="D1799" s="3" t="s">
        <v>2039</v>
      </c>
      <c r="E1799" s="3" t="s">
        <v>2053</v>
      </c>
      <c r="F1799" s="3" t="s">
        <v>2059</v>
      </c>
      <c r="G1799" s="3">
        <v>8</v>
      </c>
      <c r="H1799" s="3">
        <v>900</v>
      </c>
      <c r="I1799" s="3">
        <v>1152</v>
      </c>
      <c r="J1799" s="3">
        <v>18.68</v>
      </c>
      <c r="K1799" s="3">
        <v>7494.12</v>
      </c>
      <c r="L1799" s="3">
        <v>294.12</v>
      </c>
      <c r="M1799" s="3">
        <f t="shared" si="141"/>
        <v>172154.88</v>
      </c>
      <c r="N1799" s="3">
        <f t="shared" si="142"/>
        <v>7200</v>
      </c>
      <c r="O1799" s="3">
        <f t="shared" si="143"/>
        <v>3.9246769467262332</v>
      </c>
      <c r="P1799" s="3" t="str">
        <f t="shared" si="144"/>
        <v>Nov</v>
      </c>
      <c r="Q1799" s="3" t="str">
        <f t="shared" si="140"/>
        <v>low profit</v>
      </c>
    </row>
    <row r="1800" spans="1:17" x14ac:dyDescent="0.25">
      <c r="A1800" s="3" t="s">
        <v>1969</v>
      </c>
      <c r="B1800" s="4">
        <v>45985</v>
      </c>
      <c r="C1800" s="3" t="s">
        <v>2015</v>
      </c>
      <c r="D1800" s="3" t="s">
        <v>2035</v>
      </c>
      <c r="E1800" s="3" t="s">
        <v>2054</v>
      </c>
      <c r="F1800" s="3" t="s">
        <v>2062</v>
      </c>
      <c r="G1800" s="3">
        <v>1</v>
      </c>
      <c r="H1800" s="3">
        <v>900</v>
      </c>
      <c r="I1800" s="3">
        <v>1170</v>
      </c>
      <c r="J1800" s="3">
        <v>17.87</v>
      </c>
      <c r="K1800" s="3">
        <v>960.93</v>
      </c>
      <c r="L1800" s="3">
        <v>60.93</v>
      </c>
      <c r="M1800" s="3">
        <f t="shared" si="141"/>
        <v>20907.900000000001</v>
      </c>
      <c r="N1800" s="3">
        <f t="shared" si="142"/>
        <v>900</v>
      </c>
      <c r="O1800" s="3">
        <f t="shared" si="143"/>
        <v>6.3407324154725107</v>
      </c>
      <c r="P1800" s="3" t="str">
        <f t="shared" si="144"/>
        <v>Nov</v>
      </c>
      <c r="Q1800" s="3" t="str">
        <f t="shared" si="140"/>
        <v>low profit</v>
      </c>
    </row>
    <row r="1801" spans="1:17" x14ac:dyDescent="0.25">
      <c r="A1801" s="3" t="s">
        <v>151</v>
      </c>
      <c r="B1801" s="4">
        <v>45986</v>
      </c>
      <c r="C1801" s="3" t="s">
        <v>2013</v>
      </c>
      <c r="D1801" s="3" t="s">
        <v>2033</v>
      </c>
      <c r="E1801" s="3" t="s">
        <v>2053</v>
      </c>
      <c r="F1801" s="3" t="s">
        <v>2059</v>
      </c>
      <c r="G1801" s="3">
        <v>5</v>
      </c>
      <c r="H1801" s="3">
        <v>6500</v>
      </c>
      <c r="I1801" s="3">
        <v>7150</v>
      </c>
      <c r="J1801" s="3">
        <v>16.21</v>
      </c>
      <c r="K1801" s="3">
        <v>29954.58</v>
      </c>
      <c r="L1801" s="3">
        <v>-2545.42</v>
      </c>
      <c r="M1801" s="3">
        <f t="shared" si="141"/>
        <v>579507.5</v>
      </c>
      <c r="N1801" s="3">
        <f t="shared" si="142"/>
        <v>32500</v>
      </c>
      <c r="O1801" s="3">
        <f t="shared" si="143"/>
        <v>-8.4975986977617453</v>
      </c>
      <c r="P1801" s="3" t="str">
        <f t="shared" si="144"/>
        <v>Nov</v>
      </c>
      <c r="Q1801" s="3" t="str">
        <f t="shared" si="140"/>
        <v>loss</v>
      </c>
    </row>
    <row r="1802" spans="1:17" x14ac:dyDescent="0.25">
      <c r="A1802" s="3" t="s">
        <v>285</v>
      </c>
      <c r="B1802" s="4">
        <v>45986</v>
      </c>
      <c r="C1802" s="3" t="s">
        <v>2017</v>
      </c>
      <c r="D1802" s="3" t="s">
        <v>2037</v>
      </c>
      <c r="E1802" s="3" t="s">
        <v>2055</v>
      </c>
      <c r="F1802" s="3" t="s">
        <v>2062</v>
      </c>
      <c r="G1802" s="3">
        <v>5</v>
      </c>
      <c r="H1802" s="3">
        <v>2500</v>
      </c>
      <c r="I1802" s="3">
        <v>2875</v>
      </c>
      <c r="J1802" s="3">
        <v>11.68</v>
      </c>
      <c r="K1802" s="3">
        <v>12695.36</v>
      </c>
      <c r="L1802" s="3">
        <v>195.36</v>
      </c>
      <c r="M1802" s="3">
        <f t="shared" si="141"/>
        <v>167900</v>
      </c>
      <c r="N1802" s="3">
        <f t="shared" si="142"/>
        <v>12500</v>
      </c>
      <c r="O1802" s="3">
        <f t="shared" si="143"/>
        <v>1.5388299347163059</v>
      </c>
      <c r="P1802" s="3" t="str">
        <f t="shared" si="144"/>
        <v>Nov</v>
      </c>
      <c r="Q1802" s="3" t="str">
        <f t="shared" si="140"/>
        <v>low profit</v>
      </c>
    </row>
    <row r="1803" spans="1:17" x14ac:dyDescent="0.25">
      <c r="A1803" s="3" t="s">
        <v>559</v>
      </c>
      <c r="B1803" s="4">
        <v>45986</v>
      </c>
      <c r="C1803" s="3" t="s">
        <v>2024</v>
      </c>
      <c r="D1803" s="3" t="s">
        <v>2044</v>
      </c>
      <c r="E1803" s="3" t="s">
        <v>2055</v>
      </c>
      <c r="F1803" s="3" t="s">
        <v>2060</v>
      </c>
      <c r="G1803" s="3">
        <v>7</v>
      </c>
      <c r="H1803" s="3">
        <v>180</v>
      </c>
      <c r="I1803" s="3">
        <v>243</v>
      </c>
      <c r="J1803" s="3">
        <v>8.14</v>
      </c>
      <c r="K1803" s="3">
        <v>1562.54</v>
      </c>
      <c r="L1803" s="3">
        <v>302.54000000000002</v>
      </c>
      <c r="M1803" s="3">
        <f t="shared" si="141"/>
        <v>13846.140000000001</v>
      </c>
      <c r="N1803" s="3">
        <f t="shared" si="142"/>
        <v>1260</v>
      </c>
      <c r="O1803" s="3">
        <f t="shared" si="143"/>
        <v>19.362064331153125</v>
      </c>
      <c r="P1803" s="3" t="str">
        <f t="shared" si="144"/>
        <v>Nov</v>
      </c>
      <c r="Q1803" s="3" t="str">
        <f t="shared" si="140"/>
        <v>good profit</v>
      </c>
    </row>
    <row r="1804" spans="1:17" x14ac:dyDescent="0.25">
      <c r="A1804" s="3" t="s">
        <v>1238</v>
      </c>
      <c r="B1804" s="4">
        <v>45986</v>
      </c>
      <c r="C1804" s="3" t="s">
        <v>2026</v>
      </c>
      <c r="D1804" s="3" t="s">
        <v>2046</v>
      </c>
      <c r="E1804" s="3" t="s">
        <v>2052</v>
      </c>
      <c r="F1804" s="3" t="s">
        <v>2059</v>
      </c>
      <c r="G1804" s="3">
        <v>1</v>
      </c>
      <c r="H1804" s="3">
        <v>3000</v>
      </c>
      <c r="I1804" s="3">
        <v>3600</v>
      </c>
      <c r="J1804" s="3">
        <v>7.17</v>
      </c>
      <c r="K1804" s="3">
        <v>3342.05</v>
      </c>
      <c r="L1804" s="3">
        <v>342.05</v>
      </c>
      <c r="M1804" s="3">
        <f t="shared" si="141"/>
        <v>25812</v>
      </c>
      <c r="N1804" s="3">
        <f t="shared" si="142"/>
        <v>3000</v>
      </c>
      <c r="O1804" s="3">
        <f t="shared" si="143"/>
        <v>10.234736164928711</v>
      </c>
      <c r="P1804" s="3" t="str">
        <f t="shared" si="144"/>
        <v>Nov</v>
      </c>
      <c r="Q1804" s="3" t="str">
        <f t="shared" si="140"/>
        <v>good profit</v>
      </c>
    </row>
    <row r="1805" spans="1:17" x14ac:dyDescent="0.25">
      <c r="A1805" s="3" t="s">
        <v>1464</v>
      </c>
      <c r="B1805" s="4">
        <v>45986</v>
      </c>
      <c r="C1805" s="3" t="s">
        <v>2021</v>
      </c>
      <c r="D1805" s="3" t="s">
        <v>2041</v>
      </c>
      <c r="E1805" s="3" t="s">
        <v>2056</v>
      </c>
      <c r="F1805" s="3" t="s">
        <v>2062</v>
      </c>
      <c r="G1805" s="3">
        <v>2</v>
      </c>
      <c r="H1805" s="3">
        <v>300</v>
      </c>
      <c r="I1805" s="3">
        <v>405</v>
      </c>
      <c r="J1805" s="3">
        <v>8.4499999999999993</v>
      </c>
      <c r="K1805" s="3">
        <v>741.53</v>
      </c>
      <c r="L1805" s="3">
        <v>141.53</v>
      </c>
      <c r="M1805" s="3">
        <f t="shared" si="141"/>
        <v>6844.4999999999991</v>
      </c>
      <c r="N1805" s="3">
        <f t="shared" si="142"/>
        <v>600</v>
      </c>
      <c r="O1805" s="3">
        <f t="shared" si="143"/>
        <v>19.086213639367255</v>
      </c>
      <c r="P1805" s="3" t="str">
        <f t="shared" si="144"/>
        <v>Nov</v>
      </c>
      <c r="Q1805" s="3" t="str">
        <f t="shared" si="140"/>
        <v>good profit</v>
      </c>
    </row>
    <row r="1806" spans="1:17" x14ac:dyDescent="0.25">
      <c r="A1806" s="3" t="s">
        <v>616</v>
      </c>
      <c r="B1806" s="4">
        <v>45987</v>
      </c>
      <c r="C1806" s="3" t="s">
        <v>2023</v>
      </c>
      <c r="D1806" s="3" t="s">
        <v>2043</v>
      </c>
      <c r="E1806" s="3" t="s">
        <v>2053</v>
      </c>
      <c r="F1806" s="3" t="s">
        <v>2061</v>
      </c>
      <c r="G1806" s="3">
        <v>4</v>
      </c>
      <c r="H1806" s="3">
        <v>550</v>
      </c>
      <c r="I1806" s="3">
        <v>742.5</v>
      </c>
      <c r="J1806" s="3">
        <v>4.96</v>
      </c>
      <c r="K1806" s="3">
        <v>2822.74</v>
      </c>
      <c r="L1806" s="3">
        <v>622.74</v>
      </c>
      <c r="M1806" s="3">
        <f t="shared" si="141"/>
        <v>14731.2</v>
      </c>
      <c r="N1806" s="3">
        <f t="shared" si="142"/>
        <v>2200</v>
      </c>
      <c r="O1806" s="3">
        <f t="shared" si="143"/>
        <v>22.06154303974153</v>
      </c>
      <c r="P1806" s="3" t="str">
        <f t="shared" si="144"/>
        <v>Nov</v>
      </c>
      <c r="Q1806" s="3" t="str">
        <f t="shared" si="140"/>
        <v>good profit</v>
      </c>
    </row>
    <row r="1807" spans="1:17" x14ac:dyDescent="0.25">
      <c r="A1807" s="3" t="s">
        <v>624</v>
      </c>
      <c r="B1807" s="4">
        <v>45987</v>
      </c>
      <c r="C1807" s="3" t="s">
        <v>2023</v>
      </c>
      <c r="D1807" s="3" t="s">
        <v>2043</v>
      </c>
      <c r="E1807" s="3" t="s">
        <v>2053</v>
      </c>
      <c r="F1807" s="3" t="s">
        <v>2060</v>
      </c>
      <c r="G1807" s="3">
        <v>7</v>
      </c>
      <c r="H1807" s="3">
        <v>550</v>
      </c>
      <c r="I1807" s="3">
        <v>742.5</v>
      </c>
      <c r="J1807" s="3">
        <v>0</v>
      </c>
      <c r="K1807" s="3">
        <v>5197.5</v>
      </c>
      <c r="L1807" s="3">
        <v>1347.5</v>
      </c>
      <c r="M1807" s="3">
        <f t="shared" si="141"/>
        <v>0</v>
      </c>
      <c r="N1807" s="3">
        <f t="shared" si="142"/>
        <v>3850</v>
      </c>
      <c r="O1807" s="3">
        <f t="shared" si="143"/>
        <v>25.925925925925924</v>
      </c>
      <c r="P1807" s="3" t="str">
        <f t="shared" si="144"/>
        <v>Nov</v>
      </c>
      <c r="Q1807" s="3" t="str">
        <f t="shared" si="140"/>
        <v>good profit</v>
      </c>
    </row>
    <row r="1808" spans="1:17" x14ac:dyDescent="0.25">
      <c r="A1808" s="3" t="s">
        <v>64</v>
      </c>
      <c r="B1808" s="4">
        <v>45988</v>
      </c>
      <c r="C1808" s="3" t="s">
        <v>2020</v>
      </c>
      <c r="D1808" s="3" t="s">
        <v>2040</v>
      </c>
      <c r="E1808" s="3" t="s">
        <v>2053</v>
      </c>
      <c r="F1808" s="3" t="s">
        <v>2062</v>
      </c>
      <c r="G1808" s="3">
        <v>10</v>
      </c>
      <c r="H1808" s="3">
        <v>350</v>
      </c>
      <c r="I1808" s="3">
        <v>455</v>
      </c>
      <c r="J1808" s="3">
        <v>9.34</v>
      </c>
      <c r="K1808" s="3">
        <v>4125.2299999999996</v>
      </c>
      <c r="L1808" s="3">
        <v>625.23</v>
      </c>
      <c r="M1808" s="3">
        <f t="shared" si="141"/>
        <v>42497</v>
      </c>
      <c r="N1808" s="3">
        <f t="shared" si="142"/>
        <v>3500</v>
      </c>
      <c r="O1808" s="3">
        <f t="shared" si="143"/>
        <v>15.156245833565645</v>
      </c>
      <c r="P1808" s="3" t="str">
        <f t="shared" si="144"/>
        <v>Nov</v>
      </c>
      <c r="Q1808" s="3" t="str">
        <f t="shared" si="140"/>
        <v>good profit</v>
      </c>
    </row>
    <row r="1809" spans="1:17" x14ac:dyDescent="0.25">
      <c r="A1809" s="3" t="s">
        <v>1027</v>
      </c>
      <c r="B1809" s="4">
        <v>45988</v>
      </c>
      <c r="C1809" s="3" t="s">
        <v>2012</v>
      </c>
      <c r="D1809" s="3" t="s">
        <v>2032</v>
      </c>
      <c r="E1809" s="3" t="s">
        <v>2052</v>
      </c>
      <c r="F1809" s="3" t="s">
        <v>2061</v>
      </c>
      <c r="G1809" s="3">
        <v>8</v>
      </c>
      <c r="H1809" s="3">
        <v>6500</v>
      </c>
      <c r="I1809" s="3">
        <v>8125</v>
      </c>
      <c r="J1809" s="3">
        <v>16.5</v>
      </c>
      <c r="K1809" s="3">
        <v>54275.83</v>
      </c>
      <c r="L1809" s="3">
        <v>2275.83</v>
      </c>
      <c r="M1809" s="3">
        <f t="shared" si="141"/>
        <v>1072500</v>
      </c>
      <c r="N1809" s="3">
        <f t="shared" si="142"/>
        <v>52000</v>
      </c>
      <c r="O1809" s="3">
        <f t="shared" si="143"/>
        <v>4.1930818929899365</v>
      </c>
      <c r="P1809" s="3" t="str">
        <f t="shared" si="144"/>
        <v>Nov</v>
      </c>
      <c r="Q1809" s="3" t="str">
        <f t="shared" si="140"/>
        <v>low profit</v>
      </c>
    </row>
    <row r="1810" spans="1:17" x14ac:dyDescent="0.25">
      <c r="A1810" s="3" t="s">
        <v>1558</v>
      </c>
      <c r="B1810" s="4">
        <v>45988</v>
      </c>
      <c r="C1810" s="3" t="s">
        <v>2017</v>
      </c>
      <c r="D1810" s="3" t="s">
        <v>2037</v>
      </c>
      <c r="E1810" s="3" t="s">
        <v>2055</v>
      </c>
      <c r="F1810" s="3" t="s">
        <v>2059</v>
      </c>
      <c r="G1810" s="3">
        <v>10</v>
      </c>
      <c r="H1810" s="3">
        <v>2500</v>
      </c>
      <c r="I1810" s="3">
        <v>2875</v>
      </c>
      <c r="J1810" s="3">
        <v>21.2</v>
      </c>
      <c r="K1810" s="3">
        <v>22654.67</v>
      </c>
      <c r="L1810" s="3">
        <v>-2345.33</v>
      </c>
      <c r="M1810" s="3">
        <f t="shared" si="141"/>
        <v>609500</v>
      </c>
      <c r="N1810" s="3">
        <f t="shared" si="142"/>
        <v>25000</v>
      </c>
      <c r="O1810" s="3">
        <f t="shared" si="143"/>
        <v>-10.352523342869263</v>
      </c>
      <c r="P1810" s="3" t="str">
        <f t="shared" si="144"/>
        <v>Nov</v>
      </c>
      <c r="Q1810" s="3" t="str">
        <f t="shared" si="140"/>
        <v>loss</v>
      </c>
    </row>
    <row r="1811" spans="1:17" x14ac:dyDescent="0.25">
      <c r="A1811" s="3" t="s">
        <v>1582</v>
      </c>
      <c r="B1811" s="4">
        <v>45988</v>
      </c>
      <c r="C1811" s="3" t="s">
        <v>2012</v>
      </c>
      <c r="D1811" s="3" t="s">
        <v>2032</v>
      </c>
      <c r="E1811" s="3" t="s">
        <v>2052</v>
      </c>
      <c r="F1811" s="3" t="s">
        <v>2060</v>
      </c>
      <c r="G1811" s="3">
        <v>4</v>
      </c>
      <c r="H1811" s="3">
        <v>6500</v>
      </c>
      <c r="I1811" s="3">
        <v>8125</v>
      </c>
      <c r="J1811" s="3">
        <v>20.16</v>
      </c>
      <c r="K1811" s="3">
        <v>25946.98</v>
      </c>
      <c r="L1811" s="3">
        <v>-53.02</v>
      </c>
      <c r="M1811" s="3">
        <f t="shared" si="141"/>
        <v>655200</v>
      </c>
      <c r="N1811" s="3">
        <f t="shared" si="142"/>
        <v>26000</v>
      </c>
      <c r="O1811" s="3">
        <f t="shared" si="143"/>
        <v>-0.20433977287530186</v>
      </c>
      <c r="P1811" s="3" t="str">
        <f t="shared" si="144"/>
        <v>Nov</v>
      </c>
      <c r="Q1811" s="3" t="str">
        <f t="shared" si="140"/>
        <v>loss</v>
      </c>
    </row>
    <row r="1812" spans="1:17" x14ac:dyDescent="0.25">
      <c r="A1812" s="3" t="s">
        <v>1648</v>
      </c>
      <c r="B1812" s="4">
        <v>45988</v>
      </c>
      <c r="C1812" s="3" t="s">
        <v>2021</v>
      </c>
      <c r="D1812" s="3" t="s">
        <v>2041</v>
      </c>
      <c r="E1812" s="3" t="s">
        <v>2056</v>
      </c>
      <c r="F1812" s="3" t="s">
        <v>2060</v>
      </c>
      <c r="G1812" s="3">
        <v>8</v>
      </c>
      <c r="H1812" s="3">
        <v>300</v>
      </c>
      <c r="I1812" s="3">
        <v>405</v>
      </c>
      <c r="J1812" s="3">
        <v>27.99</v>
      </c>
      <c r="K1812" s="3">
        <v>2333.2399999999998</v>
      </c>
      <c r="L1812" s="3">
        <v>-66.760000000000005</v>
      </c>
      <c r="M1812" s="3">
        <f t="shared" si="141"/>
        <v>90687.599999999991</v>
      </c>
      <c r="N1812" s="3">
        <f t="shared" si="142"/>
        <v>2400</v>
      </c>
      <c r="O1812" s="3">
        <f t="shared" si="143"/>
        <v>-2.8612573074351553</v>
      </c>
      <c r="P1812" s="3" t="str">
        <f t="shared" si="144"/>
        <v>Nov</v>
      </c>
      <c r="Q1812" s="3" t="str">
        <f t="shared" si="140"/>
        <v>loss</v>
      </c>
    </row>
    <row r="1813" spans="1:17" x14ac:dyDescent="0.25">
      <c r="A1813" s="3" t="s">
        <v>1975</v>
      </c>
      <c r="B1813" s="4">
        <v>45988</v>
      </c>
      <c r="C1813" s="3" t="s">
        <v>2025</v>
      </c>
      <c r="D1813" s="3" t="s">
        <v>2045</v>
      </c>
      <c r="E1813" s="3" t="s">
        <v>2057</v>
      </c>
      <c r="F1813" s="3" t="s">
        <v>2059</v>
      </c>
      <c r="G1813" s="3">
        <v>5</v>
      </c>
      <c r="H1813" s="3">
        <v>45</v>
      </c>
      <c r="I1813" s="3">
        <v>63</v>
      </c>
      <c r="J1813" s="3">
        <v>16.54</v>
      </c>
      <c r="K1813" s="3">
        <v>262.91000000000003</v>
      </c>
      <c r="L1813" s="3">
        <v>37.909999999999997</v>
      </c>
      <c r="M1813" s="3">
        <f t="shared" si="141"/>
        <v>5210.0999999999995</v>
      </c>
      <c r="N1813" s="3">
        <f t="shared" si="142"/>
        <v>225</v>
      </c>
      <c r="O1813" s="3">
        <f t="shared" si="143"/>
        <v>14.419383058841426</v>
      </c>
      <c r="P1813" s="3" t="str">
        <f t="shared" si="144"/>
        <v>Nov</v>
      </c>
      <c r="Q1813" s="3" t="str">
        <f t="shared" si="140"/>
        <v>good profit</v>
      </c>
    </row>
    <row r="1814" spans="1:17" x14ac:dyDescent="0.25">
      <c r="A1814" s="3" t="s">
        <v>893</v>
      </c>
      <c r="B1814" s="4">
        <v>45989</v>
      </c>
      <c r="C1814" s="3" t="s">
        <v>2029</v>
      </c>
      <c r="D1814" s="3" t="s">
        <v>2049</v>
      </c>
      <c r="E1814" s="3" t="s">
        <v>2055</v>
      </c>
      <c r="F1814" s="3" t="s">
        <v>2059</v>
      </c>
      <c r="G1814" s="3">
        <v>10</v>
      </c>
      <c r="H1814" s="3">
        <v>1200</v>
      </c>
      <c r="I1814" s="3">
        <v>1464</v>
      </c>
      <c r="J1814" s="3">
        <v>8.74</v>
      </c>
      <c r="K1814" s="3">
        <v>13360.64</v>
      </c>
      <c r="L1814" s="3">
        <v>1360.64</v>
      </c>
      <c r="M1814" s="3">
        <f t="shared" si="141"/>
        <v>127953.60000000001</v>
      </c>
      <c r="N1814" s="3">
        <f t="shared" si="142"/>
        <v>12000</v>
      </c>
      <c r="O1814" s="3">
        <f t="shared" si="143"/>
        <v>10.183943284154054</v>
      </c>
      <c r="P1814" s="3" t="str">
        <f t="shared" si="144"/>
        <v>Nov</v>
      </c>
      <c r="Q1814" s="3" t="str">
        <f t="shared" si="140"/>
        <v>good profit</v>
      </c>
    </row>
    <row r="1815" spans="1:17" x14ac:dyDescent="0.25">
      <c r="A1815" s="3" t="s">
        <v>988</v>
      </c>
      <c r="B1815" s="4">
        <v>45989</v>
      </c>
      <c r="C1815" s="3" t="s">
        <v>2030</v>
      </c>
      <c r="D1815" s="3" t="s">
        <v>2050</v>
      </c>
      <c r="E1815" s="3" t="s">
        <v>2058</v>
      </c>
      <c r="F1815" s="3" t="s">
        <v>2060</v>
      </c>
      <c r="G1815" s="3">
        <v>5</v>
      </c>
      <c r="H1815" s="3">
        <v>1800</v>
      </c>
      <c r="I1815" s="3">
        <v>2124</v>
      </c>
      <c r="J1815" s="3">
        <v>14.15</v>
      </c>
      <c r="K1815" s="3">
        <v>9117.07</v>
      </c>
      <c r="L1815" s="3">
        <v>117.07</v>
      </c>
      <c r="M1815" s="3">
        <f t="shared" si="141"/>
        <v>150273</v>
      </c>
      <c r="N1815" s="3">
        <f t="shared" si="142"/>
        <v>9000</v>
      </c>
      <c r="O1815" s="3">
        <f t="shared" si="143"/>
        <v>1.2840748178965391</v>
      </c>
      <c r="P1815" s="3" t="str">
        <f t="shared" si="144"/>
        <v>Nov</v>
      </c>
      <c r="Q1815" s="3" t="str">
        <f t="shared" si="140"/>
        <v>low profit</v>
      </c>
    </row>
    <row r="1816" spans="1:17" x14ac:dyDescent="0.25">
      <c r="A1816" s="3" t="s">
        <v>1018</v>
      </c>
      <c r="B1816" s="4">
        <v>45989</v>
      </c>
      <c r="C1816" s="3" t="s">
        <v>2017</v>
      </c>
      <c r="D1816" s="3" t="s">
        <v>2037</v>
      </c>
      <c r="E1816" s="3" t="s">
        <v>2055</v>
      </c>
      <c r="F1816" s="3" t="s">
        <v>2061</v>
      </c>
      <c r="G1816" s="3">
        <v>10</v>
      </c>
      <c r="H1816" s="3">
        <v>2500</v>
      </c>
      <c r="I1816" s="3">
        <v>2875</v>
      </c>
      <c r="J1816" s="3">
        <v>13.46</v>
      </c>
      <c r="K1816" s="3">
        <v>24879.37</v>
      </c>
      <c r="L1816" s="3">
        <v>-120.63</v>
      </c>
      <c r="M1816" s="3">
        <f t="shared" si="141"/>
        <v>386975</v>
      </c>
      <c r="N1816" s="3">
        <f t="shared" si="142"/>
        <v>25000</v>
      </c>
      <c r="O1816" s="3">
        <f t="shared" si="143"/>
        <v>-0.48485954427302619</v>
      </c>
      <c r="P1816" s="3" t="str">
        <f t="shared" si="144"/>
        <v>Nov</v>
      </c>
      <c r="Q1816" s="3" t="str">
        <f t="shared" si="140"/>
        <v>loss</v>
      </c>
    </row>
    <row r="1817" spans="1:17" x14ac:dyDescent="0.25">
      <c r="A1817" s="3" t="s">
        <v>1665</v>
      </c>
      <c r="B1817" s="4">
        <v>45989</v>
      </c>
      <c r="C1817" s="3" t="s">
        <v>2017</v>
      </c>
      <c r="D1817" s="3" t="s">
        <v>2037</v>
      </c>
      <c r="E1817" s="3" t="s">
        <v>2055</v>
      </c>
      <c r="F1817" s="3" t="s">
        <v>2060</v>
      </c>
      <c r="G1817" s="3">
        <v>3</v>
      </c>
      <c r="H1817" s="3">
        <v>2500</v>
      </c>
      <c r="I1817" s="3">
        <v>2875</v>
      </c>
      <c r="J1817" s="3">
        <v>0</v>
      </c>
      <c r="K1817" s="3">
        <v>8625</v>
      </c>
      <c r="L1817" s="3">
        <v>1125</v>
      </c>
      <c r="M1817" s="3">
        <f t="shared" si="141"/>
        <v>0</v>
      </c>
      <c r="N1817" s="3">
        <f t="shared" si="142"/>
        <v>7500</v>
      </c>
      <c r="O1817" s="3">
        <f t="shared" si="143"/>
        <v>13.043478260869565</v>
      </c>
      <c r="P1817" s="3" t="str">
        <f t="shared" si="144"/>
        <v>Nov</v>
      </c>
      <c r="Q1817" s="3" t="str">
        <f t="shared" si="140"/>
        <v>good profit</v>
      </c>
    </row>
    <row r="1818" spans="1:17" x14ac:dyDescent="0.25">
      <c r="A1818" s="3" t="s">
        <v>1844</v>
      </c>
      <c r="B1818" s="4">
        <v>45989</v>
      </c>
      <c r="C1818" s="3" t="s">
        <v>2016</v>
      </c>
      <c r="D1818" s="3" t="s">
        <v>2036</v>
      </c>
      <c r="E1818" s="3" t="s">
        <v>2052</v>
      </c>
      <c r="F1818" s="3" t="s">
        <v>2061</v>
      </c>
      <c r="G1818" s="3">
        <v>5</v>
      </c>
      <c r="H1818" s="3">
        <v>900</v>
      </c>
      <c r="I1818" s="3">
        <v>1170</v>
      </c>
      <c r="J1818" s="3">
        <v>2.64</v>
      </c>
      <c r="K1818" s="3">
        <v>5695.69</v>
      </c>
      <c r="L1818" s="3">
        <v>1195.69</v>
      </c>
      <c r="M1818" s="3">
        <f t="shared" si="141"/>
        <v>15444</v>
      </c>
      <c r="N1818" s="3">
        <f t="shared" si="142"/>
        <v>4500</v>
      </c>
      <c r="O1818" s="3">
        <f t="shared" si="143"/>
        <v>20.992891115913963</v>
      </c>
      <c r="P1818" s="3" t="str">
        <f t="shared" si="144"/>
        <v>Nov</v>
      </c>
      <c r="Q1818" s="3" t="str">
        <f t="shared" si="140"/>
        <v>good profit</v>
      </c>
    </row>
    <row r="1819" spans="1:17" x14ac:dyDescent="0.25">
      <c r="A1819" s="3" t="s">
        <v>18</v>
      </c>
      <c r="B1819" s="4">
        <v>45990</v>
      </c>
      <c r="C1819" s="3" t="s">
        <v>2017</v>
      </c>
      <c r="D1819" s="3" t="s">
        <v>2037</v>
      </c>
      <c r="E1819" s="3" t="s">
        <v>2055</v>
      </c>
      <c r="F1819" s="3" t="s">
        <v>2060</v>
      </c>
      <c r="G1819" s="3">
        <v>9</v>
      </c>
      <c r="H1819" s="3">
        <v>2500</v>
      </c>
      <c r="I1819" s="3">
        <v>2875</v>
      </c>
      <c r="J1819" s="3">
        <v>17.53</v>
      </c>
      <c r="K1819" s="3">
        <v>21337.89</v>
      </c>
      <c r="L1819" s="3">
        <v>-1162.1099999999999</v>
      </c>
      <c r="M1819" s="3">
        <f t="shared" si="141"/>
        <v>453588.75000000006</v>
      </c>
      <c r="N1819" s="3">
        <f t="shared" si="142"/>
        <v>22500</v>
      </c>
      <c r="O1819" s="3">
        <f t="shared" si="143"/>
        <v>-5.4462273448780545</v>
      </c>
      <c r="P1819" s="3" t="str">
        <f t="shared" si="144"/>
        <v>Nov</v>
      </c>
      <c r="Q1819" s="3" t="str">
        <f t="shared" si="140"/>
        <v>loss</v>
      </c>
    </row>
    <row r="1820" spans="1:17" x14ac:dyDescent="0.25">
      <c r="A1820" s="3" t="s">
        <v>253</v>
      </c>
      <c r="B1820" s="4">
        <v>45990</v>
      </c>
      <c r="C1820" s="3" t="s">
        <v>2022</v>
      </c>
      <c r="D1820" s="3" t="s">
        <v>2042</v>
      </c>
      <c r="E1820" s="3" t="s">
        <v>2053</v>
      </c>
      <c r="F1820" s="3" t="s">
        <v>2062</v>
      </c>
      <c r="G1820" s="3">
        <v>10</v>
      </c>
      <c r="H1820" s="3">
        <v>8500</v>
      </c>
      <c r="I1820" s="3">
        <v>9520</v>
      </c>
      <c r="J1820" s="3">
        <v>9.57</v>
      </c>
      <c r="K1820" s="3">
        <v>86093.47</v>
      </c>
      <c r="L1820" s="3">
        <v>1093.47</v>
      </c>
      <c r="M1820" s="3">
        <f t="shared" si="141"/>
        <v>911064</v>
      </c>
      <c r="N1820" s="3">
        <f t="shared" si="142"/>
        <v>85000</v>
      </c>
      <c r="O1820" s="3">
        <f t="shared" si="143"/>
        <v>1.2700963267016652</v>
      </c>
      <c r="P1820" s="3" t="str">
        <f t="shared" si="144"/>
        <v>Nov</v>
      </c>
      <c r="Q1820" s="3" t="str">
        <f t="shared" si="140"/>
        <v>low profit</v>
      </c>
    </row>
    <row r="1821" spans="1:17" x14ac:dyDescent="0.25">
      <c r="A1821" s="3" t="s">
        <v>800</v>
      </c>
      <c r="B1821" s="4">
        <v>45990</v>
      </c>
      <c r="C1821" s="3" t="s">
        <v>2022</v>
      </c>
      <c r="D1821" s="3" t="s">
        <v>2042</v>
      </c>
      <c r="E1821" s="3" t="s">
        <v>2053</v>
      </c>
      <c r="F1821" s="3" t="s">
        <v>2062</v>
      </c>
      <c r="G1821" s="3">
        <v>8</v>
      </c>
      <c r="H1821" s="3">
        <v>8500</v>
      </c>
      <c r="I1821" s="3">
        <v>9520</v>
      </c>
      <c r="J1821" s="3">
        <v>15.45</v>
      </c>
      <c r="K1821" s="3">
        <v>64394.78</v>
      </c>
      <c r="L1821" s="3">
        <v>-3605.22</v>
      </c>
      <c r="M1821" s="3">
        <f t="shared" si="141"/>
        <v>1176672</v>
      </c>
      <c r="N1821" s="3">
        <f t="shared" si="142"/>
        <v>68000</v>
      </c>
      <c r="O1821" s="3">
        <f t="shared" si="143"/>
        <v>-5.5986215031715307</v>
      </c>
      <c r="P1821" s="3" t="str">
        <f t="shared" si="144"/>
        <v>Nov</v>
      </c>
      <c r="Q1821" s="3" t="str">
        <f t="shared" si="140"/>
        <v>loss</v>
      </c>
    </row>
    <row r="1822" spans="1:17" x14ac:dyDescent="0.25">
      <c r="A1822" s="3" t="s">
        <v>980</v>
      </c>
      <c r="B1822" s="4">
        <v>45990</v>
      </c>
      <c r="C1822" s="3" t="s">
        <v>2018</v>
      </c>
      <c r="D1822" s="3" t="s">
        <v>2038</v>
      </c>
      <c r="E1822" s="3" t="s">
        <v>2053</v>
      </c>
      <c r="F1822" s="3" t="s">
        <v>2062</v>
      </c>
      <c r="G1822" s="3">
        <v>5</v>
      </c>
      <c r="H1822" s="3">
        <v>500</v>
      </c>
      <c r="I1822" s="3">
        <v>610</v>
      </c>
      <c r="J1822" s="3">
        <v>7.94</v>
      </c>
      <c r="K1822" s="3">
        <v>2807.94</v>
      </c>
      <c r="L1822" s="3">
        <v>307.94</v>
      </c>
      <c r="M1822" s="3">
        <f t="shared" si="141"/>
        <v>24217</v>
      </c>
      <c r="N1822" s="3">
        <f t="shared" si="142"/>
        <v>2500</v>
      </c>
      <c r="O1822" s="3">
        <f t="shared" si="143"/>
        <v>10.966758548971844</v>
      </c>
      <c r="P1822" s="3" t="str">
        <f t="shared" si="144"/>
        <v>Nov</v>
      </c>
      <c r="Q1822" s="3" t="str">
        <f t="shared" si="140"/>
        <v>good profit</v>
      </c>
    </row>
    <row r="1823" spans="1:17" x14ac:dyDescent="0.25">
      <c r="A1823" s="3" t="s">
        <v>1649</v>
      </c>
      <c r="B1823" s="4">
        <v>45990</v>
      </c>
      <c r="C1823" s="3" t="s">
        <v>2013</v>
      </c>
      <c r="D1823" s="3" t="s">
        <v>2033</v>
      </c>
      <c r="E1823" s="3" t="s">
        <v>2053</v>
      </c>
      <c r="F1823" s="3" t="s">
        <v>2062</v>
      </c>
      <c r="G1823" s="3">
        <v>1</v>
      </c>
      <c r="H1823" s="3">
        <v>6500</v>
      </c>
      <c r="I1823" s="3">
        <v>7150</v>
      </c>
      <c r="J1823" s="3">
        <v>17.77</v>
      </c>
      <c r="K1823" s="3">
        <v>5879.29</v>
      </c>
      <c r="L1823" s="3">
        <v>-620.71</v>
      </c>
      <c r="M1823" s="3">
        <f t="shared" si="141"/>
        <v>127055.5</v>
      </c>
      <c r="N1823" s="3">
        <f t="shared" si="142"/>
        <v>6500</v>
      </c>
      <c r="O1823" s="3">
        <f t="shared" si="143"/>
        <v>-10.557567325306287</v>
      </c>
      <c r="P1823" s="3" t="str">
        <f t="shared" si="144"/>
        <v>Nov</v>
      </c>
      <c r="Q1823" s="3" t="str">
        <f t="shared" si="140"/>
        <v>loss</v>
      </c>
    </row>
    <row r="1824" spans="1:17" x14ac:dyDescent="0.25">
      <c r="A1824" s="3" t="s">
        <v>128</v>
      </c>
      <c r="B1824" s="4">
        <v>45991</v>
      </c>
      <c r="C1824" s="3" t="s">
        <v>2014</v>
      </c>
      <c r="D1824" s="3" t="s">
        <v>2034</v>
      </c>
      <c r="E1824" s="3" t="s">
        <v>2052</v>
      </c>
      <c r="F1824" s="3" t="s">
        <v>2062</v>
      </c>
      <c r="G1824" s="3">
        <v>10</v>
      </c>
      <c r="H1824" s="3">
        <v>4500</v>
      </c>
      <c r="I1824" s="3">
        <v>5220</v>
      </c>
      <c r="J1824" s="3">
        <v>16.45</v>
      </c>
      <c r="K1824" s="3">
        <v>43613.06</v>
      </c>
      <c r="L1824" s="3">
        <v>-1386.94</v>
      </c>
      <c r="M1824" s="3">
        <f t="shared" si="141"/>
        <v>858690</v>
      </c>
      <c r="N1824" s="3">
        <f t="shared" si="142"/>
        <v>45000</v>
      </c>
      <c r="O1824" s="3">
        <f t="shared" si="143"/>
        <v>-3.1801024738919952</v>
      </c>
      <c r="P1824" s="3" t="str">
        <f t="shared" si="144"/>
        <v>Nov</v>
      </c>
      <c r="Q1824" s="3" t="str">
        <f t="shared" si="140"/>
        <v>loss</v>
      </c>
    </row>
    <row r="1825" spans="1:17" x14ac:dyDescent="0.25">
      <c r="A1825" s="3" t="s">
        <v>316</v>
      </c>
      <c r="B1825" s="4">
        <v>45991</v>
      </c>
      <c r="C1825" s="3" t="s">
        <v>2029</v>
      </c>
      <c r="D1825" s="3" t="s">
        <v>2049</v>
      </c>
      <c r="E1825" s="3" t="s">
        <v>2055</v>
      </c>
      <c r="F1825" s="3" t="s">
        <v>2060</v>
      </c>
      <c r="G1825" s="3">
        <v>3</v>
      </c>
      <c r="H1825" s="3">
        <v>1200</v>
      </c>
      <c r="I1825" s="3">
        <v>1464</v>
      </c>
      <c r="J1825" s="3">
        <v>10.99</v>
      </c>
      <c r="K1825" s="3">
        <v>3909.28</v>
      </c>
      <c r="L1825" s="3">
        <v>309.27999999999997</v>
      </c>
      <c r="M1825" s="3">
        <f t="shared" si="141"/>
        <v>48268.08</v>
      </c>
      <c r="N1825" s="3">
        <f t="shared" si="142"/>
        <v>3600</v>
      </c>
      <c r="O1825" s="3">
        <f t="shared" si="143"/>
        <v>7.9114312609994668</v>
      </c>
      <c r="P1825" s="3" t="str">
        <f t="shared" si="144"/>
        <v>Nov</v>
      </c>
      <c r="Q1825" s="3" t="str">
        <f t="shared" si="140"/>
        <v>low profit</v>
      </c>
    </row>
    <row r="1826" spans="1:17" x14ac:dyDescent="0.25">
      <c r="A1826" s="3" t="s">
        <v>819</v>
      </c>
      <c r="B1826" s="4">
        <v>45991</v>
      </c>
      <c r="C1826" s="3" t="s">
        <v>2017</v>
      </c>
      <c r="D1826" s="3" t="s">
        <v>2037</v>
      </c>
      <c r="E1826" s="3" t="s">
        <v>2055</v>
      </c>
      <c r="F1826" s="3" t="s">
        <v>2061</v>
      </c>
      <c r="G1826" s="3">
        <v>10</v>
      </c>
      <c r="H1826" s="3">
        <v>2500</v>
      </c>
      <c r="I1826" s="3">
        <v>2875</v>
      </c>
      <c r="J1826" s="3">
        <v>16.52</v>
      </c>
      <c r="K1826" s="3">
        <v>24001.439999999999</v>
      </c>
      <c r="L1826" s="3">
        <v>-998.56</v>
      </c>
      <c r="M1826" s="3">
        <f t="shared" si="141"/>
        <v>474950</v>
      </c>
      <c r="N1826" s="3">
        <f t="shared" si="142"/>
        <v>25000</v>
      </c>
      <c r="O1826" s="3">
        <f t="shared" si="143"/>
        <v>-4.1604170416441679</v>
      </c>
      <c r="P1826" s="3" t="str">
        <f t="shared" si="144"/>
        <v>Nov</v>
      </c>
      <c r="Q1826" s="3" t="str">
        <f t="shared" si="140"/>
        <v>loss</v>
      </c>
    </row>
    <row r="1827" spans="1:17" x14ac:dyDescent="0.25">
      <c r="A1827" s="3" t="s">
        <v>855</v>
      </c>
      <c r="B1827" s="4">
        <v>45991</v>
      </c>
      <c r="C1827" s="3" t="s">
        <v>2016</v>
      </c>
      <c r="D1827" s="3" t="s">
        <v>2036</v>
      </c>
      <c r="E1827" s="3" t="s">
        <v>2052</v>
      </c>
      <c r="F1827" s="3" t="s">
        <v>2062</v>
      </c>
      <c r="G1827" s="3">
        <v>8</v>
      </c>
      <c r="H1827" s="3">
        <v>900</v>
      </c>
      <c r="I1827" s="3">
        <v>1170</v>
      </c>
      <c r="J1827" s="3">
        <v>2.39</v>
      </c>
      <c r="K1827" s="3">
        <v>9136.65</v>
      </c>
      <c r="L1827" s="3">
        <v>1936.65</v>
      </c>
      <c r="M1827" s="3">
        <f t="shared" si="141"/>
        <v>22370.400000000001</v>
      </c>
      <c r="N1827" s="3">
        <f t="shared" si="142"/>
        <v>7200</v>
      </c>
      <c r="O1827" s="3">
        <f t="shared" si="143"/>
        <v>21.196499811199949</v>
      </c>
      <c r="P1827" s="3" t="str">
        <f t="shared" si="144"/>
        <v>Nov</v>
      </c>
      <c r="Q1827" s="3" t="str">
        <f t="shared" si="140"/>
        <v>good profit</v>
      </c>
    </row>
    <row r="1828" spans="1:17" x14ac:dyDescent="0.25">
      <c r="A1828" s="3" t="s">
        <v>1981</v>
      </c>
      <c r="B1828" s="4">
        <v>45991</v>
      </c>
      <c r="C1828" s="3" t="s">
        <v>2027</v>
      </c>
      <c r="D1828" s="3" t="s">
        <v>2047</v>
      </c>
      <c r="E1828" s="3" t="s">
        <v>2053</v>
      </c>
      <c r="F1828" s="3" t="s">
        <v>2059</v>
      </c>
      <c r="G1828" s="3">
        <v>1</v>
      </c>
      <c r="H1828" s="3">
        <v>1100</v>
      </c>
      <c r="I1828" s="3">
        <v>1298</v>
      </c>
      <c r="J1828" s="3">
        <v>12.2</v>
      </c>
      <c r="K1828" s="3">
        <v>1139.5899999999999</v>
      </c>
      <c r="L1828" s="3">
        <v>39.590000000000003</v>
      </c>
      <c r="M1828" s="3">
        <f t="shared" si="141"/>
        <v>15835.599999999999</v>
      </c>
      <c r="N1828" s="3">
        <f t="shared" si="142"/>
        <v>1100</v>
      </c>
      <c r="O1828" s="3">
        <f t="shared" si="143"/>
        <v>3.4740564589018863</v>
      </c>
      <c r="P1828" s="3" t="str">
        <f t="shared" si="144"/>
        <v>Nov</v>
      </c>
      <c r="Q1828" s="3" t="str">
        <f t="shared" si="140"/>
        <v>low profit</v>
      </c>
    </row>
    <row r="1829" spans="1:17" x14ac:dyDescent="0.25">
      <c r="A1829" s="3" t="s">
        <v>1074</v>
      </c>
      <c r="B1829" s="4">
        <v>45992</v>
      </c>
      <c r="C1829" s="3" t="s">
        <v>2027</v>
      </c>
      <c r="D1829" s="3" t="s">
        <v>2047</v>
      </c>
      <c r="E1829" s="3" t="s">
        <v>2053</v>
      </c>
      <c r="F1829" s="3" t="s">
        <v>2061</v>
      </c>
      <c r="G1829" s="3">
        <v>5</v>
      </c>
      <c r="H1829" s="3">
        <v>1100</v>
      </c>
      <c r="I1829" s="3">
        <v>1298</v>
      </c>
      <c r="J1829" s="3">
        <v>6.72</v>
      </c>
      <c r="K1829" s="3">
        <v>6054.15</v>
      </c>
      <c r="L1829" s="3">
        <v>554.15</v>
      </c>
      <c r="M1829" s="3">
        <f t="shared" si="141"/>
        <v>43612.799999999996</v>
      </c>
      <c r="N1829" s="3">
        <f t="shared" si="142"/>
        <v>5500</v>
      </c>
      <c r="O1829" s="3">
        <f t="shared" si="143"/>
        <v>9.1532254734355778</v>
      </c>
      <c r="P1829" s="3" t="str">
        <f t="shared" si="144"/>
        <v>Dec</v>
      </c>
      <c r="Q1829" s="3" t="str">
        <f t="shared" si="140"/>
        <v>low profit</v>
      </c>
    </row>
    <row r="1830" spans="1:17" x14ac:dyDescent="0.25">
      <c r="A1830" s="3" t="s">
        <v>1368</v>
      </c>
      <c r="B1830" s="4">
        <v>45992</v>
      </c>
      <c r="C1830" s="3" t="s">
        <v>2019</v>
      </c>
      <c r="D1830" s="3" t="s">
        <v>2039</v>
      </c>
      <c r="E1830" s="3" t="s">
        <v>2053</v>
      </c>
      <c r="F1830" s="3" t="s">
        <v>2060</v>
      </c>
      <c r="G1830" s="3">
        <v>7</v>
      </c>
      <c r="H1830" s="3">
        <v>900</v>
      </c>
      <c r="I1830" s="3">
        <v>1152</v>
      </c>
      <c r="J1830" s="3">
        <v>4.49</v>
      </c>
      <c r="K1830" s="3">
        <v>7701.71</v>
      </c>
      <c r="L1830" s="3">
        <v>1401.71</v>
      </c>
      <c r="M1830" s="3">
        <f t="shared" si="141"/>
        <v>36207.360000000001</v>
      </c>
      <c r="N1830" s="3">
        <f t="shared" si="142"/>
        <v>6300</v>
      </c>
      <c r="O1830" s="3">
        <f t="shared" si="143"/>
        <v>18.19998415936201</v>
      </c>
      <c r="P1830" s="3" t="str">
        <f t="shared" si="144"/>
        <v>Dec</v>
      </c>
      <c r="Q1830" s="3" t="str">
        <f t="shared" si="140"/>
        <v>good profit</v>
      </c>
    </row>
    <row r="1831" spans="1:17" x14ac:dyDescent="0.25">
      <c r="A1831" s="3" t="s">
        <v>89</v>
      </c>
      <c r="B1831" s="4">
        <v>45993</v>
      </c>
      <c r="C1831" s="3" t="s">
        <v>2028</v>
      </c>
      <c r="D1831" s="3" t="s">
        <v>2048</v>
      </c>
      <c r="E1831" s="3" t="s">
        <v>2057</v>
      </c>
      <c r="F1831" s="3" t="s">
        <v>2061</v>
      </c>
      <c r="G1831" s="3">
        <v>6</v>
      </c>
      <c r="H1831" s="3">
        <v>80</v>
      </c>
      <c r="I1831" s="3">
        <v>116</v>
      </c>
      <c r="J1831" s="3">
        <v>15.56</v>
      </c>
      <c r="K1831" s="3">
        <v>587.69000000000005</v>
      </c>
      <c r="L1831" s="3">
        <v>107.69</v>
      </c>
      <c r="M1831" s="3">
        <f t="shared" si="141"/>
        <v>10829.76</v>
      </c>
      <c r="N1831" s="3">
        <f t="shared" si="142"/>
        <v>480</v>
      </c>
      <c r="O1831" s="3">
        <f t="shared" si="143"/>
        <v>18.324286613690891</v>
      </c>
      <c r="P1831" s="3" t="str">
        <f t="shared" si="144"/>
        <v>Dec</v>
      </c>
      <c r="Q1831" s="3" t="str">
        <f t="shared" si="140"/>
        <v>good profit</v>
      </c>
    </row>
    <row r="1832" spans="1:17" x14ac:dyDescent="0.25">
      <c r="A1832" s="3" t="s">
        <v>111</v>
      </c>
      <c r="B1832" s="4">
        <v>45993</v>
      </c>
      <c r="C1832" s="3" t="s">
        <v>2027</v>
      </c>
      <c r="D1832" s="3" t="s">
        <v>2047</v>
      </c>
      <c r="E1832" s="3" t="s">
        <v>2053</v>
      </c>
      <c r="F1832" s="3" t="s">
        <v>2062</v>
      </c>
      <c r="G1832" s="3">
        <v>8</v>
      </c>
      <c r="H1832" s="3">
        <v>1100</v>
      </c>
      <c r="I1832" s="3">
        <v>1298</v>
      </c>
      <c r="J1832" s="3">
        <v>21.06</v>
      </c>
      <c r="K1832" s="3">
        <v>8197.17</v>
      </c>
      <c r="L1832" s="3">
        <v>-602.83000000000004</v>
      </c>
      <c r="M1832" s="3">
        <f t="shared" si="141"/>
        <v>218687.03999999998</v>
      </c>
      <c r="N1832" s="3">
        <f t="shared" si="142"/>
        <v>8800</v>
      </c>
      <c r="O1832" s="3">
        <f t="shared" si="143"/>
        <v>-7.3541234352831522</v>
      </c>
      <c r="P1832" s="3" t="str">
        <f t="shared" si="144"/>
        <v>Dec</v>
      </c>
      <c r="Q1832" s="3" t="str">
        <f t="shared" si="140"/>
        <v>loss</v>
      </c>
    </row>
    <row r="1833" spans="1:17" x14ac:dyDescent="0.25">
      <c r="A1833" s="3" t="s">
        <v>443</v>
      </c>
      <c r="B1833" s="4">
        <v>45993</v>
      </c>
      <c r="C1833" s="3" t="s">
        <v>2020</v>
      </c>
      <c r="D1833" s="3" t="s">
        <v>2040</v>
      </c>
      <c r="E1833" s="3" t="s">
        <v>2053</v>
      </c>
      <c r="F1833" s="3" t="s">
        <v>2060</v>
      </c>
      <c r="G1833" s="3">
        <v>8</v>
      </c>
      <c r="H1833" s="3">
        <v>350</v>
      </c>
      <c r="I1833" s="3">
        <v>455</v>
      </c>
      <c r="J1833" s="3">
        <v>21.66</v>
      </c>
      <c r="K1833" s="3">
        <v>2851.68</v>
      </c>
      <c r="L1833" s="3">
        <v>51.68</v>
      </c>
      <c r="M1833" s="3">
        <f t="shared" si="141"/>
        <v>78842.399999999994</v>
      </c>
      <c r="N1833" s="3">
        <f t="shared" si="142"/>
        <v>2800</v>
      </c>
      <c r="O1833" s="3">
        <f t="shared" si="143"/>
        <v>1.8122650507770857</v>
      </c>
      <c r="P1833" s="3" t="str">
        <f t="shared" si="144"/>
        <v>Dec</v>
      </c>
      <c r="Q1833" s="3" t="str">
        <f t="shared" si="140"/>
        <v>low profit</v>
      </c>
    </row>
    <row r="1834" spans="1:17" x14ac:dyDescent="0.25">
      <c r="A1834" s="3" t="s">
        <v>552</v>
      </c>
      <c r="B1834" s="4">
        <v>45993</v>
      </c>
      <c r="C1834" s="3" t="s">
        <v>2013</v>
      </c>
      <c r="D1834" s="3" t="s">
        <v>2033</v>
      </c>
      <c r="E1834" s="3" t="s">
        <v>2053</v>
      </c>
      <c r="F1834" s="3" t="s">
        <v>2060</v>
      </c>
      <c r="G1834" s="3">
        <v>4</v>
      </c>
      <c r="H1834" s="3">
        <v>6500</v>
      </c>
      <c r="I1834" s="3">
        <v>7150</v>
      </c>
      <c r="J1834" s="3">
        <v>8.4499999999999993</v>
      </c>
      <c r="K1834" s="3">
        <v>26183.48</v>
      </c>
      <c r="L1834" s="3">
        <v>183.48</v>
      </c>
      <c r="M1834" s="3">
        <f t="shared" si="141"/>
        <v>241669.99999999997</v>
      </c>
      <c r="N1834" s="3">
        <f t="shared" si="142"/>
        <v>26000</v>
      </c>
      <c r="O1834" s="3">
        <f t="shared" si="143"/>
        <v>0.70074718868538477</v>
      </c>
      <c r="P1834" s="3" t="str">
        <f t="shared" si="144"/>
        <v>Dec</v>
      </c>
      <c r="Q1834" s="3" t="str">
        <f t="shared" si="140"/>
        <v>low profit</v>
      </c>
    </row>
    <row r="1835" spans="1:17" x14ac:dyDescent="0.25">
      <c r="A1835" s="3" t="s">
        <v>689</v>
      </c>
      <c r="B1835" s="4">
        <v>45993</v>
      </c>
      <c r="C1835" s="3" t="s">
        <v>2027</v>
      </c>
      <c r="D1835" s="3" t="s">
        <v>2047</v>
      </c>
      <c r="E1835" s="3" t="s">
        <v>2053</v>
      </c>
      <c r="F1835" s="3" t="s">
        <v>2059</v>
      </c>
      <c r="G1835" s="3">
        <v>6</v>
      </c>
      <c r="H1835" s="3">
        <v>1100</v>
      </c>
      <c r="I1835" s="3">
        <v>1298</v>
      </c>
      <c r="J1835" s="3">
        <v>3.68</v>
      </c>
      <c r="K1835" s="3">
        <v>7501.51</v>
      </c>
      <c r="L1835" s="3">
        <v>901.51</v>
      </c>
      <c r="M1835" s="3">
        <f t="shared" si="141"/>
        <v>28659.84</v>
      </c>
      <c r="N1835" s="3">
        <f t="shared" si="142"/>
        <v>6600</v>
      </c>
      <c r="O1835" s="3">
        <f t="shared" si="143"/>
        <v>12.017713766961585</v>
      </c>
      <c r="P1835" s="3" t="str">
        <f t="shared" si="144"/>
        <v>Dec</v>
      </c>
      <c r="Q1835" s="3" t="str">
        <f t="shared" si="140"/>
        <v>good profit</v>
      </c>
    </row>
    <row r="1836" spans="1:17" x14ac:dyDescent="0.25">
      <c r="A1836" s="3" t="s">
        <v>1684</v>
      </c>
      <c r="B1836" s="4">
        <v>45993</v>
      </c>
      <c r="C1836" s="3" t="s">
        <v>2022</v>
      </c>
      <c r="D1836" s="3" t="s">
        <v>2042</v>
      </c>
      <c r="E1836" s="3" t="s">
        <v>2053</v>
      </c>
      <c r="F1836" s="3" t="s">
        <v>2059</v>
      </c>
      <c r="G1836" s="3">
        <v>2</v>
      </c>
      <c r="H1836" s="3">
        <v>8500</v>
      </c>
      <c r="I1836" s="3">
        <v>9520</v>
      </c>
      <c r="J1836" s="3">
        <v>15.22</v>
      </c>
      <c r="K1836" s="3">
        <v>16141.62</v>
      </c>
      <c r="L1836" s="3">
        <v>-858.38</v>
      </c>
      <c r="M1836" s="3">
        <f t="shared" si="141"/>
        <v>289788.79999999999</v>
      </c>
      <c r="N1836" s="3">
        <f t="shared" si="142"/>
        <v>17000</v>
      </c>
      <c r="O1836" s="3">
        <f t="shared" si="143"/>
        <v>-5.3178057716635623</v>
      </c>
      <c r="P1836" s="3" t="str">
        <f t="shared" si="144"/>
        <v>Dec</v>
      </c>
      <c r="Q1836" s="3" t="str">
        <f t="shared" si="140"/>
        <v>loss</v>
      </c>
    </row>
    <row r="1837" spans="1:17" x14ac:dyDescent="0.25">
      <c r="A1837" s="3" t="s">
        <v>1946</v>
      </c>
      <c r="B1837" s="4">
        <v>45993</v>
      </c>
      <c r="C1837" s="3" t="s">
        <v>2021</v>
      </c>
      <c r="D1837" s="3" t="s">
        <v>2041</v>
      </c>
      <c r="E1837" s="3" t="s">
        <v>2056</v>
      </c>
      <c r="F1837" s="3" t="s">
        <v>2060</v>
      </c>
      <c r="G1837" s="3">
        <v>6</v>
      </c>
      <c r="H1837" s="3">
        <v>300</v>
      </c>
      <c r="I1837" s="3">
        <v>405</v>
      </c>
      <c r="J1837" s="3">
        <v>14.7</v>
      </c>
      <c r="K1837" s="3">
        <v>2072.8000000000002</v>
      </c>
      <c r="L1837" s="3">
        <v>272.8</v>
      </c>
      <c r="M1837" s="3">
        <f t="shared" si="141"/>
        <v>35721</v>
      </c>
      <c r="N1837" s="3">
        <f t="shared" si="142"/>
        <v>1800</v>
      </c>
      <c r="O1837" s="3">
        <f t="shared" si="143"/>
        <v>13.160941721343111</v>
      </c>
      <c r="P1837" s="3" t="str">
        <f t="shared" si="144"/>
        <v>Dec</v>
      </c>
      <c r="Q1837" s="3" t="str">
        <f t="shared" si="140"/>
        <v>good profit</v>
      </c>
    </row>
    <row r="1838" spans="1:17" x14ac:dyDescent="0.25">
      <c r="A1838" s="3" t="s">
        <v>280</v>
      </c>
      <c r="B1838" s="4">
        <v>45994</v>
      </c>
      <c r="C1838" s="3" t="s">
        <v>2017</v>
      </c>
      <c r="D1838" s="3" t="s">
        <v>2037</v>
      </c>
      <c r="E1838" s="3" t="s">
        <v>2055</v>
      </c>
      <c r="F1838" s="3" t="s">
        <v>2061</v>
      </c>
      <c r="G1838" s="3">
        <v>3</v>
      </c>
      <c r="H1838" s="3">
        <v>2500</v>
      </c>
      <c r="I1838" s="3">
        <v>2875</v>
      </c>
      <c r="J1838" s="3">
        <v>21.67</v>
      </c>
      <c r="K1838" s="3">
        <v>6756.01</v>
      </c>
      <c r="L1838" s="3">
        <v>-743.99</v>
      </c>
      <c r="M1838" s="3">
        <f t="shared" si="141"/>
        <v>186903.75000000003</v>
      </c>
      <c r="N1838" s="3">
        <f t="shared" si="142"/>
        <v>7500</v>
      </c>
      <c r="O1838" s="3">
        <f t="shared" si="143"/>
        <v>-11.012269075978278</v>
      </c>
      <c r="P1838" s="3" t="str">
        <f t="shared" si="144"/>
        <v>Dec</v>
      </c>
      <c r="Q1838" s="3" t="str">
        <f t="shared" si="140"/>
        <v>loss</v>
      </c>
    </row>
    <row r="1839" spans="1:17" x14ac:dyDescent="0.25">
      <c r="A1839" s="3" t="s">
        <v>507</v>
      </c>
      <c r="B1839" s="4">
        <v>45994</v>
      </c>
      <c r="C1839" s="3" t="s">
        <v>2027</v>
      </c>
      <c r="D1839" s="3" t="s">
        <v>2047</v>
      </c>
      <c r="E1839" s="3" t="s">
        <v>2053</v>
      </c>
      <c r="F1839" s="3" t="s">
        <v>2060</v>
      </c>
      <c r="G1839" s="3">
        <v>2</v>
      </c>
      <c r="H1839" s="3">
        <v>1100</v>
      </c>
      <c r="I1839" s="3">
        <v>1298</v>
      </c>
      <c r="J1839" s="3">
        <v>12.64</v>
      </c>
      <c r="K1839" s="3">
        <v>2267.81</v>
      </c>
      <c r="L1839" s="3">
        <v>67.81</v>
      </c>
      <c r="M1839" s="3">
        <f t="shared" si="141"/>
        <v>32813.440000000002</v>
      </c>
      <c r="N1839" s="3">
        <f t="shared" si="142"/>
        <v>2200</v>
      </c>
      <c r="O1839" s="3">
        <f t="shared" si="143"/>
        <v>2.9901094006993532</v>
      </c>
      <c r="P1839" s="3" t="str">
        <f t="shared" si="144"/>
        <v>Dec</v>
      </c>
      <c r="Q1839" s="3" t="str">
        <f t="shared" si="140"/>
        <v>low profit</v>
      </c>
    </row>
    <row r="1840" spans="1:17" x14ac:dyDescent="0.25">
      <c r="A1840" s="3" t="s">
        <v>1241</v>
      </c>
      <c r="B1840" s="4">
        <v>45994</v>
      </c>
      <c r="C1840" s="3" t="s">
        <v>2012</v>
      </c>
      <c r="D1840" s="3" t="s">
        <v>2032</v>
      </c>
      <c r="E1840" s="3" t="s">
        <v>2052</v>
      </c>
      <c r="F1840" s="3" t="s">
        <v>2061</v>
      </c>
      <c r="G1840" s="3">
        <v>5</v>
      </c>
      <c r="H1840" s="3">
        <v>6500</v>
      </c>
      <c r="I1840" s="3">
        <v>8125</v>
      </c>
      <c r="J1840" s="3">
        <v>7.66</v>
      </c>
      <c r="K1840" s="3">
        <v>37515.11</v>
      </c>
      <c r="L1840" s="3">
        <v>5015.1099999999997</v>
      </c>
      <c r="M1840" s="3">
        <f t="shared" si="141"/>
        <v>311187.5</v>
      </c>
      <c r="N1840" s="3">
        <f t="shared" si="142"/>
        <v>32500</v>
      </c>
      <c r="O1840" s="3">
        <f t="shared" si="143"/>
        <v>13.368240157099365</v>
      </c>
      <c r="P1840" s="3" t="str">
        <f t="shared" si="144"/>
        <v>Dec</v>
      </c>
      <c r="Q1840" s="3" t="str">
        <f t="shared" si="140"/>
        <v>good profit</v>
      </c>
    </row>
    <row r="1841" spans="1:17" x14ac:dyDescent="0.25">
      <c r="A1841" s="3" t="s">
        <v>1242</v>
      </c>
      <c r="B1841" s="4">
        <v>45994</v>
      </c>
      <c r="C1841" s="3" t="s">
        <v>2030</v>
      </c>
      <c r="D1841" s="3" t="s">
        <v>2050</v>
      </c>
      <c r="E1841" s="3" t="s">
        <v>2058</v>
      </c>
      <c r="F1841" s="3" t="s">
        <v>2060</v>
      </c>
      <c r="G1841" s="3">
        <v>10</v>
      </c>
      <c r="H1841" s="3">
        <v>1800</v>
      </c>
      <c r="I1841" s="3">
        <v>2124</v>
      </c>
      <c r="J1841" s="3">
        <v>13.49</v>
      </c>
      <c r="K1841" s="3">
        <v>18374.04</v>
      </c>
      <c r="L1841" s="3">
        <v>374.04</v>
      </c>
      <c r="M1841" s="3">
        <f t="shared" si="141"/>
        <v>286527.59999999998</v>
      </c>
      <c r="N1841" s="3">
        <f t="shared" si="142"/>
        <v>18000</v>
      </c>
      <c r="O1841" s="3">
        <f t="shared" si="143"/>
        <v>2.0356981915789882</v>
      </c>
      <c r="P1841" s="3" t="str">
        <f t="shared" si="144"/>
        <v>Dec</v>
      </c>
      <c r="Q1841" s="3" t="str">
        <f t="shared" si="140"/>
        <v>low profit</v>
      </c>
    </row>
    <row r="1842" spans="1:17" x14ac:dyDescent="0.25">
      <c r="A1842" s="3" t="s">
        <v>1355</v>
      </c>
      <c r="B1842" s="4">
        <v>45994</v>
      </c>
      <c r="C1842" s="3" t="s">
        <v>2019</v>
      </c>
      <c r="D1842" s="3" t="s">
        <v>2039</v>
      </c>
      <c r="E1842" s="3" t="s">
        <v>2053</v>
      </c>
      <c r="F1842" s="3" t="s">
        <v>2059</v>
      </c>
      <c r="G1842" s="3">
        <v>3</v>
      </c>
      <c r="H1842" s="3">
        <v>900</v>
      </c>
      <c r="I1842" s="3">
        <v>1152</v>
      </c>
      <c r="J1842" s="3">
        <v>11.42</v>
      </c>
      <c r="K1842" s="3">
        <v>3061.19</v>
      </c>
      <c r="L1842" s="3">
        <v>361.19</v>
      </c>
      <c r="M1842" s="3">
        <f t="shared" si="141"/>
        <v>39467.519999999997</v>
      </c>
      <c r="N1842" s="3">
        <f t="shared" si="142"/>
        <v>2700</v>
      </c>
      <c r="O1842" s="3">
        <f t="shared" si="143"/>
        <v>11.799006268803963</v>
      </c>
      <c r="P1842" s="3" t="str">
        <f t="shared" si="144"/>
        <v>Dec</v>
      </c>
      <c r="Q1842" s="3" t="str">
        <f t="shared" si="140"/>
        <v>good profit</v>
      </c>
    </row>
    <row r="1843" spans="1:17" x14ac:dyDescent="0.25">
      <c r="A1843" s="3" t="s">
        <v>1507</v>
      </c>
      <c r="B1843" s="4">
        <v>45994</v>
      </c>
      <c r="C1843" s="3" t="s">
        <v>2014</v>
      </c>
      <c r="D1843" s="3" t="s">
        <v>2034</v>
      </c>
      <c r="E1843" s="3" t="s">
        <v>2052</v>
      </c>
      <c r="F1843" s="3" t="s">
        <v>2062</v>
      </c>
      <c r="G1843" s="3">
        <v>1</v>
      </c>
      <c r="H1843" s="3">
        <v>4500</v>
      </c>
      <c r="I1843" s="3">
        <v>5220</v>
      </c>
      <c r="J1843" s="3">
        <v>12.64</v>
      </c>
      <c r="K1843" s="3">
        <v>4560.0600000000004</v>
      </c>
      <c r="L1843" s="3">
        <v>60.06</v>
      </c>
      <c r="M1843" s="3">
        <f t="shared" si="141"/>
        <v>65980.800000000003</v>
      </c>
      <c r="N1843" s="3">
        <f t="shared" si="142"/>
        <v>4500</v>
      </c>
      <c r="O1843" s="3">
        <f t="shared" si="143"/>
        <v>1.3170879330535123</v>
      </c>
      <c r="P1843" s="3" t="str">
        <f t="shared" si="144"/>
        <v>Dec</v>
      </c>
      <c r="Q1843" s="3" t="str">
        <f t="shared" si="140"/>
        <v>low profit</v>
      </c>
    </row>
    <row r="1844" spans="1:17" x14ac:dyDescent="0.25">
      <c r="A1844" s="3" t="s">
        <v>1915</v>
      </c>
      <c r="B1844" s="4">
        <v>45994</v>
      </c>
      <c r="C1844" s="3" t="s">
        <v>2023</v>
      </c>
      <c r="D1844" s="3" t="s">
        <v>2043</v>
      </c>
      <c r="E1844" s="3" t="s">
        <v>2053</v>
      </c>
      <c r="F1844" s="3" t="s">
        <v>2061</v>
      </c>
      <c r="G1844" s="3">
        <v>7</v>
      </c>
      <c r="H1844" s="3">
        <v>550</v>
      </c>
      <c r="I1844" s="3">
        <v>742.5</v>
      </c>
      <c r="J1844" s="3">
        <v>8.69</v>
      </c>
      <c r="K1844" s="3">
        <v>4745.63</v>
      </c>
      <c r="L1844" s="3">
        <v>895.63</v>
      </c>
      <c r="M1844" s="3">
        <f t="shared" si="141"/>
        <v>45166.274999999994</v>
      </c>
      <c r="N1844" s="3">
        <f t="shared" si="142"/>
        <v>3850</v>
      </c>
      <c r="O1844" s="3">
        <f t="shared" si="143"/>
        <v>18.872731333879798</v>
      </c>
      <c r="P1844" s="3" t="str">
        <f t="shared" si="144"/>
        <v>Dec</v>
      </c>
      <c r="Q1844" s="3" t="str">
        <f t="shared" si="140"/>
        <v>good profit</v>
      </c>
    </row>
    <row r="1845" spans="1:17" x14ac:dyDescent="0.25">
      <c r="A1845" s="3" t="s">
        <v>1924</v>
      </c>
      <c r="B1845" s="4">
        <v>45994</v>
      </c>
      <c r="C1845" s="3" t="s">
        <v>2025</v>
      </c>
      <c r="D1845" s="3" t="s">
        <v>2045</v>
      </c>
      <c r="E1845" s="3" t="s">
        <v>2057</v>
      </c>
      <c r="F1845" s="3" t="s">
        <v>2059</v>
      </c>
      <c r="G1845" s="3">
        <v>4</v>
      </c>
      <c r="H1845" s="3">
        <v>45</v>
      </c>
      <c r="I1845" s="3">
        <v>63</v>
      </c>
      <c r="J1845" s="3">
        <v>13.46</v>
      </c>
      <c r="K1845" s="3">
        <v>218.08</v>
      </c>
      <c r="L1845" s="3">
        <v>38.08</v>
      </c>
      <c r="M1845" s="3">
        <f t="shared" si="141"/>
        <v>3391.92</v>
      </c>
      <c r="N1845" s="3">
        <f t="shared" si="142"/>
        <v>180</v>
      </c>
      <c r="O1845" s="3">
        <f t="shared" si="143"/>
        <v>17.461482024944971</v>
      </c>
      <c r="P1845" s="3" t="str">
        <f t="shared" si="144"/>
        <v>Dec</v>
      </c>
      <c r="Q1845" s="3" t="str">
        <f t="shared" si="140"/>
        <v>good profit</v>
      </c>
    </row>
    <row r="1846" spans="1:17" x14ac:dyDescent="0.25">
      <c r="A1846" s="3" t="s">
        <v>198</v>
      </c>
      <c r="B1846" s="4">
        <v>45995</v>
      </c>
      <c r="C1846" s="3" t="s">
        <v>2013</v>
      </c>
      <c r="D1846" s="3" t="s">
        <v>2033</v>
      </c>
      <c r="E1846" s="3" t="s">
        <v>2053</v>
      </c>
      <c r="F1846" s="3" t="s">
        <v>2059</v>
      </c>
      <c r="G1846" s="3">
        <v>4</v>
      </c>
      <c r="H1846" s="3">
        <v>6500</v>
      </c>
      <c r="I1846" s="3">
        <v>7150</v>
      </c>
      <c r="J1846" s="3">
        <v>12.99</v>
      </c>
      <c r="K1846" s="3">
        <v>24885.07</v>
      </c>
      <c r="L1846" s="3">
        <v>-1114.93</v>
      </c>
      <c r="M1846" s="3">
        <f t="shared" si="141"/>
        <v>371514</v>
      </c>
      <c r="N1846" s="3">
        <f t="shared" si="142"/>
        <v>26000</v>
      </c>
      <c r="O1846" s="3">
        <f t="shared" si="143"/>
        <v>-4.4803169129120395</v>
      </c>
      <c r="P1846" s="3" t="str">
        <f t="shared" si="144"/>
        <v>Dec</v>
      </c>
      <c r="Q1846" s="3" t="str">
        <f t="shared" si="140"/>
        <v>loss</v>
      </c>
    </row>
    <row r="1847" spans="1:17" x14ac:dyDescent="0.25">
      <c r="A1847" s="3" t="s">
        <v>565</v>
      </c>
      <c r="B1847" s="4">
        <v>45995</v>
      </c>
      <c r="C1847" s="3" t="s">
        <v>2031</v>
      </c>
      <c r="D1847" s="3" t="s">
        <v>2051</v>
      </c>
      <c r="E1847" s="3" t="s">
        <v>2058</v>
      </c>
      <c r="F1847" s="3" t="s">
        <v>2062</v>
      </c>
      <c r="G1847" s="3">
        <v>9</v>
      </c>
      <c r="H1847" s="3">
        <v>3200</v>
      </c>
      <c r="I1847" s="3">
        <v>3840</v>
      </c>
      <c r="J1847" s="3">
        <v>12.76</v>
      </c>
      <c r="K1847" s="3">
        <v>30151.4</v>
      </c>
      <c r="L1847" s="3">
        <v>1351.4</v>
      </c>
      <c r="M1847" s="3">
        <f t="shared" si="141"/>
        <v>440985.59999999998</v>
      </c>
      <c r="N1847" s="3">
        <f t="shared" si="142"/>
        <v>28800</v>
      </c>
      <c r="O1847" s="3">
        <f t="shared" si="143"/>
        <v>4.4820472681202199</v>
      </c>
      <c r="P1847" s="3" t="str">
        <f t="shared" si="144"/>
        <v>Dec</v>
      </c>
      <c r="Q1847" s="3" t="str">
        <f t="shared" si="140"/>
        <v>low profit</v>
      </c>
    </row>
    <row r="1848" spans="1:17" x14ac:dyDescent="0.25">
      <c r="A1848" s="3" t="s">
        <v>757</v>
      </c>
      <c r="B1848" s="4">
        <v>45995</v>
      </c>
      <c r="C1848" s="3" t="s">
        <v>2014</v>
      </c>
      <c r="D1848" s="3" t="s">
        <v>2034</v>
      </c>
      <c r="E1848" s="3" t="s">
        <v>2052</v>
      </c>
      <c r="F1848" s="3" t="s">
        <v>2060</v>
      </c>
      <c r="G1848" s="3">
        <v>9</v>
      </c>
      <c r="H1848" s="3">
        <v>4500</v>
      </c>
      <c r="I1848" s="3">
        <v>5220</v>
      </c>
      <c r="J1848" s="3">
        <v>9.76</v>
      </c>
      <c r="K1848" s="3">
        <v>42393.2</v>
      </c>
      <c r="L1848" s="3">
        <v>1893.2</v>
      </c>
      <c r="M1848" s="3">
        <f t="shared" si="141"/>
        <v>458524.8</v>
      </c>
      <c r="N1848" s="3">
        <f t="shared" si="142"/>
        <v>40500</v>
      </c>
      <c r="O1848" s="3">
        <f t="shared" si="143"/>
        <v>4.4658105545228954</v>
      </c>
      <c r="P1848" s="3" t="str">
        <f t="shared" si="144"/>
        <v>Dec</v>
      </c>
      <c r="Q1848" s="3" t="str">
        <f t="shared" si="140"/>
        <v>low profit</v>
      </c>
    </row>
    <row r="1849" spans="1:17" x14ac:dyDescent="0.25">
      <c r="A1849" s="3" t="s">
        <v>1007</v>
      </c>
      <c r="B1849" s="4">
        <v>45995</v>
      </c>
      <c r="C1849" s="3" t="s">
        <v>2019</v>
      </c>
      <c r="D1849" s="3" t="s">
        <v>2039</v>
      </c>
      <c r="E1849" s="3" t="s">
        <v>2053</v>
      </c>
      <c r="F1849" s="3" t="s">
        <v>2060</v>
      </c>
      <c r="G1849" s="3">
        <v>3</v>
      </c>
      <c r="H1849" s="3">
        <v>900</v>
      </c>
      <c r="I1849" s="3">
        <v>1152</v>
      </c>
      <c r="J1849" s="3">
        <v>11.84</v>
      </c>
      <c r="K1849" s="3">
        <v>3046.76</v>
      </c>
      <c r="L1849" s="3">
        <v>346.76</v>
      </c>
      <c r="M1849" s="3">
        <f t="shared" si="141"/>
        <v>40919.040000000001</v>
      </c>
      <c r="N1849" s="3">
        <f t="shared" si="142"/>
        <v>2700</v>
      </c>
      <c r="O1849" s="3">
        <f t="shared" si="143"/>
        <v>11.381270595649147</v>
      </c>
      <c r="P1849" s="3" t="str">
        <f t="shared" si="144"/>
        <v>Dec</v>
      </c>
      <c r="Q1849" s="3" t="str">
        <f t="shared" si="140"/>
        <v>good profit</v>
      </c>
    </row>
    <row r="1850" spans="1:17" x14ac:dyDescent="0.25">
      <c r="A1850" s="3" t="s">
        <v>1175</v>
      </c>
      <c r="B1850" s="4">
        <v>45995</v>
      </c>
      <c r="C1850" s="3" t="s">
        <v>2012</v>
      </c>
      <c r="D1850" s="3" t="s">
        <v>2032</v>
      </c>
      <c r="E1850" s="3" t="s">
        <v>2052</v>
      </c>
      <c r="F1850" s="3" t="s">
        <v>2060</v>
      </c>
      <c r="G1850" s="3">
        <v>2</v>
      </c>
      <c r="H1850" s="3">
        <v>6500</v>
      </c>
      <c r="I1850" s="3">
        <v>8125</v>
      </c>
      <c r="J1850" s="3">
        <v>13.91</v>
      </c>
      <c r="K1850" s="3">
        <v>13989.31</v>
      </c>
      <c r="L1850" s="3">
        <v>989.31</v>
      </c>
      <c r="M1850" s="3">
        <f t="shared" si="141"/>
        <v>226037.5</v>
      </c>
      <c r="N1850" s="3">
        <f t="shared" si="142"/>
        <v>13000</v>
      </c>
      <c r="O1850" s="3">
        <f t="shared" si="143"/>
        <v>7.0718999007098997</v>
      </c>
      <c r="P1850" s="3" t="str">
        <f t="shared" si="144"/>
        <v>Dec</v>
      </c>
      <c r="Q1850" s="3" t="str">
        <f t="shared" si="140"/>
        <v>low profit</v>
      </c>
    </row>
    <row r="1851" spans="1:17" x14ac:dyDescent="0.25">
      <c r="A1851" s="3" t="s">
        <v>1379</v>
      </c>
      <c r="B1851" s="4">
        <v>45995</v>
      </c>
      <c r="C1851" s="3" t="s">
        <v>2022</v>
      </c>
      <c r="D1851" s="3" t="s">
        <v>2042</v>
      </c>
      <c r="E1851" s="3" t="s">
        <v>2053</v>
      </c>
      <c r="F1851" s="3" t="s">
        <v>2060</v>
      </c>
      <c r="G1851" s="3">
        <v>5</v>
      </c>
      <c r="H1851" s="3">
        <v>8500</v>
      </c>
      <c r="I1851" s="3">
        <v>9520</v>
      </c>
      <c r="J1851" s="3">
        <v>11.7</v>
      </c>
      <c r="K1851" s="3">
        <v>42032.12</v>
      </c>
      <c r="L1851" s="3">
        <v>-467.88</v>
      </c>
      <c r="M1851" s="3">
        <f t="shared" si="141"/>
        <v>556920</v>
      </c>
      <c r="N1851" s="3">
        <f t="shared" si="142"/>
        <v>42500</v>
      </c>
      <c r="O1851" s="3">
        <f t="shared" si="143"/>
        <v>-1.1131487062751058</v>
      </c>
      <c r="P1851" s="3" t="str">
        <f t="shared" si="144"/>
        <v>Dec</v>
      </c>
      <c r="Q1851" s="3" t="str">
        <f t="shared" si="140"/>
        <v>loss</v>
      </c>
    </row>
    <row r="1852" spans="1:17" x14ac:dyDescent="0.25">
      <c r="A1852" s="3" t="s">
        <v>1412</v>
      </c>
      <c r="B1852" s="4">
        <v>45995</v>
      </c>
      <c r="C1852" s="3" t="s">
        <v>2025</v>
      </c>
      <c r="D1852" s="3" t="s">
        <v>2045</v>
      </c>
      <c r="E1852" s="3" t="s">
        <v>2057</v>
      </c>
      <c r="F1852" s="3" t="s">
        <v>2060</v>
      </c>
      <c r="G1852" s="3">
        <v>10</v>
      </c>
      <c r="H1852" s="3">
        <v>45</v>
      </c>
      <c r="I1852" s="3">
        <v>63</v>
      </c>
      <c r="J1852" s="3">
        <v>23.27</v>
      </c>
      <c r="K1852" s="3">
        <v>483.38</v>
      </c>
      <c r="L1852" s="3">
        <v>33.380000000000003</v>
      </c>
      <c r="M1852" s="3">
        <f t="shared" si="141"/>
        <v>14660.1</v>
      </c>
      <c r="N1852" s="3">
        <f t="shared" si="142"/>
        <v>450</v>
      </c>
      <c r="O1852" s="3">
        <f t="shared" si="143"/>
        <v>6.9055401547436803</v>
      </c>
      <c r="P1852" s="3" t="str">
        <f t="shared" si="144"/>
        <v>Dec</v>
      </c>
      <c r="Q1852" s="3" t="str">
        <f t="shared" si="140"/>
        <v>low profit</v>
      </c>
    </row>
    <row r="1853" spans="1:17" x14ac:dyDescent="0.25">
      <c r="A1853" s="3" t="s">
        <v>2006</v>
      </c>
      <c r="B1853" s="4">
        <v>45995</v>
      </c>
      <c r="C1853" s="3" t="s">
        <v>2021</v>
      </c>
      <c r="D1853" s="3" t="s">
        <v>2041</v>
      </c>
      <c r="E1853" s="3" t="s">
        <v>2056</v>
      </c>
      <c r="F1853" s="3" t="s">
        <v>2059</v>
      </c>
      <c r="G1853" s="3">
        <v>4</v>
      </c>
      <c r="H1853" s="3">
        <v>300</v>
      </c>
      <c r="I1853" s="3">
        <v>405</v>
      </c>
      <c r="J1853" s="3">
        <v>6.81</v>
      </c>
      <c r="K1853" s="3">
        <v>1509.75</v>
      </c>
      <c r="L1853" s="3">
        <v>309.75</v>
      </c>
      <c r="M1853" s="3">
        <f t="shared" si="141"/>
        <v>11032.199999999999</v>
      </c>
      <c r="N1853" s="3">
        <f t="shared" si="142"/>
        <v>1200</v>
      </c>
      <c r="O1853" s="3">
        <f t="shared" si="143"/>
        <v>20.516641828117237</v>
      </c>
      <c r="P1853" s="3" t="str">
        <f t="shared" si="144"/>
        <v>Dec</v>
      </c>
      <c r="Q1853" s="3" t="str">
        <f t="shared" si="140"/>
        <v>good profit</v>
      </c>
    </row>
    <row r="1854" spans="1:17" x14ac:dyDescent="0.25">
      <c r="A1854" s="3" t="s">
        <v>1596</v>
      </c>
      <c r="B1854" s="4">
        <v>45996</v>
      </c>
      <c r="C1854" s="3" t="s">
        <v>2028</v>
      </c>
      <c r="D1854" s="3" t="s">
        <v>2048</v>
      </c>
      <c r="E1854" s="3" t="s">
        <v>2057</v>
      </c>
      <c r="F1854" s="3" t="s">
        <v>2059</v>
      </c>
      <c r="G1854" s="3">
        <v>7</v>
      </c>
      <c r="H1854" s="3">
        <v>80</v>
      </c>
      <c r="I1854" s="3">
        <v>116</v>
      </c>
      <c r="J1854" s="3">
        <v>14</v>
      </c>
      <c r="K1854" s="3">
        <v>698.34</v>
      </c>
      <c r="L1854" s="3">
        <v>138.34</v>
      </c>
      <c r="M1854" s="3">
        <f t="shared" si="141"/>
        <v>11368</v>
      </c>
      <c r="N1854" s="3">
        <f t="shared" si="142"/>
        <v>560</v>
      </c>
      <c r="O1854" s="3">
        <f t="shared" si="143"/>
        <v>19.809834750980897</v>
      </c>
      <c r="P1854" s="3" t="str">
        <f t="shared" si="144"/>
        <v>Dec</v>
      </c>
      <c r="Q1854" s="3" t="str">
        <f t="shared" si="140"/>
        <v>good profit</v>
      </c>
    </row>
    <row r="1855" spans="1:17" x14ac:dyDescent="0.25">
      <c r="A1855" s="3" t="s">
        <v>1930</v>
      </c>
      <c r="B1855" s="4">
        <v>45996</v>
      </c>
      <c r="C1855" s="3" t="s">
        <v>2018</v>
      </c>
      <c r="D1855" s="3" t="s">
        <v>2038</v>
      </c>
      <c r="E1855" s="3" t="s">
        <v>2053</v>
      </c>
      <c r="F1855" s="3" t="s">
        <v>2061</v>
      </c>
      <c r="G1855" s="3">
        <v>2</v>
      </c>
      <c r="H1855" s="3">
        <v>500</v>
      </c>
      <c r="I1855" s="3">
        <v>610</v>
      </c>
      <c r="J1855" s="3">
        <v>13.03</v>
      </c>
      <c r="K1855" s="3">
        <v>1061.01</v>
      </c>
      <c r="L1855" s="3">
        <v>61.01</v>
      </c>
      <c r="M1855" s="3">
        <f t="shared" si="141"/>
        <v>15896.599999999999</v>
      </c>
      <c r="N1855" s="3">
        <f t="shared" si="142"/>
        <v>1000</v>
      </c>
      <c r="O1855" s="3">
        <f t="shared" si="143"/>
        <v>5.7501814309007457</v>
      </c>
      <c r="P1855" s="3" t="str">
        <f t="shared" si="144"/>
        <v>Dec</v>
      </c>
      <c r="Q1855" s="3" t="str">
        <f t="shared" si="140"/>
        <v>low profit</v>
      </c>
    </row>
    <row r="1856" spans="1:17" x14ac:dyDescent="0.25">
      <c r="A1856" s="3" t="s">
        <v>1941</v>
      </c>
      <c r="B1856" s="4">
        <v>45996</v>
      </c>
      <c r="C1856" s="3" t="s">
        <v>2029</v>
      </c>
      <c r="D1856" s="3" t="s">
        <v>2049</v>
      </c>
      <c r="E1856" s="3" t="s">
        <v>2055</v>
      </c>
      <c r="F1856" s="3" t="s">
        <v>2062</v>
      </c>
      <c r="G1856" s="3">
        <v>8</v>
      </c>
      <c r="H1856" s="3">
        <v>1200</v>
      </c>
      <c r="I1856" s="3">
        <v>1464</v>
      </c>
      <c r="J1856" s="3">
        <v>9.41</v>
      </c>
      <c r="K1856" s="3">
        <v>10609.77</v>
      </c>
      <c r="L1856" s="3">
        <v>1009.77</v>
      </c>
      <c r="M1856" s="3">
        <f t="shared" si="141"/>
        <v>110209.92</v>
      </c>
      <c r="N1856" s="3">
        <f t="shared" si="142"/>
        <v>9600</v>
      </c>
      <c r="O1856" s="3">
        <f t="shared" si="143"/>
        <v>9.5173599427697297</v>
      </c>
      <c r="P1856" s="3" t="str">
        <f t="shared" si="144"/>
        <v>Dec</v>
      </c>
      <c r="Q1856" s="3" t="str">
        <f t="shared" si="140"/>
        <v>low profit</v>
      </c>
    </row>
    <row r="1857" spans="1:17" x14ac:dyDescent="0.25">
      <c r="A1857" s="3" t="s">
        <v>1943</v>
      </c>
      <c r="B1857" s="4">
        <v>45996</v>
      </c>
      <c r="C1857" s="3" t="s">
        <v>2014</v>
      </c>
      <c r="D1857" s="3" t="s">
        <v>2034</v>
      </c>
      <c r="E1857" s="3" t="s">
        <v>2052</v>
      </c>
      <c r="F1857" s="3" t="s">
        <v>2061</v>
      </c>
      <c r="G1857" s="3">
        <v>3</v>
      </c>
      <c r="H1857" s="3">
        <v>4500</v>
      </c>
      <c r="I1857" s="3">
        <v>5220</v>
      </c>
      <c r="J1857" s="3">
        <v>15.37</v>
      </c>
      <c r="K1857" s="3">
        <v>13253.1</v>
      </c>
      <c r="L1857" s="3">
        <v>-246.9</v>
      </c>
      <c r="M1857" s="3">
        <f t="shared" si="141"/>
        <v>240694.19999999998</v>
      </c>
      <c r="N1857" s="3">
        <f t="shared" si="142"/>
        <v>13500</v>
      </c>
      <c r="O1857" s="3">
        <f t="shared" si="143"/>
        <v>-1.8629603639903118</v>
      </c>
      <c r="P1857" s="3" t="str">
        <f t="shared" si="144"/>
        <v>Dec</v>
      </c>
      <c r="Q1857" s="3" t="str">
        <f t="shared" si="140"/>
        <v>loss</v>
      </c>
    </row>
    <row r="1858" spans="1:17" x14ac:dyDescent="0.25">
      <c r="A1858" s="3" t="s">
        <v>943</v>
      </c>
      <c r="B1858" s="4">
        <v>45997</v>
      </c>
      <c r="C1858" s="3" t="s">
        <v>2013</v>
      </c>
      <c r="D1858" s="3" t="s">
        <v>2033</v>
      </c>
      <c r="E1858" s="3" t="s">
        <v>2053</v>
      </c>
      <c r="F1858" s="3" t="s">
        <v>2061</v>
      </c>
      <c r="G1858" s="3">
        <v>2</v>
      </c>
      <c r="H1858" s="3">
        <v>6500</v>
      </c>
      <c r="I1858" s="3">
        <v>7150</v>
      </c>
      <c r="J1858" s="3">
        <v>17.059999999999999</v>
      </c>
      <c r="K1858" s="3">
        <v>11860.12</v>
      </c>
      <c r="L1858" s="3">
        <v>-1139.8800000000001</v>
      </c>
      <c r="M1858" s="3">
        <f t="shared" si="141"/>
        <v>243957.99999999997</v>
      </c>
      <c r="N1858" s="3">
        <f t="shared" si="142"/>
        <v>13000</v>
      </c>
      <c r="O1858" s="3">
        <f t="shared" si="143"/>
        <v>-9.6110326033800675</v>
      </c>
      <c r="P1858" s="3" t="str">
        <f t="shared" si="144"/>
        <v>Dec</v>
      </c>
      <c r="Q1858" s="3" t="str">
        <f t="shared" ref="Q1858:Q1921" si="145">IF(L1858&lt;0,"loss",IF(O1858&lt;10,"low profit","good profit"))</f>
        <v>loss</v>
      </c>
    </row>
    <row r="1859" spans="1:17" x14ac:dyDescent="0.25">
      <c r="A1859" s="3" t="s">
        <v>1006</v>
      </c>
      <c r="B1859" s="4">
        <v>45997</v>
      </c>
      <c r="C1859" s="3" t="s">
        <v>2028</v>
      </c>
      <c r="D1859" s="3" t="s">
        <v>2048</v>
      </c>
      <c r="E1859" s="3" t="s">
        <v>2057</v>
      </c>
      <c r="F1859" s="3" t="s">
        <v>2062</v>
      </c>
      <c r="G1859" s="3">
        <v>4</v>
      </c>
      <c r="H1859" s="3">
        <v>80</v>
      </c>
      <c r="I1859" s="3">
        <v>116</v>
      </c>
      <c r="J1859" s="3">
        <v>15.52</v>
      </c>
      <c r="K1859" s="3">
        <v>391.98</v>
      </c>
      <c r="L1859" s="3">
        <v>71.98</v>
      </c>
      <c r="M1859" s="3">
        <f t="shared" ref="M1859:M1922" si="146">G1859*I1859*J1859</f>
        <v>7201.28</v>
      </c>
      <c r="N1859" s="3">
        <f t="shared" ref="N1859:N1922" si="147">G1859*H1859</f>
        <v>320</v>
      </c>
      <c r="O1859" s="3">
        <f t="shared" ref="O1859:O1922" si="148">IFERROR(L1859/K1859*100,0)</f>
        <v>18.36318179498954</v>
      </c>
      <c r="P1859" s="3" t="str">
        <f t="shared" ref="P1859:P1922" si="149">TEXT(B1859,"mmm")</f>
        <v>Dec</v>
      </c>
      <c r="Q1859" s="3" t="str">
        <f t="shared" si="145"/>
        <v>good profit</v>
      </c>
    </row>
    <row r="1860" spans="1:17" x14ac:dyDescent="0.25">
      <c r="A1860" s="3" t="s">
        <v>1440</v>
      </c>
      <c r="B1860" s="4">
        <v>45997</v>
      </c>
      <c r="C1860" s="3" t="s">
        <v>2019</v>
      </c>
      <c r="D1860" s="3" t="s">
        <v>2039</v>
      </c>
      <c r="E1860" s="3" t="s">
        <v>2053</v>
      </c>
      <c r="F1860" s="3" t="s">
        <v>2060</v>
      </c>
      <c r="G1860" s="3">
        <v>4</v>
      </c>
      <c r="H1860" s="3">
        <v>900</v>
      </c>
      <c r="I1860" s="3">
        <v>1152</v>
      </c>
      <c r="J1860" s="3">
        <v>8.5500000000000007</v>
      </c>
      <c r="K1860" s="3">
        <v>4214.08</v>
      </c>
      <c r="L1860" s="3">
        <v>614.08000000000004</v>
      </c>
      <c r="M1860" s="3">
        <f t="shared" si="146"/>
        <v>39398.400000000001</v>
      </c>
      <c r="N1860" s="3">
        <f t="shared" si="147"/>
        <v>3600</v>
      </c>
      <c r="O1860" s="3">
        <f t="shared" si="148"/>
        <v>14.572101146632244</v>
      </c>
      <c r="P1860" s="3" t="str">
        <f t="shared" si="149"/>
        <v>Dec</v>
      </c>
      <c r="Q1860" s="3" t="str">
        <f t="shared" si="145"/>
        <v>good profit</v>
      </c>
    </row>
    <row r="1861" spans="1:17" x14ac:dyDescent="0.25">
      <c r="A1861" s="3" t="s">
        <v>1524</v>
      </c>
      <c r="B1861" s="4">
        <v>45997</v>
      </c>
      <c r="C1861" s="3" t="s">
        <v>2012</v>
      </c>
      <c r="D1861" s="3" t="s">
        <v>2032</v>
      </c>
      <c r="E1861" s="3" t="s">
        <v>2052</v>
      </c>
      <c r="F1861" s="3" t="s">
        <v>2061</v>
      </c>
      <c r="G1861" s="3">
        <v>2</v>
      </c>
      <c r="H1861" s="3">
        <v>6500</v>
      </c>
      <c r="I1861" s="3">
        <v>8125</v>
      </c>
      <c r="J1861" s="3">
        <v>27.3</v>
      </c>
      <c r="K1861" s="3">
        <v>11813.82</v>
      </c>
      <c r="L1861" s="3">
        <v>-1186.18</v>
      </c>
      <c r="M1861" s="3">
        <f t="shared" si="146"/>
        <v>443625</v>
      </c>
      <c r="N1861" s="3">
        <f t="shared" si="147"/>
        <v>13000</v>
      </c>
      <c r="O1861" s="3">
        <f t="shared" si="148"/>
        <v>-10.040613451026003</v>
      </c>
      <c r="P1861" s="3" t="str">
        <f t="shared" si="149"/>
        <v>Dec</v>
      </c>
      <c r="Q1861" s="3" t="str">
        <f t="shared" si="145"/>
        <v>loss</v>
      </c>
    </row>
    <row r="1862" spans="1:17" x14ac:dyDescent="0.25">
      <c r="A1862" s="3" t="s">
        <v>1911</v>
      </c>
      <c r="B1862" s="4">
        <v>45997</v>
      </c>
      <c r="C1862" s="3" t="s">
        <v>2018</v>
      </c>
      <c r="D1862" s="3" t="s">
        <v>2038</v>
      </c>
      <c r="E1862" s="3" t="s">
        <v>2053</v>
      </c>
      <c r="F1862" s="3" t="s">
        <v>2059</v>
      </c>
      <c r="G1862" s="3">
        <v>1</v>
      </c>
      <c r="H1862" s="3">
        <v>500</v>
      </c>
      <c r="I1862" s="3">
        <v>610</v>
      </c>
      <c r="J1862" s="3">
        <v>11.41</v>
      </c>
      <c r="K1862" s="3">
        <v>540.38</v>
      </c>
      <c r="L1862" s="3">
        <v>40.380000000000003</v>
      </c>
      <c r="M1862" s="3">
        <f t="shared" si="146"/>
        <v>6960.1</v>
      </c>
      <c r="N1862" s="3">
        <f t="shared" si="147"/>
        <v>500</v>
      </c>
      <c r="O1862" s="3">
        <f t="shared" si="148"/>
        <v>7.4725193382434592</v>
      </c>
      <c r="P1862" s="3" t="str">
        <f t="shared" si="149"/>
        <v>Dec</v>
      </c>
      <c r="Q1862" s="3" t="str">
        <f t="shared" si="145"/>
        <v>low profit</v>
      </c>
    </row>
    <row r="1863" spans="1:17" x14ac:dyDescent="0.25">
      <c r="A1863" s="3" t="s">
        <v>61</v>
      </c>
      <c r="B1863" s="4">
        <v>45998</v>
      </c>
      <c r="C1863" s="3" t="s">
        <v>2029</v>
      </c>
      <c r="D1863" s="3" t="s">
        <v>2049</v>
      </c>
      <c r="E1863" s="3" t="s">
        <v>2055</v>
      </c>
      <c r="F1863" s="3" t="s">
        <v>2062</v>
      </c>
      <c r="G1863" s="3">
        <v>4</v>
      </c>
      <c r="H1863" s="3">
        <v>1200</v>
      </c>
      <c r="I1863" s="3">
        <v>1464</v>
      </c>
      <c r="J1863" s="3">
        <v>13.98</v>
      </c>
      <c r="K1863" s="3">
        <v>5037.2700000000004</v>
      </c>
      <c r="L1863" s="3">
        <v>237.27</v>
      </c>
      <c r="M1863" s="3">
        <f t="shared" si="146"/>
        <v>81866.880000000005</v>
      </c>
      <c r="N1863" s="3">
        <f t="shared" si="147"/>
        <v>4800</v>
      </c>
      <c r="O1863" s="3">
        <f t="shared" si="148"/>
        <v>4.7102895020517064</v>
      </c>
      <c r="P1863" s="3" t="str">
        <f t="shared" si="149"/>
        <v>Dec</v>
      </c>
      <c r="Q1863" s="3" t="str">
        <f t="shared" si="145"/>
        <v>low profit</v>
      </c>
    </row>
    <row r="1864" spans="1:17" x14ac:dyDescent="0.25">
      <c r="A1864" s="3" t="s">
        <v>593</v>
      </c>
      <c r="B1864" s="4">
        <v>45998</v>
      </c>
      <c r="C1864" s="3" t="s">
        <v>2029</v>
      </c>
      <c r="D1864" s="3" t="s">
        <v>2049</v>
      </c>
      <c r="E1864" s="3" t="s">
        <v>2055</v>
      </c>
      <c r="F1864" s="3" t="s">
        <v>2060</v>
      </c>
      <c r="G1864" s="3">
        <v>10</v>
      </c>
      <c r="H1864" s="3">
        <v>1200</v>
      </c>
      <c r="I1864" s="3">
        <v>1464</v>
      </c>
      <c r="J1864" s="3">
        <v>25.3</v>
      </c>
      <c r="K1864" s="3">
        <v>10936.01</v>
      </c>
      <c r="L1864" s="3">
        <v>-1063.99</v>
      </c>
      <c r="M1864" s="3">
        <f t="shared" si="146"/>
        <v>370392</v>
      </c>
      <c r="N1864" s="3">
        <f t="shared" si="147"/>
        <v>12000</v>
      </c>
      <c r="O1864" s="3">
        <f t="shared" si="148"/>
        <v>-9.729233971073544</v>
      </c>
      <c r="P1864" s="3" t="str">
        <f t="shared" si="149"/>
        <v>Dec</v>
      </c>
      <c r="Q1864" s="3" t="str">
        <f t="shared" si="145"/>
        <v>loss</v>
      </c>
    </row>
    <row r="1865" spans="1:17" x14ac:dyDescent="0.25">
      <c r="A1865" s="3" t="s">
        <v>617</v>
      </c>
      <c r="B1865" s="4">
        <v>45998</v>
      </c>
      <c r="C1865" s="3" t="s">
        <v>2023</v>
      </c>
      <c r="D1865" s="3" t="s">
        <v>2043</v>
      </c>
      <c r="E1865" s="3" t="s">
        <v>2053</v>
      </c>
      <c r="F1865" s="3" t="s">
        <v>2062</v>
      </c>
      <c r="G1865" s="3">
        <v>2</v>
      </c>
      <c r="H1865" s="3">
        <v>550</v>
      </c>
      <c r="I1865" s="3">
        <v>742.5</v>
      </c>
      <c r="J1865" s="3">
        <v>0</v>
      </c>
      <c r="K1865" s="3">
        <v>1485</v>
      </c>
      <c r="L1865" s="3">
        <v>385</v>
      </c>
      <c r="M1865" s="3">
        <f t="shared" si="146"/>
        <v>0</v>
      </c>
      <c r="N1865" s="3">
        <f t="shared" si="147"/>
        <v>1100</v>
      </c>
      <c r="O1865" s="3">
        <f t="shared" si="148"/>
        <v>25.925925925925924</v>
      </c>
      <c r="P1865" s="3" t="str">
        <f t="shared" si="149"/>
        <v>Dec</v>
      </c>
      <c r="Q1865" s="3" t="str">
        <f t="shared" si="145"/>
        <v>good profit</v>
      </c>
    </row>
    <row r="1866" spans="1:17" x14ac:dyDescent="0.25">
      <c r="A1866" s="3" t="s">
        <v>956</v>
      </c>
      <c r="B1866" s="4">
        <v>45998</v>
      </c>
      <c r="C1866" s="3" t="s">
        <v>2015</v>
      </c>
      <c r="D1866" s="3" t="s">
        <v>2035</v>
      </c>
      <c r="E1866" s="3" t="s">
        <v>2054</v>
      </c>
      <c r="F1866" s="3" t="s">
        <v>2062</v>
      </c>
      <c r="G1866" s="3">
        <v>6</v>
      </c>
      <c r="H1866" s="3">
        <v>900</v>
      </c>
      <c r="I1866" s="3">
        <v>1170</v>
      </c>
      <c r="J1866" s="3">
        <v>7.99</v>
      </c>
      <c r="K1866" s="3">
        <v>6459.39</v>
      </c>
      <c r="L1866" s="3">
        <v>1059.3900000000001</v>
      </c>
      <c r="M1866" s="3">
        <f t="shared" si="146"/>
        <v>56089.8</v>
      </c>
      <c r="N1866" s="3">
        <f t="shared" si="147"/>
        <v>5400</v>
      </c>
      <c r="O1866" s="3">
        <f t="shared" si="148"/>
        <v>16.400774686154577</v>
      </c>
      <c r="P1866" s="3" t="str">
        <f t="shared" si="149"/>
        <v>Dec</v>
      </c>
      <c r="Q1866" s="3" t="str">
        <f t="shared" si="145"/>
        <v>good profit</v>
      </c>
    </row>
    <row r="1867" spans="1:17" x14ac:dyDescent="0.25">
      <c r="A1867" s="3" t="s">
        <v>1160</v>
      </c>
      <c r="B1867" s="4">
        <v>45998</v>
      </c>
      <c r="C1867" s="3" t="s">
        <v>2025</v>
      </c>
      <c r="D1867" s="3" t="s">
        <v>2045</v>
      </c>
      <c r="E1867" s="3" t="s">
        <v>2057</v>
      </c>
      <c r="F1867" s="3" t="s">
        <v>2062</v>
      </c>
      <c r="G1867" s="3">
        <v>3</v>
      </c>
      <c r="H1867" s="3">
        <v>45</v>
      </c>
      <c r="I1867" s="3">
        <v>63</v>
      </c>
      <c r="J1867" s="3">
        <v>19.78</v>
      </c>
      <c r="K1867" s="3">
        <v>151.62</v>
      </c>
      <c r="L1867" s="3">
        <v>16.62</v>
      </c>
      <c r="M1867" s="3">
        <f t="shared" si="146"/>
        <v>3738.42</v>
      </c>
      <c r="N1867" s="3">
        <f t="shared" si="147"/>
        <v>135</v>
      </c>
      <c r="O1867" s="3">
        <f t="shared" si="148"/>
        <v>10.961614562722596</v>
      </c>
      <c r="P1867" s="3" t="str">
        <f t="shared" si="149"/>
        <v>Dec</v>
      </c>
      <c r="Q1867" s="3" t="str">
        <f t="shared" si="145"/>
        <v>good profit</v>
      </c>
    </row>
    <row r="1868" spans="1:17" x14ac:dyDescent="0.25">
      <c r="A1868" s="3" t="s">
        <v>1183</v>
      </c>
      <c r="B1868" s="4">
        <v>45998</v>
      </c>
      <c r="C1868" s="3" t="s">
        <v>2014</v>
      </c>
      <c r="D1868" s="3" t="s">
        <v>2034</v>
      </c>
      <c r="E1868" s="3" t="s">
        <v>2052</v>
      </c>
      <c r="F1868" s="3" t="s">
        <v>2060</v>
      </c>
      <c r="G1868" s="3">
        <v>4</v>
      </c>
      <c r="H1868" s="3">
        <v>4500</v>
      </c>
      <c r="I1868" s="3">
        <v>5220</v>
      </c>
      <c r="J1868" s="3">
        <v>4.1500000000000004</v>
      </c>
      <c r="K1868" s="3">
        <v>20012.5</v>
      </c>
      <c r="L1868" s="3">
        <v>2012.5</v>
      </c>
      <c r="M1868" s="3">
        <f t="shared" si="146"/>
        <v>86652.000000000015</v>
      </c>
      <c r="N1868" s="3">
        <f t="shared" si="147"/>
        <v>18000</v>
      </c>
      <c r="O1868" s="3">
        <f t="shared" si="148"/>
        <v>10.056214865708931</v>
      </c>
      <c r="P1868" s="3" t="str">
        <f t="shared" si="149"/>
        <v>Dec</v>
      </c>
      <c r="Q1868" s="3" t="str">
        <f t="shared" si="145"/>
        <v>good profit</v>
      </c>
    </row>
    <row r="1869" spans="1:17" x14ac:dyDescent="0.25">
      <c r="A1869" s="3" t="s">
        <v>73</v>
      </c>
      <c r="B1869" s="4">
        <v>45999</v>
      </c>
      <c r="C1869" s="3" t="s">
        <v>2030</v>
      </c>
      <c r="D1869" s="3" t="s">
        <v>2050</v>
      </c>
      <c r="E1869" s="3" t="s">
        <v>2058</v>
      </c>
      <c r="F1869" s="3" t="s">
        <v>2061</v>
      </c>
      <c r="G1869" s="3">
        <v>4</v>
      </c>
      <c r="H1869" s="3">
        <v>1800</v>
      </c>
      <c r="I1869" s="3">
        <v>2124</v>
      </c>
      <c r="J1869" s="3">
        <v>15.72</v>
      </c>
      <c r="K1869" s="3">
        <v>7160.25</v>
      </c>
      <c r="L1869" s="3">
        <v>-39.75</v>
      </c>
      <c r="M1869" s="3">
        <f t="shared" si="146"/>
        <v>133557.12</v>
      </c>
      <c r="N1869" s="3">
        <f t="shared" si="147"/>
        <v>7200</v>
      </c>
      <c r="O1869" s="3">
        <f t="shared" si="148"/>
        <v>-0.55514821409866966</v>
      </c>
      <c r="P1869" s="3" t="str">
        <f t="shared" si="149"/>
        <v>Dec</v>
      </c>
      <c r="Q1869" s="3" t="str">
        <f t="shared" si="145"/>
        <v>loss</v>
      </c>
    </row>
    <row r="1870" spans="1:17" x14ac:dyDescent="0.25">
      <c r="A1870" s="3" t="s">
        <v>546</v>
      </c>
      <c r="B1870" s="4">
        <v>45999</v>
      </c>
      <c r="C1870" s="3" t="s">
        <v>2017</v>
      </c>
      <c r="D1870" s="3" t="s">
        <v>2037</v>
      </c>
      <c r="E1870" s="3" t="s">
        <v>2055</v>
      </c>
      <c r="F1870" s="3" t="s">
        <v>2060</v>
      </c>
      <c r="G1870" s="3">
        <v>4</v>
      </c>
      <c r="H1870" s="3">
        <v>2500</v>
      </c>
      <c r="I1870" s="3">
        <v>2875</v>
      </c>
      <c r="J1870" s="3">
        <v>14.97</v>
      </c>
      <c r="K1870" s="3">
        <v>9778.4500000000007</v>
      </c>
      <c r="L1870" s="3">
        <v>-221.55</v>
      </c>
      <c r="M1870" s="3">
        <f t="shared" si="146"/>
        <v>172155</v>
      </c>
      <c r="N1870" s="3">
        <f t="shared" si="147"/>
        <v>10000</v>
      </c>
      <c r="O1870" s="3">
        <f t="shared" si="148"/>
        <v>-2.2656965060924787</v>
      </c>
      <c r="P1870" s="3" t="str">
        <f t="shared" si="149"/>
        <v>Dec</v>
      </c>
      <c r="Q1870" s="3" t="str">
        <f t="shared" si="145"/>
        <v>loss</v>
      </c>
    </row>
    <row r="1871" spans="1:17" x14ac:dyDescent="0.25">
      <c r="A1871" s="3" t="s">
        <v>917</v>
      </c>
      <c r="B1871" s="4">
        <v>45999</v>
      </c>
      <c r="C1871" s="3" t="s">
        <v>2012</v>
      </c>
      <c r="D1871" s="3" t="s">
        <v>2032</v>
      </c>
      <c r="E1871" s="3" t="s">
        <v>2052</v>
      </c>
      <c r="F1871" s="3" t="s">
        <v>2059</v>
      </c>
      <c r="G1871" s="3">
        <v>1</v>
      </c>
      <c r="H1871" s="3">
        <v>6500</v>
      </c>
      <c r="I1871" s="3">
        <v>8125</v>
      </c>
      <c r="J1871" s="3">
        <v>6.88</v>
      </c>
      <c r="K1871" s="3">
        <v>7566.11</v>
      </c>
      <c r="L1871" s="3">
        <v>1066.1099999999999</v>
      </c>
      <c r="M1871" s="3">
        <f t="shared" si="146"/>
        <v>55900</v>
      </c>
      <c r="N1871" s="3">
        <f t="shared" si="147"/>
        <v>6500</v>
      </c>
      <c r="O1871" s="3">
        <f t="shared" si="148"/>
        <v>14.090596092311635</v>
      </c>
      <c r="P1871" s="3" t="str">
        <f t="shared" si="149"/>
        <v>Dec</v>
      </c>
      <c r="Q1871" s="3" t="str">
        <f t="shared" si="145"/>
        <v>good profit</v>
      </c>
    </row>
    <row r="1872" spans="1:17" x14ac:dyDescent="0.25">
      <c r="A1872" s="3" t="s">
        <v>1152</v>
      </c>
      <c r="B1872" s="4">
        <v>45999</v>
      </c>
      <c r="C1872" s="3" t="s">
        <v>2021</v>
      </c>
      <c r="D1872" s="3" t="s">
        <v>2041</v>
      </c>
      <c r="E1872" s="3" t="s">
        <v>2056</v>
      </c>
      <c r="F1872" s="3" t="s">
        <v>2059</v>
      </c>
      <c r="G1872" s="3">
        <v>4</v>
      </c>
      <c r="H1872" s="3">
        <v>300</v>
      </c>
      <c r="I1872" s="3">
        <v>405</v>
      </c>
      <c r="J1872" s="3">
        <v>11.52</v>
      </c>
      <c r="K1872" s="3">
        <v>1433.4</v>
      </c>
      <c r="L1872" s="3">
        <v>233.4</v>
      </c>
      <c r="M1872" s="3">
        <f t="shared" si="146"/>
        <v>18662.399999999998</v>
      </c>
      <c r="N1872" s="3">
        <f t="shared" si="147"/>
        <v>1200</v>
      </c>
      <c r="O1872" s="3">
        <f t="shared" si="148"/>
        <v>16.282963583089156</v>
      </c>
      <c r="P1872" s="3" t="str">
        <f t="shared" si="149"/>
        <v>Dec</v>
      </c>
      <c r="Q1872" s="3" t="str">
        <f t="shared" si="145"/>
        <v>good profit</v>
      </c>
    </row>
    <row r="1873" spans="1:17" x14ac:dyDescent="0.25">
      <c r="A1873" s="3" t="s">
        <v>1699</v>
      </c>
      <c r="B1873" s="4">
        <v>45999</v>
      </c>
      <c r="C1873" s="3" t="s">
        <v>2023</v>
      </c>
      <c r="D1873" s="3" t="s">
        <v>2043</v>
      </c>
      <c r="E1873" s="3" t="s">
        <v>2053</v>
      </c>
      <c r="F1873" s="3" t="s">
        <v>2062</v>
      </c>
      <c r="G1873" s="3">
        <v>8</v>
      </c>
      <c r="H1873" s="3">
        <v>550</v>
      </c>
      <c r="I1873" s="3">
        <v>742.5</v>
      </c>
      <c r="J1873" s="3">
        <v>14.59</v>
      </c>
      <c r="K1873" s="3">
        <v>5073.1400000000003</v>
      </c>
      <c r="L1873" s="3">
        <v>673.14</v>
      </c>
      <c r="M1873" s="3">
        <f t="shared" si="146"/>
        <v>86664.6</v>
      </c>
      <c r="N1873" s="3">
        <f t="shared" si="147"/>
        <v>4400</v>
      </c>
      <c r="O1873" s="3">
        <f t="shared" si="148"/>
        <v>13.268705377734499</v>
      </c>
      <c r="P1873" s="3" t="str">
        <f t="shared" si="149"/>
        <v>Dec</v>
      </c>
      <c r="Q1873" s="3" t="str">
        <f t="shared" si="145"/>
        <v>good profit</v>
      </c>
    </row>
    <row r="1874" spans="1:17" x14ac:dyDescent="0.25">
      <c r="A1874" s="3" t="s">
        <v>1842</v>
      </c>
      <c r="B1874" s="4">
        <v>45999</v>
      </c>
      <c r="C1874" s="3" t="s">
        <v>2015</v>
      </c>
      <c r="D1874" s="3" t="s">
        <v>2035</v>
      </c>
      <c r="E1874" s="3" t="s">
        <v>2054</v>
      </c>
      <c r="F1874" s="3" t="s">
        <v>2062</v>
      </c>
      <c r="G1874" s="3">
        <v>9</v>
      </c>
      <c r="H1874" s="3">
        <v>900</v>
      </c>
      <c r="I1874" s="3">
        <v>1170</v>
      </c>
      <c r="J1874" s="3">
        <v>19.3</v>
      </c>
      <c r="K1874" s="3">
        <v>8497.76</v>
      </c>
      <c r="L1874" s="3">
        <v>397.76</v>
      </c>
      <c r="M1874" s="3">
        <f t="shared" si="146"/>
        <v>203229</v>
      </c>
      <c r="N1874" s="3">
        <f t="shared" si="147"/>
        <v>8100</v>
      </c>
      <c r="O1874" s="3">
        <f t="shared" si="148"/>
        <v>4.6807629304663818</v>
      </c>
      <c r="P1874" s="3" t="str">
        <f t="shared" si="149"/>
        <v>Dec</v>
      </c>
      <c r="Q1874" s="3" t="str">
        <f t="shared" si="145"/>
        <v>low profit</v>
      </c>
    </row>
    <row r="1875" spans="1:17" x14ac:dyDescent="0.25">
      <c r="A1875" s="3" t="s">
        <v>246</v>
      </c>
      <c r="B1875" s="4">
        <v>46000</v>
      </c>
      <c r="C1875" s="3" t="s">
        <v>2013</v>
      </c>
      <c r="D1875" s="3" t="s">
        <v>2033</v>
      </c>
      <c r="E1875" s="3" t="s">
        <v>2053</v>
      </c>
      <c r="F1875" s="3" t="s">
        <v>2059</v>
      </c>
      <c r="G1875" s="3">
        <v>5</v>
      </c>
      <c r="H1875" s="3">
        <v>6500</v>
      </c>
      <c r="I1875" s="3">
        <v>7150</v>
      </c>
      <c r="J1875" s="3">
        <v>9.6</v>
      </c>
      <c r="K1875" s="3">
        <v>32317.41</v>
      </c>
      <c r="L1875" s="3">
        <v>-182.59</v>
      </c>
      <c r="M1875" s="3">
        <f t="shared" si="146"/>
        <v>343200</v>
      </c>
      <c r="N1875" s="3">
        <f t="shared" si="147"/>
        <v>32500</v>
      </c>
      <c r="O1875" s="3">
        <f t="shared" si="148"/>
        <v>-0.56498958301423297</v>
      </c>
      <c r="P1875" s="3" t="str">
        <f t="shared" si="149"/>
        <v>Dec</v>
      </c>
      <c r="Q1875" s="3" t="str">
        <f t="shared" si="145"/>
        <v>loss</v>
      </c>
    </row>
    <row r="1876" spans="1:17" x14ac:dyDescent="0.25">
      <c r="A1876" s="3" t="s">
        <v>782</v>
      </c>
      <c r="B1876" s="4">
        <v>46000</v>
      </c>
      <c r="C1876" s="3" t="s">
        <v>2020</v>
      </c>
      <c r="D1876" s="3" t="s">
        <v>2040</v>
      </c>
      <c r="E1876" s="3" t="s">
        <v>2053</v>
      </c>
      <c r="F1876" s="3" t="s">
        <v>2061</v>
      </c>
      <c r="G1876" s="3">
        <v>8</v>
      </c>
      <c r="H1876" s="3">
        <v>350</v>
      </c>
      <c r="I1876" s="3">
        <v>455</v>
      </c>
      <c r="J1876" s="3">
        <v>14.94</v>
      </c>
      <c r="K1876" s="3">
        <v>3096.05</v>
      </c>
      <c r="L1876" s="3">
        <v>296.05</v>
      </c>
      <c r="M1876" s="3">
        <f t="shared" si="146"/>
        <v>54381.599999999999</v>
      </c>
      <c r="N1876" s="3">
        <f t="shared" si="147"/>
        <v>2800</v>
      </c>
      <c r="O1876" s="3">
        <f t="shared" si="148"/>
        <v>9.5621840732546293</v>
      </c>
      <c r="P1876" s="3" t="str">
        <f t="shared" si="149"/>
        <v>Dec</v>
      </c>
      <c r="Q1876" s="3" t="str">
        <f t="shared" si="145"/>
        <v>low profit</v>
      </c>
    </row>
    <row r="1877" spans="1:17" x14ac:dyDescent="0.25">
      <c r="A1877" s="3" t="s">
        <v>892</v>
      </c>
      <c r="B1877" s="4">
        <v>46000</v>
      </c>
      <c r="C1877" s="3" t="s">
        <v>2025</v>
      </c>
      <c r="D1877" s="3" t="s">
        <v>2045</v>
      </c>
      <c r="E1877" s="3" t="s">
        <v>2057</v>
      </c>
      <c r="F1877" s="3" t="s">
        <v>2061</v>
      </c>
      <c r="G1877" s="3">
        <v>10</v>
      </c>
      <c r="H1877" s="3">
        <v>45</v>
      </c>
      <c r="I1877" s="3">
        <v>63</v>
      </c>
      <c r="J1877" s="3">
        <v>6.45</v>
      </c>
      <c r="K1877" s="3">
        <v>589.37</v>
      </c>
      <c r="L1877" s="3">
        <v>139.37</v>
      </c>
      <c r="M1877" s="3">
        <f t="shared" si="146"/>
        <v>4063.5</v>
      </c>
      <c r="N1877" s="3">
        <f t="shared" si="147"/>
        <v>450</v>
      </c>
      <c r="O1877" s="3">
        <f t="shared" si="148"/>
        <v>23.64728438841475</v>
      </c>
      <c r="P1877" s="3" t="str">
        <f t="shared" si="149"/>
        <v>Dec</v>
      </c>
      <c r="Q1877" s="3" t="str">
        <f t="shared" si="145"/>
        <v>good profit</v>
      </c>
    </row>
    <row r="1878" spans="1:17" x14ac:dyDescent="0.25">
      <c r="A1878" s="3" t="s">
        <v>1001</v>
      </c>
      <c r="B1878" s="4">
        <v>46000</v>
      </c>
      <c r="C1878" s="3" t="s">
        <v>2014</v>
      </c>
      <c r="D1878" s="3" t="s">
        <v>2034</v>
      </c>
      <c r="E1878" s="3" t="s">
        <v>2052</v>
      </c>
      <c r="F1878" s="3" t="s">
        <v>2061</v>
      </c>
      <c r="G1878" s="3">
        <v>3</v>
      </c>
      <c r="H1878" s="3">
        <v>4500</v>
      </c>
      <c r="I1878" s="3">
        <v>5220</v>
      </c>
      <c r="J1878" s="3">
        <v>7.57</v>
      </c>
      <c r="K1878" s="3">
        <v>14474.34</v>
      </c>
      <c r="L1878" s="3">
        <v>974.34</v>
      </c>
      <c r="M1878" s="3">
        <f t="shared" si="146"/>
        <v>118546.20000000001</v>
      </c>
      <c r="N1878" s="3">
        <f t="shared" si="147"/>
        <v>13500</v>
      </c>
      <c r="O1878" s="3">
        <f t="shared" si="148"/>
        <v>6.7314986382798798</v>
      </c>
      <c r="P1878" s="3" t="str">
        <f t="shared" si="149"/>
        <v>Dec</v>
      </c>
      <c r="Q1878" s="3" t="str">
        <f t="shared" si="145"/>
        <v>low profit</v>
      </c>
    </row>
    <row r="1879" spans="1:17" x14ac:dyDescent="0.25">
      <c r="A1879" s="3" t="s">
        <v>1154</v>
      </c>
      <c r="B1879" s="4">
        <v>46000</v>
      </c>
      <c r="C1879" s="3" t="s">
        <v>2022</v>
      </c>
      <c r="D1879" s="3" t="s">
        <v>2042</v>
      </c>
      <c r="E1879" s="3" t="s">
        <v>2053</v>
      </c>
      <c r="F1879" s="3" t="s">
        <v>2060</v>
      </c>
      <c r="G1879" s="3">
        <v>5</v>
      </c>
      <c r="H1879" s="3">
        <v>8500</v>
      </c>
      <c r="I1879" s="3">
        <v>9520</v>
      </c>
      <c r="J1879" s="3">
        <v>6.49</v>
      </c>
      <c r="K1879" s="3">
        <v>44512.7</v>
      </c>
      <c r="L1879" s="3">
        <v>2012.7</v>
      </c>
      <c r="M1879" s="3">
        <f t="shared" si="146"/>
        <v>308924</v>
      </c>
      <c r="N1879" s="3">
        <f t="shared" si="147"/>
        <v>42500</v>
      </c>
      <c r="O1879" s="3">
        <f t="shared" si="148"/>
        <v>4.5216309053371289</v>
      </c>
      <c r="P1879" s="3" t="str">
        <f t="shared" si="149"/>
        <v>Dec</v>
      </c>
      <c r="Q1879" s="3" t="str">
        <f t="shared" si="145"/>
        <v>low profit</v>
      </c>
    </row>
    <row r="1880" spans="1:17" x14ac:dyDescent="0.25">
      <c r="A1880" s="3" t="s">
        <v>1396</v>
      </c>
      <c r="B1880" s="4">
        <v>46000</v>
      </c>
      <c r="C1880" s="3" t="s">
        <v>2016</v>
      </c>
      <c r="D1880" s="3" t="s">
        <v>2036</v>
      </c>
      <c r="E1880" s="3" t="s">
        <v>2052</v>
      </c>
      <c r="F1880" s="3" t="s">
        <v>2060</v>
      </c>
      <c r="G1880" s="3">
        <v>3</v>
      </c>
      <c r="H1880" s="3">
        <v>900</v>
      </c>
      <c r="I1880" s="3">
        <v>1170</v>
      </c>
      <c r="J1880" s="3">
        <v>17.21</v>
      </c>
      <c r="K1880" s="3">
        <v>2905.78</v>
      </c>
      <c r="L1880" s="3">
        <v>205.78</v>
      </c>
      <c r="M1880" s="3">
        <f t="shared" si="146"/>
        <v>60407.100000000006</v>
      </c>
      <c r="N1880" s="3">
        <f t="shared" si="147"/>
        <v>2700</v>
      </c>
      <c r="O1880" s="3">
        <f t="shared" si="148"/>
        <v>7.081747413775302</v>
      </c>
      <c r="P1880" s="3" t="str">
        <f t="shared" si="149"/>
        <v>Dec</v>
      </c>
      <c r="Q1880" s="3" t="str">
        <f t="shared" si="145"/>
        <v>low profit</v>
      </c>
    </row>
    <row r="1881" spans="1:17" x14ac:dyDescent="0.25">
      <c r="A1881" s="3" t="s">
        <v>1469</v>
      </c>
      <c r="B1881" s="4">
        <v>46000</v>
      </c>
      <c r="C1881" s="3" t="s">
        <v>2012</v>
      </c>
      <c r="D1881" s="3" t="s">
        <v>2032</v>
      </c>
      <c r="E1881" s="3" t="s">
        <v>2052</v>
      </c>
      <c r="F1881" s="3" t="s">
        <v>2059</v>
      </c>
      <c r="G1881" s="3">
        <v>3</v>
      </c>
      <c r="H1881" s="3">
        <v>6500</v>
      </c>
      <c r="I1881" s="3">
        <v>8125</v>
      </c>
      <c r="J1881" s="3">
        <v>8.75</v>
      </c>
      <c r="K1881" s="3">
        <v>22243.09</v>
      </c>
      <c r="L1881" s="3">
        <v>2743.09</v>
      </c>
      <c r="M1881" s="3">
        <f t="shared" si="146"/>
        <v>213281.25</v>
      </c>
      <c r="N1881" s="3">
        <f t="shared" si="147"/>
        <v>19500</v>
      </c>
      <c r="O1881" s="3">
        <f t="shared" si="148"/>
        <v>12.332324330837128</v>
      </c>
      <c r="P1881" s="3" t="str">
        <f t="shared" si="149"/>
        <v>Dec</v>
      </c>
      <c r="Q1881" s="3" t="str">
        <f t="shared" si="145"/>
        <v>good profit</v>
      </c>
    </row>
    <row r="1882" spans="1:17" x14ac:dyDescent="0.25">
      <c r="A1882" s="3" t="s">
        <v>1762</v>
      </c>
      <c r="B1882" s="4">
        <v>46000</v>
      </c>
      <c r="C1882" s="3" t="s">
        <v>2021</v>
      </c>
      <c r="D1882" s="3" t="s">
        <v>2041</v>
      </c>
      <c r="E1882" s="3" t="s">
        <v>2056</v>
      </c>
      <c r="F1882" s="3" t="s">
        <v>2060</v>
      </c>
      <c r="G1882" s="3">
        <v>5</v>
      </c>
      <c r="H1882" s="3">
        <v>300</v>
      </c>
      <c r="I1882" s="3">
        <v>405</v>
      </c>
      <c r="J1882" s="3">
        <v>9.26</v>
      </c>
      <c r="K1882" s="3">
        <v>1837.5</v>
      </c>
      <c r="L1882" s="3">
        <v>337.5</v>
      </c>
      <c r="M1882" s="3">
        <f t="shared" si="146"/>
        <v>18751.5</v>
      </c>
      <c r="N1882" s="3">
        <f t="shared" si="147"/>
        <v>1500</v>
      </c>
      <c r="O1882" s="3">
        <f t="shared" si="148"/>
        <v>18.367346938775512</v>
      </c>
      <c r="P1882" s="3" t="str">
        <f t="shared" si="149"/>
        <v>Dec</v>
      </c>
      <c r="Q1882" s="3" t="str">
        <f t="shared" si="145"/>
        <v>good profit</v>
      </c>
    </row>
    <row r="1883" spans="1:17" x14ac:dyDescent="0.25">
      <c r="A1883" s="3" t="s">
        <v>1848</v>
      </c>
      <c r="B1883" s="4">
        <v>46000</v>
      </c>
      <c r="C1883" s="3" t="s">
        <v>2020</v>
      </c>
      <c r="D1883" s="3" t="s">
        <v>2040</v>
      </c>
      <c r="E1883" s="3" t="s">
        <v>2053</v>
      </c>
      <c r="F1883" s="3" t="s">
        <v>2060</v>
      </c>
      <c r="G1883" s="3">
        <v>2</v>
      </c>
      <c r="H1883" s="3">
        <v>350</v>
      </c>
      <c r="I1883" s="3">
        <v>455</v>
      </c>
      <c r="J1883" s="3">
        <v>15.07</v>
      </c>
      <c r="K1883" s="3">
        <v>772.88</v>
      </c>
      <c r="L1883" s="3">
        <v>72.88</v>
      </c>
      <c r="M1883" s="3">
        <f t="shared" si="146"/>
        <v>13713.7</v>
      </c>
      <c r="N1883" s="3">
        <f t="shared" si="147"/>
        <v>700</v>
      </c>
      <c r="O1883" s="3">
        <f t="shared" si="148"/>
        <v>9.4296656660801155</v>
      </c>
      <c r="P1883" s="3" t="str">
        <f t="shared" si="149"/>
        <v>Dec</v>
      </c>
      <c r="Q1883" s="3" t="str">
        <f t="shared" si="145"/>
        <v>low profit</v>
      </c>
    </row>
    <row r="1884" spans="1:17" x14ac:dyDescent="0.25">
      <c r="A1884" s="3" t="s">
        <v>247</v>
      </c>
      <c r="B1884" s="4">
        <v>46001</v>
      </c>
      <c r="C1884" s="3" t="s">
        <v>2023</v>
      </c>
      <c r="D1884" s="3" t="s">
        <v>2043</v>
      </c>
      <c r="E1884" s="3" t="s">
        <v>2053</v>
      </c>
      <c r="F1884" s="3" t="s">
        <v>2061</v>
      </c>
      <c r="G1884" s="3">
        <v>6</v>
      </c>
      <c r="H1884" s="3">
        <v>550</v>
      </c>
      <c r="I1884" s="3">
        <v>742.5</v>
      </c>
      <c r="J1884" s="3">
        <v>9.3000000000000007</v>
      </c>
      <c r="K1884" s="3">
        <v>4040.78</v>
      </c>
      <c r="L1884" s="3">
        <v>740.78</v>
      </c>
      <c r="M1884" s="3">
        <f t="shared" si="146"/>
        <v>41431.5</v>
      </c>
      <c r="N1884" s="3">
        <f t="shared" si="147"/>
        <v>3300</v>
      </c>
      <c r="O1884" s="3">
        <f t="shared" si="148"/>
        <v>18.332599151648939</v>
      </c>
      <c r="P1884" s="3" t="str">
        <f t="shared" si="149"/>
        <v>Dec</v>
      </c>
      <c r="Q1884" s="3" t="str">
        <f t="shared" si="145"/>
        <v>good profit</v>
      </c>
    </row>
    <row r="1885" spans="1:17" x14ac:dyDescent="0.25">
      <c r="A1885" s="3" t="s">
        <v>631</v>
      </c>
      <c r="B1885" s="4">
        <v>46001</v>
      </c>
      <c r="C1885" s="3" t="s">
        <v>2024</v>
      </c>
      <c r="D1885" s="3" t="s">
        <v>2044</v>
      </c>
      <c r="E1885" s="3" t="s">
        <v>2055</v>
      </c>
      <c r="F1885" s="3" t="s">
        <v>2062</v>
      </c>
      <c r="G1885" s="3">
        <v>7</v>
      </c>
      <c r="H1885" s="3">
        <v>180</v>
      </c>
      <c r="I1885" s="3">
        <v>243</v>
      </c>
      <c r="J1885" s="3">
        <v>4.41</v>
      </c>
      <c r="K1885" s="3">
        <v>1626.07</v>
      </c>
      <c r="L1885" s="3">
        <v>366.07</v>
      </c>
      <c r="M1885" s="3">
        <f t="shared" si="146"/>
        <v>7501.41</v>
      </c>
      <c r="N1885" s="3">
        <f t="shared" si="147"/>
        <v>1260</v>
      </c>
      <c r="O1885" s="3">
        <f t="shared" si="148"/>
        <v>22.512560959860277</v>
      </c>
      <c r="P1885" s="3" t="str">
        <f t="shared" si="149"/>
        <v>Dec</v>
      </c>
      <c r="Q1885" s="3" t="str">
        <f t="shared" si="145"/>
        <v>good profit</v>
      </c>
    </row>
    <row r="1886" spans="1:17" x14ac:dyDescent="0.25">
      <c r="A1886" s="3" t="s">
        <v>822</v>
      </c>
      <c r="B1886" s="4">
        <v>46001</v>
      </c>
      <c r="C1886" s="3" t="s">
        <v>2015</v>
      </c>
      <c r="D1886" s="3" t="s">
        <v>2035</v>
      </c>
      <c r="E1886" s="3" t="s">
        <v>2054</v>
      </c>
      <c r="F1886" s="3" t="s">
        <v>2059</v>
      </c>
      <c r="G1886" s="3">
        <v>1</v>
      </c>
      <c r="H1886" s="3">
        <v>900</v>
      </c>
      <c r="I1886" s="3">
        <v>1170</v>
      </c>
      <c r="J1886" s="3">
        <v>0</v>
      </c>
      <c r="K1886" s="3">
        <v>1170</v>
      </c>
      <c r="L1886" s="3">
        <v>270</v>
      </c>
      <c r="M1886" s="3">
        <f t="shared" si="146"/>
        <v>0</v>
      </c>
      <c r="N1886" s="3">
        <f t="shared" si="147"/>
        <v>900</v>
      </c>
      <c r="O1886" s="3">
        <f t="shared" si="148"/>
        <v>23.076923076923077</v>
      </c>
      <c r="P1886" s="3" t="str">
        <f t="shared" si="149"/>
        <v>Dec</v>
      </c>
      <c r="Q1886" s="3" t="str">
        <f t="shared" si="145"/>
        <v>good profit</v>
      </c>
    </row>
    <row r="1887" spans="1:17" x14ac:dyDescent="0.25">
      <c r="A1887" s="3" t="s">
        <v>965</v>
      </c>
      <c r="B1887" s="4">
        <v>46001</v>
      </c>
      <c r="C1887" s="3" t="s">
        <v>2014</v>
      </c>
      <c r="D1887" s="3" t="s">
        <v>2034</v>
      </c>
      <c r="E1887" s="3" t="s">
        <v>2052</v>
      </c>
      <c r="F1887" s="3" t="s">
        <v>2061</v>
      </c>
      <c r="G1887" s="3">
        <v>1</v>
      </c>
      <c r="H1887" s="3">
        <v>4500</v>
      </c>
      <c r="I1887" s="3">
        <v>5220</v>
      </c>
      <c r="J1887" s="3">
        <v>24.27</v>
      </c>
      <c r="K1887" s="3">
        <v>3953.22</v>
      </c>
      <c r="L1887" s="3">
        <v>-546.78</v>
      </c>
      <c r="M1887" s="3">
        <f t="shared" si="146"/>
        <v>126689.4</v>
      </c>
      <c r="N1887" s="3">
        <f t="shared" si="147"/>
        <v>4500</v>
      </c>
      <c r="O1887" s="3">
        <f t="shared" si="148"/>
        <v>-13.831256545297252</v>
      </c>
      <c r="P1887" s="3" t="str">
        <f t="shared" si="149"/>
        <v>Dec</v>
      </c>
      <c r="Q1887" s="3" t="str">
        <f t="shared" si="145"/>
        <v>loss</v>
      </c>
    </row>
    <row r="1888" spans="1:17" x14ac:dyDescent="0.25">
      <c r="A1888" s="3" t="s">
        <v>970</v>
      </c>
      <c r="B1888" s="4">
        <v>46001</v>
      </c>
      <c r="C1888" s="3" t="s">
        <v>2016</v>
      </c>
      <c r="D1888" s="3" t="s">
        <v>2036</v>
      </c>
      <c r="E1888" s="3" t="s">
        <v>2052</v>
      </c>
      <c r="F1888" s="3" t="s">
        <v>2061</v>
      </c>
      <c r="G1888" s="3">
        <v>1</v>
      </c>
      <c r="H1888" s="3">
        <v>900</v>
      </c>
      <c r="I1888" s="3">
        <v>1170</v>
      </c>
      <c r="J1888" s="3">
        <v>11.28</v>
      </c>
      <c r="K1888" s="3">
        <v>1038.05</v>
      </c>
      <c r="L1888" s="3">
        <v>138.05000000000001</v>
      </c>
      <c r="M1888" s="3">
        <f t="shared" si="146"/>
        <v>13197.599999999999</v>
      </c>
      <c r="N1888" s="3">
        <f t="shared" si="147"/>
        <v>900</v>
      </c>
      <c r="O1888" s="3">
        <f t="shared" si="148"/>
        <v>13.298974037859448</v>
      </c>
      <c r="P1888" s="3" t="str">
        <f t="shared" si="149"/>
        <v>Dec</v>
      </c>
      <c r="Q1888" s="3" t="str">
        <f t="shared" si="145"/>
        <v>good profit</v>
      </c>
    </row>
    <row r="1889" spans="1:17" x14ac:dyDescent="0.25">
      <c r="A1889" s="3" t="s">
        <v>1111</v>
      </c>
      <c r="B1889" s="4">
        <v>46001</v>
      </c>
      <c r="C1889" s="3" t="s">
        <v>2013</v>
      </c>
      <c r="D1889" s="3" t="s">
        <v>2033</v>
      </c>
      <c r="E1889" s="3" t="s">
        <v>2053</v>
      </c>
      <c r="F1889" s="3" t="s">
        <v>2062</v>
      </c>
      <c r="G1889" s="3">
        <v>4</v>
      </c>
      <c r="H1889" s="3">
        <v>6500</v>
      </c>
      <c r="I1889" s="3">
        <v>7150</v>
      </c>
      <c r="J1889" s="3">
        <v>12.38</v>
      </c>
      <c r="K1889" s="3">
        <v>25060.51</v>
      </c>
      <c r="L1889" s="3">
        <v>-939.49</v>
      </c>
      <c r="M1889" s="3">
        <f t="shared" si="146"/>
        <v>354068</v>
      </c>
      <c r="N1889" s="3">
        <f t="shared" si="147"/>
        <v>26000</v>
      </c>
      <c r="O1889" s="3">
        <f t="shared" si="148"/>
        <v>-3.7488861958515614</v>
      </c>
      <c r="P1889" s="3" t="str">
        <f t="shared" si="149"/>
        <v>Dec</v>
      </c>
      <c r="Q1889" s="3" t="str">
        <f t="shared" si="145"/>
        <v>loss</v>
      </c>
    </row>
    <row r="1890" spans="1:17" x14ac:dyDescent="0.25">
      <c r="A1890" s="3" t="s">
        <v>142</v>
      </c>
      <c r="B1890" s="4">
        <v>46002</v>
      </c>
      <c r="C1890" s="3" t="s">
        <v>2031</v>
      </c>
      <c r="D1890" s="3" t="s">
        <v>2051</v>
      </c>
      <c r="E1890" s="3" t="s">
        <v>2058</v>
      </c>
      <c r="F1890" s="3" t="s">
        <v>2062</v>
      </c>
      <c r="G1890" s="3">
        <v>10</v>
      </c>
      <c r="H1890" s="3">
        <v>3200</v>
      </c>
      <c r="I1890" s="3">
        <v>3840</v>
      </c>
      <c r="J1890" s="3">
        <v>17.78</v>
      </c>
      <c r="K1890" s="3">
        <v>31573.95</v>
      </c>
      <c r="L1890" s="3">
        <v>-426.05</v>
      </c>
      <c r="M1890" s="3">
        <f t="shared" si="146"/>
        <v>682752</v>
      </c>
      <c r="N1890" s="3">
        <f t="shared" si="147"/>
        <v>32000</v>
      </c>
      <c r="O1890" s="3">
        <f t="shared" si="148"/>
        <v>-1.3493718714319873</v>
      </c>
      <c r="P1890" s="3" t="str">
        <f t="shared" si="149"/>
        <v>Dec</v>
      </c>
      <c r="Q1890" s="3" t="str">
        <f t="shared" si="145"/>
        <v>loss</v>
      </c>
    </row>
    <row r="1891" spans="1:17" x14ac:dyDescent="0.25">
      <c r="A1891" s="3" t="s">
        <v>348</v>
      </c>
      <c r="B1891" s="4">
        <v>46002</v>
      </c>
      <c r="C1891" s="3" t="s">
        <v>2013</v>
      </c>
      <c r="D1891" s="3" t="s">
        <v>2033</v>
      </c>
      <c r="E1891" s="3" t="s">
        <v>2053</v>
      </c>
      <c r="F1891" s="3" t="s">
        <v>2062</v>
      </c>
      <c r="G1891" s="3">
        <v>3</v>
      </c>
      <c r="H1891" s="3">
        <v>6500</v>
      </c>
      <c r="I1891" s="3">
        <v>7150</v>
      </c>
      <c r="J1891" s="3">
        <v>10.91</v>
      </c>
      <c r="K1891" s="3">
        <v>19110.669999999998</v>
      </c>
      <c r="L1891" s="3">
        <v>-389.33</v>
      </c>
      <c r="M1891" s="3">
        <f t="shared" si="146"/>
        <v>234019.5</v>
      </c>
      <c r="N1891" s="3">
        <f t="shared" si="147"/>
        <v>19500</v>
      </c>
      <c r="O1891" s="3">
        <f t="shared" si="148"/>
        <v>-2.0372388827811898</v>
      </c>
      <c r="P1891" s="3" t="str">
        <f t="shared" si="149"/>
        <v>Dec</v>
      </c>
      <c r="Q1891" s="3" t="str">
        <f t="shared" si="145"/>
        <v>loss</v>
      </c>
    </row>
    <row r="1892" spans="1:17" x14ac:dyDescent="0.25">
      <c r="A1892" s="3" t="s">
        <v>592</v>
      </c>
      <c r="B1892" s="4">
        <v>46002</v>
      </c>
      <c r="C1892" s="3" t="s">
        <v>2016</v>
      </c>
      <c r="D1892" s="3" t="s">
        <v>2036</v>
      </c>
      <c r="E1892" s="3" t="s">
        <v>2052</v>
      </c>
      <c r="F1892" s="3" t="s">
        <v>2059</v>
      </c>
      <c r="G1892" s="3">
        <v>8</v>
      </c>
      <c r="H1892" s="3">
        <v>900</v>
      </c>
      <c r="I1892" s="3">
        <v>1170</v>
      </c>
      <c r="J1892" s="3">
        <v>17.739999999999998</v>
      </c>
      <c r="K1892" s="3">
        <v>7699.99</v>
      </c>
      <c r="L1892" s="3">
        <v>499.99</v>
      </c>
      <c r="M1892" s="3">
        <f t="shared" si="146"/>
        <v>166046.39999999999</v>
      </c>
      <c r="N1892" s="3">
        <f t="shared" si="147"/>
        <v>7200</v>
      </c>
      <c r="O1892" s="3">
        <f t="shared" si="148"/>
        <v>6.4933850563442297</v>
      </c>
      <c r="P1892" s="3" t="str">
        <f t="shared" si="149"/>
        <v>Dec</v>
      </c>
      <c r="Q1892" s="3" t="str">
        <f t="shared" si="145"/>
        <v>low profit</v>
      </c>
    </row>
    <row r="1893" spans="1:17" x14ac:dyDescent="0.25">
      <c r="A1893" s="3" t="s">
        <v>1521</v>
      </c>
      <c r="B1893" s="4">
        <v>46003</v>
      </c>
      <c r="C1893" s="3" t="s">
        <v>2030</v>
      </c>
      <c r="D1893" s="3" t="s">
        <v>2050</v>
      </c>
      <c r="E1893" s="3" t="s">
        <v>2058</v>
      </c>
      <c r="F1893" s="3" t="s">
        <v>2062</v>
      </c>
      <c r="G1893" s="3">
        <v>2</v>
      </c>
      <c r="H1893" s="3">
        <v>1800</v>
      </c>
      <c r="I1893" s="3">
        <v>2124</v>
      </c>
      <c r="J1893" s="3">
        <v>11.35</v>
      </c>
      <c r="K1893" s="3">
        <v>3765.82</v>
      </c>
      <c r="L1893" s="3">
        <v>165.82</v>
      </c>
      <c r="M1893" s="3">
        <f t="shared" si="146"/>
        <v>48214.799999999996</v>
      </c>
      <c r="N1893" s="3">
        <f t="shared" si="147"/>
        <v>3600</v>
      </c>
      <c r="O1893" s="3">
        <f t="shared" si="148"/>
        <v>4.4032906511729184</v>
      </c>
      <c r="P1893" s="3" t="str">
        <f t="shared" si="149"/>
        <v>Dec</v>
      </c>
      <c r="Q1893" s="3" t="str">
        <f t="shared" si="145"/>
        <v>low profit</v>
      </c>
    </row>
    <row r="1894" spans="1:17" x14ac:dyDescent="0.25">
      <c r="A1894" s="3" t="s">
        <v>1745</v>
      </c>
      <c r="B1894" s="4">
        <v>46003</v>
      </c>
      <c r="C1894" s="3" t="s">
        <v>2027</v>
      </c>
      <c r="D1894" s="3" t="s">
        <v>2047</v>
      </c>
      <c r="E1894" s="3" t="s">
        <v>2053</v>
      </c>
      <c r="F1894" s="3" t="s">
        <v>2061</v>
      </c>
      <c r="G1894" s="3">
        <v>5</v>
      </c>
      <c r="H1894" s="3">
        <v>1100</v>
      </c>
      <c r="I1894" s="3">
        <v>1298</v>
      </c>
      <c r="J1894" s="3">
        <v>0</v>
      </c>
      <c r="K1894" s="3">
        <v>6490</v>
      </c>
      <c r="L1894" s="3">
        <v>990</v>
      </c>
      <c r="M1894" s="3">
        <f t="shared" si="146"/>
        <v>0</v>
      </c>
      <c r="N1894" s="3">
        <f t="shared" si="147"/>
        <v>5500</v>
      </c>
      <c r="O1894" s="3">
        <f t="shared" si="148"/>
        <v>15.254237288135593</v>
      </c>
      <c r="P1894" s="3" t="str">
        <f t="shared" si="149"/>
        <v>Dec</v>
      </c>
      <c r="Q1894" s="3" t="str">
        <f t="shared" si="145"/>
        <v>good profit</v>
      </c>
    </row>
    <row r="1895" spans="1:17" x14ac:dyDescent="0.25">
      <c r="A1895" s="3" t="s">
        <v>95</v>
      </c>
      <c r="B1895" s="4">
        <v>46004</v>
      </c>
      <c r="C1895" s="3" t="s">
        <v>2024</v>
      </c>
      <c r="D1895" s="3" t="s">
        <v>2044</v>
      </c>
      <c r="E1895" s="3" t="s">
        <v>2055</v>
      </c>
      <c r="F1895" s="3" t="s">
        <v>2062</v>
      </c>
      <c r="G1895" s="3">
        <v>2</v>
      </c>
      <c r="H1895" s="3">
        <v>180</v>
      </c>
      <c r="I1895" s="3">
        <v>243</v>
      </c>
      <c r="J1895" s="3">
        <v>13.22</v>
      </c>
      <c r="K1895" s="3">
        <v>421.77</v>
      </c>
      <c r="L1895" s="3">
        <v>61.77</v>
      </c>
      <c r="M1895" s="3">
        <f t="shared" si="146"/>
        <v>6424.92</v>
      </c>
      <c r="N1895" s="3">
        <f t="shared" si="147"/>
        <v>360</v>
      </c>
      <c r="O1895" s="3">
        <f t="shared" si="148"/>
        <v>14.645422860800911</v>
      </c>
      <c r="P1895" s="3" t="str">
        <f t="shared" si="149"/>
        <v>Dec</v>
      </c>
      <c r="Q1895" s="3" t="str">
        <f t="shared" si="145"/>
        <v>good profit</v>
      </c>
    </row>
    <row r="1896" spans="1:17" x14ac:dyDescent="0.25">
      <c r="A1896" s="3" t="s">
        <v>300</v>
      </c>
      <c r="B1896" s="4">
        <v>46004</v>
      </c>
      <c r="C1896" s="3" t="s">
        <v>2022</v>
      </c>
      <c r="D1896" s="3" t="s">
        <v>2042</v>
      </c>
      <c r="E1896" s="3" t="s">
        <v>2053</v>
      </c>
      <c r="F1896" s="3" t="s">
        <v>2062</v>
      </c>
      <c r="G1896" s="3">
        <v>1</v>
      </c>
      <c r="H1896" s="3">
        <v>8500</v>
      </c>
      <c r="I1896" s="3">
        <v>9520</v>
      </c>
      <c r="J1896" s="3">
        <v>7.01</v>
      </c>
      <c r="K1896" s="3">
        <v>8853.07</v>
      </c>
      <c r="L1896" s="3">
        <v>353.07</v>
      </c>
      <c r="M1896" s="3">
        <f t="shared" si="146"/>
        <v>66735.199999999997</v>
      </c>
      <c r="N1896" s="3">
        <f t="shared" si="147"/>
        <v>8500</v>
      </c>
      <c r="O1896" s="3">
        <f t="shared" si="148"/>
        <v>3.9881080800219584</v>
      </c>
      <c r="P1896" s="3" t="str">
        <f t="shared" si="149"/>
        <v>Dec</v>
      </c>
      <c r="Q1896" s="3" t="str">
        <f t="shared" si="145"/>
        <v>low profit</v>
      </c>
    </row>
    <row r="1897" spans="1:17" x14ac:dyDescent="0.25">
      <c r="A1897" s="3" t="s">
        <v>769</v>
      </c>
      <c r="B1897" s="4">
        <v>46004</v>
      </c>
      <c r="C1897" s="3" t="s">
        <v>2021</v>
      </c>
      <c r="D1897" s="3" t="s">
        <v>2041</v>
      </c>
      <c r="E1897" s="3" t="s">
        <v>2056</v>
      </c>
      <c r="F1897" s="3" t="s">
        <v>2059</v>
      </c>
      <c r="G1897" s="3">
        <v>8</v>
      </c>
      <c r="H1897" s="3">
        <v>300</v>
      </c>
      <c r="I1897" s="3">
        <v>405</v>
      </c>
      <c r="J1897" s="3">
        <v>15.63</v>
      </c>
      <c r="K1897" s="3">
        <v>2733.48</v>
      </c>
      <c r="L1897" s="3">
        <v>333.48</v>
      </c>
      <c r="M1897" s="3">
        <f t="shared" si="146"/>
        <v>50641.200000000004</v>
      </c>
      <c r="N1897" s="3">
        <f t="shared" si="147"/>
        <v>2400</v>
      </c>
      <c r="O1897" s="3">
        <f t="shared" si="148"/>
        <v>12.199833179683042</v>
      </c>
      <c r="P1897" s="3" t="str">
        <f t="shared" si="149"/>
        <v>Dec</v>
      </c>
      <c r="Q1897" s="3" t="str">
        <f t="shared" si="145"/>
        <v>good profit</v>
      </c>
    </row>
    <row r="1898" spans="1:17" x14ac:dyDescent="0.25">
      <c r="A1898" s="3" t="s">
        <v>920</v>
      </c>
      <c r="B1898" s="4">
        <v>46004</v>
      </c>
      <c r="C1898" s="3" t="s">
        <v>2025</v>
      </c>
      <c r="D1898" s="3" t="s">
        <v>2045</v>
      </c>
      <c r="E1898" s="3" t="s">
        <v>2057</v>
      </c>
      <c r="F1898" s="3" t="s">
        <v>2060</v>
      </c>
      <c r="G1898" s="3">
        <v>5</v>
      </c>
      <c r="H1898" s="3">
        <v>45</v>
      </c>
      <c r="I1898" s="3">
        <v>63</v>
      </c>
      <c r="J1898" s="3">
        <v>2.0499999999999998</v>
      </c>
      <c r="K1898" s="3">
        <v>308.52999999999997</v>
      </c>
      <c r="L1898" s="3">
        <v>83.53</v>
      </c>
      <c r="M1898" s="3">
        <f t="shared" si="146"/>
        <v>645.75</v>
      </c>
      <c r="N1898" s="3">
        <f t="shared" si="147"/>
        <v>225</v>
      </c>
      <c r="O1898" s="3">
        <f t="shared" si="148"/>
        <v>27.073542281139602</v>
      </c>
      <c r="P1898" s="3" t="str">
        <f t="shared" si="149"/>
        <v>Dec</v>
      </c>
      <c r="Q1898" s="3" t="str">
        <f t="shared" si="145"/>
        <v>good profit</v>
      </c>
    </row>
    <row r="1899" spans="1:17" x14ac:dyDescent="0.25">
      <c r="A1899" s="3" t="s">
        <v>999</v>
      </c>
      <c r="B1899" s="4">
        <v>46004</v>
      </c>
      <c r="C1899" s="3" t="s">
        <v>2016</v>
      </c>
      <c r="D1899" s="3" t="s">
        <v>2036</v>
      </c>
      <c r="E1899" s="3" t="s">
        <v>2052</v>
      </c>
      <c r="F1899" s="3" t="s">
        <v>2061</v>
      </c>
      <c r="G1899" s="3">
        <v>7</v>
      </c>
      <c r="H1899" s="3">
        <v>900</v>
      </c>
      <c r="I1899" s="3">
        <v>1170</v>
      </c>
      <c r="J1899" s="3">
        <v>5.75</v>
      </c>
      <c r="K1899" s="3">
        <v>7719.42</v>
      </c>
      <c r="L1899" s="3">
        <v>1419.42</v>
      </c>
      <c r="M1899" s="3">
        <f t="shared" si="146"/>
        <v>47092.5</v>
      </c>
      <c r="N1899" s="3">
        <f t="shared" si="147"/>
        <v>6300</v>
      </c>
      <c r="O1899" s="3">
        <f t="shared" si="148"/>
        <v>18.387650885688302</v>
      </c>
      <c r="P1899" s="3" t="str">
        <f t="shared" si="149"/>
        <v>Dec</v>
      </c>
      <c r="Q1899" s="3" t="str">
        <f t="shared" si="145"/>
        <v>good profit</v>
      </c>
    </row>
    <row r="1900" spans="1:17" x14ac:dyDescent="0.25">
      <c r="A1900" s="3" t="s">
        <v>35</v>
      </c>
      <c r="B1900" s="4">
        <v>46005</v>
      </c>
      <c r="C1900" s="3" t="s">
        <v>2014</v>
      </c>
      <c r="D1900" s="3" t="s">
        <v>2034</v>
      </c>
      <c r="E1900" s="3" t="s">
        <v>2052</v>
      </c>
      <c r="F1900" s="3" t="s">
        <v>2061</v>
      </c>
      <c r="G1900" s="3">
        <v>6</v>
      </c>
      <c r="H1900" s="3">
        <v>4500</v>
      </c>
      <c r="I1900" s="3">
        <v>5220</v>
      </c>
      <c r="J1900" s="3">
        <v>34</v>
      </c>
      <c r="K1900" s="3">
        <v>20671.2</v>
      </c>
      <c r="L1900" s="3">
        <v>-6328.8</v>
      </c>
      <c r="M1900" s="3">
        <f t="shared" si="146"/>
        <v>1064880</v>
      </c>
      <c r="N1900" s="3">
        <f t="shared" si="147"/>
        <v>27000</v>
      </c>
      <c r="O1900" s="3">
        <f t="shared" si="148"/>
        <v>-30.616509926854757</v>
      </c>
      <c r="P1900" s="3" t="str">
        <f t="shared" si="149"/>
        <v>Dec</v>
      </c>
      <c r="Q1900" s="3" t="str">
        <f t="shared" si="145"/>
        <v>loss</v>
      </c>
    </row>
    <row r="1901" spans="1:17" x14ac:dyDescent="0.25">
      <c r="A1901" s="3" t="s">
        <v>350</v>
      </c>
      <c r="B1901" s="4">
        <v>46005</v>
      </c>
      <c r="C1901" s="3" t="s">
        <v>2022</v>
      </c>
      <c r="D1901" s="3" t="s">
        <v>2042</v>
      </c>
      <c r="E1901" s="3" t="s">
        <v>2053</v>
      </c>
      <c r="F1901" s="3" t="s">
        <v>2061</v>
      </c>
      <c r="G1901" s="3">
        <v>8</v>
      </c>
      <c r="H1901" s="3">
        <v>8500</v>
      </c>
      <c r="I1901" s="3">
        <v>9520</v>
      </c>
      <c r="J1901" s="3">
        <v>4</v>
      </c>
      <c r="K1901" s="3">
        <v>73113.600000000006</v>
      </c>
      <c r="L1901" s="3">
        <v>5113.6000000000004</v>
      </c>
      <c r="M1901" s="3">
        <f t="shared" si="146"/>
        <v>304640</v>
      </c>
      <c r="N1901" s="3">
        <f t="shared" si="147"/>
        <v>68000</v>
      </c>
      <c r="O1901" s="3">
        <f t="shared" si="148"/>
        <v>6.9940476190476195</v>
      </c>
      <c r="P1901" s="3" t="str">
        <f t="shared" si="149"/>
        <v>Dec</v>
      </c>
      <c r="Q1901" s="3" t="str">
        <f t="shared" si="145"/>
        <v>low profit</v>
      </c>
    </row>
    <row r="1902" spans="1:17" x14ac:dyDescent="0.25">
      <c r="A1902" s="3" t="s">
        <v>912</v>
      </c>
      <c r="B1902" s="4">
        <v>46005</v>
      </c>
      <c r="C1902" s="3" t="s">
        <v>2012</v>
      </c>
      <c r="D1902" s="3" t="s">
        <v>2032</v>
      </c>
      <c r="E1902" s="3" t="s">
        <v>2052</v>
      </c>
      <c r="F1902" s="3" t="s">
        <v>2060</v>
      </c>
      <c r="G1902" s="3">
        <v>8</v>
      </c>
      <c r="H1902" s="3">
        <v>6500</v>
      </c>
      <c r="I1902" s="3">
        <v>8125</v>
      </c>
      <c r="J1902" s="3">
        <v>15.11</v>
      </c>
      <c r="K1902" s="3">
        <v>55177.31</v>
      </c>
      <c r="L1902" s="3">
        <v>3177.31</v>
      </c>
      <c r="M1902" s="3">
        <f t="shared" si="146"/>
        <v>982150</v>
      </c>
      <c r="N1902" s="3">
        <f t="shared" si="147"/>
        <v>52000</v>
      </c>
      <c r="O1902" s="3">
        <f t="shared" si="148"/>
        <v>5.7583633562419045</v>
      </c>
      <c r="P1902" s="3" t="str">
        <f t="shared" si="149"/>
        <v>Dec</v>
      </c>
      <c r="Q1902" s="3" t="str">
        <f t="shared" si="145"/>
        <v>low profit</v>
      </c>
    </row>
    <row r="1903" spans="1:17" x14ac:dyDescent="0.25">
      <c r="A1903" s="3" t="s">
        <v>133</v>
      </c>
      <c r="B1903" s="4">
        <v>46006</v>
      </c>
      <c r="C1903" s="3" t="s">
        <v>2024</v>
      </c>
      <c r="D1903" s="3" t="s">
        <v>2044</v>
      </c>
      <c r="E1903" s="3" t="s">
        <v>2055</v>
      </c>
      <c r="F1903" s="3" t="s">
        <v>2059</v>
      </c>
      <c r="G1903" s="3">
        <v>8</v>
      </c>
      <c r="H1903" s="3">
        <v>180</v>
      </c>
      <c r="I1903" s="3">
        <v>243</v>
      </c>
      <c r="J1903" s="3">
        <v>11.13</v>
      </c>
      <c r="K1903" s="3">
        <v>1727.67</v>
      </c>
      <c r="L1903" s="3">
        <v>287.67</v>
      </c>
      <c r="M1903" s="3">
        <f t="shared" si="146"/>
        <v>21636.720000000001</v>
      </c>
      <c r="N1903" s="3">
        <f t="shared" si="147"/>
        <v>1440</v>
      </c>
      <c r="O1903" s="3">
        <f t="shared" si="148"/>
        <v>16.650749275035164</v>
      </c>
      <c r="P1903" s="3" t="str">
        <f t="shared" si="149"/>
        <v>Dec</v>
      </c>
      <c r="Q1903" s="3" t="str">
        <f t="shared" si="145"/>
        <v>good profit</v>
      </c>
    </row>
    <row r="1904" spans="1:17" x14ac:dyDescent="0.25">
      <c r="A1904" s="3" t="s">
        <v>514</v>
      </c>
      <c r="B1904" s="4">
        <v>46006</v>
      </c>
      <c r="C1904" s="3" t="s">
        <v>2028</v>
      </c>
      <c r="D1904" s="3" t="s">
        <v>2048</v>
      </c>
      <c r="E1904" s="3" t="s">
        <v>2057</v>
      </c>
      <c r="F1904" s="3" t="s">
        <v>2060</v>
      </c>
      <c r="G1904" s="3">
        <v>9</v>
      </c>
      <c r="H1904" s="3">
        <v>80</v>
      </c>
      <c r="I1904" s="3">
        <v>116</v>
      </c>
      <c r="J1904" s="3">
        <v>13.61</v>
      </c>
      <c r="K1904" s="3">
        <v>901.96</v>
      </c>
      <c r="L1904" s="3">
        <v>181.96</v>
      </c>
      <c r="M1904" s="3">
        <f t="shared" si="146"/>
        <v>14208.84</v>
      </c>
      <c r="N1904" s="3">
        <f t="shared" si="147"/>
        <v>720</v>
      </c>
      <c r="O1904" s="3">
        <f t="shared" si="148"/>
        <v>20.173843629429243</v>
      </c>
      <c r="P1904" s="3" t="str">
        <f t="shared" si="149"/>
        <v>Dec</v>
      </c>
      <c r="Q1904" s="3" t="str">
        <f t="shared" si="145"/>
        <v>good profit</v>
      </c>
    </row>
    <row r="1905" spans="1:17" x14ac:dyDescent="0.25">
      <c r="A1905" s="3" t="s">
        <v>1257</v>
      </c>
      <c r="B1905" s="4">
        <v>46006</v>
      </c>
      <c r="C1905" s="3" t="s">
        <v>2024</v>
      </c>
      <c r="D1905" s="3" t="s">
        <v>2044</v>
      </c>
      <c r="E1905" s="3" t="s">
        <v>2055</v>
      </c>
      <c r="F1905" s="3" t="s">
        <v>2059</v>
      </c>
      <c r="G1905" s="3">
        <v>2</v>
      </c>
      <c r="H1905" s="3">
        <v>180</v>
      </c>
      <c r="I1905" s="3">
        <v>243</v>
      </c>
      <c r="J1905" s="3">
        <v>12.29</v>
      </c>
      <c r="K1905" s="3">
        <v>426.27</v>
      </c>
      <c r="L1905" s="3">
        <v>66.27</v>
      </c>
      <c r="M1905" s="3">
        <f t="shared" si="146"/>
        <v>5972.94</v>
      </c>
      <c r="N1905" s="3">
        <f t="shared" si="147"/>
        <v>360</v>
      </c>
      <c r="O1905" s="3">
        <f t="shared" si="148"/>
        <v>15.546484622422408</v>
      </c>
      <c r="P1905" s="3" t="str">
        <f t="shared" si="149"/>
        <v>Dec</v>
      </c>
      <c r="Q1905" s="3" t="str">
        <f t="shared" si="145"/>
        <v>good profit</v>
      </c>
    </row>
    <row r="1906" spans="1:17" x14ac:dyDescent="0.25">
      <c r="A1906" s="3" t="s">
        <v>1389</v>
      </c>
      <c r="B1906" s="4">
        <v>46006</v>
      </c>
      <c r="C1906" s="3" t="s">
        <v>2031</v>
      </c>
      <c r="D1906" s="3" t="s">
        <v>2051</v>
      </c>
      <c r="E1906" s="3" t="s">
        <v>2058</v>
      </c>
      <c r="F1906" s="3" t="s">
        <v>2059</v>
      </c>
      <c r="G1906" s="3">
        <v>3</v>
      </c>
      <c r="H1906" s="3">
        <v>3200</v>
      </c>
      <c r="I1906" s="3">
        <v>3840</v>
      </c>
      <c r="J1906" s="3">
        <v>8.56</v>
      </c>
      <c r="K1906" s="3">
        <v>10533.96</v>
      </c>
      <c r="L1906" s="3">
        <v>933.96</v>
      </c>
      <c r="M1906" s="3">
        <f t="shared" si="146"/>
        <v>98611.200000000012</v>
      </c>
      <c r="N1906" s="3">
        <f t="shared" si="147"/>
        <v>9600</v>
      </c>
      <c r="O1906" s="3">
        <f t="shared" si="148"/>
        <v>8.8661813790825121</v>
      </c>
      <c r="P1906" s="3" t="str">
        <f t="shared" si="149"/>
        <v>Dec</v>
      </c>
      <c r="Q1906" s="3" t="str">
        <f t="shared" si="145"/>
        <v>low profit</v>
      </c>
    </row>
    <row r="1907" spans="1:17" x14ac:dyDescent="0.25">
      <c r="A1907" s="3" t="s">
        <v>1720</v>
      </c>
      <c r="B1907" s="4">
        <v>46006</v>
      </c>
      <c r="C1907" s="3" t="s">
        <v>2023</v>
      </c>
      <c r="D1907" s="3" t="s">
        <v>2043</v>
      </c>
      <c r="E1907" s="3" t="s">
        <v>2053</v>
      </c>
      <c r="F1907" s="3" t="s">
        <v>2062</v>
      </c>
      <c r="G1907" s="3">
        <v>8</v>
      </c>
      <c r="H1907" s="3">
        <v>550</v>
      </c>
      <c r="I1907" s="3">
        <v>742.5</v>
      </c>
      <c r="J1907" s="3">
        <v>0</v>
      </c>
      <c r="K1907" s="3">
        <v>5940</v>
      </c>
      <c r="L1907" s="3">
        <v>1540</v>
      </c>
      <c r="M1907" s="3">
        <f t="shared" si="146"/>
        <v>0</v>
      </c>
      <c r="N1907" s="3">
        <f t="shared" si="147"/>
        <v>4400</v>
      </c>
      <c r="O1907" s="3">
        <f t="shared" si="148"/>
        <v>25.925925925925924</v>
      </c>
      <c r="P1907" s="3" t="str">
        <f t="shared" si="149"/>
        <v>Dec</v>
      </c>
      <c r="Q1907" s="3" t="str">
        <f t="shared" si="145"/>
        <v>good profit</v>
      </c>
    </row>
    <row r="1908" spans="1:17" x14ac:dyDescent="0.25">
      <c r="A1908" s="3" t="s">
        <v>1751</v>
      </c>
      <c r="B1908" s="4">
        <v>46006</v>
      </c>
      <c r="C1908" s="3" t="s">
        <v>2021</v>
      </c>
      <c r="D1908" s="3" t="s">
        <v>2041</v>
      </c>
      <c r="E1908" s="3" t="s">
        <v>2056</v>
      </c>
      <c r="F1908" s="3" t="s">
        <v>2062</v>
      </c>
      <c r="G1908" s="3">
        <v>3</v>
      </c>
      <c r="H1908" s="3">
        <v>300</v>
      </c>
      <c r="I1908" s="3">
        <v>405</v>
      </c>
      <c r="J1908" s="3">
        <v>9.3699999999999992</v>
      </c>
      <c r="K1908" s="3">
        <v>1101.21</v>
      </c>
      <c r="L1908" s="3">
        <v>201.21</v>
      </c>
      <c r="M1908" s="3">
        <f t="shared" si="146"/>
        <v>11384.55</v>
      </c>
      <c r="N1908" s="3">
        <f t="shared" si="147"/>
        <v>900</v>
      </c>
      <c r="O1908" s="3">
        <f t="shared" si="148"/>
        <v>18.271719290598522</v>
      </c>
      <c r="P1908" s="3" t="str">
        <f t="shared" si="149"/>
        <v>Dec</v>
      </c>
      <c r="Q1908" s="3" t="str">
        <f t="shared" si="145"/>
        <v>good profit</v>
      </c>
    </row>
    <row r="1909" spans="1:17" x14ac:dyDescent="0.25">
      <c r="A1909" s="3" t="s">
        <v>272</v>
      </c>
      <c r="B1909" s="4">
        <v>46007</v>
      </c>
      <c r="C1909" s="3" t="s">
        <v>2013</v>
      </c>
      <c r="D1909" s="3" t="s">
        <v>2033</v>
      </c>
      <c r="E1909" s="3" t="s">
        <v>2053</v>
      </c>
      <c r="F1909" s="3" t="s">
        <v>2060</v>
      </c>
      <c r="G1909" s="3">
        <v>3</v>
      </c>
      <c r="H1909" s="3">
        <v>6500</v>
      </c>
      <c r="I1909" s="3">
        <v>7150</v>
      </c>
      <c r="J1909" s="3">
        <v>5.9</v>
      </c>
      <c r="K1909" s="3">
        <v>20184.009999999998</v>
      </c>
      <c r="L1909" s="3">
        <v>684.01</v>
      </c>
      <c r="M1909" s="3">
        <f t="shared" si="146"/>
        <v>126555.00000000001</v>
      </c>
      <c r="N1909" s="3">
        <f t="shared" si="147"/>
        <v>19500</v>
      </c>
      <c r="O1909" s="3">
        <f t="shared" si="148"/>
        <v>3.3888706951690968</v>
      </c>
      <c r="P1909" s="3" t="str">
        <f t="shared" si="149"/>
        <v>Dec</v>
      </c>
      <c r="Q1909" s="3" t="str">
        <f t="shared" si="145"/>
        <v>low profit</v>
      </c>
    </row>
    <row r="1910" spans="1:17" x14ac:dyDescent="0.25">
      <c r="A1910" s="3" t="s">
        <v>468</v>
      </c>
      <c r="B1910" s="4">
        <v>46007</v>
      </c>
      <c r="C1910" s="3" t="s">
        <v>2029</v>
      </c>
      <c r="D1910" s="3" t="s">
        <v>2049</v>
      </c>
      <c r="E1910" s="3" t="s">
        <v>2055</v>
      </c>
      <c r="F1910" s="3" t="s">
        <v>2059</v>
      </c>
      <c r="G1910" s="3">
        <v>8</v>
      </c>
      <c r="H1910" s="3">
        <v>1200</v>
      </c>
      <c r="I1910" s="3">
        <v>1464</v>
      </c>
      <c r="J1910" s="3">
        <v>18.11</v>
      </c>
      <c r="K1910" s="3">
        <v>9590.41</v>
      </c>
      <c r="L1910" s="3">
        <v>-9.59</v>
      </c>
      <c r="M1910" s="3">
        <f t="shared" si="146"/>
        <v>212104.32000000001</v>
      </c>
      <c r="N1910" s="3">
        <f t="shared" si="147"/>
        <v>9600</v>
      </c>
      <c r="O1910" s="3">
        <f t="shared" si="148"/>
        <v>-9.9995724896015922E-2</v>
      </c>
      <c r="P1910" s="3" t="str">
        <f t="shared" si="149"/>
        <v>Dec</v>
      </c>
      <c r="Q1910" s="3" t="str">
        <f t="shared" si="145"/>
        <v>loss</v>
      </c>
    </row>
    <row r="1911" spans="1:17" x14ac:dyDescent="0.25">
      <c r="A1911" s="3" t="s">
        <v>503</v>
      </c>
      <c r="B1911" s="4">
        <v>46007</v>
      </c>
      <c r="C1911" s="3" t="s">
        <v>2031</v>
      </c>
      <c r="D1911" s="3" t="s">
        <v>2051</v>
      </c>
      <c r="E1911" s="3" t="s">
        <v>2058</v>
      </c>
      <c r="F1911" s="3" t="s">
        <v>2059</v>
      </c>
      <c r="G1911" s="3">
        <v>9</v>
      </c>
      <c r="H1911" s="3">
        <v>3200</v>
      </c>
      <c r="I1911" s="3">
        <v>3840</v>
      </c>
      <c r="J1911" s="3">
        <v>7.25</v>
      </c>
      <c r="K1911" s="3">
        <v>32052.959999999999</v>
      </c>
      <c r="L1911" s="3">
        <v>3252.96</v>
      </c>
      <c r="M1911" s="3">
        <f t="shared" si="146"/>
        <v>250560</v>
      </c>
      <c r="N1911" s="3">
        <f t="shared" si="147"/>
        <v>28800</v>
      </c>
      <c r="O1911" s="3">
        <f t="shared" si="148"/>
        <v>10.148703895053686</v>
      </c>
      <c r="P1911" s="3" t="str">
        <f t="shared" si="149"/>
        <v>Dec</v>
      </c>
      <c r="Q1911" s="3" t="str">
        <f t="shared" si="145"/>
        <v>good profit</v>
      </c>
    </row>
    <row r="1912" spans="1:17" x14ac:dyDescent="0.25">
      <c r="A1912" s="3" t="s">
        <v>767</v>
      </c>
      <c r="B1912" s="4">
        <v>46007</v>
      </c>
      <c r="C1912" s="3" t="s">
        <v>2024</v>
      </c>
      <c r="D1912" s="3" t="s">
        <v>2044</v>
      </c>
      <c r="E1912" s="3" t="s">
        <v>2055</v>
      </c>
      <c r="F1912" s="3" t="s">
        <v>2059</v>
      </c>
      <c r="G1912" s="3">
        <v>9</v>
      </c>
      <c r="H1912" s="3">
        <v>180</v>
      </c>
      <c r="I1912" s="3">
        <v>243</v>
      </c>
      <c r="J1912" s="3">
        <v>15.77</v>
      </c>
      <c r="K1912" s="3">
        <v>1842.14</v>
      </c>
      <c r="L1912" s="3">
        <v>222.14</v>
      </c>
      <c r="M1912" s="3">
        <f t="shared" si="146"/>
        <v>34488.99</v>
      </c>
      <c r="N1912" s="3">
        <f t="shared" si="147"/>
        <v>1620</v>
      </c>
      <c r="O1912" s="3">
        <f t="shared" si="148"/>
        <v>12.058801176892093</v>
      </c>
      <c r="P1912" s="3" t="str">
        <f t="shared" si="149"/>
        <v>Dec</v>
      </c>
      <c r="Q1912" s="3" t="str">
        <f t="shared" si="145"/>
        <v>good profit</v>
      </c>
    </row>
    <row r="1913" spans="1:17" x14ac:dyDescent="0.25">
      <c r="A1913" s="3" t="s">
        <v>1042</v>
      </c>
      <c r="B1913" s="4">
        <v>46007</v>
      </c>
      <c r="C1913" s="3" t="s">
        <v>2026</v>
      </c>
      <c r="D1913" s="3" t="s">
        <v>2046</v>
      </c>
      <c r="E1913" s="3" t="s">
        <v>2052</v>
      </c>
      <c r="F1913" s="3" t="s">
        <v>2060</v>
      </c>
      <c r="G1913" s="3">
        <v>2</v>
      </c>
      <c r="H1913" s="3">
        <v>3000</v>
      </c>
      <c r="I1913" s="3">
        <v>3600</v>
      </c>
      <c r="J1913" s="3">
        <v>15.06</v>
      </c>
      <c r="K1913" s="3">
        <v>6115.81</v>
      </c>
      <c r="L1913" s="3">
        <v>115.81</v>
      </c>
      <c r="M1913" s="3">
        <f t="shared" si="146"/>
        <v>108432</v>
      </c>
      <c r="N1913" s="3">
        <f t="shared" si="147"/>
        <v>6000</v>
      </c>
      <c r="O1913" s="3">
        <f t="shared" si="148"/>
        <v>1.893616708171117</v>
      </c>
      <c r="P1913" s="3" t="str">
        <f t="shared" si="149"/>
        <v>Dec</v>
      </c>
      <c r="Q1913" s="3" t="str">
        <f t="shared" si="145"/>
        <v>low profit</v>
      </c>
    </row>
    <row r="1914" spans="1:17" x14ac:dyDescent="0.25">
      <c r="A1914" s="3" t="s">
        <v>305</v>
      </c>
      <c r="B1914" s="4">
        <v>46008</v>
      </c>
      <c r="C1914" s="3" t="s">
        <v>2030</v>
      </c>
      <c r="D1914" s="3" t="s">
        <v>2050</v>
      </c>
      <c r="E1914" s="3" t="s">
        <v>2058</v>
      </c>
      <c r="F1914" s="3" t="s">
        <v>2059</v>
      </c>
      <c r="G1914" s="3">
        <v>5</v>
      </c>
      <c r="H1914" s="3">
        <v>1800</v>
      </c>
      <c r="I1914" s="3">
        <v>2124</v>
      </c>
      <c r="J1914" s="3">
        <v>6.94</v>
      </c>
      <c r="K1914" s="3">
        <v>9882.86</v>
      </c>
      <c r="L1914" s="3">
        <v>882.86</v>
      </c>
      <c r="M1914" s="3">
        <f t="shared" si="146"/>
        <v>73702.8</v>
      </c>
      <c r="N1914" s="3">
        <f t="shared" si="147"/>
        <v>9000</v>
      </c>
      <c r="O1914" s="3">
        <f t="shared" si="148"/>
        <v>8.9332440204556161</v>
      </c>
      <c r="P1914" s="3" t="str">
        <f t="shared" si="149"/>
        <v>Dec</v>
      </c>
      <c r="Q1914" s="3" t="str">
        <f t="shared" si="145"/>
        <v>low profit</v>
      </c>
    </row>
    <row r="1915" spans="1:17" x14ac:dyDescent="0.25">
      <c r="A1915" s="3" t="s">
        <v>1601</v>
      </c>
      <c r="B1915" s="4">
        <v>46008</v>
      </c>
      <c r="C1915" s="3" t="s">
        <v>2016</v>
      </c>
      <c r="D1915" s="3" t="s">
        <v>2036</v>
      </c>
      <c r="E1915" s="3" t="s">
        <v>2052</v>
      </c>
      <c r="F1915" s="3" t="s">
        <v>2060</v>
      </c>
      <c r="G1915" s="3">
        <v>9</v>
      </c>
      <c r="H1915" s="3">
        <v>900</v>
      </c>
      <c r="I1915" s="3">
        <v>1170</v>
      </c>
      <c r="J1915" s="3">
        <v>0</v>
      </c>
      <c r="K1915" s="3">
        <v>10530</v>
      </c>
      <c r="L1915" s="3">
        <v>2430</v>
      </c>
      <c r="M1915" s="3">
        <f t="shared" si="146"/>
        <v>0</v>
      </c>
      <c r="N1915" s="3">
        <f t="shared" si="147"/>
        <v>8100</v>
      </c>
      <c r="O1915" s="3">
        <f t="shared" si="148"/>
        <v>23.076923076923077</v>
      </c>
      <c r="P1915" s="3" t="str">
        <f t="shared" si="149"/>
        <v>Dec</v>
      </c>
      <c r="Q1915" s="3" t="str">
        <f t="shared" si="145"/>
        <v>good profit</v>
      </c>
    </row>
    <row r="1916" spans="1:17" x14ac:dyDescent="0.25">
      <c r="A1916" s="3" t="s">
        <v>1652</v>
      </c>
      <c r="B1916" s="4">
        <v>46008</v>
      </c>
      <c r="C1916" s="3" t="s">
        <v>2017</v>
      </c>
      <c r="D1916" s="3" t="s">
        <v>2037</v>
      </c>
      <c r="E1916" s="3" t="s">
        <v>2055</v>
      </c>
      <c r="F1916" s="3" t="s">
        <v>2061</v>
      </c>
      <c r="G1916" s="3">
        <v>9</v>
      </c>
      <c r="H1916" s="3">
        <v>2500</v>
      </c>
      <c r="I1916" s="3">
        <v>2875</v>
      </c>
      <c r="J1916" s="3">
        <v>9.5</v>
      </c>
      <c r="K1916" s="3">
        <v>23416.720000000001</v>
      </c>
      <c r="L1916" s="3">
        <v>916.72</v>
      </c>
      <c r="M1916" s="3">
        <f t="shared" si="146"/>
        <v>245812.5</v>
      </c>
      <c r="N1916" s="3">
        <f t="shared" si="147"/>
        <v>22500</v>
      </c>
      <c r="O1916" s="3">
        <f t="shared" si="148"/>
        <v>3.9148095890457757</v>
      </c>
      <c r="P1916" s="3" t="str">
        <f t="shared" si="149"/>
        <v>Dec</v>
      </c>
      <c r="Q1916" s="3" t="str">
        <f t="shared" si="145"/>
        <v>low profit</v>
      </c>
    </row>
    <row r="1917" spans="1:17" x14ac:dyDescent="0.25">
      <c r="A1917" s="3" t="s">
        <v>1822</v>
      </c>
      <c r="B1917" s="4">
        <v>46008</v>
      </c>
      <c r="C1917" s="3" t="s">
        <v>2029</v>
      </c>
      <c r="D1917" s="3" t="s">
        <v>2049</v>
      </c>
      <c r="E1917" s="3" t="s">
        <v>2055</v>
      </c>
      <c r="F1917" s="3" t="s">
        <v>2062</v>
      </c>
      <c r="G1917" s="3">
        <v>10</v>
      </c>
      <c r="H1917" s="3">
        <v>1200</v>
      </c>
      <c r="I1917" s="3">
        <v>1464</v>
      </c>
      <c r="J1917" s="3">
        <v>8.1</v>
      </c>
      <c r="K1917" s="3">
        <v>13454.1</v>
      </c>
      <c r="L1917" s="3">
        <v>1454.1</v>
      </c>
      <c r="M1917" s="3">
        <f t="shared" si="146"/>
        <v>118584</v>
      </c>
      <c r="N1917" s="3">
        <f t="shared" si="147"/>
        <v>12000</v>
      </c>
      <c r="O1917" s="3">
        <f t="shared" si="148"/>
        <v>10.807857827725377</v>
      </c>
      <c r="P1917" s="3" t="str">
        <f t="shared" si="149"/>
        <v>Dec</v>
      </c>
      <c r="Q1917" s="3" t="str">
        <f t="shared" si="145"/>
        <v>good profit</v>
      </c>
    </row>
    <row r="1918" spans="1:17" x14ac:dyDescent="0.25">
      <c r="A1918" s="3" t="s">
        <v>273</v>
      </c>
      <c r="B1918" s="4">
        <v>46009</v>
      </c>
      <c r="C1918" s="3" t="s">
        <v>2016</v>
      </c>
      <c r="D1918" s="3" t="s">
        <v>2036</v>
      </c>
      <c r="E1918" s="3" t="s">
        <v>2052</v>
      </c>
      <c r="F1918" s="3" t="s">
        <v>2062</v>
      </c>
      <c r="G1918" s="3">
        <v>3</v>
      </c>
      <c r="H1918" s="3">
        <v>900</v>
      </c>
      <c r="I1918" s="3">
        <v>1170</v>
      </c>
      <c r="J1918" s="3">
        <v>16.47</v>
      </c>
      <c r="K1918" s="3">
        <v>2932.01</v>
      </c>
      <c r="L1918" s="3">
        <v>232.01</v>
      </c>
      <c r="M1918" s="3">
        <f t="shared" si="146"/>
        <v>57809.7</v>
      </c>
      <c r="N1918" s="3">
        <f t="shared" si="147"/>
        <v>2700</v>
      </c>
      <c r="O1918" s="3">
        <f t="shared" si="148"/>
        <v>7.9130016609765983</v>
      </c>
      <c r="P1918" s="3" t="str">
        <f t="shared" si="149"/>
        <v>Dec</v>
      </c>
      <c r="Q1918" s="3" t="str">
        <f t="shared" si="145"/>
        <v>low profit</v>
      </c>
    </row>
    <row r="1919" spans="1:17" x14ac:dyDescent="0.25">
      <c r="A1919" s="3" t="s">
        <v>1216</v>
      </c>
      <c r="B1919" s="4">
        <v>46009</v>
      </c>
      <c r="C1919" s="3" t="s">
        <v>2021</v>
      </c>
      <c r="D1919" s="3" t="s">
        <v>2041</v>
      </c>
      <c r="E1919" s="3" t="s">
        <v>2056</v>
      </c>
      <c r="F1919" s="3" t="s">
        <v>2059</v>
      </c>
      <c r="G1919" s="3">
        <v>3</v>
      </c>
      <c r="H1919" s="3">
        <v>300</v>
      </c>
      <c r="I1919" s="3">
        <v>405</v>
      </c>
      <c r="J1919" s="3">
        <v>8.6</v>
      </c>
      <c r="K1919" s="3">
        <v>1110.52</v>
      </c>
      <c r="L1919" s="3">
        <v>210.52</v>
      </c>
      <c r="M1919" s="3">
        <f t="shared" si="146"/>
        <v>10449</v>
      </c>
      <c r="N1919" s="3">
        <f t="shared" si="147"/>
        <v>900</v>
      </c>
      <c r="O1919" s="3">
        <f t="shared" si="148"/>
        <v>18.956885062853441</v>
      </c>
      <c r="P1919" s="3" t="str">
        <f t="shared" si="149"/>
        <v>Dec</v>
      </c>
      <c r="Q1919" s="3" t="str">
        <f t="shared" si="145"/>
        <v>good profit</v>
      </c>
    </row>
    <row r="1920" spans="1:17" x14ac:dyDescent="0.25">
      <c r="A1920" s="3" t="s">
        <v>1244</v>
      </c>
      <c r="B1920" s="4">
        <v>46009</v>
      </c>
      <c r="C1920" s="3" t="s">
        <v>2012</v>
      </c>
      <c r="D1920" s="3" t="s">
        <v>2032</v>
      </c>
      <c r="E1920" s="3" t="s">
        <v>2052</v>
      </c>
      <c r="F1920" s="3" t="s">
        <v>2061</v>
      </c>
      <c r="G1920" s="3">
        <v>2</v>
      </c>
      <c r="H1920" s="3">
        <v>6500</v>
      </c>
      <c r="I1920" s="3">
        <v>8125</v>
      </c>
      <c r="J1920" s="3">
        <v>4.34</v>
      </c>
      <c r="K1920" s="3">
        <v>15544.5</v>
      </c>
      <c r="L1920" s="3">
        <v>2544.5</v>
      </c>
      <c r="M1920" s="3">
        <f t="shared" si="146"/>
        <v>70525</v>
      </c>
      <c r="N1920" s="3">
        <f t="shared" si="147"/>
        <v>13000</v>
      </c>
      <c r="O1920" s="3">
        <f t="shared" si="148"/>
        <v>16.369133777220238</v>
      </c>
      <c r="P1920" s="3" t="str">
        <f t="shared" si="149"/>
        <v>Dec</v>
      </c>
      <c r="Q1920" s="3" t="str">
        <f t="shared" si="145"/>
        <v>good profit</v>
      </c>
    </row>
    <row r="1921" spans="1:17" x14ac:dyDescent="0.25">
      <c r="A1921" s="3" t="s">
        <v>1690</v>
      </c>
      <c r="B1921" s="4">
        <v>46009</v>
      </c>
      <c r="C1921" s="3" t="s">
        <v>2013</v>
      </c>
      <c r="D1921" s="3" t="s">
        <v>2033</v>
      </c>
      <c r="E1921" s="3" t="s">
        <v>2053</v>
      </c>
      <c r="F1921" s="3" t="s">
        <v>2059</v>
      </c>
      <c r="G1921" s="3">
        <v>2</v>
      </c>
      <c r="H1921" s="3">
        <v>6500</v>
      </c>
      <c r="I1921" s="3">
        <v>7150</v>
      </c>
      <c r="J1921" s="3">
        <v>15.77</v>
      </c>
      <c r="K1921" s="3">
        <v>12045.59</v>
      </c>
      <c r="L1921" s="3">
        <v>-954.41</v>
      </c>
      <c r="M1921" s="3">
        <f t="shared" si="146"/>
        <v>225511</v>
      </c>
      <c r="N1921" s="3">
        <f t="shared" si="147"/>
        <v>13000</v>
      </c>
      <c r="O1921" s="3">
        <f t="shared" si="148"/>
        <v>-7.9233146736689521</v>
      </c>
      <c r="P1921" s="3" t="str">
        <f t="shared" si="149"/>
        <v>Dec</v>
      </c>
      <c r="Q1921" s="3" t="str">
        <f t="shared" si="145"/>
        <v>loss</v>
      </c>
    </row>
    <row r="1922" spans="1:17" x14ac:dyDescent="0.25">
      <c r="A1922" s="3" t="s">
        <v>1928</v>
      </c>
      <c r="B1922" s="4">
        <v>46009</v>
      </c>
      <c r="C1922" s="3" t="s">
        <v>2024</v>
      </c>
      <c r="D1922" s="3" t="s">
        <v>2044</v>
      </c>
      <c r="E1922" s="3" t="s">
        <v>2055</v>
      </c>
      <c r="F1922" s="3" t="s">
        <v>2061</v>
      </c>
      <c r="G1922" s="3">
        <v>7</v>
      </c>
      <c r="H1922" s="3">
        <v>180</v>
      </c>
      <c r="I1922" s="3">
        <v>243</v>
      </c>
      <c r="J1922" s="3">
        <v>12.2</v>
      </c>
      <c r="K1922" s="3">
        <v>1493.44</v>
      </c>
      <c r="L1922" s="3">
        <v>233.44</v>
      </c>
      <c r="M1922" s="3">
        <f t="shared" si="146"/>
        <v>20752.199999999997</v>
      </c>
      <c r="N1922" s="3">
        <f t="shared" si="147"/>
        <v>1260</v>
      </c>
      <c r="O1922" s="3">
        <f t="shared" si="148"/>
        <v>15.631026355260339</v>
      </c>
      <c r="P1922" s="3" t="str">
        <f t="shared" si="149"/>
        <v>Dec</v>
      </c>
      <c r="Q1922" s="3" t="str">
        <f t="shared" ref="Q1922:Q1985" si="150">IF(L1922&lt;0,"loss",IF(O1922&lt;10,"low profit","good profit"))</f>
        <v>good profit</v>
      </c>
    </row>
    <row r="1923" spans="1:17" x14ac:dyDescent="0.25">
      <c r="A1923" s="3" t="s">
        <v>364</v>
      </c>
      <c r="B1923" s="4">
        <v>46010</v>
      </c>
      <c r="C1923" s="3" t="s">
        <v>2014</v>
      </c>
      <c r="D1923" s="3" t="s">
        <v>2034</v>
      </c>
      <c r="E1923" s="3" t="s">
        <v>2052</v>
      </c>
      <c r="F1923" s="3" t="s">
        <v>2059</v>
      </c>
      <c r="G1923" s="3">
        <v>10</v>
      </c>
      <c r="H1923" s="3">
        <v>4500</v>
      </c>
      <c r="I1923" s="3">
        <v>5220</v>
      </c>
      <c r="J1923" s="3">
        <v>15.3</v>
      </c>
      <c r="K1923" s="3">
        <v>44212.31</v>
      </c>
      <c r="L1923" s="3">
        <v>-787.69</v>
      </c>
      <c r="M1923" s="3">
        <f t="shared" ref="M1923:M1986" si="151">G1923*I1923*J1923</f>
        <v>798660</v>
      </c>
      <c r="N1923" s="3">
        <f t="shared" ref="N1923:N1986" si="152">G1923*H1923</f>
        <v>45000</v>
      </c>
      <c r="O1923" s="3">
        <f t="shared" ref="O1923:O1986" si="153">IFERROR(L1923/K1923*100,0)</f>
        <v>-1.7816078825105501</v>
      </c>
      <c r="P1923" s="3" t="str">
        <f t="shared" ref="P1923:P1986" si="154">TEXT(B1923,"mmm")</f>
        <v>Dec</v>
      </c>
      <c r="Q1923" s="3" t="str">
        <f t="shared" si="150"/>
        <v>loss</v>
      </c>
    </row>
    <row r="1924" spans="1:17" x14ac:dyDescent="0.25">
      <c r="A1924" s="3" t="s">
        <v>728</v>
      </c>
      <c r="B1924" s="4">
        <v>46010</v>
      </c>
      <c r="C1924" s="3" t="s">
        <v>2020</v>
      </c>
      <c r="D1924" s="3" t="s">
        <v>2040</v>
      </c>
      <c r="E1924" s="3" t="s">
        <v>2053</v>
      </c>
      <c r="F1924" s="3" t="s">
        <v>2061</v>
      </c>
      <c r="G1924" s="3">
        <v>8</v>
      </c>
      <c r="H1924" s="3">
        <v>350</v>
      </c>
      <c r="I1924" s="3">
        <v>455</v>
      </c>
      <c r="J1924" s="3">
        <v>0.46</v>
      </c>
      <c r="K1924" s="3">
        <v>3623.43</v>
      </c>
      <c r="L1924" s="3">
        <v>823.43</v>
      </c>
      <c r="M1924" s="3">
        <f t="shared" si="151"/>
        <v>1674.4</v>
      </c>
      <c r="N1924" s="3">
        <f t="shared" si="152"/>
        <v>2800</v>
      </c>
      <c r="O1924" s="3">
        <f t="shared" si="153"/>
        <v>22.725152686818841</v>
      </c>
      <c r="P1924" s="3" t="str">
        <f t="shared" si="154"/>
        <v>Dec</v>
      </c>
      <c r="Q1924" s="3" t="str">
        <f t="shared" si="150"/>
        <v>good profit</v>
      </c>
    </row>
    <row r="1925" spans="1:17" x14ac:dyDescent="0.25">
      <c r="A1925" s="3" t="s">
        <v>953</v>
      </c>
      <c r="B1925" s="4">
        <v>46010</v>
      </c>
      <c r="C1925" s="3" t="s">
        <v>2017</v>
      </c>
      <c r="D1925" s="3" t="s">
        <v>2037</v>
      </c>
      <c r="E1925" s="3" t="s">
        <v>2055</v>
      </c>
      <c r="F1925" s="3" t="s">
        <v>2060</v>
      </c>
      <c r="G1925" s="3">
        <v>1</v>
      </c>
      <c r="H1925" s="3">
        <v>2500</v>
      </c>
      <c r="I1925" s="3">
        <v>2875</v>
      </c>
      <c r="J1925" s="3">
        <v>20.3</v>
      </c>
      <c r="K1925" s="3">
        <v>2291.2800000000002</v>
      </c>
      <c r="L1925" s="3">
        <v>-208.72</v>
      </c>
      <c r="M1925" s="3">
        <f t="shared" si="151"/>
        <v>58362.5</v>
      </c>
      <c r="N1925" s="3">
        <f t="shared" si="152"/>
        <v>2500</v>
      </c>
      <c r="O1925" s="3">
        <f t="shared" si="153"/>
        <v>-9.109318808700813</v>
      </c>
      <c r="P1925" s="3" t="str">
        <f t="shared" si="154"/>
        <v>Dec</v>
      </c>
      <c r="Q1925" s="3" t="str">
        <f t="shared" si="150"/>
        <v>loss</v>
      </c>
    </row>
    <row r="1926" spans="1:17" x14ac:dyDescent="0.25">
      <c r="A1926" s="3" t="s">
        <v>391</v>
      </c>
      <c r="B1926" s="4">
        <v>46011</v>
      </c>
      <c r="C1926" s="3" t="s">
        <v>2026</v>
      </c>
      <c r="D1926" s="3" t="s">
        <v>2046</v>
      </c>
      <c r="E1926" s="3" t="s">
        <v>2052</v>
      </c>
      <c r="F1926" s="3" t="s">
        <v>2062</v>
      </c>
      <c r="G1926" s="3">
        <v>8</v>
      </c>
      <c r="H1926" s="3">
        <v>3000</v>
      </c>
      <c r="I1926" s="3">
        <v>3600</v>
      </c>
      <c r="J1926" s="3">
        <v>16.88</v>
      </c>
      <c r="K1926" s="3">
        <v>23938.52</v>
      </c>
      <c r="L1926" s="3">
        <v>-61.48</v>
      </c>
      <c r="M1926" s="3">
        <f t="shared" si="151"/>
        <v>486144</v>
      </c>
      <c r="N1926" s="3">
        <f t="shared" si="152"/>
        <v>24000</v>
      </c>
      <c r="O1926" s="3">
        <f t="shared" si="153"/>
        <v>-0.2568245655955339</v>
      </c>
      <c r="P1926" s="3" t="str">
        <f t="shared" si="154"/>
        <v>Dec</v>
      </c>
      <c r="Q1926" s="3" t="str">
        <f t="shared" si="150"/>
        <v>loss</v>
      </c>
    </row>
    <row r="1927" spans="1:17" x14ac:dyDescent="0.25">
      <c r="A1927" s="3" t="s">
        <v>605</v>
      </c>
      <c r="B1927" s="4">
        <v>46011</v>
      </c>
      <c r="C1927" s="3" t="s">
        <v>2019</v>
      </c>
      <c r="D1927" s="3" t="s">
        <v>2039</v>
      </c>
      <c r="E1927" s="3" t="s">
        <v>2053</v>
      </c>
      <c r="F1927" s="3" t="s">
        <v>2059</v>
      </c>
      <c r="G1927" s="3">
        <v>8</v>
      </c>
      <c r="H1927" s="3">
        <v>900</v>
      </c>
      <c r="I1927" s="3">
        <v>1152</v>
      </c>
      <c r="J1927" s="3">
        <v>21.16</v>
      </c>
      <c r="K1927" s="3">
        <v>7265.46</v>
      </c>
      <c r="L1927" s="3">
        <v>65.459999999999994</v>
      </c>
      <c r="M1927" s="3">
        <f t="shared" si="151"/>
        <v>195010.56</v>
      </c>
      <c r="N1927" s="3">
        <f t="shared" si="152"/>
        <v>7200</v>
      </c>
      <c r="O1927" s="3">
        <f t="shared" si="153"/>
        <v>0.9009752995680933</v>
      </c>
      <c r="P1927" s="3" t="str">
        <f t="shared" si="154"/>
        <v>Dec</v>
      </c>
      <c r="Q1927" s="3" t="str">
        <f t="shared" si="150"/>
        <v>low profit</v>
      </c>
    </row>
    <row r="1928" spans="1:17" x14ac:dyDescent="0.25">
      <c r="A1928" s="3" t="s">
        <v>809</v>
      </c>
      <c r="B1928" s="4">
        <v>46011</v>
      </c>
      <c r="C1928" s="3" t="s">
        <v>2018</v>
      </c>
      <c r="D1928" s="3" t="s">
        <v>2038</v>
      </c>
      <c r="E1928" s="3" t="s">
        <v>2053</v>
      </c>
      <c r="F1928" s="3" t="s">
        <v>2060</v>
      </c>
      <c r="G1928" s="3">
        <v>6</v>
      </c>
      <c r="H1928" s="3">
        <v>500</v>
      </c>
      <c r="I1928" s="3">
        <v>610</v>
      </c>
      <c r="J1928" s="3">
        <v>14.83</v>
      </c>
      <c r="K1928" s="3">
        <v>3117.15</v>
      </c>
      <c r="L1928" s="3">
        <v>117.15</v>
      </c>
      <c r="M1928" s="3">
        <f t="shared" si="151"/>
        <v>54277.8</v>
      </c>
      <c r="N1928" s="3">
        <f t="shared" si="152"/>
        <v>3000</v>
      </c>
      <c r="O1928" s="3">
        <f t="shared" si="153"/>
        <v>3.758240700640008</v>
      </c>
      <c r="P1928" s="3" t="str">
        <f t="shared" si="154"/>
        <v>Dec</v>
      </c>
      <c r="Q1928" s="3" t="str">
        <f t="shared" si="150"/>
        <v>low profit</v>
      </c>
    </row>
    <row r="1929" spans="1:17" x14ac:dyDescent="0.25">
      <c r="A1929" s="3" t="s">
        <v>1069</v>
      </c>
      <c r="B1929" s="4">
        <v>46011</v>
      </c>
      <c r="C1929" s="3" t="s">
        <v>2016</v>
      </c>
      <c r="D1929" s="3" t="s">
        <v>2036</v>
      </c>
      <c r="E1929" s="3" t="s">
        <v>2052</v>
      </c>
      <c r="F1929" s="3" t="s">
        <v>2060</v>
      </c>
      <c r="G1929" s="3">
        <v>4</v>
      </c>
      <c r="H1929" s="3">
        <v>900</v>
      </c>
      <c r="I1929" s="3">
        <v>1170</v>
      </c>
      <c r="J1929" s="3">
        <v>14.15</v>
      </c>
      <c r="K1929" s="3">
        <v>4017.59</v>
      </c>
      <c r="L1929" s="3">
        <v>417.59</v>
      </c>
      <c r="M1929" s="3">
        <f t="shared" si="151"/>
        <v>66222</v>
      </c>
      <c r="N1929" s="3">
        <f t="shared" si="152"/>
        <v>3600</v>
      </c>
      <c r="O1929" s="3">
        <f t="shared" si="153"/>
        <v>10.394042199428014</v>
      </c>
      <c r="P1929" s="3" t="str">
        <f t="shared" si="154"/>
        <v>Dec</v>
      </c>
      <c r="Q1929" s="3" t="str">
        <f t="shared" si="150"/>
        <v>good profit</v>
      </c>
    </row>
    <row r="1930" spans="1:17" x14ac:dyDescent="0.25">
      <c r="A1930" s="3" t="s">
        <v>1156</v>
      </c>
      <c r="B1930" s="4">
        <v>46011</v>
      </c>
      <c r="C1930" s="3" t="s">
        <v>2020</v>
      </c>
      <c r="D1930" s="3" t="s">
        <v>2040</v>
      </c>
      <c r="E1930" s="3" t="s">
        <v>2053</v>
      </c>
      <c r="F1930" s="3" t="s">
        <v>2060</v>
      </c>
      <c r="G1930" s="3">
        <v>10</v>
      </c>
      <c r="H1930" s="3">
        <v>350</v>
      </c>
      <c r="I1930" s="3">
        <v>455</v>
      </c>
      <c r="J1930" s="3">
        <v>8.6</v>
      </c>
      <c r="K1930" s="3">
        <v>4158.72</v>
      </c>
      <c r="L1930" s="3">
        <v>658.72</v>
      </c>
      <c r="M1930" s="3">
        <f t="shared" si="151"/>
        <v>39130</v>
      </c>
      <c r="N1930" s="3">
        <f t="shared" si="152"/>
        <v>3500</v>
      </c>
      <c r="O1930" s="3">
        <f t="shared" si="153"/>
        <v>15.839489073561094</v>
      </c>
      <c r="P1930" s="3" t="str">
        <f t="shared" si="154"/>
        <v>Dec</v>
      </c>
      <c r="Q1930" s="3" t="str">
        <f t="shared" si="150"/>
        <v>good profit</v>
      </c>
    </row>
    <row r="1931" spans="1:17" x14ac:dyDescent="0.25">
      <c r="A1931" s="3" t="s">
        <v>1170</v>
      </c>
      <c r="B1931" s="4">
        <v>46011</v>
      </c>
      <c r="C1931" s="3" t="s">
        <v>2015</v>
      </c>
      <c r="D1931" s="3" t="s">
        <v>2035</v>
      </c>
      <c r="E1931" s="3" t="s">
        <v>2054</v>
      </c>
      <c r="F1931" s="3" t="s">
        <v>2059</v>
      </c>
      <c r="G1931" s="3">
        <v>9</v>
      </c>
      <c r="H1931" s="3">
        <v>900</v>
      </c>
      <c r="I1931" s="3">
        <v>1170</v>
      </c>
      <c r="J1931" s="3">
        <v>24.14</v>
      </c>
      <c r="K1931" s="3">
        <v>7987.79</v>
      </c>
      <c r="L1931" s="3">
        <v>-112.21</v>
      </c>
      <c r="M1931" s="3">
        <f t="shared" si="151"/>
        <v>254194.2</v>
      </c>
      <c r="N1931" s="3">
        <f t="shared" si="152"/>
        <v>8100</v>
      </c>
      <c r="O1931" s="3">
        <f t="shared" si="153"/>
        <v>-1.4047690287300991</v>
      </c>
      <c r="P1931" s="3" t="str">
        <f t="shared" si="154"/>
        <v>Dec</v>
      </c>
      <c r="Q1931" s="3" t="str">
        <f t="shared" si="150"/>
        <v>loss</v>
      </c>
    </row>
    <row r="1932" spans="1:17" x14ac:dyDescent="0.25">
      <c r="A1932" s="3" t="s">
        <v>1194</v>
      </c>
      <c r="B1932" s="4">
        <v>46011</v>
      </c>
      <c r="C1932" s="3" t="s">
        <v>2020</v>
      </c>
      <c r="D1932" s="3" t="s">
        <v>2040</v>
      </c>
      <c r="E1932" s="3" t="s">
        <v>2053</v>
      </c>
      <c r="F1932" s="3" t="s">
        <v>2059</v>
      </c>
      <c r="G1932" s="3">
        <v>4</v>
      </c>
      <c r="H1932" s="3">
        <v>350</v>
      </c>
      <c r="I1932" s="3">
        <v>455</v>
      </c>
      <c r="J1932" s="3">
        <v>10.37</v>
      </c>
      <c r="K1932" s="3">
        <v>1631.18</v>
      </c>
      <c r="L1932" s="3">
        <v>231.18</v>
      </c>
      <c r="M1932" s="3">
        <f t="shared" si="151"/>
        <v>18873.399999999998</v>
      </c>
      <c r="N1932" s="3">
        <f t="shared" si="152"/>
        <v>1400</v>
      </c>
      <c r="O1932" s="3">
        <f t="shared" si="153"/>
        <v>14.172562194239752</v>
      </c>
      <c r="P1932" s="3" t="str">
        <f t="shared" si="154"/>
        <v>Dec</v>
      </c>
      <c r="Q1932" s="3" t="str">
        <f t="shared" si="150"/>
        <v>good profit</v>
      </c>
    </row>
    <row r="1933" spans="1:17" x14ac:dyDescent="0.25">
      <c r="A1933" s="3" t="s">
        <v>1381</v>
      </c>
      <c r="B1933" s="4">
        <v>46011</v>
      </c>
      <c r="C1933" s="3" t="s">
        <v>2027</v>
      </c>
      <c r="D1933" s="3" t="s">
        <v>2047</v>
      </c>
      <c r="E1933" s="3" t="s">
        <v>2053</v>
      </c>
      <c r="F1933" s="3" t="s">
        <v>2062</v>
      </c>
      <c r="G1933" s="3">
        <v>1</v>
      </c>
      <c r="H1933" s="3">
        <v>1100</v>
      </c>
      <c r="I1933" s="3">
        <v>1298</v>
      </c>
      <c r="J1933" s="3">
        <v>3.9</v>
      </c>
      <c r="K1933" s="3">
        <v>1247.3599999999999</v>
      </c>
      <c r="L1933" s="3">
        <v>147.36000000000001</v>
      </c>
      <c r="M1933" s="3">
        <f t="shared" si="151"/>
        <v>5062.2</v>
      </c>
      <c r="N1933" s="3">
        <f t="shared" si="152"/>
        <v>1100</v>
      </c>
      <c r="O1933" s="3">
        <f t="shared" si="153"/>
        <v>11.813750641354542</v>
      </c>
      <c r="P1933" s="3" t="str">
        <f t="shared" si="154"/>
        <v>Dec</v>
      </c>
      <c r="Q1933" s="3" t="str">
        <f t="shared" si="150"/>
        <v>good profit</v>
      </c>
    </row>
    <row r="1934" spans="1:17" x14ac:dyDescent="0.25">
      <c r="A1934" s="3" t="s">
        <v>1679</v>
      </c>
      <c r="B1934" s="4">
        <v>46011</v>
      </c>
      <c r="C1934" s="3" t="s">
        <v>2030</v>
      </c>
      <c r="D1934" s="3" t="s">
        <v>2050</v>
      </c>
      <c r="E1934" s="3" t="s">
        <v>2058</v>
      </c>
      <c r="F1934" s="3" t="s">
        <v>2059</v>
      </c>
      <c r="G1934" s="3">
        <v>7</v>
      </c>
      <c r="H1934" s="3">
        <v>1800</v>
      </c>
      <c r="I1934" s="3">
        <v>2124</v>
      </c>
      <c r="J1934" s="3">
        <v>7.48</v>
      </c>
      <c r="K1934" s="3">
        <v>13756.23</v>
      </c>
      <c r="L1934" s="3">
        <v>1156.23</v>
      </c>
      <c r="M1934" s="3">
        <f t="shared" si="151"/>
        <v>111212.64</v>
      </c>
      <c r="N1934" s="3">
        <f t="shared" si="152"/>
        <v>12600</v>
      </c>
      <c r="O1934" s="3">
        <f t="shared" si="153"/>
        <v>8.4051371633070993</v>
      </c>
      <c r="P1934" s="3" t="str">
        <f t="shared" si="154"/>
        <v>Dec</v>
      </c>
      <c r="Q1934" s="3" t="str">
        <f t="shared" si="150"/>
        <v>low profit</v>
      </c>
    </row>
    <row r="1935" spans="1:17" x14ac:dyDescent="0.25">
      <c r="A1935" s="3" t="s">
        <v>1770</v>
      </c>
      <c r="B1935" s="4">
        <v>46011</v>
      </c>
      <c r="C1935" s="3" t="s">
        <v>2016</v>
      </c>
      <c r="D1935" s="3" t="s">
        <v>2036</v>
      </c>
      <c r="E1935" s="3" t="s">
        <v>2052</v>
      </c>
      <c r="F1935" s="3" t="s">
        <v>2059</v>
      </c>
      <c r="G1935" s="3">
        <v>5</v>
      </c>
      <c r="H1935" s="3">
        <v>900</v>
      </c>
      <c r="I1935" s="3">
        <v>1170</v>
      </c>
      <c r="J1935" s="3">
        <v>15.37</v>
      </c>
      <c r="K1935" s="3">
        <v>4950.71</v>
      </c>
      <c r="L1935" s="3">
        <v>450.71</v>
      </c>
      <c r="M1935" s="3">
        <f t="shared" si="151"/>
        <v>89914.5</v>
      </c>
      <c r="N1935" s="3">
        <f t="shared" si="152"/>
        <v>4500</v>
      </c>
      <c r="O1935" s="3">
        <f t="shared" si="153"/>
        <v>9.1039467066339981</v>
      </c>
      <c r="P1935" s="3" t="str">
        <f t="shared" si="154"/>
        <v>Dec</v>
      </c>
      <c r="Q1935" s="3" t="str">
        <f t="shared" si="150"/>
        <v>low profit</v>
      </c>
    </row>
    <row r="1936" spans="1:17" x14ac:dyDescent="0.25">
      <c r="A1936" s="3" t="s">
        <v>798</v>
      </c>
      <c r="B1936" s="4">
        <v>46012</v>
      </c>
      <c r="C1936" s="3" t="s">
        <v>2023</v>
      </c>
      <c r="D1936" s="3" t="s">
        <v>2043</v>
      </c>
      <c r="E1936" s="3" t="s">
        <v>2053</v>
      </c>
      <c r="F1936" s="3" t="s">
        <v>2062</v>
      </c>
      <c r="G1936" s="3">
        <v>3</v>
      </c>
      <c r="H1936" s="3">
        <v>550</v>
      </c>
      <c r="I1936" s="3">
        <v>742.5</v>
      </c>
      <c r="J1936" s="3">
        <v>17.62</v>
      </c>
      <c r="K1936" s="3">
        <v>1834.95</v>
      </c>
      <c r="L1936" s="3">
        <v>184.95</v>
      </c>
      <c r="M1936" s="3">
        <f t="shared" si="151"/>
        <v>39248.550000000003</v>
      </c>
      <c r="N1936" s="3">
        <f t="shared" si="152"/>
        <v>1650</v>
      </c>
      <c r="O1936" s="3">
        <f t="shared" si="153"/>
        <v>10.079293713725168</v>
      </c>
      <c r="P1936" s="3" t="str">
        <f t="shared" si="154"/>
        <v>Dec</v>
      </c>
      <c r="Q1936" s="3" t="str">
        <f t="shared" si="150"/>
        <v>good profit</v>
      </c>
    </row>
    <row r="1937" spans="1:17" x14ac:dyDescent="0.25">
      <c r="A1937" s="3" t="s">
        <v>939</v>
      </c>
      <c r="B1937" s="4">
        <v>46012</v>
      </c>
      <c r="C1937" s="3" t="s">
        <v>2031</v>
      </c>
      <c r="D1937" s="3" t="s">
        <v>2051</v>
      </c>
      <c r="E1937" s="3" t="s">
        <v>2058</v>
      </c>
      <c r="F1937" s="3" t="s">
        <v>2059</v>
      </c>
      <c r="G1937" s="3">
        <v>7</v>
      </c>
      <c r="H1937" s="3">
        <v>3200</v>
      </c>
      <c r="I1937" s="3">
        <v>3840</v>
      </c>
      <c r="J1937" s="3">
        <v>4</v>
      </c>
      <c r="K1937" s="3">
        <v>25804.799999999999</v>
      </c>
      <c r="L1937" s="3">
        <v>3404.8</v>
      </c>
      <c r="M1937" s="3">
        <f t="shared" si="151"/>
        <v>107520</v>
      </c>
      <c r="N1937" s="3">
        <f t="shared" si="152"/>
        <v>22400</v>
      </c>
      <c r="O1937" s="3">
        <f t="shared" si="153"/>
        <v>13.194444444444445</v>
      </c>
      <c r="P1937" s="3" t="str">
        <f t="shared" si="154"/>
        <v>Dec</v>
      </c>
      <c r="Q1937" s="3" t="str">
        <f t="shared" si="150"/>
        <v>good profit</v>
      </c>
    </row>
    <row r="1938" spans="1:17" x14ac:dyDescent="0.25">
      <c r="A1938" s="3" t="s">
        <v>1310</v>
      </c>
      <c r="B1938" s="4">
        <v>46012</v>
      </c>
      <c r="C1938" s="3" t="s">
        <v>2030</v>
      </c>
      <c r="D1938" s="3" t="s">
        <v>2050</v>
      </c>
      <c r="E1938" s="3" t="s">
        <v>2058</v>
      </c>
      <c r="F1938" s="3" t="s">
        <v>2062</v>
      </c>
      <c r="G1938" s="3">
        <v>2</v>
      </c>
      <c r="H1938" s="3">
        <v>1800</v>
      </c>
      <c r="I1938" s="3">
        <v>2124</v>
      </c>
      <c r="J1938" s="3">
        <v>17.43</v>
      </c>
      <c r="K1938" s="3">
        <v>3507.38</v>
      </c>
      <c r="L1938" s="3">
        <v>-92.62</v>
      </c>
      <c r="M1938" s="3">
        <f t="shared" si="151"/>
        <v>74042.64</v>
      </c>
      <c r="N1938" s="3">
        <f t="shared" si="152"/>
        <v>3600</v>
      </c>
      <c r="O1938" s="3">
        <f t="shared" si="153"/>
        <v>-2.6407175726610745</v>
      </c>
      <c r="P1938" s="3" t="str">
        <f t="shared" si="154"/>
        <v>Dec</v>
      </c>
      <c r="Q1938" s="3" t="str">
        <f t="shared" si="150"/>
        <v>loss</v>
      </c>
    </row>
    <row r="1939" spans="1:17" x14ac:dyDescent="0.25">
      <c r="A1939" s="3" t="s">
        <v>1450</v>
      </c>
      <c r="B1939" s="4">
        <v>46012</v>
      </c>
      <c r="C1939" s="3" t="s">
        <v>2018</v>
      </c>
      <c r="D1939" s="3" t="s">
        <v>2038</v>
      </c>
      <c r="E1939" s="3" t="s">
        <v>2053</v>
      </c>
      <c r="F1939" s="3" t="s">
        <v>2059</v>
      </c>
      <c r="G1939" s="3">
        <v>9</v>
      </c>
      <c r="H1939" s="3">
        <v>500</v>
      </c>
      <c r="I1939" s="3">
        <v>610</v>
      </c>
      <c r="J1939" s="3">
        <v>3.74</v>
      </c>
      <c r="K1939" s="3">
        <v>5284.55</v>
      </c>
      <c r="L1939" s="3">
        <v>784.55</v>
      </c>
      <c r="M1939" s="3">
        <f t="shared" si="151"/>
        <v>20532.600000000002</v>
      </c>
      <c r="N1939" s="3">
        <f t="shared" si="152"/>
        <v>4500</v>
      </c>
      <c r="O1939" s="3">
        <f t="shared" si="153"/>
        <v>14.84610799405815</v>
      </c>
      <c r="P1939" s="3" t="str">
        <f t="shared" si="154"/>
        <v>Dec</v>
      </c>
      <c r="Q1939" s="3" t="str">
        <f t="shared" si="150"/>
        <v>good profit</v>
      </c>
    </row>
    <row r="1940" spans="1:17" x14ac:dyDescent="0.25">
      <c r="A1940" s="3" t="s">
        <v>1658</v>
      </c>
      <c r="B1940" s="4">
        <v>46012</v>
      </c>
      <c r="C1940" s="3" t="s">
        <v>2014</v>
      </c>
      <c r="D1940" s="3" t="s">
        <v>2034</v>
      </c>
      <c r="E1940" s="3" t="s">
        <v>2052</v>
      </c>
      <c r="F1940" s="3" t="s">
        <v>2059</v>
      </c>
      <c r="G1940" s="3">
        <v>7</v>
      </c>
      <c r="H1940" s="3">
        <v>4500</v>
      </c>
      <c r="I1940" s="3">
        <v>5220</v>
      </c>
      <c r="J1940" s="3">
        <v>14.3</v>
      </c>
      <c r="K1940" s="3">
        <v>31315.96</v>
      </c>
      <c r="L1940" s="3">
        <v>-184.04</v>
      </c>
      <c r="M1940" s="3">
        <f t="shared" si="151"/>
        <v>522522</v>
      </c>
      <c r="N1940" s="3">
        <f t="shared" si="152"/>
        <v>31500</v>
      </c>
      <c r="O1940" s="3">
        <f t="shared" si="153"/>
        <v>-0.58768755612154311</v>
      </c>
      <c r="P1940" s="3" t="str">
        <f t="shared" si="154"/>
        <v>Dec</v>
      </c>
      <c r="Q1940" s="3" t="str">
        <f t="shared" si="150"/>
        <v>loss</v>
      </c>
    </row>
    <row r="1941" spans="1:17" x14ac:dyDescent="0.25">
      <c r="A1941" s="3" t="s">
        <v>463</v>
      </c>
      <c r="B1941" s="4">
        <v>46013</v>
      </c>
      <c r="C1941" s="3" t="s">
        <v>2019</v>
      </c>
      <c r="D1941" s="3" t="s">
        <v>2039</v>
      </c>
      <c r="E1941" s="3" t="s">
        <v>2053</v>
      </c>
      <c r="F1941" s="3" t="s">
        <v>2061</v>
      </c>
      <c r="G1941" s="3">
        <v>6</v>
      </c>
      <c r="H1941" s="3">
        <v>900</v>
      </c>
      <c r="I1941" s="3">
        <v>1152</v>
      </c>
      <c r="J1941" s="3">
        <v>13.76</v>
      </c>
      <c r="K1941" s="3">
        <v>5960.73</v>
      </c>
      <c r="L1941" s="3">
        <v>560.73</v>
      </c>
      <c r="M1941" s="3">
        <f t="shared" si="151"/>
        <v>95109.119999999995</v>
      </c>
      <c r="N1941" s="3">
        <f t="shared" si="152"/>
        <v>5400</v>
      </c>
      <c r="O1941" s="3">
        <f t="shared" si="153"/>
        <v>9.4070692683614254</v>
      </c>
      <c r="P1941" s="3" t="str">
        <f t="shared" si="154"/>
        <v>Dec</v>
      </c>
      <c r="Q1941" s="3" t="str">
        <f t="shared" si="150"/>
        <v>low profit</v>
      </c>
    </row>
    <row r="1942" spans="1:17" x14ac:dyDescent="0.25">
      <c r="A1942" s="3" t="s">
        <v>520</v>
      </c>
      <c r="B1942" s="4">
        <v>46013</v>
      </c>
      <c r="C1942" s="3" t="s">
        <v>2030</v>
      </c>
      <c r="D1942" s="3" t="s">
        <v>2050</v>
      </c>
      <c r="E1942" s="3" t="s">
        <v>2058</v>
      </c>
      <c r="F1942" s="3" t="s">
        <v>2061</v>
      </c>
      <c r="G1942" s="3">
        <v>1</v>
      </c>
      <c r="H1942" s="3">
        <v>1800</v>
      </c>
      <c r="I1942" s="3">
        <v>2124</v>
      </c>
      <c r="J1942" s="3">
        <v>20.27</v>
      </c>
      <c r="K1942" s="3">
        <v>1693.38</v>
      </c>
      <c r="L1942" s="3">
        <v>-106.62</v>
      </c>
      <c r="M1942" s="3">
        <f t="shared" si="151"/>
        <v>43053.479999999996</v>
      </c>
      <c r="N1942" s="3">
        <f t="shared" si="152"/>
        <v>1800</v>
      </c>
      <c r="O1942" s="3">
        <f t="shared" si="153"/>
        <v>-6.2962831732983737</v>
      </c>
      <c r="P1942" s="3" t="str">
        <f t="shared" si="154"/>
        <v>Dec</v>
      </c>
      <c r="Q1942" s="3" t="str">
        <f t="shared" si="150"/>
        <v>loss</v>
      </c>
    </row>
    <row r="1943" spans="1:17" x14ac:dyDescent="0.25">
      <c r="A1943" s="3" t="s">
        <v>1485</v>
      </c>
      <c r="B1943" s="4">
        <v>46013</v>
      </c>
      <c r="C1943" s="3" t="s">
        <v>2012</v>
      </c>
      <c r="D1943" s="3" t="s">
        <v>2032</v>
      </c>
      <c r="E1943" s="3" t="s">
        <v>2052</v>
      </c>
      <c r="F1943" s="3" t="s">
        <v>2062</v>
      </c>
      <c r="G1943" s="3">
        <v>6</v>
      </c>
      <c r="H1943" s="3">
        <v>6500</v>
      </c>
      <c r="I1943" s="3">
        <v>8125</v>
      </c>
      <c r="J1943" s="3">
        <v>21.82</v>
      </c>
      <c r="K1943" s="3">
        <v>38112.089999999997</v>
      </c>
      <c r="L1943" s="3">
        <v>-887.91</v>
      </c>
      <c r="M1943" s="3">
        <f t="shared" si="151"/>
        <v>1063725</v>
      </c>
      <c r="N1943" s="3">
        <f t="shared" si="152"/>
        <v>39000</v>
      </c>
      <c r="O1943" s="3">
        <f t="shared" si="153"/>
        <v>-2.3297331634134997</v>
      </c>
      <c r="P1943" s="3" t="str">
        <f t="shared" si="154"/>
        <v>Dec</v>
      </c>
      <c r="Q1943" s="3" t="str">
        <f t="shared" si="150"/>
        <v>loss</v>
      </c>
    </row>
    <row r="1944" spans="1:17" x14ac:dyDescent="0.25">
      <c r="A1944" s="3" t="s">
        <v>1508</v>
      </c>
      <c r="B1944" s="4">
        <v>46013</v>
      </c>
      <c r="C1944" s="3" t="s">
        <v>2020</v>
      </c>
      <c r="D1944" s="3" t="s">
        <v>2040</v>
      </c>
      <c r="E1944" s="3" t="s">
        <v>2053</v>
      </c>
      <c r="F1944" s="3" t="s">
        <v>2059</v>
      </c>
      <c r="G1944" s="3">
        <v>4</v>
      </c>
      <c r="H1944" s="3">
        <v>350</v>
      </c>
      <c r="I1944" s="3">
        <v>455</v>
      </c>
      <c r="J1944" s="3">
        <v>24.85</v>
      </c>
      <c r="K1944" s="3">
        <v>1367.65</v>
      </c>
      <c r="L1944" s="3">
        <v>-32.35</v>
      </c>
      <c r="M1944" s="3">
        <f t="shared" si="151"/>
        <v>45227</v>
      </c>
      <c r="N1944" s="3">
        <f t="shared" si="152"/>
        <v>1400</v>
      </c>
      <c r="O1944" s="3">
        <f t="shared" si="153"/>
        <v>-2.3653712572661134</v>
      </c>
      <c r="P1944" s="3" t="str">
        <f t="shared" si="154"/>
        <v>Dec</v>
      </c>
      <c r="Q1944" s="3" t="str">
        <f t="shared" si="150"/>
        <v>loss</v>
      </c>
    </row>
    <row r="1945" spans="1:17" x14ac:dyDescent="0.25">
      <c r="A1945" s="3" t="s">
        <v>883</v>
      </c>
      <c r="B1945" s="4">
        <v>46014</v>
      </c>
      <c r="C1945" s="3" t="s">
        <v>2027</v>
      </c>
      <c r="D1945" s="3" t="s">
        <v>2047</v>
      </c>
      <c r="E1945" s="3" t="s">
        <v>2053</v>
      </c>
      <c r="F1945" s="3" t="s">
        <v>2060</v>
      </c>
      <c r="G1945" s="3">
        <v>9</v>
      </c>
      <c r="H1945" s="3">
        <v>1100</v>
      </c>
      <c r="I1945" s="3">
        <v>1298</v>
      </c>
      <c r="J1945" s="3">
        <v>11.33</v>
      </c>
      <c r="K1945" s="3">
        <v>10358.92</v>
      </c>
      <c r="L1945" s="3">
        <v>458.92</v>
      </c>
      <c r="M1945" s="3">
        <f t="shared" si="151"/>
        <v>132357.06</v>
      </c>
      <c r="N1945" s="3">
        <f t="shared" si="152"/>
        <v>9900</v>
      </c>
      <c r="O1945" s="3">
        <f t="shared" si="153"/>
        <v>4.4301915643715759</v>
      </c>
      <c r="P1945" s="3" t="str">
        <f t="shared" si="154"/>
        <v>Dec</v>
      </c>
      <c r="Q1945" s="3" t="str">
        <f t="shared" si="150"/>
        <v>low profit</v>
      </c>
    </row>
    <row r="1946" spans="1:17" x14ac:dyDescent="0.25">
      <c r="A1946" s="3" t="s">
        <v>1051</v>
      </c>
      <c r="B1946" s="4">
        <v>46014</v>
      </c>
      <c r="C1946" s="3" t="s">
        <v>2020</v>
      </c>
      <c r="D1946" s="3" t="s">
        <v>2040</v>
      </c>
      <c r="E1946" s="3" t="s">
        <v>2053</v>
      </c>
      <c r="F1946" s="3" t="s">
        <v>2059</v>
      </c>
      <c r="G1946" s="3">
        <v>8</v>
      </c>
      <c r="H1946" s="3">
        <v>350</v>
      </c>
      <c r="I1946" s="3">
        <v>455</v>
      </c>
      <c r="J1946" s="3">
        <v>13.99</v>
      </c>
      <c r="K1946" s="3">
        <v>3130.59</v>
      </c>
      <c r="L1946" s="3">
        <v>330.59</v>
      </c>
      <c r="M1946" s="3">
        <f t="shared" si="151"/>
        <v>50923.6</v>
      </c>
      <c r="N1946" s="3">
        <f t="shared" si="152"/>
        <v>2800</v>
      </c>
      <c r="O1946" s="3">
        <f t="shared" si="153"/>
        <v>10.559990289370374</v>
      </c>
      <c r="P1946" s="3" t="str">
        <f t="shared" si="154"/>
        <v>Dec</v>
      </c>
      <c r="Q1946" s="3" t="str">
        <f t="shared" si="150"/>
        <v>good profit</v>
      </c>
    </row>
    <row r="1947" spans="1:17" x14ac:dyDescent="0.25">
      <c r="A1947" s="3" t="s">
        <v>1132</v>
      </c>
      <c r="B1947" s="4">
        <v>46014</v>
      </c>
      <c r="C1947" s="3" t="s">
        <v>2031</v>
      </c>
      <c r="D1947" s="3" t="s">
        <v>2051</v>
      </c>
      <c r="E1947" s="3" t="s">
        <v>2058</v>
      </c>
      <c r="F1947" s="3" t="s">
        <v>2062</v>
      </c>
      <c r="G1947" s="3">
        <v>6</v>
      </c>
      <c r="H1947" s="3">
        <v>3200</v>
      </c>
      <c r="I1947" s="3">
        <v>3840</v>
      </c>
      <c r="J1947" s="3">
        <v>4.8499999999999996</v>
      </c>
      <c r="K1947" s="3">
        <v>21922.09</v>
      </c>
      <c r="L1947" s="3">
        <v>2722.09</v>
      </c>
      <c r="M1947" s="3">
        <f t="shared" si="151"/>
        <v>111743.99999999999</v>
      </c>
      <c r="N1947" s="3">
        <f t="shared" si="152"/>
        <v>19200</v>
      </c>
      <c r="O1947" s="3">
        <f t="shared" si="153"/>
        <v>12.41710986498094</v>
      </c>
      <c r="P1947" s="3" t="str">
        <f t="shared" si="154"/>
        <v>Dec</v>
      </c>
      <c r="Q1947" s="3" t="str">
        <f t="shared" si="150"/>
        <v>good profit</v>
      </c>
    </row>
    <row r="1948" spans="1:17" x14ac:dyDescent="0.25">
      <c r="A1948" s="3" t="s">
        <v>1667</v>
      </c>
      <c r="B1948" s="4">
        <v>46014</v>
      </c>
      <c r="C1948" s="3" t="s">
        <v>2019</v>
      </c>
      <c r="D1948" s="3" t="s">
        <v>2039</v>
      </c>
      <c r="E1948" s="3" t="s">
        <v>2053</v>
      </c>
      <c r="F1948" s="3" t="s">
        <v>2061</v>
      </c>
      <c r="G1948" s="3">
        <v>9</v>
      </c>
      <c r="H1948" s="3">
        <v>900</v>
      </c>
      <c r="I1948" s="3">
        <v>1152</v>
      </c>
      <c r="J1948" s="3">
        <v>12.95</v>
      </c>
      <c r="K1948" s="3">
        <v>9025.5300000000007</v>
      </c>
      <c r="L1948" s="3">
        <v>925.53</v>
      </c>
      <c r="M1948" s="3">
        <f t="shared" si="151"/>
        <v>134265.60000000001</v>
      </c>
      <c r="N1948" s="3">
        <f t="shared" si="152"/>
        <v>8100</v>
      </c>
      <c r="O1948" s="3">
        <f t="shared" si="153"/>
        <v>10.254577847505907</v>
      </c>
      <c r="P1948" s="3" t="str">
        <f t="shared" si="154"/>
        <v>Dec</v>
      </c>
      <c r="Q1948" s="3" t="str">
        <f t="shared" si="150"/>
        <v>good profit</v>
      </c>
    </row>
    <row r="1949" spans="1:17" x14ac:dyDescent="0.25">
      <c r="A1949" s="3" t="s">
        <v>1832</v>
      </c>
      <c r="B1949" s="4">
        <v>46014</v>
      </c>
      <c r="C1949" s="3" t="s">
        <v>2021</v>
      </c>
      <c r="D1949" s="3" t="s">
        <v>2041</v>
      </c>
      <c r="E1949" s="3" t="s">
        <v>2056</v>
      </c>
      <c r="F1949" s="3" t="s">
        <v>2059</v>
      </c>
      <c r="G1949" s="3">
        <v>4</v>
      </c>
      <c r="H1949" s="3">
        <v>300</v>
      </c>
      <c r="I1949" s="3">
        <v>405</v>
      </c>
      <c r="J1949" s="3">
        <v>10.73</v>
      </c>
      <c r="K1949" s="3">
        <v>1446.21</v>
      </c>
      <c r="L1949" s="3">
        <v>246.21</v>
      </c>
      <c r="M1949" s="3">
        <f t="shared" si="151"/>
        <v>17382.600000000002</v>
      </c>
      <c r="N1949" s="3">
        <f t="shared" si="152"/>
        <v>1200</v>
      </c>
      <c r="O1949" s="3">
        <f t="shared" si="153"/>
        <v>17.024498516812912</v>
      </c>
      <c r="P1949" s="3" t="str">
        <f t="shared" si="154"/>
        <v>Dec</v>
      </c>
      <c r="Q1949" s="3" t="str">
        <f t="shared" si="150"/>
        <v>good profit</v>
      </c>
    </row>
    <row r="1950" spans="1:17" x14ac:dyDescent="0.25">
      <c r="A1950" s="3" t="s">
        <v>1853</v>
      </c>
      <c r="B1950" s="4">
        <v>46014</v>
      </c>
      <c r="C1950" s="3" t="s">
        <v>2026</v>
      </c>
      <c r="D1950" s="3" t="s">
        <v>2046</v>
      </c>
      <c r="E1950" s="3" t="s">
        <v>2052</v>
      </c>
      <c r="F1950" s="3" t="s">
        <v>2060</v>
      </c>
      <c r="G1950" s="3">
        <v>9</v>
      </c>
      <c r="H1950" s="3">
        <v>3000</v>
      </c>
      <c r="I1950" s="3">
        <v>3600</v>
      </c>
      <c r="J1950" s="3">
        <v>24.88</v>
      </c>
      <c r="K1950" s="3">
        <v>24339.62</v>
      </c>
      <c r="L1950" s="3">
        <v>-2660.38</v>
      </c>
      <c r="M1950" s="3">
        <f t="shared" si="151"/>
        <v>806112</v>
      </c>
      <c r="N1950" s="3">
        <f t="shared" si="152"/>
        <v>27000</v>
      </c>
      <c r="O1950" s="3">
        <f t="shared" si="153"/>
        <v>-10.93024459708081</v>
      </c>
      <c r="P1950" s="3" t="str">
        <f t="shared" si="154"/>
        <v>Dec</v>
      </c>
      <c r="Q1950" s="3" t="str">
        <f t="shared" si="150"/>
        <v>loss</v>
      </c>
    </row>
    <row r="1951" spans="1:17" x14ac:dyDescent="0.25">
      <c r="A1951" s="3" t="s">
        <v>1885</v>
      </c>
      <c r="B1951" s="4">
        <v>46014</v>
      </c>
      <c r="C1951" s="3" t="s">
        <v>2030</v>
      </c>
      <c r="D1951" s="3" t="s">
        <v>2050</v>
      </c>
      <c r="E1951" s="3" t="s">
        <v>2058</v>
      </c>
      <c r="F1951" s="3" t="s">
        <v>2062</v>
      </c>
      <c r="G1951" s="3">
        <v>7</v>
      </c>
      <c r="H1951" s="3">
        <v>1800</v>
      </c>
      <c r="I1951" s="3">
        <v>2124</v>
      </c>
      <c r="J1951" s="3">
        <v>4</v>
      </c>
      <c r="K1951" s="3">
        <v>14273.28</v>
      </c>
      <c r="L1951" s="3">
        <v>1673.28</v>
      </c>
      <c r="M1951" s="3">
        <f t="shared" si="151"/>
        <v>59472</v>
      </c>
      <c r="N1951" s="3">
        <f t="shared" si="152"/>
        <v>12600</v>
      </c>
      <c r="O1951" s="3">
        <f t="shared" si="153"/>
        <v>11.723163841807908</v>
      </c>
      <c r="P1951" s="3" t="str">
        <f t="shared" si="154"/>
        <v>Dec</v>
      </c>
      <c r="Q1951" s="3" t="str">
        <f t="shared" si="150"/>
        <v>good profit</v>
      </c>
    </row>
    <row r="1952" spans="1:17" x14ac:dyDescent="0.25">
      <c r="A1952" s="3" t="s">
        <v>1308</v>
      </c>
      <c r="B1952" s="4">
        <v>46015</v>
      </c>
      <c r="C1952" s="3" t="s">
        <v>2026</v>
      </c>
      <c r="D1952" s="3" t="s">
        <v>2046</v>
      </c>
      <c r="E1952" s="3" t="s">
        <v>2052</v>
      </c>
      <c r="F1952" s="3" t="s">
        <v>2059</v>
      </c>
      <c r="G1952" s="3">
        <v>2</v>
      </c>
      <c r="H1952" s="3">
        <v>3000</v>
      </c>
      <c r="I1952" s="3">
        <v>3600</v>
      </c>
      <c r="J1952" s="3">
        <v>21.87</v>
      </c>
      <c r="K1952" s="3">
        <v>5625.36</v>
      </c>
      <c r="L1952" s="3">
        <v>-374.64</v>
      </c>
      <c r="M1952" s="3">
        <f t="shared" si="151"/>
        <v>157464</v>
      </c>
      <c r="N1952" s="3">
        <f t="shared" si="152"/>
        <v>6000</v>
      </c>
      <c r="O1952" s="3">
        <f t="shared" si="153"/>
        <v>-6.6598404368787074</v>
      </c>
      <c r="P1952" s="3" t="str">
        <f t="shared" si="154"/>
        <v>Dec</v>
      </c>
      <c r="Q1952" s="3" t="str">
        <f t="shared" si="150"/>
        <v>loss</v>
      </c>
    </row>
    <row r="1953" spans="1:17" x14ac:dyDescent="0.25">
      <c r="A1953" s="3" t="s">
        <v>1320</v>
      </c>
      <c r="B1953" s="4">
        <v>46015</v>
      </c>
      <c r="C1953" s="3" t="s">
        <v>2022</v>
      </c>
      <c r="D1953" s="3" t="s">
        <v>2042</v>
      </c>
      <c r="E1953" s="3" t="s">
        <v>2053</v>
      </c>
      <c r="F1953" s="3" t="s">
        <v>2061</v>
      </c>
      <c r="G1953" s="3">
        <v>9</v>
      </c>
      <c r="H1953" s="3">
        <v>8500</v>
      </c>
      <c r="I1953" s="3">
        <v>9520</v>
      </c>
      <c r="J1953" s="3">
        <v>12.34</v>
      </c>
      <c r="K1953" s="3">
        <v>75103.16</v>
      </c>
      <c r="L1953" s="3">
        <v>-1396.84</v>
      </c>
      <c r="M1953" s="3">
        <f t="shared" si="151"/>
        <v>1057291.2</v>
      </c>
      <c r="N1953" s="3">
        <f t="shared" si="152"/>
        <v>76500</v>
      </c>
      <c r="O1953" s="3">
        <f t="shared" si="153"/>
        <v>-1.859895109606573</v>
      </c>
      <c r="P1953" s="3" t="str">
        <f t="shared" si="154"/>
        <v>Dec</v>
      </c>
      <c r="Q1953" s="3" t="str">
        <f t="shared" si="150"/>
        <v>loss</v>
      </c>
    </row>
    <row r="1954" spans="1:17" x14ac:dyDescent="0.25">
      <c r="A1954" s="3" t="s">
        <v>1327</v>
      </c>
      <c r="B1954" s="4">
        <v>46015</v>
      </c>
      <c r="C1954" s="3" t="s">
        <v>2013</v>
      </c>
      <c r="D1954" s="3" t="s">
        <v>2033</v>
      </c>
      <c r="E1954" s="3" t="s">
        <v>2053</v>
      </c>
      <c r="F1954" s="3" t="s">
        <v>2059</v>
      </c>
      <c r="G1954" s="3">
        <v>7</v>
      </c>
      <c r="H1954" s="3">
        <v>6500</v>
      </c>
      <c r="I1954" s="3">
        <v>7150</v>
      </c>
      <c r="J1954" s="3">
        <v>19.079999999999998</v>
      </c>
      <c r="K1954" s="3">
        <v>40499.89</v>
      </c>
      <c r="L1954" s="3">
        <v>-5000.1099999999997</v>
      </c>
      <c r="M1954" s="3">
        <f t="shared" si="151"/>
        <v>954953.99999999988</v>
      </c>
      <c r="N1954" s="3">
        <f t="shared" si="152"/>
        <v>45500</v>
      </c>
      <c r="O1954" s="3">
        <f t="shared" si="153"/>
        <v>-12.345984149586577</v>
      </c>
      <c r="P1954" s="3" t="str">
        <f t="shared" si="154"/>
        <v>Dec</v>
      </c>
      <c r="Q1954" s="3" t="str">
        <f t="shared" si="150"/>
        <v>loss</v>
      </c>
    </row>
    <row r="1955" spans="1:17" x14ac:dyDescent="0.25">
      <c r="A1955" s="3" t="s">
        <v>1672</v>
      </c>
      <c r="B1955" s="4">
        <v>46015</v>
      </c>
      <c r="C1955" s="3" t="s">
        <v>2023</v>
      </c>
      <c r="D1955" s="3" t="s">
        <v>2043</v>
      </c>
      <c r="E1955" s="3" t="s">
        <v>2053</v>
      </c>
      <c r="F1955" s="3" t="s">
        <v>2061</v>
      </c>
      <c r="G1955" s="3">
        <v>9</v>
      </c>
      <c r="H1955" s="3">
        <v>550</v>
      </c>
      <c r="I1955" s="3">
        <v>742.5</v>
      </c>
      <c r="J1955" s="3">
        <v>25.14</v>
      </c>
      <c r="K1955" s="3">
        <v>5002.41</v>
      </c>
      <c r="L1955" s="3">
        <v>52.41</v>
      </c>
      <c r="M1955" s="3">
        <f t="shared" si="151"/>
        <v>167998.05000000002</v>
      </c>
      <c r="N1955" s="3">
        <f t="shared" si="152"/>
        <v>4950</v>
      </c>
      <c r="O1955" s="3">
        <f t="shared" si="153"/>
        <v>1.0476950110046956</v>
      </c>
      <c r="P1955" s="3" t="str">
        <f t="shared" si="154"/>
        <v>Dec</v>
      </c>
      <c r="Q1955" s="3" t="str">
        <f t="shared" si="150"/>
        <v>low profit</v>
      </c>
    </row>
    <row r="1956" spans="1:17" x14ac:dyDescent="0.25">
      <c r="A1956" s="3" t="s">
        <v>164</v>
      </c>
      <c r="B1956" s="4">
        <v>46016</v>
      </c>
      <c r="C1956" s="3" t="s">
        <v>2027</v>
      </c>
      <c r="D1956" s="3" t="s">
        <v>2047</v>
      </c>
      <c r="E1956" s="3" t="s">
        <v>2053</v>
      </c>
      <c r="F1956" s="3" t="s">
        <v>2059</v>
      </c>
      <c r="G1956" s="3">
        <v>2</v>
      </c>
      <c r="H1956" s="3">
        <v>1100</v>
      </c>
      <c r="I1956" s="3">
        <v>1298</v>
      </c>
      <c r="J1956" s="3">
        <v>12.33</v>
      </c>
      <c r="K1956" s="3">
        <v>2275.89</v>
      </c>
      <c r="L1956" s="3">
        <v>75.89</v>
      </c>
      <c r="M1956" s="3">
        <f t="shared" si="151"/>
        <v>32008.68</v>
      </c>
      <c r="N1956" s="3">
        <f t="shared" si="152"/>
        <v>2200</v>
      </c>
      <c r="O1956" s="3">
        <f t="shared" si="153"/>
        <v>3.334519682409959</v>
      </c>
      <c r="P1956" s="3" t="str">
        <f t="shared" si="154"/>
        <v>Dec</v>
      </c>
      <c r="Q1956" s="3" t="str">
        <f t="shared" si="150"/>
        <v>low profit</v>
      </c>
    </row>
    <row r="1957" spans="1:17" x14ac:dyDescent="0.25">
      <c r="A1957" s="3" t="s">
        <v>427</v>
      </c>
      <c r="B1957" s="4">
        <v>46016</v>
      </c>
      <c r="C1957" s="3" t="s">
        <v>2023</v>
      </c>
      <c r="D1957" s="3" t="s">
        <v>2043</v>
      </c>
      <c r="E1957" s="3" t="s">
        <v>2053</v>
      </c>
      <c r="F1957" s="3" t="s">
        <v>2062</v>
      </c>
      <c r="G1957" s="3">
        <v>5</v>
      </c>
      <c r="H1957" s="3">
        <v>550</v>
      </c>
      <c r="I1957" s="3">
        <v>742.5</v>
      </c>
      <c r="J1957" s="3">
        <v>3.75</v>
      </c>
      <c r="K1957" s="3">
        <v>3573.28</v>
      </c>
      <c r="L1957" s="3">
        <v>823.28</v>
      </c>
      <c r="M1957" s="3">
        <f t="shared" si="151"/>
        <v>13921.875</v>
      </c>
      <c r="N1957" s="3">
        <f t="shared" si="152"/>
        <v>2750</v>
      </c>
      <c r="O1957" s="3">
        <f t="shared" si="153"/>
        <v>23.039896117852503</v>
      </c>
      <c r="P1957" s="3" t="str">
        <f t="shared" si="154"/>
        <v>Dec</v>
      </c>
      <c r="Q1957" s="3" t="str">
        <f t="shared" si="150"/>
        <v>good profit</v>
      </c>
    </row>
    <row r="1958" spans="1:17" x14ac:dyDescent="0.25">
      <c r="A1958" s="3" t="s">
        <v>493</v>
      </c>
      <c r="B1958" s="4">
        <v>46016</v>
      </c>
      <c r="C1958" s="3" t="s">
        <v>2017</v>
      </c>
      <c r="D1958" s="3" t="s">
        <v>2037</v>
      </c>
      <c r="E1958" s="3" t="s">
        <v>2055</v>
      </c>
      <c r="F1958" s="3" t="s">
        <v>2060</v>
      </c>
      <c r="G1958" s="3">
        <v>5</v>
      </c>
      <c r="H1958" s="3">
        <v>2500</v>
      </c>
      <c r="I1958" s="3">
        <v>2875</v>
      </c>
      <c r="J1958" s="3">
        <v>10.78</v>
      </c>
      <c r="K1958" s="3">
        <v>12824.73</v>
      </c>
      <c r="L1958" s="3">
        <v>324.73</v>
      </c>
      <c r="M1958" s="3">
        <f t="shared" si="151"/>
        <v>154962.5</v>
      </c>
      <c r="N1958" s="3">
        <f t="shared" si="152"/>
        <v>12500</v>
      </c>
      <c r="O1958" s="3">
        <f t="shared" si="153"/>
        <v>2.5320611038205096</v>
      </c>
      <c r="P1958" s="3" t="str">
        <f t="shared" si="154"/>
        <v>Dec</v>
      </c>
      <c r="Q1958" s="3" t="str">
        <f t="shared" si="150"/>
        <v>low profit</v>
      </c>
    </row>
    <row r="1959" spans="1:17" x14ac:dyDescent="0.25">
      <c r="A1959" s="3" t="s">
        <v>1164</v>
      </c>
      <c r="B1959" s="4">
        <v>46016</v>
      </c>
      <c r="C1959" s="3" t="s">
        <v>2020</v>
      </c>
      <c r="D1959" s="3" t="s">
        <v>2040</v>
      </c>
      <c r="E1959" s="3" t="s">
        <v>2053</v>
      </c>
      <c r="F1959" s="3" t="s">
        <v>2060</v>
      </c>
      <c r="G1959" s="3">
        <v>10</v>
      </c>
      <c r="H1959" s="3">
        <v>350</v>
      </c>
      <c r="I1959" s="3">
        <v>455</v>
      </c>
      <c r="J1959" s="3">
        <v>12.25</v>
      </c>
      <c r="K1959" s="3">
        <v>3992.64</v>
      </c>
      <c r="L1959" s="3">
        <v>492.64</v>
      </c>
      <c r="M1959" s="3">
        <f t="shared" si="151"/>
        <v>55737.5</v>
      </c>
      <c r="N1959" s="3">
        <f t="shared" si="152"/>
        <v>3500</v>
      </c>
      <c r="O1959" s="3">
        <f t="shared" si="153"/>
        <v>12.338703213913602</v>
      </c>
      <c r="P1959" s="3" t="str">
        <f t="shared" si="154"/>
        <v>Dec</v>
      </c>
      <c r="Q1959" s="3" t="str">
        <f t="shared" si="150"/>
        <v>good profit</v>
      </c>
    </row>
    <row r="1960" spans="1:17" x14ac:dyDescent="0.25">
      <c r="A1960" s="3" t="s">
        <v>1447</v>
      </c>
      <c r="B1960" s="4">
        <v>46016</v>
      </c>
      <c r="C1960" s="3" t="s">
        <v>2020</v>
      </c>
      <c r="D1960" s="3" t="s">
        <v>2040</v>
      </c>
      <c r="E1960" s="3" t="s">
        <v>2053</v>
      </c>
      <c r="F1960" s="3" t="s">
        <v>2061</v>
      </c>
      <c r="G1960" s="3">
        <v>5</v>
      </c>
      <c r="H1960" s="3">
        <v>350</v>
      </c>
      <c r="I1960" s="3">
        <v>455</v>
      </c>
      <c r="J1960" s="3">
        <v>8.15</v>
      </c>
      <c r="K1960" s="3">
        <v>2089.64</v>
      </c>
      <c r="L1960" s="3">
        <v>339.64</v>
      </c>
      <c r="M1960" s="3">
        <f t="shared" si="151"/>
        <v>18541.25</v>
      </c>
      <c r="N1960" s="3">
        <f t="shared" si="152"/>
        <v>1750</v>
      </c>
      <c r="O1960" s="3">
        <f t="shared" si="153"/>
        <v>16.253517352271203</v>
      </c>
      <c r="P1960" s="3" t="str">
        <f t="shared" si="154"/>
        <v>Dec</v>
      </c>
      <c r="Q1960" s="3" t="str">
        <f t="shared" si="150"/>
        <v>good profit</v>
      </c>
    </row>
    <row r="1961" spans="1:17" x14ac:dyDescent="0.25">
      <c r="A1961" s="3" t="s">
        <v>1743</v>
      </c>
      <c r="B1961" s="4">
        <v>46016</v>
      </c>
      <c r="C1961" s="3" t="s">
        <v>2019</v>
      </c>
      <c r="D1961" s="3" t="s">
        <v>2039</v>
      </c>
      <c r="E1961" s="3" t="s">
        <v>2053</v>
      </c>
      <c r="F1961" s="3" t="s">
        <v>2061</v>
      </c>
      <c r="G1961" s="3">
        <v>7</v>
      </c>
      <c r="H1961" s="3">
        <v>900</v>
      </c>
      <c r="I1961" s="3">
        <v>1152</v>
      </c>
      <c r="J1961" s="3">
        <v>6.75</v>
      </c>
      <c r="K1961" s="3">
        <v>7519.97</v>
      </c>
      <c r="L1961" s="3">
        <v>1219.97</v>
      </c>
      <c r="M1961" s="3">
        <f t="shared" si="151"/>
        <v>54432</v>
      </c>
      <c r="N1961" s="3">
        <f t="shared" si="152"/>
        <v>6300</v>
      </c>
      <c r="O1961" s="3">
        <f t="shared" si="153"/>
        <v>16.22307003884324</v>
      </c>
      <c r="P1961" s="3" t="str">
        <f t="shared" si="154"/>
        <v>Dec</v>
      </c>
      <c r="Q1961" s="3" t="str">
        <f t="shared" si="150"/>
        <v>good profit</v>
      </c>
    </row>
    <row r="1962" spans="1:17" x14ac:dyDescent="0.25">
      <c r="A1962" s="3" t="s">
        <v>40</v>
      </c>
      <c r="B1962" s="4">
        <v>46017</v>
      </c>
      <c r="C1962" s="3" t="s">
        <v>2027</v>
      </c>
      <c r="D1962" s="3" t="s">
        <v>2047</v>
      </c>
      <c r="E1962" s="3" t="s">
        <v>2053</v>
      </c>
      <c r="F1962" s="3" t="s">
        <v>2059</v>
      </c>
      <c r="G1962" s="3">
        <v>6</v>
      </c>
      <c r="H1962" s="3">
        <v>1100</v>
      </c>
      <c r="I1962" s="3">
        <v>1298</v>
      </c>
      <c r="J1962" s="3">
        <v>12.61</v>
      </c>
      <c r="K1962" s="3">
        <v>6805.68</v>
      </c>
      <c r="L1962" s="3">
        <v>205.68</v>
      </c>
      <c r="M1962" s="3">
        <f t="shared" si="151"/>
        <v>98206.68</v>
      </c>
      <c r="N1962" s="3">
        <f t="shared" si="152"/>
        <v>6600</v>
      </c>
      <c r="O1962" s="3">
        <f t="shared" si="153"/>
        <v>3.0221814719469617</v>
      </c>
      <c r="P1962" s="3" t="str">
        <f t="shared" si="154"/>
        <v>Dec</v>
      </c>
      <c r="Q1962" s="3" t="str">
        <f t="shared" si="150"/>
        <v>low profit</v>
      </c>
    </row>
    <row r="1963" spans="1:17" x14ac:dyDescent="0.25">
      <c r="A1963" s="3" t="s">
        <v>284</v>
      </c>
      <c r="B1963" s="4">
        <v>46017</v>
      </c>
      <c r="C1963" s="3" t="s">
        <v>2031</v>
      </c>
      <c r="D1963" s="3" t="s">
        <v>2051</v>
      </c>
      <c r="E1963" s="3" t="s">
        <v>2058</v>
      </c>
      <c r="F1963" s="3" t="s">
        <v>2059</v>
      </c>
      <c r="G1963" s="3">
        <v>1</v>
      </c>
      <c r="H1963" s="3">
        <v>3200</v>
      </c>
      <c r="I1963" s="3">
        <v>3840</v>
      </c>
      <c r="J1963" s="3">
        <v>14.94</v>
      </c>
      <c r="K1963" s="3">
        <v>3266.37</v>
      </c>
      <c r="L1963" s="3">
        <v>66.37</v>
      </c>
      <c r="M1963" s="3">
        <f t="shared" si="151"/>
        <v>57369.599999999999</v>
      </c>
      <c r="N1963" s="3">
        <f t="shared" si="152"/>
        <v>3200</v>
      </c>
      <c r="O1963" s="3">
        <f t="shared" si="153"/>
        <v>2.0319192253174014</v>
      </c>
      <c r="P1963" s="3" t="str">
        <f t="shared" si="154"/>
        <v>Dec</v>
      </c>
      <c r="Q1963" s="3" t="str">
        <f t="shared" si="150"/>
        <v>low profit</v>
      </c>
    </row>
    <row r="1964" spans="1:17" x14ac:dyDescent="0.25">
      <c r="A1964" s="3" t="s">
        <v>337</v>
      </c>
      <c r="B1964" s="4">
        <v>46017</v>
      </c>
      <c r="C1964" s="3" t="s">
        <v>2016</v>
      </c>
      <c r="D1964" s="3" t="s">
        <v>2036</v>
      </c>
      <c r="E1964" s="3" t="s">
        <v>2052</v>
      </c>
      <c r="F1964" s="3" t="s">
        <v>2062</v>
      </c>
      <c r="G1964" s="3">
        <v>4</v>
      </c>
      <c r="H1964" s="3">
        <v>900</v>
      </c>
      <c r="I1964" s="3">
        <v>1170</v>
      </c>
      <c r="J1964" s="3">
        <v>0</v>
      </c>
      <c r="K1964" s="3">
        <v>4680</v>
      </c>
      <c r="L1964" s="3">
        <v>1080</v>
      </c>
      <c r="M1964" s="3">
        <f t="shared" si="151"/>
        <v>0</v>
      </c>
      <c r="N1964" s="3">
        <f t="shared" si="152"/>
        <v>3600</v>
      </c>
      <c r="O1964" s="3">
        <f t="shared" si="153"/>
        <v>23.076923076923077</v>
      </c>
      <c r="P1964" s="3" t="str">
        <f t="shared" si="154"/>
        <v>Dec</v>
      </c>
      <c r="Q1964" s="3" t="str">
        <f t="shared" si="150"/>
        <v>good profit</v>
      </c>
    </row>
    <row r="1965" spans="1:17" x14ac:dyDescent="0.25">
      <c r="A1965" s="3" t="s">
        <v>1078</v>
      </c>
      <c r="B1965" s="4">
        <v>46017</v>
      </c>
      <c r="C1965" s="3" t="s">
        <v>2014</v>
      </c>
      <c r="D1965" s="3" t="s">
        <v>2034</v>
      </c>
      <c r="E1965" s="3" t="s">
        <v>2052</v>
      </c>
      <c r="F1965" s="3" t="s">
        <v>2060</v>
      </c>
      <c r="G1965" s="3">
        <v>3</v>
      </c>
      <c r="H1965" s="3">
        <v>4500</v>
      </c>
      <c r="I1965" s="3">
        <v>5220</v>
      </c>
      <c r="J1965" s="3">
        <v>11.12</v>
      </c>
      <c r="K1965" s="3">
        <v>13919.2</v>
      </c>
      <c r="L1965" s="3">
        <v>419.2</v>
      </c>
      <c r="M1965" s="3">
        <f t="shared" si="151"/>
        <v>174139.19999999998</v>
      </c>
      <c r="N1965" s="3">
        <f t="shared" si="152"/>
        <v>13500</v>
      </c>
      <c r="O1965" s="3">
        <f t="shared" si="153"/>
        <v>3.0116673372032872</v>
      </c>
      <c r="P1965" s="3" t="str">
        <f t="shared" si="154"/>
        <v>Dec</v>
      </c>
      <c r="Q1965" s="3" t="str">
        <f t="shared" si="150"/>
        <v>low profit</v>
      </c>
    </row>
    <row r="1966" spans="1:17" x14ac:dyDescent="0.25">
      <c r="A1966" s="3" t="s">
        <v>1599</v>
      </c>
      <c r="B1966" s="4">
        <v>46017</v>
      </c>
      <c r="C1966" s="3" t="s">
        <v>2029</v>
      </c>
      <c r="D1966" s="3" t="s">
        <v>2049</v>
      </c>
      <c r="E1966" s="3" t="s">
        <v>2055</v>
      </c>
      <c r="F1966" s="3" t="s">
        <v>2062</v>
      </c>
      <c r="G1966" s="3">
        <v>7</v>
      </c>
      <c r="H1966" s="3">
        <v>1200</v>
      </c>
      <c r="I1966" s="3">
        <v>1464</v>
      </c>
      <c r="J1966" s="3">
        <v>5.53</v>
      </c>
      <c r="K1966" s="3">
        <v>9680.94</v>
      </c>
      <c r="L1966" s="3">
        <v>1280.94</v>
      </c>
      <c r="M1966" s="3">
        <f t="shared" si="151"/>
        <v>56671.44</v>
      </c>
      <c r="N1966" s="3">
        <f t="shared" si="152"/>
        <v>8400</v>
      </c>
      <c r="O1966" s="3">
        <f t="shared" si="153"/>
        <v>13.231566356159629</v>
      </c>
      <c r="P1966" s="3" t="str">
        <f t="shared" si="154"/>
        <v>Dec</v>
      </c>
      <c r="Q1966" s="3" t="str">
        <f t="shared" si="150"/>
        <v>good profit</v>
      </c>
    </row>
    <row r="1967" spans="1:17" x14ac:dyDescent="0.25">
      <c r="A1967" s="3" t="s">
        <v>1713</v>
      </c>
      <c r="B1967" s="4">
        <v>46017</v>
      </c>
      <c r="C1967" s="3" t="s">
        <v>2028</v>
      </c>
      <c r="D1967" s="3" t="s">
        <v>2048</v>
      </c>
      <c r="E1967" s="3" t="s">
        <v>2057</v>
      </c>
      <c r="F1967" s="3" t="s">
        <v>2060</v>
      </c>
      <c r="G1967" s="3">
        <v>4</v>
      </c>
      <c r="H1967" s="3">
        <v>80</v>
      </c>
      <c r="I1967" s="3">
        <v>116</v>
      </c>
      <c r="J1967" s="3">
        <v>8.32</v>
      </c>
      <c r="K1967" s="3">
        <v>425.42</v>
      </c>
      <c r="L1967" s="3">
        <v>105.42</v>
      </c>
      <c r="M1967" s="3">
        <f t="shared" si="151"/>
        <v>3860.48</v>
      </c>
      <c r="N1967" s="3">
        <f t="shared" si="152"/>
        <v>320</v>
      </c>
      <c r="O1967" s="3">
        <f t="shared" si="153"/>
        <v>24.780217197122841</v>
      </c>
      <c r="P1967" s="3" t="str">
        <f t="shared" si="154"/>
        <v>Dec</v>
      </c>
      <c r="Q1967" s="3" t="str">
        <f t="shared" si="150"/>
        <v>good profit</v>
      </c>
    </row>
    <row r="1968" spans="1:17" x14ac:dyDescent="0.25">
      <c r="A1968" s="3" t="s">
        <v>60</v>
      </c>
      <c r="B1968" s="4">
        <v>46018</v>
      </c>
      <c r="C1968" s="3" t="s">
        <v>2018</v>
      </c>
      <c r="D1968" s="3" t="s">
        <v>2038</v>
      </c>
      <c r="E1968" s="3" t="s">
        <v>2053</v>
      </c>
      <c r="F1968" s="3" t="s">
        <v>2061</v>
      </c>
      <c r="G1968" s="3">
        <v>2</v>
      </c>
      <c r="H1968" s="3">
        <v>500</v>
      </c>
      <c r="I1968" s="3">
        <v>610</v>
      </c>
      <c r="J1968" s="3">
        <v>16.72</v>
      </c>
      <c r="K1968" s="3">
        <v>1015.96</v>
      </c>
      <c r="L1968" s="3">
        <v>15.96</v>
      </c>
      <c r="M1968" s="3">
        <f t="shared" si="151"/>
        <v>20398.399999999998</v>
      </c>
      <c r="N1968" s="3">
        <f t="shared" si="152"/>
        <v>1000</v>
      </c>
      <c r="O1968" s="3">
        <f t="shared" si="153"/>
        <v>1.5709279892909169</v>
      </c>
      <c r="P1968" s="3" t="str">
        <f t="shared" si="154"/>
        <v>Dec</v>
      </c>
      <c r="Q1968" s="3" t="str">
        <f t="shared" si="150"/>
        <v>low profit</v>
      </c>
    </row>
    <row r="1969" spans="1:17" x14ac:dyDescent="0.25">
      <c r="A1969" s="3" t="s">
        <v>862</v>
      </c>
      <c r="B1969" s="4">
        <v>46018</v>
      </c>
      <c r="C1969" s="3" t="s">
        <v>2028</v>
      </c>
      <c r="D1969" s="3" t="s">
        <v>2048</v>
      </c>
      <c r="E1969" s="3" t="s">
        <v>2057</v>
      </c>
      <c r="F1969" s="3" t="s">
        <v>2060</v>
      </c>
      <c r="G1969" s="3">
        <v>10</v>
      </c>
      <c r="H1969" s="3">
        <v>80</v>
      </c>
      <c r="I1969" s="3">
        <v>116</v>
      </c>
      <c r="J1969" s="3">
        <v>3.68</v>
      </c>
      <c r="K1969" s="3">
        <v>1117.29</v>
      </c>
      <c r="L1969" s="3">
        <v>317.29000000000002</v>
      </c>
      <c r="M1969" s="3">
        <f t="shared" si="151"/>
        <v>4268.8</v>
      </c>
      <c r="N1969" s="3">
        <f t="shared" si="152"/>
        <v>800</v>
      </c>
      <c r="O1969" s="3">
        <f t="shared" si="153"/>
        <v>28.398177733623324</v>
      </c>
      <c r="P1969" s="3" t="str">
        <f t="shared" si="154"/>
        <v>Dec</v>
      </c>
      <c r="Q1969" s="3" t="str">
        <f t="shared" si="150"/>
        <v>good profit</v>
      </c>
    </row>
    <row r="1970" spans="1:17" x14ac:dyDescent="0.25">
      <c r="A1970" s="3" t="s">
        <v>898</v>
      </c>
      <c r="B1970" s="4">
        <v>46018</v>
      </c>
      <c r="C1970" s="3" t="s">
        <v>2030</v>
      </c>
      <c r="D1970" s="3" t="s">
        <v>2050</v>
      </c>
      <c r="E1970" s="3" t="s">
        <v>2058</v>
      </c>
      <c r="F1970" s="3" t="s">
        <v>2062</v>
      </c>
      <c r="G1970" s="3">
        <v>9</v>
      </c>
      <c r="H1970" s="3">
        <v>1800</v>
      </c>
      <c r="I1970" s="3">
        <v>2124</v>
      </c>
      <c r="J1970" s="3">
        <v>9.41</v>
      </c>
      <c r="K1970" s="3">
        <v>17317.25</v>
      </c>
      <c r="L1970" s="3">
        <v>1117.25</v>
      </c>
      <c r="M1970" s="3">
        <f t="shared" si="151"/>
        <v>179881.56</v>
      </c>
      <c r="N1970" s="3">
        <f t="shared" si="152"/>
        <v>16200</v>
      </c>
      <c r="O1970" s="3">
        <f t="shared" si="153"/>
        <v>6.4516594724913015</v>
      </c>
      <c r="P1970" s="3" t="str">
        <f t="shared" si="154"/>
        <v>Dec</v>
      </c>
      <c r="Q1970" s="3" t="str">
        <f t="shared" si="150"/>
        <v>low profit</v>
      </c>
    </row>
    <row r="1971" spans="1:17" x14ac:dyDescent="0.25">
      <c r="A1971" s="3" t="s">
        <v>921</v>
      </c>
      <c r="B1971" s="4">
        <v>46018</v>
      </c>
      <c r="C1971" s="3" t="s">
        <v>2013</v>
      </c>
      <c r="D1971" s="3" t="s">
        <v>2033</v>
      </c>
      <c r="E1971" s="3" t="s">
        <v>2053</v>
      </c>
      <c r="F1971" s="3" t="s">
        <v>2060</v>
      </c>
      <c r="G1971" s="3">
        <v>10</v>
      </c>
      <c r="H1971" s="3">
        <v>6500</v>
      </c>
      <c r="I1971" s="3">
        <v>7150</v>
      </c>
      <c r="J1971" s="3">
        <v>4</v>
      </c>
      <c r="K1971" s="3">
        <v>68640</v>
      </c>
      <c r="L1971" s="3">
        <v>3640</v>
      </c>
      <c r="M1971" s="3">
        <f t="shared" si="151"/>
        <v>286000</v>
      </c>
      <c r="N1971" s="3">
        <f t="shared" si="152"/>
        <v>65000</v>
      </c>
      <c r="O1971" s="3">
        <f t="shared" si="153"/>
        <v>5.3030303030303028</v>
      </c>
      <c r="P1971" s="3" t="str">
        <f t="shared" si="154"/>
        <v>Dec</v>
      </c>
      <c r="Q1971" s="3" t="str">
        <f t="shared" si="150"/>
        <v>low profit</v>
      </c>
    </row>
    <row r="1972" spans="1:17" x14ac:dyDescent="0.25">
      <c r="A1972" s="3" t="s">
        <v>1384</v>
      </c>
      <c r="B1972" s="4">
        <v>46018</v>
      </c>
      <c r="C1972" s="3" t="s">
        <v>2022</v>
      </c>
      <c r="D1972" s="3" t="s">
        <v>2042</v>
      </c>
      <c r="E1972" s="3" t="s">
        <v>2053</v>
      </c>
      <c r="F1972" s="3" t="s">
        <v>2060</v>
      </c>
      <c r="G1972" s="3">
        <v>6</v>
      </c>
      <c r="H1972" s="3">
        <v>8500</v>
      </c>
      <c r="I1972" s="3">
        <v>9520</v>
      </c>
      <c r="J1972" s="3">
        <v>8.9600000000000009</v>
      </c>
      <c r="K1972" s="3">
        <v>51999.71</v>
      </c>
      <c r="L1972" s="3">
        <v>999.71</v>
      </c>
      <c r="M1972" s="3">
        <f t="shared" si="151"/>
        <v>511795.20000000007</v>
      </c>
      <c r="N1972" s="3">
        <f t="shared" si="152"/>
        <v>51000</v>
      </c>
      <c r="O1972" s="3">
        <f t="shared" si="153"/>
        <v>1.9225299525708894</v>
      </c>
      <c r="P1972" s="3" t="str">
        <f t="shared" si="154"/>
        <v>Dec</v>
      </c>
      <c r="Q1972" s="3" t="str">
        <f t="shared" si="150"/>
        <v>low profit</v>
      </c>
    </row>
    <row r="1973" spans="1:17" x14ac:dyDescent="0.25">
      <c r="A1973" s="3" t="s">
        <v>1456</v>
      </c>
      <c r="B1973" s="4">
        <v>46018</v>
      </c>
      <c r="C1973" s="3" t="s">
        <v>2021</v>
      </c>
      <c r="D1973" s="3" t="s">
        <v>2041</v>
      </c>
      <c r="E1973" s="3" t="s">
        <v>2056</v>
      </c>
      <c r="F1973" s="3" t="s">
        <v>2062</v>
      </c>
      <c r="G1973" s="3">
        <v>4</v>
      </c>
      <c r="H1973" s="3">
        <v>300</v>
      </c>
      <c r="I1973" s="3">
        <v>405</v>
      </c>
      <c r="J1973" s="3">
        <v>15.21</v>
      </c>
      <c r="K1973" s="3">
        <v>1373.61</v>
      </c>
      <c r="L1973" s="3">
        <v>173.61</v>
      </c>
      <c r="M1973" s="3">
        <f t="shared" si="151"/>
        <v>24640.2</v>
      </c>
      <c r="N1973" s="3">
        <f t="shared" si="152"/>
        <v>1200</v>
      </c>
      <c r="O1973" s="3">
        <f t="shared" si="153"/>
        <v>12.638958656387187</v>
      </c>
      <c r="P1973" s="3" t="str">
        <f t="shared" si="154"/>
        <v>Dec</v>
      </c>
      <c r="Q1973" s="3" t="str">
        <f t="shared" si="150"/>
        <v>good profit</v>
      </c>
    </row>
    <row r="1974" spans="1:17" x14ac:dyDescent="0.25">
      <c r="A1974" s="3" t="s">
        <v>1619</v>
      </c>
      <c r="B1974" s="4">
        <v>46018</v>
      </c>
      <c r="C1974" s="3" t="s">
        <v>2021</v>
      </c>
      <c r="D1974" s="3" t="s">
        <v>2041</v>
      </c>
      <c r="E1974" s="3" t="s">
        <v>2056</v>
      </c>
      <c r="F1974" s="3" t="s">
        <v>2061</v>
      </c>
      <c r="G1974" s="3">
        <v>3</v>
      </c>
      <c r="H1974" s="3">
        <v>300</v>
      </c>
      <c r="I1974" s="3">
        <v>405</v>
      </c>
      <c r="J1974" s="3">
        <v>0</v>
      </c>
      <c r="K1974" s="3">
        <v>1215</v>
      </c>
      <c r="L1974" s="3">
        <v>315</v>
      </c>
      <c r="M1974" s="3">
        <f t="shared" si="151"/>
        <v>0</v>
      </c>
      <c r="N1974" s="3">
        <f t="shared" si="152"/>
        <v>900</v>
      </c>
      <c r="O1974" s="3">
        <f t="shared" si="153"/>
        <v>25.925925925925924</v>
      </c>
      <c r="P1974" s="3" t="str">
        <f t="shared" si="154"/>
        <v>Dec</v>
      </c>
      <c r="Q1974" s="3" t="str">
        <f t="shared" si="150"/>
        <v>good profit</v>
      </c>
    </row>
    <row r="1975" spans="1:17" x14ac:dyDescent="0.25">
      <c r="A1975" s="3" t="s">
        <v>2009</v>
      </c>
      <c r="B1975" s="4">
        <v>46018</v>
      </c>
      <c r="C1975" s="3" t="s">
        <v>2024</v>
      </c>
      <c r="D1975" s="3" t="s">
        <v>2044</v>
      </c>
      <c r="E1975" s="3" t="s">
        <v>2055</v>
      </c>
      <c r="F1975" s="3" t="s">
        <v>2061</v>
      </c>
      <c r="G1975" s="3">
        <v>2</v>
      </c>
      <c r="H1975" s="3">
        <v>180</v>
      </c>
      <c r="I1975" s="3">
        <v>243</v>
      </c>
      <c r="J1975" s="3">
        <v>13.46</v>
      </c>
      <c r="K1975" s="3">
        <v>420.59</v>
      </c>
      <c r="L1975" s="3">
        <v>60.59</v>
      </c>
      <c r="M1975" s="3">
        <f t="shared" si="151"/>
        <v>6541.56</v>
      </c>
      <c r="N1975" s="3">
        <f t="shared" si="152"/>
        <v>360</v>
      </c>
      <c r="O1975" s="3">
        <f t="shared" si="153"/>
        <v>14.405953541453673</v>
      </c>
      <c r="P1975" s="3" t="str">
        <f t="shared" si="154"/>
        <v>Dec</v>
      </c>
      <c r="Q1975" s="3" t="str">
        <f t="shared" si="150"/>
        <v>good profit</v>
      </c>
    </row>
    <row r="1976" spans="1:17" x14ac:dyDescent="0.25">
      <c r="A1976" s="3" t="s">
        <v>379</v>
      </c>
      <c r="B1976" s="4">
        <v>46019</v>
      </c>
      <c r="C1976" s="3" t="s">
        <v>2023</v>
      </c>
      <c r="D1976" s="3" t="s">
        <v>2043</v>
      </c>
      <c r="E1976" s="3" t="s">
        <v>2053</v>
      </c>
      <c r="F1976" s="3" t="s">
        <v>2060</v>
      </c>
      <c r="G1976" s="3">
        <v>7</v>
      </c>
      <c r="H1976" s="3">
        <v>550</v>
      </c>
      <c r="I1976" s="3">
        <v>742.5</v>
      </c>
      <c r="J1976" s="3">
        <v>5.14</v>
      </c>
      <c r="K1976" s="3">
        <v>4930.42</v>
      </c>
      <c r="L1976" s="3">
        <v>1080.42</v>
      </c>
      <c r="M1976" s="3">
        <f t="shared" si="151"/>
        <v>26715.149999999998</v>
      </c>
      <c r="N1976" s="3">
        <f t="shared" si="152"/>
        <v>3850</v>
      </c>
      <c r="O1976" s="3">
        <f t="shared" si="153"/>
        <v>21.91334612467092</v>
      </c>
      <c r="P1976" s="3" t="str">
        <f t="shared" si="154"/>
        <v>Dec</v>
      </c>
      <c r="Q1976" s="3" t="str">
        <f t="shared" si="150"/>
        <v>good profit</v>
      </c>
    </row>
    <row r="1977" spans="1:17" x14ac:dyDescent="0.25">
      <c r="A1977" s="3" t="s">
        <v>390</v>
      </c>
      <c r="B1977" s="4">
        <v>46019</v>
      </c>
      <c r="C1977" s="3" t="s">
        <v>2021</v>
      </c>
      <c r="D1977" s="3" t="s">
        <v>2041</v>
      </c>
      <c r="E1977" s="3" t="s">
        <v>2056</v>
      </c>
      <c r="F1977" s="3" t="s">
        <v>2059</v>
      </c>
      <c r="G1977" s="3">
        <v>6</v>
      </c>
      <c r="H1977" s="3">
        <v>300</v>
      </c>
      <c r="I1977" s="3">
        <v>405</v>
      </c>
      <c r="J1977" s="3">
        <v>6.76</v>
      </c>
      <c r="K1977" s="3">
        <v>2265.65</v>
      </c>
      <c r="L1977" s="3">
        <v>465.65</v>
      </c>
      <c r="M1977" s="3">
        <f t="shared" si="151"/>
        <v>16426.8</v>
      </c>
      <c r="N1977" s="3">
        <f t="shared" si="152"/>
        <v>1800</v>
      </c>
      <c r="O1977" s="3">
        <f t="shared" si="153"/>
        <v>20.552600798887735</v>
      </c>
      <c r="P1977" s="3" t="str">
        <f t="shared" si="154"/>
        <v>Dec</v>
      </c>
      <c r="Q1977" s="3" t="str">
        <f t="shared" si="150"/>
        <v>good profit</v>
      </c>
    </row>
    <row r="1978" spans="1:17" x14ac:dyDescent="0.25">
      <c r="A1978" s="3" t="s">
        <v>935</v>
      </c>
      <c r="B1978" s="4">
        <v>46019</v>
      </c>
      <c r="C1978" s="3" t="s">
        <v>2027</v>
      </c>
      <c r="D1978" s="3" t="s">
        <v>2047</v>
      </c>
      <c r="E1978" s="3" t="s">
        <v>2053</v>
      </c>
      <c r="F1978" s="3" t="s">
        <v>2060</v>
      </c>
      <c r="G1978" s="3">
        <v>8</v>
      </c>
      <c r="H1978" s="3">
        <v>1100</v>
      </c>
      <c r="I1978" s="3">
        <v>1298</v>
      </c>
      <c r="J1978" s="3">
        <v>19.010000000000002</v>
      </c>
      <c r="K1978" s="3">
        <v>8410.48</v>
      </c>
      <c r="L1978" s="3">
        <v>-389.52</v>
      </c>
      <c r="M1978" s="3">
        <f t="shared" si="151"/>
        <v>197399.84000000003</v>
      </c>
      <c r="N1978" s="3">
        <f t="shared" si="152"/>
        <v>8800</v>
      </c>
      <c r="O1978" s="3">
        <f t="shared" si="153"/>
        <v>-4.6313646783536733</v>
      </c>
      <c r="P1978" s="3" t="str">
        <f t="shared" si="154"/>
        <v>Dec</v>
      </c>
      <c r="Q1978" s="3" t="str">
        <f t="shared" si="150"/>
        <v>loss</v>
      </c>
    </row>
    <row r="1979" spans="1:17" x14ac:dyDescent="0.25">
      <c r="A1979" s="3" t="s">
        <v>1592</v>
      </c>
      <c r="B1979" s="4">
        <v>46019</v>
      </c>
      <c r="C1979" s="3" t="s">
        <v>2019</v>
      </c>
      <c r="D1979" s="3" t="s">
        <v>2039</v>
      </c>
      <c r="E1979" s="3" t="s">
        <v>2053</v>
      </c>
      <c r="F1979" s="3" t="s">
        <v>2059</v>
      </c>
      <c r="G1979" s="3">
        <v>9</v>
      </c>
      <c r="H1979" s="3">
        <v>900</v>
      </c>
      <c r="I1979" s="3">
        <v>1152</v>
      </c>
      <c r="J1979" s="3">
        <v>0</v>
      </c>
      <c r="K1979" s="3">
        <v>10368</v>
      </c>
      <c r="L1979" s="3">
        <v>2268</v>
      </c>
      <c r="M1979" s="3">
        <f t="shared" si="151"/>
        <v>0</v>
      </c>
      <c r="N1979" s="3">
        <f t="shared" si="152"/>
        <v>8100</v>
      </c>
      <c r="O1979" s="3">
        <f t="shared" si="153"/>
        <v>21.875</v>
      </c>
      <c r="P1979" s="3" t="str">
        <f t="shared" si="154"/>
        <v>Dec</v>
      </c>
      <c r="Q1979" s="3" t="str">
        <f t="shared" si="150"/>
        <v>good profit</v>
      </c>
    </row>
    <row r="1980" spans="1:17" x14ac:dyDescent="0.25">
      <c r="A1980" s="3" t="s">
        <v>1688</v>
      </c>
      <c r="B1980" s="4">
        <v>46019</v>
      </c>
      <c r="C1980" s="3" t="s">
        <v>2030</v>
      </c>
      <c r="D1980" s="3" t="s">
        <v>2050</v>
      </c>
      <c r="E1980" s="3" t="s">
        <v>2058</v>
      </c>
      <c r="F1980" s="3" t="s">
        <v>2061</v>
      </c>
      <c r="G1980" s="3">
        <v>7</v>
      </c>
      <c r="H1980" s="3">
        <v>1800</v>
      </c>
      <c r="I1980" s="3">
        <v>2124</v>
      </c>
      <c r="J1980" s="3">
        <v>24.24</v>
      </c>
      <c r="K1980" s="3">
        <v>11264.38</v>
      </c>
      <c r="L1980" s="3">
        <v>-1335.62</v>
      </c>
      <c r="M1980" s="3">
        <f t="shared" si="151"/>
        <v>360400.31999999995</v>
      </c>
      <c r="N1980" s="3">
        <f t="shared" si="152"/>
        <v>12600</v>
      </c>
      <c r="O1980" s="3">
        <f t="shared" si="153"/>
        <v>-11.857021868935529</v>
      </c>
      <c r="P1980" s="3" t="str">
        <f t="shared" si="154"/>
        <v>Dec</v>
      </c>
      <c r="Q1980" s="3" t="str">
        <f t="shared" si="150"/>
        <v>loss</v>
      </c>
    </row>
    <row r="1981" spans="1:17" x14ac:dyDescent="0.25">
      <c r="A1981" s="3" t="s">
        <v>1792</v>
      </c>
      <c r="B1981" s="4">
        <v>46019</v>
      </c>
      <c r="C1981" s="3" t="s">
        <v>2018</v>
      </c>
      <c r="D1981" s="3" t="s">
        <v>2038</v>
      </c>
      <c r="E1981" s="3" t="s">
        <v>2053</v>
      </c>
      <c r="F1981" s="3" t="s">
        <v>2059</v>
      </c>
      <c r="G1981" s="3">
        <v>1</v>
      </c>
      <c r="H1981" s="3">
        <v>500</v>
      </c>
      <c r="I1981" s="3">
        <v>610</v>
      </c>
      <c r="J1981" s="3">
        <v>12.69</v>
      </c>
      <c r="K1981" s="3">
        <v>532.61</v>
      </c>
      <c r="L1981" s="3">
        <v>32.61</v>
      </c>
      <c r="M1981" s="3">
        <f t="shared" si="151"/>
        <v>7740.9</v>
      </c>
      <c r="N1981" s="3">
        <f t="shared" si="152"/>
        <v>500</v>
      </c>
      <c r="O1981" s="3">
        <f t="shared" si="153"/>
        <v>6.1226788832353876</v>
      </c>
      <c r="P1981" s="3" t="str">
        <f t="shared" si="154"/>
        <v>Dec</v>
      </c>
      <c r="Q1981" s="3" t="str">
        <f t="shared" si="150"/>
        <v>low profit</v>
      </c>
    </row>
    <row r="1982" spans="1:17" x14ac:dyDescent="0.25">
      <c r="A1982" s="3" t="s">
        <v>567</v>
      </c>
      <c r="B1982" s="4">
        <v>46020</v>
      </c>
      <c r="C1982" s="3" t="s">
        <v>2026</v>
      </c>
      <c r="D1982" s="3" t="s">
        <v>2046</v>
      </c>
      <c r="E1982" s="3" t="s">
        <v>2052</v>
      </c>
      <c r="F1982" s="3" t="s">
        <v>2060</v>
      </c>
      <c r="G1982" s="3">
        <v>3</v>
      </c>
      <c r="H1982" s="3">
        <v>3000</v>
      </c>
      <c r="I1982" s="3">
        <v>3600</v>
      </c>
      <c r="J1982" s="3">
        <v>14.47</v>
      </c>
      <c r="K1982" s="3">
        <v>9237.0400000000009</v>
      </c>
      <c r="L1982" s="3">
        <v>237.04</v>
      </c>
      <c r="M1982" s="3">
        <f t="shared" si="151"/>
        <v>156276</v>
      </c>
      <c r="N1982" s="3">
        <f t="shared" si="152"/>
        <v>9000</v>
      </c>
      <c r="O1982" s="3">
        <f t="shared" si="153"/>
        <v>2.5661900349029558</v>
      </c>
      <c r="P1982" s="3" t="str">
        <f t="shared" si="154"/>
        <v>Dec</v>
      </c>
      <c r="Q1982" s="3" t="str">
        <f t="shared" si="150"/>
        <v>low profit</v>
      </c>
    </row>
    <row r="1983" spans="1:17" x14ac:dyDescent="0.25">
      <c r="A1983" s="3" t="s">
        <v>694</v>
      </c>
      <c r="B1983" s="4">
        <v>46020</v>
      </c>
      <c r="C1983" s="3" t="s">
        <v>2024</v>
      </c>
      <c r="D1983" s="3" t="s">
        <v>2044</v>
      </c>
      <c r="E1983" s="3" t="s">
        <v>2055</v>
      </c>
      <c r="F1983" s="3" t="s">
        <v>2059</v>
      </c>
      <c r="G1983" s="3">
        <v>7</v>
      </c>
      <c r="H1983" s="3">
        <v>180</v>
      </c>
      <c r="I1983" s="3">
        <v>243</v>
      </c>
      <c r="J1983" s="3">
        <v>24.44</v>
      </c>
      <c r="K1983" s="3">
        <v>1285.23</v>
      </c>
      <c r="L1983" s="3">
        <v>25.23</v>
      </c>
      <c r="M1983" s="3">
        <f t="shared" si="151"/>
        <v>41572.44</v>
      </c>
      <c r="N1983" s="3">
        <f t="shared" si="152"/>
        <v>1260</v>
      </c>
      <c r="O1983" s="3">
        <f t="shared" si="153"/>
        <v>1.9630727574052893</v>
      </c>
      <c r="P1983" s="3" t="str">
        <f t="shared" si="154"/>
        <v>Dec</v>
      </c>
      <c r="Q1983" s="3" t="str">
        <f t="shared" si="150"/>
        <v>low profit</v>
      </c>
    </row>
    <row r="1984" spans="1:17" x14ac:dyDescent="0.25">
      <c r="A1984" s="3" t="s">
        <v>961</v>
      </c>
      <c r="B1984" s="4">
        <v>46020</v>
      </c>
      <c r="C1984" s="3" t="s">
        <v>2016</v>
      </c>
      <c r="D1984" s="3" t="s">
        <v>2036</v>
      </c>
      <c r="E1984" s="3" t="s">
        <v>2052</v>
      </c>
      <c r="F1984" s="3" t="s">
        <v>2060</v>
      </c>
      <c r="G1984" s="3">
        <v>6</v>
      </c>
      <c r="H1984" s="3">
        <v>900</v>
      </c>
      <c r="I1984" s="3">
        <v>1170</v>
      </c>
      <c r="J1984" s="3">
        <v>12.57</v>
      </c>
      <c r="K1984" s="3">
        <v>6137.9</v>
      </c>
      <c r="L1984" s="3">
        <v>737.9</v>
      </c>
      <c r="M1984" s="3">
        <f t="shared" si="151"/>
        <v>88241.400000000009</v>
      </c>
      <c r="N1984" s="3">
        <f t="shared" si="152"/>
        <v>5400</v>
      </c>
      <c r="O1984" s="3">
        <f t="shared" si="153"/>
        <v>12.022027077664999</v>
      </c>
      <c r="P1984" s="3" t="str">
        <f t="shared" si="154"/>
        <v>Dec</v>
      </c>
      <c r="Q1984" s="3" t="str">
        <f t="shared" si="150"/>
        <v>good profit</v>
      </c>
    </row>
    <row r="1985" spans="1:17" x14ac:dyDescent="0.25">
      <c r="A1985" s="3" t="s">
        <v>1118</v>
      </c>
      <c r="B1985" s="4">
        <v>46020</v>
      </c>
      <c r="C1985" s="3" t="s">
        <v>2019</v>
      </c>
      <c r="D1985" s="3" t="s">
        <v>2039</v>
      </c>
      <c r="E1985" s="3" t="s">
        <v>2053</v>
      </c>
      <c r="F1985" s="3" t="s">
        <v>2060</v>
      </c>
      <c r="G1985" s="3">
        <v>7</v>
      </c>
      <c r="H1985" s="3">
        <v>900</v>
      </c>
      <c r="I1985" s="3">
        <v>1152</v>
      </c>
      <c r="J1985" s="3">
        <v>16.670000000000002</v>
      </c>
      <c r="K1985" s="3">
        <v>6719.65</v>
      </c>
      <c r="L1985" s="3">
        <v>419.65</v>
      </c>
      <c r="M1985" s="3">
        <f t="shared" si="151"/>
        <v>134426.88</v>
      </c>
      <c r="N1985" s="3">
        <f t="shared" si="152"/>
        <v>6300</v>
      </c>
      <c r="O1985" s="3">
        <f t="shared" si="153"/>
        <v>6.2451169331736027</v>
      </c>
      <c r="P1985" s="3" t="str">
        <f t="shared" si="154"/>
        <v>Dec</v>
      </c>
      <c r="Q1985" s="3" t="str">
        <f t="shared" si="150"/>
        <v>low profit</v>
      </c>
    </row>
    <row r="1986" spans="1:17" x14ac:dyDescent="0.25">
      <c r="A1986" s="3" t="s">
        <v>42</v>
      </c>
      <c r="B1986" s="4">
        <v>46021</v>
      </c>
      <c r="C1986" s="3" t="s">
        <v>2012</v>
      </c>
      <c r="D1986" s="3" t="s">
        <v>2032</v>
      </c>
      <c r="E1986" s="3" t="s">
        <v>2052</v>
      </c>
      <c r="F1986" s="3" t="s">
        <v>2061</v>
      </c>
      <c r="G1986" s="3">
        <v>9</v>
      </c>
      <c r="H1986" s="3">
        <v>6500</v>
      </c>
      <c r="I1986" s="3">
        <v>8125</v>
      </c>
      <c r="J1986" s="3">
        <v>19.329999999999998</v>
      </c>
      <c r="K1986" s="3">
        <v>58988.41</v>
      </c>
      <c r="L1986" s="3">
        <v>488.41</v>
      </c>
      <c r="M1986" s="3">
        <f t="shared" si="151"/>
        <v>1413506.2499999998</v>
      </c>
      <c r="N1986" s="3">
        <f t="shared" si="152"/>
        <v>58500</v>
      </c>
      <c r="O1986" s="3">
        <f t="shared" si="153"/>
        <v>0.82797620752958068</v>
      </c>
      <c r="P1986" s="3" t="str">
        <f t="shared" si="154"/>
        <v>Dec</v>
      </c>
      <c r="Q1986" s="3" t="str">
        <f t="shared" ref="Q1986:Q2001" si="155">IF(L1986&lt;0,"loss",IF(O1986&lt;10,"low profit","good profit"))</f>
        <v>low profit</v>
      </c>
    </row>
    <row r="1987" spans="1:17" x14ac:dyDescent="0.25">
      <c r="A1987" s="3" t="s">
        <v>384</v>
      </c>
      <c r="B1987" s="4">
        <v>46021</v>
      </c>
      <c r="C1987" s="3" t="s">
        <v>2031</v>
      </c>
      <c r="D1987" s="3" t="s">
        <v>2051</v>
      </c>
      <c r="E1987" s="3" t="s">
        <v>2058</v>
      </c>
      <c r="F1987" s="3" t="s">
        <v>2061</v>
      </c>
      <c r="G1987" s="3">
        <v>10</v>
      </c>
      <c r="H1987" s="3">
        <v>3200</v>
      </c>
      <c r="I1987" s="3">
        <v>3840</v>
      </c>
      <c r="J1987" s="3">
        <v>15.58</v>
      </c>
      <c r="K1987" s="3">
        <v>32418.31</v>
      </c>
      <c r="L1987" s="3">
        <v>418.31</v>
      </c>
      <c r="M1987" s="3">
        <f t="shared" ref="M1987:M2001" si="156">G1987*I1987*J1987</f>
        <v>598272</v>
      </c>
      <c r="N1987" s="3">
        <f t="shared" ref="N1987:N2001" si="157">G1987*H1987</f>
        <v>32000</v>
      </c>
      <c r="O1987" s="3">
        <f t="shared" ref="O1987:O2001" si="158">IFERROR(L1987/K1987*100,0)</f>
        <v>1.2903510392737931</v>
      </c>
      <c r="P1987" s="3" t="str">
        <f t="shared" ref="P1987:P2001" si="159">TEXT(B1987,"mmm")</f>
        <v>Dec</v>
      </c>
      <c r="Q1987" s="3" t="str">
        <f t="shared" si="155"/>
        <v>low profit</v>
      </c>
    </row>
    <row r="1988" spans="1:17" x14ac:dyDescent="0.25">
      <c r="A1988" s="3" t="s">
        <v>536</v>
      </c>
      <c r="B1988" s="4">
        <v>46021</v>
      </c>
      <c r="C1988" s="3" t="s">
        <v>2024</v>
      </c>
      <c r="D1988" s="3" t="s">
        <v>2044</v>
      </c>
      <c r="E1988" s="3" t="s">
        <v>2055</v>
      </c>
      <c r="F1988" s="3" t="s">
        <v>2059</v>
      </c>
      <c r="G1988" s="3">
        <v>4</v>
      </c>
      <c r="H1988" s="3">
        <v>180</v>
      </c>
      <c r="I1988" s="3">
        <v>243</v>
      </c>
      <c r="J1988" s="3">
        <v>4.2300000000000004</v>
      </c>
      <c r="K1988" s="3">
        <v>930.91</v>
      </c>
      <c r="L1988" s="3">
        <v>210.91</v>
      </c>
      <c r="M1988" s="3">
        <f t="shared" si="156"/>
        <v>4111.5600000000004</v>
      </c>
      <c r="N1988" s="3">
        <f t="shared" si="157"/>
        <v>720</v>
      </c>
      <c r="O1988" s="3">
        <f t="shared" si="158"/>
        <v>22.656325530932101</v>
      </c>
      <c r="P1988" s="3" t="str">
        <f t="shared" si="159"/>
        <v>Dec</v>
      </c>
      <c r="Q1988" s="3" t="str">
        <f t="shared" si="155"/>
        <v>good profit</v>
      </c>
    </row>
    <row r="1989" spans="1:17" x14ac:dyDescent="0.25">
      <c r="A1989" s="3" t="s">
        <v>544</v>
      </c>
      <c r="B1989" s="4">
        <v>46021</v>
      </c>
      <c r="C1989" s="3" t="s">
        <v>2012</v>
      </c>
      <c r="D1989" s="3" t="s">
        <v>2032</v>
      </c>
      <c r="E1989" s="3" t="s">
        <v>2052</v>
      </c>
      <c r="F1989" s="3" t="s">
        <v>2060</v>
      </c>
      <c r="G1989" s="3">
        <v>6</v>
      </c>
      <c r="H1989" s="3">
        <v>6500</v>
      </c>
      <c r="I1989" s="3">
        <v>8125</v>
      </c>
      <c r="J1989" s="3">
        <v>18.12</v>
      </c>
      <c r="K1989" s="3">
        <v>39914.61</v>
      </c>
      <c r="L1989" s="3">
        <v>914.61</v>
      </c>
      <c r="M1989" s="3">
        <f t="shared" si="156"/>
        <v>883350</v>
      </c>
      <c r="N1989" s="3">
        <f t="shared" si="157"/>
        <v>39000</v>
      </c>
      <c r="O1989" s="3">
        <f t="shared" si="158"/>
        <v>2.2914166015902451</v>
      </c>
      <c r="P1989" s="3" t="str">
        <f t="shared" si="159"/>
        <v>Dec</v>
      </c>
      <c r="Q1989" s="3" t="str">
        <f t="shared" si="155"/>
        <v>low profit</v>
      </c>
    </row>
    <row r="1990" spans="1:17" x14ac:dyDescent="0.25">
      <c r="A1990" s="3" t="s">
        <v>739</v>
      </c>
      <c r="B1990" s="4">
        <v>46021</v>
      </c>
      <c r="C1990" s="3" t="s">
        <v>2023</v>
      </c>
      <c r="D1990" s="3" t="s">
        <v>2043</v>
      </c>
      <c r="E1990" s="3" t="s">
        <v>2053</v>
      </c>
      <c r="F1990" s="3" t="s">
        <v>2060</v>
      </c>
      <c r="G1990" s="3">
        <v>1</v>
      </c>
      <c r="H1990" s="3">
        <v>550</v>
      </c>
      <c r="I1990" s="3">
        <v>742.5</v>
      </c>
      <c r="J1990" s="3">
        <v>13.71</v>
      </c>
      <c r="K1990" s="3">
        <v>640.67999999999995</v>
      </c>
      <c r="L1990" s="3">
        <v>90.68</v>
      </c>
      <c r="M1990" s="3">
        <f t="shared" si="156"/>
        <v>10179.675000000001</v>
      </c>
      <c r="N1990" s="3">
        <f t="shared" si="157"/>
        <v>550</v>
      </c>
      <c r="O1990" s="3">
        <f t="shared" si="158"/>
        <v>14.15371168133858</v>
      </c>
      <c r="P1990" s="3" t="str">
        <f t="shared" si="159"/>
        <v>Dec</v>
      </c>
      <c r="Q1990" s="3" t="str">
        <f t="shared" si="155"/>
        <v>good profit</v>
      </c>
    </row>
    <row r="1991" spans="1:17" x14ac:dyDescent="0.25">
      <c r="A1991" s="3" t="s">
        <v>740</v>
      </c>
      <c r="B1991" s="4">
        <v>46021</v>
      </c>
      <c r="C1991" s="3" t="s">
        <v>2016</v>
      </c>
      <c r="D1991" s="3" t="s">
        <v>2036</v>
      </c>
      <c r="E1991" s="3" t="s">
        <v>2052</v>
      </c>
      <c r="F1991" s="3" t="s">
        <v>2059</v>
      </c>
      <c r="G1991" s="3">
        <v>7</v>
      </c>
      <c r="H1991" s="3">
        <v>900</v>
      </c>
      <c r="I1991" s="3">
        <v>1170</v>
      </c>
      <c r="J1991" s="3">
        <v>15.85</v>
      </c>
      <c r="K1991" s="3">
        <v>6891.82</v>
      </c>
      <c r="L1991" s="3">
        <v>591.82000000000005</v>
      </c>
      <c r="M1991" s="3">
        <f t="shared" si="156"/>
        <v>129811.5</v>
      </c>
      <c r="N1991" s="3">
        <f t="shared" si="157"/>
        <v>6300</v>
      </c>
      <c r="O1991" s="3">
        <f t="shared" si="158"/>
        <v>8.5872817339976972</v>
      </c>
      <c r="P1991" s="3" t="str">
        <f t="shared" si="159"/>
        <v>Dec</v>
      </c>
      <c r="Q1991" s="3" t="str">
        <f t="shared" si="155"/>
        <v>low profit</v>
      </c>
    </row>
    <row r="1992" spans="1:17" x14ac:dyDescent="0.25">
      <c r="A1992" s="3" t="s">
        <v>1068</v>
      </c>
      <c r="B1992" s="4">
        <v>46021</v>
      </c>
      <c r="C1992" s="3" t="s">
        <v>2012</v>
      </c>
      <c r="D1992" s="3" t="s">
        <v>2032</v>
      </c>
      <c r="E1992" s="3" t="s">
        <v>2052</v>
      </c>
      <c r="F1992" s="3" t="s">
        <v>2062</v>
      </c>
      <c r="G1992" s="3">
        <v>1</v>
      </c>
      <c r="H1992" s="3">
        <v>6500</v>
      </c>
      <c r="I1992" s="3">
        <v>8125</v>
      </c>
      <c r="J1992" s="3">
        <v>16.03</v>
      </c>
      <c r="K1992" s="3">
        <v>6822.66</v>
      </c>
      <c r="L1992" s="3">
        <v>322.66000000000003</v>
      </c>
      <c r="M1992" s="3">
        <f t="shared" si="156"/>
        <v>130243.75000000001</v>
      </c>
      <c r="N1992" s="3">
        <f t="shared" si="157"/>
        <v>6500</v>
      </c>
      <c r="O1992" s="3">
        <f t="shared" si="158"/>
        <v>4.729240501505279</v>
      </c>
      <c r="P1992" s="3" t="str">
        <f t="shared" si="159"/>
        <v>Dec</v>
      </c>
      <c r="Q1992" s="3" t="str">
        <f t="shared" si="155"/>
        <v>low profit</v>
      </c>
    </row>
    <row r="1993" spans="1:17" x14ac:dyDescent="0.25">
      <c r="A1993" s="3" t="s">
        <v>1433</v>
      </c>
      <c r="B1993" s="4">
        <v>46021</v>
      </c>
      <c r="C1993" s="3" t="s">
        <v>2030</v>
      </c>
      <c r="D1993" s="3" t="s">
        <v>2050</v>
      </c>
      <c r="E1993" s="3" t="s">
        <v>2058</v>
      </c>
      <c r="F1993" s="3" t="s">
        <v>2060</v>
      </c>
      <c r="G1993" s="3">
        <v>8</v>
      </c>
      <c r="H1993" s="3">
        <v>1800</v>
      </c>
      <c r="I1993" s="3">
        <v>2124</v>
      </c>
      <c r="J1993" s="3">
        <v>16.2</v>
      </c>
      <c r="K1993" s="3">
        <v>14239.19</v>
      </c>
      <c r="L1993" s="3">
        <v>-160.81</v>
      </c>
      <c r="M1993" s="3">
        <f t="shared" si="156"/>
        <v>275270.39999999997</v>
      </c>
      <c r="N1993" s="3">
        <f t="shared" si="157"/>
        <v>14400</v>
      </c>
      <c r="O1993" s="3">
        <f t="shared" si="158"/>
        <v>-1.1293479474604946</v>
      </c>
      <c r="P1993" s="3" t="str">
        <f t="shared" si="159"/>
        <v>Dec</v>
      </c>
      <c r="Q1993" s="3" t="str">
        <f t="shared" si="155"/>
        <v>loss</v>
      </c>
    </row>
    <row r="1994" spans="1:17" x14ac:dyDescent="0.25">
      <c r="A1994" s="3" t="s">
        <v>1721</v>
      </c>
      <c r="B1994" s="4">
        <v>46021</v>
      </c>
      <c r="C1994" s="3" t="s">
        <v>2013</v>
      </c>
      <c r="D1994" s="3" t="s">
        <v>2033</v>
      </c>
      <c r="E1994" s="3" t="s">
        <v>2053</v>
      </c>
      <c r="F1994" s="3" t="s">
        <v>2059</v>
      </c>
      <c r="G1994" s="3">
        <v>6</v>
      </c>
      <c r="H1994" s="3">
        <v>6500</v>
      </c>
      <c r="I1994" s="3">
        <v>7150</v>
      </c>
      <c r="J1994" s="3">
        <v>15.24</v>
      </c>
      <c r="K1994" s="3">
        <v>36361.949999999997</v>
      </c>
      <c r="L1994" s="3">
        <v>-2638.05</v>
      </c>
      <c r="M1994" s="3">
        <f t="shared" si="156"/>
        <v>653796</v>
      </c>
      <c r="N1994" s="3">
        <f t="shared" si="157"/>
        <v>39000</v>
      </c>
      <c r="O1994" s="3">
        <f t="shared" si="158"/>
        <v>-7.2549739494169057</v>
      </c>
      <c r="P1994" s="3" t="str">
        <f t="shared" si="159"/>
        <v>Dec</v>
      </c>
      <c r="Q1994" s="3" t="str">
        <f t="shared" si="155"/>
        <v>loss</v>
      </c>
    </row>
    <row r="1995" spans="1:17" x14ac:dyDescent="0.25">
      <c r="A1995" s="3" t="s">
        <v>508</v>
      </c>
      <c r="B1995" s="4">
        <v>46022</v>
      </c>
      <c r="C1995" s="3" t="s">
        <v>2019</v>
      </c>
      <c r="D1995" s="3" t="s">
        <v>2039</v>
      </c>
      <c r="E1995" s="3" t="s">
        <v>2053</v>
      </c>
      <c r="F1995" s="3" t="s">
        <v>2062</v>
      </c>
      <c r="G1995" s="3">
        <v>8</v>
      </c>
      <c r="H1995" s="3">
        <v>900</v>
      </c>
      <c r="I1995" s="3">
        <v>1152</v>
      </c>
      <c r="J1995" s="3">
        <v>9.1999999999999993</v>
      </c>
      <c r="K1995" s="3">
        <v>8367.7800000000007</v>
      </c>
      <c r="L1995" s="3">
        <v>1167.78</v>
      </c>
      <c r="M1995" s="3">
        <f t="shared" si="156"/>
        <v>84787.199999999997</v>
      </c>
      <c r="N1995" s="3">
        <f t="shared" si="157"/>
        <v>7200</v>
      </c>
      <c r="O1995" s="3">
        <f t="shared" si="158"/>
        <v>13.955672830786659</v>
      </c>
      <c r="P1995" s="3" t="str">
        <f t="shared" si="159"/>
        <v>Dec</v>
      </c>
      <c r="Q1995" s="3" t="str">
        <f t="shared" si="155"/>
        <v>good profit</v>
      </c>
    </row>
    <row r="1996" spans="1:17" x14ac:dyDescent="0.25">
      <c r="A1996" s="3" t="s">
        <v>690</v>
      </c>
      <c r="B1996" s="4">
        <v>46022</v>
      </c>
      <c r="C1996" s="3" t="s">
        <v>2018</v>
      </c>
      <c r="D1996" s="3" t="s">
        <v>2038</v>
      </c>
      <c r="E1996" s="3" t="s">
        <v>2053</v>
      </c>
      <c r="F1996" s="3" t="s">
        <v>2059</v>
      </c>
      <c r="G1996" s="3">
        <v>2</v>
      </c>
      <c r="H1996" s="3">
        <v>500</v>
      </c>
      <c r="I1996" s="3">
        <v>610</v>
      </c>
      <c r="J1996" s="3">
        <v>8.0299999999999994</v>
      </c>
      <c r="K1996" s="3">
        <v>1122</v>
      </c>
      <c r="L1996" s="3">
        <v>122</v>
      </c>
      <c r="M1996" s="3">
        <f t="shared" si="156"/>
        <v>9796.5999999999985</v>
      </c>
      <c r="N1996" s="3">
        <f t="shared" si="157"/>
        <v>1000</v>
      </c>
      <c r="O1996" s="3">
        <f t="shared" si="158"/>
        <v>10.873440285204991</v>
      </c>
      <c r="P1996" s="3" t="str">
        <f t="shared" si="159"/>
        <v>Dec</v>
      </c>
      <c r="Q1996" s="3" t="str">
        <f t="shared" si="155"/>
        <v>good profit</v>
      </c>
    </row>
    <row r="1997" spans="1:17" x14ac:dyDescent="0.25">
      <c r="A1997" s="3" t="s">
        <v>1109</v>
      </c>
      <c r="B1997" s="4">
        <v>46022</v>
      </c>
      <c r="C1997" s="3" t="s">
        <v>2019</v>
      </c>
      <c r="D1997" s="3" t="s">
        <v>2039</v>
      </c>
      <c r="E1997" s="3" t="s">
        <v>2053</v>
      </c>
      <c r="F1997" s="3" t="s">
        <v>2062</v>
      </c>
      <c r="G1997" s="3">
        <v>9</v>
      </c>
      <c r="H1997" s="3">
        <v>900</v>
      </c>
      <c r="I1997" s="3">
        <v>1152</v>
      </c>
      <c r="J1997" s="3">
        <v>12.58</v>
      </c>
      <c r="K1997" s="3">
        <v>9063.2999999999993</v>
      </c>
      <c r="L1997" s="3">
        <v>963.3</v>
      </c>
      <c r="M1997" s="3">
        <f t="shared" si="156"/>
        <v>130429.44</v>
      </c>
      <c r="N1997" s="3">
        <f t="shared" si="157"/>
        <v>8100</v>
      </c>
      <c r="O1997" s="3">
        <f t="shared" si="158"/>
        <v>10.628578994406011</v>
      </c>
      <c r="P1997" s="3" t="str">
        <f t="shared" si="159"/>
        <v>Dec</v>
      </c>
      <c r="Q1997" s="3" t="str">
        <f t="shared" si="155"/>
        <v>good profit</v>
      </c>
    </row>
    <row r="1998" spans="1:17" x14ac:dyDescent="0.25">
      <c r="A1998" s="3" t="s">
        <v>1151</v>
      </c>
      <c r="B1998" s="4">
        <v>46022</v>
      </c>
      <c r="C1998" s="3" t="s">
        <v>2022</v>
      </c>
      <c r="D1998" s="3" t="s">
        <v>2042</v>
      </c>
      <c r="E1998" s="3" t="s">
        <v>2053</v>
      </c>
      <c r="F1998" s="3" t="s">
        <v>2061</v>
      </c>
      <c r="G1998" s="3">
        <v>10</v>
      </c>
      <c r="H1998" s="3">
        <v>8500</v>
      </c>
      <c r="I1998" s="3">
        <v>9520</v>
      </c>
      <c r="J1998" s="3">
        <v>18.8</v>
      </c>
      <c r="K1998" s="3">
        <v>77297.710000000006</v>
      </c>
      <c r="L1998" s="3">
        <v>-7702.29</v>
      </c>
      <c r="M1998" s="3">
        <f t="shared" si="156"/>
        <v>1789760</v>
      </c>
      <c r="N1998" s="3">
        <f t="shared" si="157"/>
        <v>85000</v>
      </c>
      <c r="O1998" s="3">
        <f t="shared" si="158"/>
        <v>-9.9644478471613187</v>
      </c>
      <c r="P1998" s="3" t="str">
        <f t="shared" si="159"/>
        <v>Dec</v>
      </c>
      <c r="Q1998" s="3" t="str">
        <f t="shared" si="155"/>
        <v>loss</v>
      </c>
    </row>
    <row r="1999" spans="1:17" x14ac:dyDescent="0.25">
      <c r="A1999" s="3" t="s">
        <v>1235</v>
      </c>
      <c r="B1999" s="4">
        <v>46022</v>
      </c>
      <c r="C1999" s="3" t="s">
        <v>2031</v>
      </c>
      <c r="D1999" s="3" t="s">
        <v>2051</v>
      </c>
      <c r="E1999" s="3" t="s">
        <v>2058</v>
      </c>
      <c r="F1999" s="3" t="s">
        <v>2060</v>
      </c>
      <c r="G1999" s="3">
        <v>7</v>
      </c>
      <c r="H1999" s="3">
        <v>3200</v>
      </c>
      <c r="I1999" s="3">
        <v>3840</v>
      </c>
      <c r="J1999" s="3">
        <v>10.88</v>
      </c>
      <c r="K1999" s="3">
        <v>23956.49</v>
      </c>
      <c r="L1999" s="3">
        <v>1556.49</v>
      </c>
      <c r="M1999" s="3">
        <f t="shared" si="156"/>
        <v>292454.40000000002</v>
      </c>
      <c r="N1999" s="3">
        <f t="shared" si="157"/>
        <v>22400</v>
      </c>
      <c r="O1999" s="3">
        <f t="shared" si="158"/>
        <v>6.4971537984070276</v>
      </c>
      <c r="P1999" s="3" t="str">
        <f t="shared" si="159"/>
        <v>Dec</v>
      </c>
      <c r="Q1999" s="3" t="str">
        <f t="shared" si="155"/>
        <v>low profit</v>
      </c>
    </row>
    <row r="2000" spans="1:17" x14ac:dyDescent="0.25">
      <c r="A2000" s="3" t="s">
        <v>1760</v>
      </c>
      <c r="B2000" s="4">
        <v>46022</v>
      </c>
      <c r="C2000" s="3" t="s">
        <v>2015</v>
      </c>
      <c r="D2000" s="3" t="s">
        <v>2035</v>
      </c>
      <c r="E2000" s="3" t="s">
        <v>2054</v>
      </c>
      <c r="F2000" s="3" t="s">
        <v>2060</v>
      </c>
      <c r="G2000" s="3">
        <v>5</v>
      </c>
      <c r="H2000" s="3">
        <v>900</v>
      </c>
      <c r="I2000" s="3">
        <v>1170</v>
      </c>
      <c r="J2000" s="3">
        <v>18.82</v>
      </c>
      <c r="K2000" s="3">
        <v>4749.24</v>
      </c>
      <c r="L2000" s="3">
        <v>249.24</v>
      </c>
      <c r="M2000" s="3">
        <f t="shared" si="156"/>
        <v>110097</v>
      </c>
      <c r="N2000" s="3">
        <f t="shared" si="157"/>
        <v>4500</v>
      </c>
      <c r="O2000" s="3">
        <f t="shared" si="158"/>
        <v>5.2479975743487381</v>
      </c>
      <c r="P2000" s="3" t="str">
        <f t="shared" si="159"/>
        <v>Dec</v>
      </c>
      <c r="Q2000" s="3" t="str">
        <f t="shared" si="155"/>
        <v>low profit</v>
      </c>
    </row>
    <row r="2001" spans="1:17" x14ac:dyDescent="0.25">
      <c r="A2001" s="3" t="s">
        <v>1820</v>
      </c>
      <c r="B2001" s="4">
        <v>46022</v>
      </c>
      <c r="C2001" s="3" t="s">
        <v>2022</v>
      </c>
      <c r="D2001" s="3" t="s">
        <v>2042</v>
      </c>
      <c r="E2001" s="3" t="s">
        <v>2053</v>
      </c>
      <c r="F2001" s="3" t="s">
        <v>2062</v>
      </c>
      <c r="G2001" s="3">
        <v>6</v>
      </c>
      <c r="H2001" s="3">
        <v>8500</v>
      </c>
      <c r="I2001" s="3">
        <v>9520</v>
      </c>
      <c r="J2001" s="3">
        <v>18.28</v>
      </c>
      <c r="K2001" s="3">
        <v>46679.839999999997</v>
      </c>
      <c r="L2001" s="3">
        <v>-4320.16</v>
      </c>
      <c r="M2001" s="3">
        <f t="shared" si="156"/>
        <v>1044153.6000000001</v>
      </c>
      <c r="N2001" s="3">
        <f t="shared" si="157"/>
        <v>51000</v>
      </c>
      <c r="O2001" s="3">
        <f t="shared" si="158"/>
        <v>-9.2548731957950157</v>
      </c>
      <c r="P2001" s="3" t="str">
        <f t="shared" si="159"/>
        <v>Dec</v>
      </c>
      <c r="Q2001" s="3" t="str">
        <f t="shared" si="155"/>
        <v>loss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Dataser</vt:lpstr>
      <vt:lpstr>KPI</vt:lpstr>
      <vt:lpstr>Slicers</vt:lpstr>
      <vt:lpstr>Monthly Sales VS Profit Trend</vt:lpstr>
      <vt:lpstr>Top Loss Making Products</vt:lpstr>
      <vt:lpstr>Discount % VS Profit Margin %</vt:lpstr>
      <vt:lpstr>Profit By Region</vt:lpstr>
      <vt:lpstr>Profit By Category</vt:lpstr>
      <vt:lpstr>Sales VS Profit By Products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farjith</dc:creator>
  <cp:lastModifiedBy>mohamedfarjith844@gmail.com</cp:lastModifiedBy>
  <dcterms:created xsi:type="dcterms:W3CDTF">2026-09-13T16:40:10Z</dcterms:created>
  <dcterms:modified xsi:type="dcterms:W3CDTF">2026-10-01T12:17:30Z</dcterms:modified>
</cp:coreProperties>
</file>